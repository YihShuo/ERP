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65" windowWidth="14805" windowHeight="6690" tabRatio="533"/>
  </bookViews>
  <sheets>
    <sheet name="T12" sheetId="23" r:id="rId1"/>
    <sheet name="T01" sheetId="25" r:id="rId2"/>
    <sheet name="T02" sheetId="26" r:id="rId3"/>
    <sheet name="T03" sheetId="27" r:id="rId4"/>
    <sheet name="T04" sheetId="28" r:id="rId5"/>
    <sheet name=" T05" sheetId="29" r:id="rId6"/>
    <sheet name="dk 1 buy" sheetId="2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Print_Titles" localSheetId="5">' T05'!$1:$5</definedName>
    <definedName name="_xlnm.Print_Titles" localSheetId="1">'T01'!$1:$5</definedName>
    <definedName name="_xlnm.Print_Titles" localSheetId="2">'T02'!$1:$6</definedName>
    <definedName name="_xlnm.Print_Titles" localSheetId="3">'T03'!$1:$5</definedName>
    <definedName name="_xlnm.Print_Titles" localSheetId="4">'T04'!$1:$5</definedName>
    <definedName name="_xlnm.Print_Titles" localSheetId="0">'T12'!$1:$5</definedName>
  </definedNames>
  <calcPr calcId="144525"/>
</workbook>
</file>

<file path=xl/calcChain.xml><?xml version="1.0" encoding="utf-8"?>
<calcChain xmlns="http://schemas.openxmlformats.org/spreadsheetml/2006/main">
  <c r="C62" i="27" l="1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D182" i="27" l="1"/>
  <c r="E182" i="27"/>
  <c r="F182" i="27"/>
  <c r="G182" i="27"/>
  <c r="H182" i="27"/>
  <c r="I182" i="27"/>
  <c r="J182" i="27"/>
  <c r="K182" i="27"/>
  <c r="L182" i="27"/>
  <c r="M182" i="27"/>
  <c r="N182" i="27"/>
  <c r="O182" i="27"/>
  <c r="P182" i="27"/>
  <c r="Q182" i="27"/>
  <c r="R182" i="27"/>
  <c r="S182" i="27"/>
  <c r="C182" i="27"/>
  <c r="AF138" i="26" l="1"/>
  <c r="C62" i="29" l="1"/>
  <c r="D62" i="29"/>
  <c r="E62" i="29"/>
  <c r="F62" i="29"/>
  <c r="G62" i="29"/>
  <c r="H62" i="29"/>
  <c r="I62" i="29"/>
  <c r="C122" i="29"/>
  <c r="D122" i="29"/>
  <c r="D182" i="29"/>
  <c r="E182" i="29"/>
  <c r="F182" i="29"/>
  <c r="G182" i="29"/>
  <c r="H182" i="29"/>
  <c r="I182" i="29"/>
  <c r="J182" i="29"/>
  <c r="K182" i="29"/>
  <c r="C242" i="28"/>
  <c r="D242" i="28"/>
  <c r="E242" i="28"/>
  <c r="F242" i="28"/>
  <c r="G242" i="28"/>
  <c r="H242" i="28"/>
  <c r="I242" i="28"/>
  <c r="J242" i="28"/>
  <c r="K242" i="28"/>
  <c r="L242" i="28"/>
  <c r="M242" i="28"/>
  <c r="N242" i="28"/>
  <c r="O242" i="28"/>
  <c r="P242" i="28"/>
  <c r="Q242" i="28"/>
  <c r="R242" i="28"/>
  <c r="S242" i="28"/>
  <c r="T242" i="28"/>
  <c r="U242" i="28"/>
  <c r="V242" i="28"/>
  <c r="W242" i="28"/>
  <c r="X242" i="28"/>
  <c r="Y242" i="28"/>
  <c r="Z242" i="28"/>
  <c r="AA242" i="28"/>
  <c r="B242" i="28"/>
  <c r="R242" i="27"/>
  <c r="S242" i="27"/>
  <c r="T242" i="27"/>
  <c r="U242" i="27"/>
  <c r="V242" i="27"/>
  <c r="W242" i="27"/>
  <c r="X242" i="27"/>
  <c r="Y242" i="27"/>
  <c r="Z242" i="27"/>
  <c r="AA242" i="27"/>
  <c r="AB242" i="27"/>
  <c r="AC242" i="27"/>
  <c r="AD242" i="27"/>
  <c r="AE242" i="27"/>
  <c r="AF242" i="27"/>
  <c r="C182" i="28"/>
  <c r="D182" i="28"/>
  <c r="E182" i="28"/>
  <c r="F182" i="28"/>
  <c r="G182" i="28"/>
  <c r="H182" i="28"/>
  <c r="I182" i="28"/>
  <c r="J182" i="28"/>
  <c r="K182" i="28"/>
  <c r="L182" i="28"/>
  <c r="M182" i="28"/>
  <c r="N182" i="28"/>
  <c r="O182" i="28"/>
  <c r="P182" i="28"/>
  <c r="Q182" i="28"/>
  <c r="R182" i="28"/>
  <c r="S182" i="28"/>
  <c r="T182" i="28"/>
  <c r="U182" i="28"/>
  <c r="V182" i="28"/>
  <c r="W182" i="28"/>
  <c r="X182" i="28"/>
  <c r="Y182" i="28"/>
  <c r="Z182" i="28"/>
  <c r="AA182" i="28"/>
  <c r="AB182" i="28"/>
  <c r="AC182" i="28"/>
  <c r="AD182" i="28"/>
  <c r="B182" i="28"/>
  <c r="C122" i="28"/>
  <c r="D122" i="28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B12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B62" i="28"/>
  <c r="T182" i="27"/>
  <c r="U182" i="27"/>
  <c r="V182" i="27"/>
  <c r="W182" i="27"/>
  <c r="X182" i="27"/>
  <c r="Y182" i="27"/>
  <c r="Z182" i="27"/>
  <c r="AA182" i="27"/>
  <c r="AB182" i="27"/>
  <c r="AC182" i="27"/>
  <c r="AD182" i="27"/>
  <c r="AE182" i="27"/>
  <c r="V183" i="26"/>
  <c r="W183" i="26"/>
  <c r="X183" i="26"/>
  <c r="Y183" i="26"/>
  <c r="Z183" i="26"/>
  <c r="AA183" i="26"/>
  <c r="AB183" i="26"/>
  <c r="B182" i="27"/>
  <c r="C122" i="27"/>
  <c r="D122" i="27"/>
  <c r="E122" i="27"/>
  <c r="F122" i="27"/>
  <c r="G122" i="27"/>
  <c r="H122" i="27"/>
  <c r="I122" i="27"/>
  <c r="J122" i="27"/>
  <c r="K122" i="27"/>
  <c r="L122" i="27"/>
  <c r="M122" i="27"/>
  <c r="N122" i="27"/>
  <c r="O122" i="27"/>
  <c r="P122" i="27"/>
  <c r="Q122" i="27"/>
  <c r="R122" i="27"/>
  <c r="S122" i="27"/>
  <c r="T122" i="27"/>
  <c r="U122" i="27"/>
  <c r="V122" i="27"/>
  <c r="W122" i="27"/>
  <c r="X122" i="27"/>
  <c r="Y122" i="27"/>
  <c r="Z122" i="27"/>
  <c r="AA122" i="27"/>
  <c r="AB122" i="27"/>
  <c r="AC122" i="27"/>
  <c r="AD122" i="27"/>
  <c r="AE122" i="27"/>
  <c r="X63" i="26"/>
  <c r="Y63" i="26"/>
  <c r="Z63" i="26"/>
  <c r="AA63" i="26"/>
  <c r="AB63" i="26"/>
  <c r="AC63" i="26"/>
  <c r="R63" i="26" l="1"/>
  <c r="S63" i="26"/>
  <c r="T63" i="26"/>
  <c r="U63" i="26"/>
  <c r="V63" i="26"/>
  <c r="W63" i="26"/>
  <c r="AC183" i="26"/>
  <c r="M123" i="26" l="1"/>
  <c r="N123" i="26"/>
  <c r="O123" i="26"/>
  <c r="P123" i="26"/>
  <c r="Q123" i="26"/>
  <c r="R123" i="26"/>
  <c r="S123" i="26"/>
  <c r="T123" i="26"/>
  <c r="AD5" i="26" l="1"/>
  <c r="AD196" i="25" l="1"/>
  <c r="G243" i="26" l="1"/>
  <c r="H243" i="26"/>
  <c r="I243" i="26"/>
  <c r="J243" i="26"/>
  <c r="K243" i="26"/>
  <c r="L243" i="26"/>
  <c r="M243" i="26"/>
  <c r="N243" i="26"/>
  <c r="O243" i="26"/>
  <c r="P243" i="26"/>
  <c r="C243" i="26"/>
  <c r="D243" i="26"/>
  <c r="E243" i="26"/>
  <c r="F243" i="26"/>
  <c r="B243" i="26"/>
  <c r="Q243" i="26"/>
  <c r="R243" i="26"/>
  <c r="S243" i="26"/>
  <c r="T243" i="26"/>
  <c r="U243" i="26"/>
  <c r="V243" i="26"/>
  <c r="Y243" i="26"/>
  <c r="W197" i="26" l="1"/>
  <c r="W243" i="26" s="1"/>
  <c r="AB242" i="25" l="1"/>
  <c r="AC242" i="25"/>
  <c r="AD242" i="25"/>
  <c r="AE242" i="25"/>
  <c r="W245" i="25"/>
  <c r="U185" i="25"/>
  <c r="W185" i="25"/>
  <c r="X185" i="25"/>
  <c r="Y185" i="25"/>
  <c r="Z185" i="25"/>
  <c r="AE182" i="25"/>
  <c r="AF182" i="25"/>
  <c r="S122" i="25"/>
  <c r="T122" i="25"/>
  <c r="U122" i="25"/>
  <c r="V122" i="25"/>
  <c r="W122" i="25"/>
  <c r="B62" i="27"/>
  <c r="W65" i="25"/>
  <c r="U62" i="25"/>
  <c r="V62" i="25"/>
  <c r="AF62" i="25"/>
  <c r="AF250" i="28" l="1"/>
  <c r="AG250" i="27"/>
  <c r="AD251" i="26"/>
  <c r="AF251" i="28" l="1"/>
  <c r="AF249" i="28"/>
  <c r="AF248" i="28"/>
  <c r="AG251" i="27"/>
  <c r="AG249" i="27"/>
  <c r="AG248" i="27"/>
  <c r="AD253" i="26"/>
  <c r="AD250" i="26"/>
  <c r="AD249" i="26"/>
  <c r="AB242" i="28" l="1"/>
  <c r="AC242" i="28"/>
  <c r="E122" i="29"/>
  <c r="AB122" i="28"/>
  <c r="AC122" i="28"/>
  <c r="AF122" i="27"/>
  <c r="Y123" i="26"/>
  <c r="Z123" i="26"/>
  <c r="AA123" i="26"/>
  <c r="AB123" i="26"/>
  <c r="AC123" i="26"/>
  <c r="B124" i="26"/>
  <c r="M124" i="26"/>
  <c r="L124" i="26"/>
  <c r="M64" i="26"/>
  <c r="L64" i="26"/>
  <c r="B64" i="26"/>
  <c r="X123" i="26"/>
  <c r="U123" i="26"/>
  <c r="V123" i="26"/>
  <c r="W123" i="26"/>
  <c r="L182" i="29"/>
  <c r="M182" i="29"/>
  <c r="J62" i="29"/>
  <c r="K62" i="29"/>
  <c r="L62" i="29"/>
  <c r="M62" i="29"/>
  <c r="N62" i="29"/>
  <c r="O62" i="29"/>
  <c r="AF62" i="27"/>
  <c r="L183" i="26"/>
  <c r="M183" i="26"/>
  <c r="N183" i="26"/>
  <c r="O183" i="26"/>
  <c r="M63" i="26"/>
  <c r="N63" i="26"/>
  <c r="O63" i="26"/>
  <c r="P63" i="26"/>
  <c r="Q63" i="26"/>
  <c r="T245" i="25"/>
  <c r="T125" i="25"/>
  <c r="R122" i="25"/>
  <c r="T65" i="25"/>
  <c r="AD122" i="28" l="1"/>
  <c r="AE122" i="28"/>
  <c r="L122" i="29" l="1"/>
  <c r="M122" i="29"/>
  <c r="N122" i="29"/>
  <c r="O122" i="29"/>
  <c r="P122" i="29"/>
  <c r="N182" i="29" l="1"/>
  <c r="C182" i="29"/>
  <c r="AE182" i="28"/>
  <c r="P62" i="29"/>
  <c r="Q62" i="29"/>
  <c r="R62" i="29"/>
  <c r="S62" i="29"/>
  <c r="T62" i="29"/>
  <c r="B183" i="28"/>
  <c r="AB183" i="27"/>
  <c r="AF182" i="27"/>
  <c r="AE62" i="28" l="1"/>
  <c r="E69" i="27"/>
  <c r="E68" i="27"/>
  <c r="U62" i="29"/>
  <c r="V62" i="29"/>
  <c r="W62" i="29"/>
  <c r="X62" i="29"/>
  <c r="P63" i="29"/>
  <c r="Q63" i="29"/>
  <c r="R63" i="29"/>
  <c r="S63" i="29"/>
  <c r="AF243" i="29"/>
  <c r="AE243" i="29"/>
  <c r="AD243" i="29"/>
  <c r="AC243" i="29"/>
  <c r="AB243" i="29"/>
  <c r="AA243" i="29"/>
  <c r="Z243" i="29"/>
  <c r="Y243" i="29"/>
  <c r="X243" i="29"/>
  <c r="W243" i="29"/>
  <c r="V243" i="29"/>
  <c r="U243" i="29"/>
  <c r="T243" i="29"/>
  <c r="S243" i="29"/>
  <c r="R243" i="29"/>
  <c r="Q243" i="29"/>
  <c r="P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C243" i="29"/>
  <c r="B243" i="29"/>
  <c r="AF242" i="29"/>
  <c r="AE242" i="29"/>
  <c r="AD242" i="29"/>
  <c r="AC242" i="29"/>
  <c r="AB242" i="29"/>
  <c r="AA242" i="29"/>
  <c r="Z242" i="29"/>
  <c r="Y242" i="29"/>
  <c r="X242" i="29"/>
  <c r="W242" i="29"/>
  <c r="V242" i="29"/>
  <c r="U242" i="29"/>
  <c r="T242" i="29"/>
  <c r="S242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C242" i="29"/>
  <c r="B242" i="29"/>
  <c r="AF183" i="29"/>
  <c r="AE183" i="29"/>
  <c r="AD183" i="29"/>
  <c r="AC183" i="29"/>
  <c r="AB183" i="29"/>
  <c r="AA183" i="29"/>
  <c r="Z183" i="29"/>
  <c r="Y183" i="29"/>
  <c r="X183" i="29"/>
  <c r="W183" i="29"/>
  <c r="V183" i="29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3" i="29"/>
  <c r="C183" i="29"/>
  <c r="B183" i="29"/>
  <c r="AG183" i="29" s="1"/>
  <c r="AF182" i="29"/>
  <c r="AE182" i="29"/>
  <c r="AD182" i="29"/>
  <c r="AC182" i="29"/>
  <c r="AB182" i="29"/>
  <c r="AA182" i="29"/>
  <c r="Z182" i="29"/>
  <c r="Y182" i="29"/>
  <c r="X182" i="29"/>
  <c r="W182" i="29"/>
  <c r="V182" i="29"/>
  <c r="U182" i="29"/>
  <c r="T182" i="29"/>
  <c r="S182" i="29"/>
  <c r="R182" i="29"/>
  <c r="Q182" i="29"/>
  <c r="P182" i="29"/>
  <c r="O182" i="29"/>
  <c r="B182" i="29"/>
  <c r="AF123" i="29"/>
  <c r="AE123" i="29"/>
  <c r="AD123" i="29"/>
  <c r="AC123" i="29"/>
  <c r="AB123" i="29"/>
  <c r="AA123" i="29"/>
  <c r="Z123" i="29"/>
  <c r="Y123" i="29"/>
  <c r="X123" i="29"/>
  <c r="W123" i="29"/>
  <c r="V123" i="29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B123" i="29"/>
  <c r="AG123" i="29" s="1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B122" i="29"/>
  <c r="AF63" i="29"/>
  <c r="AE63" i="29"/>
  <c r="AD63" i="29"/>
  <c r="AC63" i="29"/>
  <c r="AB63" i="29"/>
  <c r="AA63" i="29"/>
  <c r="Z63" i="29"/>
  <c r="Y63" i="29"/>
  <c r="X63" i="29"/>
  <c r="W63" i="29"/>
  <c r="V63" i="29"/>
  <c r="U63" i="29"/>
  <c r="T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AG63" i="29" s="1"/>
  <c r="AF62" i="29"/>
  <c r="AE62" i="29"/>
  <c r="AD62" i="29"/>
  <c r="AC62" i="29"/>
  <c r="AB62" i="29"/>
  <c r="AA62" i="29"/>
  <c r="Z62" i="29"/>
  <c r="Y62" i="29"/>
  <c r="B62" i="29"/>
  <c r="AJ5" i="29"/>
  <c r="AH5" i="29"/>
  <c r="AG5" i="29"/>
  <c r="AI5" i="29" s="1"/>
  <c r="AI4" i="29" s="1"/>
  <c r="AH4" i="29"/>
  <c r="C4" i="29"/>
  <c r="D4" i="29" s="1"/>
  <c r="E4" i="29" s="1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P4" i="29" s="1"/>
  <c r="Q4" i="29" s="1"/>
  <c r="R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E4" i="29" s="1"/>
  <c r="AF4" i="29" s="1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E243" i="28"/>
  <c r="D243" i="28"/>
  <c r="C243" i="28"/>
  <c r="B243" i="28"/>
  <c r="AE242" i="28"/>
  <c r="AD242" i="28"/>
  <c r="AE183" i="28"/>
  <c r="AD183" i="28"/>
  <c r="AC183" i="28"/>
  <c r="AB183" i="28"/>
  <c r="AA183" i="28"/>
  <c r="Z183" i="28"/>
  <c r="Y183" i="28"/>
  <c r="X183" i="28"/>
  <c r="W183" i="28"/>
  <c r="V183" i="28"/>
  <c r="U183" i="28"/>
  <c r="T183" i="28"/>
  <c r="S183" i="28"/>
  <c r="R183" i="28"/>
  <c r="Q183" i="28"/>
  <c r="P183" i="28"/>
  <c r="O183" i="28"/>
  <c r="N183" i="28"/>
  <c r="M183" i="28"/>
  <c r="L183" i="28"/>
  <c r="K183" i="28"/>
  <c r="J183" i="28"/>
  <c r="I183" i="28"/>
  <c r="H183" i="28"/>
  <c r="G183" i="28"/>
  <c r="F183" i="28"/>
  <c r="E183" i="28"/>
  <c r="D183" i="28"/>
  <c r="C183" i="28"/>
  <c r="AF183" i="28"/>
  <c r="AE123" i="28"/>
  <c r="AD123" i="28"/>
  <c r="AC123" i="28"/>
  <c r="AB123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B123" i="28"/>
  <c r="AF123" i="28" s="1"/>
  <c r="AE63" i="28"/>
  <c r="AD63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AF63" i="28" s="1"/>
  <c r="AI5" i="28"/>
  <c r="AG5" i="28"/>
  <c r="AF5" i="28"/>
  <c r="AH5" i="28" s="1"/>
  <c r="AH4" i="28" s="1"/>
  <c r="AG4" i="28"/>
  <c r="C4" i="28"/>
  <c r="D4" i="28" s="1"/>
  <c r="E4" i="28" s="1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S4" i="28" s="1"/>
  <c r="T4" i="28" s="1"/>
  <c r="U4" i="28" s="1"/>
  <c r="V4" i="28" s="1"/>
  <c r="W4" i="28" s="1"/>
  <c r="X4" i="28" s="1"/>
  <c r="Y4" i="28" s="1"/>
  <c r="Z4" i="28" s="1"/>
  <c r="AA4" i="28" s="1"/>
  <c r="AB4" i="28" s="1"/>
  <c r="AC4" i="28" s="1"/>
  <c r="AD4" i="28" s="1"/>
  <c r="AE4" i="28" s="1"/>
  <c r="B247" i="29" l="1"/>
  <c r="C247" i="29"/>
  <c r="D247" i="29"/>
  <c r="E247" i="29"/>
  <c r="F247" i="29"/>
  <c r="G247" i="29"/>
  <c r="H247" i="29"/>
  <c r="I247" i="29"/>
  <c r="J247" i="29"/>
  <c r="K247" i="29"/>
  <c r="L247" i="29"/>
  <c r="M247" i="29"/>
  <c r="N247" i="29"/>
  <c r="O247" i="29"/>
  <c r="P247" i="29"/>
  <c r="Q247" i="29"/>
  <c r="R247" i="29"/>
  <c r="S247" i="29"/>
  <c r="T247" i="29"/>
  <c r="U247" i="29"/>
  <c r="V247" i="29"/>
  <c r="W247" i="29"/>
  <c r="X247" i="29"/>
  <c r="Y247" i="29"/>
  <c r="Z247" i="29"/>
  <c r="AA247" i="29"/>
  <c r="AB247" i="29"/>
  <c r="AC247" i="29"/>
  <c r="AD247" i="29"/>
  <c r="AE247" i="29"/>
  <c r="AF247" i="29"/>
  <c r="AG243" i="29"/>
  <c r="W2" i="29" s="1"/>
  <c r="B247" i="28"/>
  <c r="C247" i="28"/>
  <c r="D247" i="28"/>
  <c r="E247" i="28"/>
  <c r="F247" i="28"/>
  <c r="G247" i="28"/>
  <c r="H247" i="28"/>
  <c r="I247" i="28"/>
  <c r="J247" i="28"/>
  <c r="K247" i="28"/>
  <c r="L247" i="28"/>
  <c r="M247" i="28"/>
  <c r="N247" i="28"/>
  <c r="O247" i="28"/>
  <c r="P247" i="28"/>
  <c r="Q247" i="28"/>
  <c r="R247" i="28"/>
  <c r="S247" i="28"/>
  <c r="T247" i="28"/>
  <c r="U247" i="28"/>
  <c r="V247" i="28"/>
  <c r="W247" i="28"/>
  <c r="X247" i="28"/>
  <c r="Y247" i="28"/>
  <c r="Z247" i="28"/>
  <c r="AA247" i="28"/>
  <c r="AB247" i="28"/>
  <c r="AC247" i="28"/>
  <c r="AD247" i="28"/>
  <c r="AE247" i="28"/>
  <c r="AF243" i="28"/>
  <c r="W2" i="28" s="1"/>
  <c r="AG247" i="29" l="1"/>
  <c r="AF247" i="28"/>
  <c r="Z243" i="26" l="1"/>
  <c r="AA243" i="26"/>
  <c r="X242" i="25" l="1"/>
  <c r="Y242" i="25"/>
  <c r="Z242" i="25"/>
  <c r="AA242" i="25"/>
  <c r="AB243" i="26"/>
  <c r="AC243" i="26"/>
  <c r="AF242" i="25"/>
  <c r="W190" i="26"/>
  <c r="W189" i="26"/>
  <c r="AD188" i="25"/>
  <c r="AD189" i="25"/>
  <c r="S242" i="25" l="1"/>
  <c r="T242" i="25"/>
  <c r="U242" i="25"/>
  <c r="V242" i="25"/>
  <c r="W242" i="25"/>
  <c r="K245" i="25"/>
  <c r="J245" i="25"/>
  <c r="G183" i="27" l="1"/>
  <c r="H183" i="27"/>
  <c r="I183" i="27"/>
  <c r="J183" i="27"/>
  <c r="N130" i="26" l="1"/>
  <c r="N98" i="26"/>
  <c r="AC70" i="26"/>
  <c r="S84" i="26"/>
  <c r="Q70" i="26"/>
  <c r="O70" i="26"/>
  <c r="N84" i="26"/>
  <c r="V70" i="26"/>
  <c r="U70" i="26"/>
  <c r="S70" i="26"/>
  <c r="O84" i="26"/>
  <c r="P70" i="26"/>
  <c r="N70" i="26"/>
  <c r="U24" i="26"/>
  <c r="T24" i="26"/>
  <c r="V10" i="26"/>
  <c r="U10" i="26"/>
  <c r="T10" i="26"/>
  <c r="Q10" i="26"/>
  <c r="N24" i="26"/>
  <c r="N10" i="26"/>
  <c r="AC69" i="26" l="1"/>
  <c r="T68" i="27" l="1"/>
  <c r="M202" i="25" l="1"/>
  <c r="F202" i="25"/>
  <c r="M188" i="25"/>
  <c r="L188" i="25"/>
  <c r="K188" i="25"/>
  <c r="J188" i="25"/>
  <c r="F188" i="25"/>
  <c r="X170" i="25"/>
  <c r="W170" i="25"/>
  <c r="R170" i="25"/>
  <c r="Q170" i="25"/>
  <c r="P170" i="25"/>
  <c r="O170" i="25"/>
  <c r="M170" i="25"/>
  <c r="L170" i="25"/>
  <c r="K170" i="25"/>
  <c r="J170" i="25"/>
  <c r="I170" i="25"/>
  <c r="H170" i="25"/>
  <c r="E170" i="25"/>
  <c r="D170" i="25"/>
  <c r="C170" i="25"/>
  <c r="Z156" i="25"/>
  <c r="Y170" i="25"/>
  <c r="X156" i="25"/>
  <c r="W156" i="25"/>
  <c r="V128" i="25"/>
  <c r="R156" i="25"/>
  <c r="Q156" i="25"/>
  <c r="P156" i="25"/>
  <c r="O156" i="25"/>
  <c r="M156" i="25"/>
  <c r="L156" i="25"/>
  <c r="K156" i="25"/>
  <c r="J156" i="25"/>
  <c r="I156" i="25"/>
  <c r="H156" i="25"/>
  <c r="E156" i="25"/>
  <c r="D156" i="25"/>
  <c r="C156" i="25"/>
  <c r="Z142" i="25"/>
  <c r="Y156" i="25"/>
  <c r="X142" i="25"/>
  <c r="W142" i="25"/>
  <c r="T142" i="25"/>
  <c r="S142" i="25"/>
  <c r="R142" i="25"/>
  <c r="Q142" i="25"/>
  <c r="O142" i="25"/>
  <c r="M142" i="25"/>
  <c r="L142" i="25"/>
  <c r="K142" i="25"/>
  <c r="J142" i="25"/>
  <c r="I142" i="25"/>
  <c r="H142" i="25"/>
  <c r="F142" i="25"/>
  <c r="E142" i="25"/>
  <c r="D142" i="25"/>
  <c r="C142" i="25"/>
  <c r="Z128" i="25"/>
  <c r="Y142" i="25"/>
  <c r="Y128" i="25"/>
  <c r="X128" i="25"/>
  <c r="W128" i="25"/>
  <c r="T128" i="25"/>
  <c r="S128" i="25"/>
  <c r="R128" i="25"/>
  <c r="Q128" i="25"/>
  <c r="O128" i="25"/>
  <c r="M128" i="25"/>
  <c r="L128" i="25"/>
  <c r="K128" i="25"/>
  <c r="J128" i="25"/>
  <c r="I128" i="25"/>
  <c r="H128" i="25"/>
  <c r="F128" i="25"/>
  <c r="D128" i="25"/>
  <c r="C128" i="25"/>
  <c r="D110" i="25"/>
  <c r="D96" i="25"/>
  <c r="C96" i="25"/>
  <c r="X82" i="25"/>
  <c r="T82" i="25"/>
  <c r="S82" i="25"/>
  <c r="E82" i="25"/>
  <c r="D82" i="25"/>
  <c r="C82" i="25"/>
  <c r="AD68" i="25"/>
  <c r="Y68" i="25"/>
  <c r="X68" i="25"/>
  <c r="W68" i="25"/>
  <c r="T68" i="25"/>
  <c r="S68" i="25"/>
  <c r="J68" i="25"/>
  <c r="F68" i="25"/>
  <c r="E68" i="25"/>
  <c r="D68" i="25"/>
  <c r="C68" i="25"/>
  <c r="H36" i="25"/>
  <c r="D36" i="25"/>
  <c r="C36" i="25"/>
  <c r="O22" i="25"/>
  <c r="J22" i="25"/>
  <c r="I22" i="25"/>
  <c r="H22" i="25"/>
  <c r="F22" i="25"/>
  <c r="D22" i="25"/>
  <c r="C22" i="25"/>
  <c r="Z8" i="25"/>
  <c r="Y8" i="25"/>
  <c r="X8" i="25"/>
  <c r="W8" i="25"/>
  <c r="P8" i="25"/>
  <c r="O8" i="25"/>
  <c r="M8" i="25"/>
  <c r="L8" i="25"/>
  <c r="J8" i="25"/>
  <c r="I8" i="25"/>
  <c r="H8" i="25"/>
  <c r="F8" i="25"/>
  <c r="E8" i="25"/>
  <c r="D8" i="25"/>
  <c r="C8" i="25"/>
  <c r="W2" i="25" l="1"/>
  <c r="AG247" i="25"/>
  <c r="AG251" i="25"/>
  <c r="E182" i="25" l="1"/>
  <c r="F182" i="25"/>
  <c r="G182" i="25"/>
  <c r="H182" i="25"/>
  <c r="I182" i="25"/>
  <c r="J182" i="25"/>
  <c r="K182" i="25"/>
  <c r="L182" i="25"/>
  <c r="M182" i="25"/>
  <c r="K183" i="26" l="1"/>
  <c r="P183" i="26"/>
  <c r="Q183" i="26"/>
  <c r="R183" i="26"/>
  <c r="S183" i="26"/>
  <c r="N129" i="26"/>
  <c r="AC128" i="25"/>
  <c r="AC142" i="25"/>
  <c r="AA128" i="25"/>
  <c r="AA142" i="25"/>
  <c r="AA156" i="25"/>
  <c r="N68" i="27"/>
  <c r="N96" i="27"/>
  <c r="N82" i="27"/>
  <c r="O68" i="27"/>
  <c r="O82" i="27"/>
  <c r="S69" i="26"/>
  <c r="S83" i="26"/>
  <c r="Q69" i="26"/>
  <c r="O83" i="26"/>
  <c r="P69" i="26"/>
  <c r="O69" i="26"/>
  <c r="N69" i="26"/>
  <c r="N83" i="26"/>
  <c r="N97" i="26"/>
  <c r="M82" i="27"/>
  <c r="J82" i="27"/>
  <c r="M68" i="27"/>
  <c r="J68" i="27"/>
  <c r="B123" i="26"/>
  <c r="C123" i="26"/>
  <c r="D123" i="26"/>
  <c r="E123" i="26"/>
  <c r="F123" i="26"/>
  <c r="G123" i="26"/>
  <c r="H123" i="26"/>
  <c r="I123" i="26"/>
  <c r="B69" i="26"/>
  <c r="B83" i="26"/>
  <c r="AF122" i="25"/>
  <c r="AC110" i="25"/>
  <c r="AC96" i="25"/>
  <c r="AA110" i="25"/>
  <c r="AA96" i="25"/>
  <c r="Z96" i="25"/>
  <c r="Y96" i="25"/>
  <c r="X96" i="25"/>
  <c r="X110" i="25"/>
  <c r="Y82" i="25"/>
  <c r="V69" i="26" l="1"/>
  <c r="U69" i="26"/>
  <c r="P68" i="27"/>
  <c r="P82" i="27"/>
  <c r="V9" i="26"/>
  <c r="U9" i="26"/>
  <c r="U23" i="26"/>
  <c r="Q9" i="26"/>
  <c r="T9" i="26"/>
  <c r="T23" i="26"/>
  <c r="N9" i="26"/>
  <c r="N23" i="26"/>
  <c r="AD36" i="25"/>
  <c r="AD8" i="25"/>
  <c r="AD22" i="25"/>
  <c r="AD50" i="25"/>
  <c r="AE8" i="25"/>
  <c r="AC8" i="25"/>
  <c r="AA8" i="25"/>
  <c r="AA22" i="25"/>
  <c r="N182" i="25" l="1"/>
  <c r="O182" i="25"/>
  <c r="B182" i="25"/>
  <c r="Q182" i="25" l="1"/>
  <c r="M183" i="25"/>
  <c r="L183" i="25"/>
  <c r="N183" i="25"/>
  <c r="O183" i="25"/>
  <c r="Q183" i="25"/>
  <c r="R183" i="25"/>
  <c r="S183" i="25"/>
  <c r="R242" i="25"/>
  <c r="Q242" i="25"/>
  <c r="P242" i="25"/>
  <c r="O242" i="25"/>
  <c r="N242" i="25"/>
  <c r="M242" i="25"/>
  <c r="H242" i="25"/>
  <c r="I242" i="25"/>
  <c r="E242" i="25"/>
  <c r="F242" i="25"/>
  <c r="G242" i="25"/>
  <c r="C242" i="25"/>
  <c r="D242" i="25"/>
  <c r="AC183" i="25"/>
  <c r="A185" i="25"/>
  <c r="B183" i="25"/>
  <c r="B185" i="25"/>
  <c r="C185" i="25" s="1"/>
  <c r="C183" i="25"/>
  <c r="D183" i="25"/>
  <c r="D185" i="25"/>
  <c r="E183" i="25"/>
  <c r="E185" i="25"/>
  <c r="F183" i="25"/>
  <c r="F185" i="25"/>
  <c r="G183" i="25"/>
  <c r="H183" i="25"/>
  <c r="I183" i="25"/>
  <c r="J183" i="25"/>
  <c r="K183" i="25"/>
  <c r="T183" i="25"/>
  <c r="U183" i="25"/>
  <c r="V183" i="25"/>
  <c r="W183" i="25"/>
  <c r="X183" i="25"/>
  <c r="Y183" i="25"/>
  <c r="Z183" i="25"/>
  <c r="AA183" i="25"/>
  <c r="AB183" i="25"/>
  <c r="O122" i="25"/>
  <c r="P122" i="25"/>
  <c r="Q122" i="25"/>
  <c r="J122" i="25"/>
  <c r="K122" i="25"/>
  <c r="L122" i="25"/>
  <c r="M122" i="25"/>
  <c r="N122" i="25"/>
  <c r="E122" i="25"/>
  <c r="F122" i="25"/>
  <c r="G122" i="25"/>
  <c r="H122" i="25"/>
  <c r="I122" i="25"/>
  <c r="D122" i="25"/>
  <c r="C122" i="25"/>
  <c r="V63" i="25"/>
  <c r="W63" i="25"/>
  <c r="X63" i="25"/>
  <c r="A65" i="25"/>
  <c r="B62" i="25"/>
  <c r="B63" i="25"/>
  <c r="B65" i="25"/>
  <c r="C62" i="25"/>
  <c r="C63" i="25"/>
  <c r="C65" i="25"/>
  <c r="D62" i="25"/>
  <c r="D63" i="25"/>
  <c r="D65" i="25"/>
  <c r="E62" i="25"/>
  <c r="E63" i="25"/>
  <c r="E65" i="25"/>
  <c r="F62" i="25"/>
  <c r="F63" i="25"/>
  <c r="F65" i="25"/>
  <c r="G62" i="25"/>
  <c r="G63" i="25"/>
  <c r="G65" i="25"/>
  <c r="H62" i="25"/>
  <c r="H63" i="25"/>
  <c r="H65" i="25"/>
  <c r="I62" i="25"/>
  <c r="I63" i="25"/>
  <c r="I65" i="25"/>
  <c r="J62" i="25"/>
  <c r="J63" i="25"/>
  <c r="J65" i="25"/>
  <c r="K62" i="25"/>
  <c r="K63" i="25"/>
  <c r="K65" i="25"/>
  <c r="L62" i="25"/>
  <c r="L63" i="25"/>
  <c r="L65" i="25"/>
  <c r="M62" i="25"/>
  <c r="M63" i="25"/>
  <c r="M65" i="25"/>
  <c r="N62" i="25"/>
  <c r="N63" i="25"/>
  <c r="N65" i="25"/>
  <c r="O62" i="25"/>
  <c r="O63" i="25"/>
  <c r="O65" i="25"/>
  <c r="P62" i="25"/>
  <c r="P63" i="25"/>
  <c r="P65" i="25"/>
  <c r="Q65" i="25"/>
  <c r="R65" i="25"/>
  <c r="S65" i="25"/>
  <c r="T62" i="25"/>
  <c r="T63" i="25"/>
  <c r="U63" i="25"/>
  <c r="U65" i="25"/>
  <c r="V65" i="25"/>
  <c r="Y242" i="23"/>
  <c r="Z242" i="23"/>
  <c r="AA242" i="23"/>
  <c r="AB242" i="23"/>
  <c r="AC242" i="23"/>
  <c r="AD242" i="23"/>
  <c r="AE242" i="23"/>
  <c r="AF242" i="23"/>
  <c r="X242" i="23"/>
  <c r="T242" i="23"/>
  <c r="U242" i="23"/>
  <c r="AC182" i="23"/>
  <c r="AD182" i="23"/>
  <c r="AE182" i="23"/>
  <c r="AF182" i="23"/>
  <c r="AB182" i="23"/>
  <c r="AA182" i="23"/>
  <c r="Z182" i="23"/>
  <c r="Y182" i="23"/>
  <c r="U185" i="23"/>
  <c r="AC122" i="23"/>
  <c r="AD122" i="23"/>
  <c r="AE122" i="23"/>
  <c r="AF122" i="23"/>
  <c r="Y122" i="23"/>
  <c r="Z122" i="23"/>
  <c r="U125" i="23"/>
  <c r="T122" i="23"/>
  <c r="U122" i="23"/>
  <c r="V122" i="23"/>
  <c r="W122" i="23"/>
  <c r="X122" i="23"/>
  <c r="AD63" i="23"/>
  <c r="AE63" i="23"/>
  <c r="AF63" i="23"/>
  <c r="Z62" i="23"/>
  <c r="AA62" i="23"/>
  <c r="AB62" i="23"/>
  <c r="AC62" i="23"/>
  <c r="AD62" i="23"/>
  <c r="AE62" i="23"/>
  <c r="AF62" i="23"/>
  <c r="Y62" i="23"/>
  <c r="U65" i="23"/>
  <c r="C63" i="26"/>
  <c r="D63" i="26"/>
  <c r="E63" i="26"/>
  <c r="F63" i="26"/>
  <c r="G63" i="26"/>
  <c r="H63" i="26"/>
  <c r="I63" i="26"/>
  <c r="J63" i="26"/>
  <c r="K63" i="26"/>
  <c r="L63" i="26"/>
  <c r="D30" i="24"/>
  <c r="B122" i="27"/>
  <c r="B242" i="27"/>
  <c r="C242" i="27"/>
  <c r="D242" i="27"/>
  <c r="E242" i="27"/>
  <c r="F242" i="27"/>
  <c r="G242" i="27"/>
  <c r="H242" i="27"/>
  <c r="I242" i="27"/>
  <c r="J242" i="27"/>
  <c r="K242" i="27"/>
  <c r="L242" i="27"/>
  <c r="M242" i="27"/>
  <c r="N242" i="27"/>
  <c r="O242" i="27"/>
  <c r="P242" i="27"/>
  <c r="Q242" i="27"/>
  <c r="U183" i="26"/>
  <c r="T183" i="26"/>
  <c r="L123" i="26"/>
  <c r="B183" i="26"/>
  <c r="C183" i="26"/>
  <c r="D183" i="26"/>
  <c r="E183" i="26"/>
  <c r="F183" i="26"/>
  <c r="G183" i="26"/>
  <c r="H183" i="26"/>
  <c r="I183" i="26"/>
  <c r="J183" i="26"/>
  <c r="B122" i="25"/>
  <c r="B123" i="25"/>
  <c r="C123" i="25"/>
  <c r="D123" i="25"/>
  <c r="E123" i="25"/>
  <c r="F123" i="25"/>
  <c r="G123" i="25"/>
  <c r="H123" i="25"/>
  <c r="I123" i="25"/>
  <c r="J123" i="25"/>
  <c r="K123" i="25"/>
  <c r="L123" i="25"/>
  <c r="M123" i="25"/>
  <c r="N123" i="25"/>
  <c r="O123" i="25"/>
  <c r="P123" i="25"/>
  <c r="Q123" i="25"/>
  <c r="R123" i="25"/>
  <c r="S123" i="25"/>
  <c r="T123" i="25"/>
  <c r="U123" i="25"/>
  <c r="V123" i="25"/>
  <c r="W123" i="25"/>
  <c r="X123" i="25"/>
  <c r="Y123" i="25"/>
  <c r="Z123" i="25"/>
  <c r="AA123" i="25"/>
  <c r="AB123" i="25"/>
  <c r="AC123" i="25"/>
  <c r="AD123" i="25"/>
  <c r="AE123" i="25"/>
  <c r="AF123" i="25"/>
  <c r="AG123" i="25"/>
  <c r="B63" i="26"/>
  <c r="B244" i="26"/>
  <c r="B184" i="26"/>
  <c r="B248" i="26"/>
  <c r="C64" i="26"/>
  <c r="D64" i="26"/>
  <c r="E64" i="26"/>
  <c r="F64" i="26"/>
  <c r="G64" i="26"/>
  <c r="H64" i="26"/>
  <c r="I64" i="26"/>
  <c r="J64" i="26"/>
  <c r="J244" i="26"/>
  <c r="J184" i="26"/>
  <c r="J124" i="26"/>
  <c r="J248" i="26"/>
  <c r="K64" i="26"/>
  <c r="N64" i="26"/>
  <c r="O64" i="26"/>
  <c r="P64" i="26"/>
  <c r="Q64" i="26"/>
  <c r="R64" i="26"/>
  <c r="S64" i="26"/>
  <c r="T64" i="26"/>
  <c r="U64" i="26"/>
  <c r="V64" i="26"/>
  <c r="W64" i="26"/>
  <c r="T244" i="26"/>
  <c r="U244" i="26"/>
  <c r="V244" i="26"/>
  <c r="AC243" i="23"/>
  <c r="AC183" i="23"/>
  <c r="AC63" i="23"/>
  <c r="AC123" i="23"/>
  <c r="AI241" i="25"/>
  <c r="AI227" i="25"/>
  <c r="AI214" i="25"/>
  <c r="AI200" i="25"/>
  <c r="AI240" i="25"/>
  <c r="AI226" i="25"/>
  <c r="AI213" i="25"/>
  <c r="AI199" i="25"/>
  <c r="I242" i="23"/>
  <c r="J242" i="23"/>
  <c r="K242" i="23"/>
  <c r="L242" i="23"/>
  <c r="M242" i="23"/>
  <c r="N242" i="23"/>
  <c r="X182" i="23"/>
  <c r="W182" i="23"/>
  <c r="S182" i="23"/>
  <c r="T182" i="23"/>
  <c r="U182" i="23"/>
  <c r="V182" i="23"/>
  <c r="N182" i="23"/>
  <c r="O182" i="23"/>
  <c r="P182" i="23"/>
  <c r="I182" i="23"/>
  <c r="J182" i="23"/>
  <c r="K182" i="23"/>
  <c r="Q182" i="23"/>
  <c r="R182" i="23"/>
  <c r="I183" i="23"/>
  <c r="H183" i="23"/>
  <c r="G183" i="23"/>
  <c r="E63" i="23"/>
  <c r="M122" i="23"/>
  <c r="N122" i="23"/>
  <c r="O122" i="23"/>
  <c r="P122" i="23"/>
  <c r="Q122" i="23"/>
  <c r="R122" i="23"/>
  <c r="S122" i="23"/>
  <c r="C122" i="23"/>
  <c r="D122" i="23"/>
  <c r="E122" i="23"/>
  <c r="H122" i="23"/>
  <c r="I122" i="23"/>
  <c r="J122" i="23"/>
  <c r="K122" i="23"/>
  <c r="R62" i="23"/>
  <c r="S62" i="23"/>
  <c r="T62" i="23"/>
  <c r="U62" i="23"/>
  <c r="V62" i="23"/>
  <c r="W62" i="23"/>
  <c r="X62" i="23"/>
  <c r="G62" i="23"/>
  <c r="H62" i="23"/>
  <c r="I62" i="23"/>
  <c r="J62" i="23"/>
  <c r="K62" i="23"/>
  <c r="L62" i="23"/>
  <c r="M62" i="23"/>
  <c r="N62" i="23"/>
  <c r="O62" i="23"/>
  <c r="P62" i="23"/>
  <c r="Q62" i="23"/>
  <c r="F62" i="23"/>
  <c r="C62" i="23"/>
  <c r="D62" i="23"/>
  <c r="E62" i="23"/>
  <c r="B122" i="23"/>
  <c r="L122" i="23"/>
  <c r="B62" i="23"/>
  <c r="P124" i="26"/>
  <c r="P244" i="26"/>
  <c r="P184" i="26"/>
  <c r="P248" i="26"/>
  <c r="O124" i="26"/>
  <c r="N124" i="26"/>
  <c r="F182" i="23"/>
  <c r="G182" i="23"/>
  <c r="H182" i="23"/>
  <c r="D182" i="23"/>
  <c r="E182" i="23"/>
  <c r="R242" i="23"/>
  <c r="S242" i="23"/>
  <c r="O242" i="23"/>
  <c r="P242" i="23"/>
  <c r="Q242" i="23"/>
  <c r="H242" i="23"/>
  <c r="D242" i="23"/>
  <c r="E242" i="23"/>
  <c r="F242" i="23"/>
  <c r="G242" i="23"/>
  <c r="F183" i="23"/>
  <c r="J183" i="23"/>
  <c r="K183" i="23"/>
  <c r="L183" i="23"/>
  <c r="J123" i="26"/>
  <c r="K123" i="26"/>
  <c r="AC243" i="25"/>
  <c r="AD243" i="25"/>
  <c r="AE243" i="25"/>
  <c r="AF243" i="25"/>
  <c r="C242" i="23"/>
  <c r="B182" i="23"/>
  <c r="C182" i="23"/>
  <c r="AG122" i="23"/>
  <c r="N244" i="26"/>
  <c r="N184" i="26"/>
  <c r="M244" i="26"/>
  <c r="L244" i="26"/>
  <c r="L184" i="26"/>
  <c r="L248" i="26"/>
  <c r="M184" i="26"/>
  <c r="M248" i="26"/>
  <c r="AG182" i="25"/>
  <c r="B242" i="23"/>
  <c r="AB123" i="23"/>
  <c r="AD123" i="23"/>
  <c r="AF243" i="27"/>
  <c r="AF183" i="27"/>
  <c r="AF123" i="27"/>
  <c r="AF63" i="27"/>
  <c r="AF247" i="27"/>
  <c r="AE243" i="27"/>
  <c r="AD243" i="27"/>
  <c r="AC243" i="27"/>
  <c r="AC183" i="27"/>
  <c r="AC123" i="27"/>
  <c r="AC63" i="27"/>
  <c r="AC247" i="27"/>
  <c r="AB243" i="27"/>
  <c r="AB123" i="27"/>
  <c r="AB63" i="27"/>
  <c r="AB247" i="27"/>
  <c r="AA243" i="27"/>
  <c r="Z243" i="27"/>
  <c r="Y243" i="27"/>
  <c r="Y183" i="27"/>
  <c r="Y123" i="27"/>
  <c r="Y63" i="27"/>
  <c r="Y247" i="27"/>
  <c r="X243" i="27"/>
  <c r="X183" i="27"/>
  <c r="X123" i="27"/>
  <c r="X63" i="27"/>
  <c r="X247" i="27"/>
  <c r="W243" i="27"/>
  <c r="V243" i="27"/>
  <c r="U243" i="27"/>
  <c r="T243" i="27"/>
  <c r="T183" i="27"/>
  <c r="T123" i="27"/>
  <c r="T63" i="27"/>
  <c r="T247" i="27"/>
  <c r="S243" i="27"/>
  <c r="R243" i="27"/>
  <c r="Q243" i="27"/>
  <c r="P243" i="27"/>
  <c r="P183" i="27"/>
  <c r="P123" i="27"/>
  <c r="P63" i="27"/>
  <c r="P247" i="27"/>
  <c r="O243" i="27"/>
  <c r="N243" i="27"/>
  <c r="M243" i="27"/>
  <c r="L243" i="27"/>
  <c r="L183" i="27"/>
  <c r="L123" i="27"/>
  <c r="L63" i="27"/>
  <c r="L247" i="27"/>
  <c r="K243" i="27"/>
  <c r="J243" i="27"/>
  <c r="I243" i="27"/>
  <c r="I123" i="27"/>
  <c r="I63" i="27"/>
  <c r="I247" i="27"/>
  <c r="H243" i="27"/>
  <c r="H123" i="27"/>
  <c r="H63" i="27"/>
  <c r="H247" i="27"/>
  <c r="G243" i="27"/>
  <c r="F243" i="27"/>
  <c r="E243" i="27"/>
  <c r="D243" i="27"/>
  <c r="D183" i="27"/>
  <c r="D123" i="27"/>
  <c r="D63" i="27"/>
  <c r="C63" i="27"/>
  <c r="E63" i="27"/>
  <c r="F63" i="27"/>
  <c r="B63" i="27"/>
  <c r="G63" i="27"/>
  <c r="J63" i="27"/>
  <c r="K63" i="27"/>
  <c r="M63" i="27"/>
  <c r="N63" i="27"/>
  <c r="O63" i="27"/>
  <c r="Q63" i="27"/>
  <c r="R63" i="27"/>
  <c r="S63" i="27"/>
  <c r="U63" i="27"/>
  <c r="V63" i="27"/>
  <c r="W63" i="27"/>
  <c r="Z63" i="27"/>
  <c r="AA63" i="27"/>
  <c r="AD63" i="27"/>
  <c r="AE63" i="27"/>
  <c r="AG63" i="27"/>
  <c r="D247" i="27"/>
  <c r="C243" i="27"/>
  <c r="B243" i="27"/>
  <c r="AE183" i="27"/>
  <c r="AE123" i="27"/>
  <c r="AE247" i="27"/>
  <c r="AD183" i="27"/>
  <c r="AA183" i="27"/>
  <c r="Z183" i="27"/>
  <c r="W183" i="27"/>
  <c r="W123" i="27"/>
  <c r="W247" i="27"/>
  <c r="V183" i="27"/>
  <c r="U183" i="27"/>
  <c r="S183" i="27"/>
  <c r="R183" i="27"/>
  <c r="Q183" i="27"/>
  <c r="O183" i="27"/>
  <c r="N183" i="27"/>
  <c r="M183" i="27"/>
  <c r="K183" i="27"/>
  <c r="G123" i="27"/>
  <c r="G247" i="27"/>
  <c r="F183" i="27"/>
  <c r="E183" i="27"/>
  <c r="E123" i="27"/>
  <c r="E247" i="27"/>
  <c r="C183" i="27"/>
  <c r="B183" i="27"/>
  <c r="AD123" i="27"/>
  <c r="AA123" i="27"/>
  <c r="Z123" i="27"/>
  <c r="V123" i="27"/>
  <c r="U123" i="27"/>
  <c r="S123" i="27"/>
  <c r="R123" i="27"/>
  <c r="Q123" i="27"/>
  <c r="O123" i="27"/>
  <c r="N123" i="27"/>
  <c r="M123" i="27"/>
  <c r="K123" i="27"/>
  <c r="J123" i="27"/>
  <c r="F123" i="27"/>
  <c r="C123" i="27"/>
  <c r="B123" i="27"/>
  <c r="AG123" i="27"/>
  <c r="AJ5" i="27"/>
  <c r="AH5" i="27"/>
  <c r="AH4" i="27"/>
  <c r="AG5" i="27"/>
  <c r="AI5" i="27"/>
  <c r="AI4" i="27"/>
  <c r="C4" i="27"/>
  <c r="D4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243" i="27"/>
  <c r="M247" i="27"/>
  <c r="Q247" i="27"/>
  <c r="B247" i="27"/>
  <c r="N247" i="27"/>
  <c r="R247" i="27"/>
  <c r="AD247" i="27"/>
  <c r="C247" i="27"/>
  <c r="O247" i="27"/>
  <c r="S247" i="27"/>
  <c r="AI70" i="23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C244" i="26"/>
  <c r="AB244" i="26"/>
  <c r="AA244" i="26"/>
  <c r="Z244" i="26"/>
  <c r="Y244" i="26"/>
  <c r="X244" i="26"/>
  <c r="W244" i="26"/>
  <c r="S244" i="26"/>
  <c r="R244" i="26"/>
  <c r="Q244" i="26"/>
  <c r="O244" i="26"/>
  <c r="K244" i="26"/>
  <c r="I244" i="26"/>
  <c r="H244" i="26"/>
  <c r="G244" i="26"/>
  <c r="F244" i="26"/>
  <c r="E244" i="26"/>
  <c r="D244" i="26"/>
  <c r="C244" i="26"/>
  <c r="AC184" i="26"/>
  <c r="AB184" i="26"/>
  <c r="AA184" i="26"/>
  <c r="Z184" i="26"/>
  <c r="Y184" i="26"/>
  <c r="X184" i="26"/>
  <c r="W184" i="26"/>
  <c r="V184" i="26"/>
  <c r="U184" i="26"/>
  <c r="T184" i="26"/>
  <c r="T124" i="26"/>
  <c r="T248" i="26"/>
  <c r="S184" i="26"/>
  <c r="R184" i="26"/>
  <c r="Q184" i="26"/>
  <c r="O184" i="26"/>
  <c r="K184" i="26"/>
  <c r="I184" i="26"/>
  <c r="H184" i="26"/>
  <c r="G184" i="26"/>
  <c r="F184" i="26"/>
  <c r="E184" i="26"/>
  <c r="D184" i="26"/>
  <c r="C184" i="26"/>
  <c r="AD184" i="26" s="1"/>
  <c r="AC124" i="26"/>
  <c r="AB124" i="26"/>
  <c r="AA124" i="26"/>
  <c r="Z124" i="26"/>
  <c r="Y124" i="26"/>
  <c r="X124" i="26"/>
  <c r="W124" i="26"/>
  <c r="V124" i="26"/>
  <c r="U124" i="26"/>
  <c r="U248" i="26"/>
  <c r="S124" i="26"/>
  <c r="R124" i="26"/>
  <c r="Q124" i="26"/>
  <c r="Q248" i="26"/>
  <c r="K124" i="26"/>
  <c r="I124" i="26"/>
  <c r="H124" i="26"/>
  <c r="G124" i="26"/>
  <c r="F124" i="26"/>
  <c r="E124" i="26"/>
  <c r="D124" i="26"/>
  <c r="C124" i="26"/>
  <c r="AC64" i="26"/>
  <c r="AC248" i="26"/>
  <c r="AB64" i="26"/>
  <c r="AB248" i="26"/>
  <c r="AA64" i="26"/>
  <c r="Z64" i="26"/>
  <c r="Y64" i="26"/>
  <c r="X64" i="26"/>
  <c r="X248" i="26"/>
  <c r="AG6" i="26"/>
  <c r="AE6" i="26"/>
  <c r="AE4" i="26"/>
  <c r="AD6" i="26"/>
  <c r="AF6" i="26"/>
  <c r="AF4" i="26"/>
  <c r="W248" i="26"/>
  <c r="G248" i="26"/>
  <c r="O123" i="23"/>
  <c r="AG62" i="23"/>
  <c r="AB243" i="25"/>
  <c r="AA243" i="25"/>
  <c r="Z243" i="25"/>
  <c r="Y243" i="25"/>
  <c r="X243" i="25"/>
  <c r="W243" i="25"/>
  <c r="V243" i="25"/>
  <c r="U243" i="25"/>
  <c r="T243" i="25"/>
  <c r="S243" i="25"/>
  <c r="R243" i="25"/>
  <c r="Q243" i="25"/>
  <c r="P243" i="25"/>
  <c r="O243" i="25"/>
  <c r="N243" i="25"/>
  <c r="M243" i="25"/>
  <c r="L243" i="25"/>
  <c r="K243" i="25"/>
  <c r="K247" i="25"/>
  <c r="J243" i="25"/>
  <c r="I243" i="25"/>
  <c r="H243" i="25"/>
  <c r="G243" i="25"/>
  <c r="F243" i="25"/>
  <c r="E243" i="25"/>
  <c r="D243" i="25"/>
  <c r="D247" i="25"/>
  <c r="C243" i="25"/>
  <c r="B243" i="25"/>
  <c r="B242" i="25"/>
  <c r="AF183" i="25"/>
  <c r="AE183" i="25"/>
  <c r="AE63" i="25"/>
  <c r="AE247" i="25"/>
  <c r="AD183" i="25"/>
  <c r="V247" i="25"/>
  <c r="N247" i="25"/>
  <c r="J247" i="25"/>
  <c r="F247" i="25"/>
  <c r="AF63" i="25"/>
  <c r="AD63" i="25"/>
  <c r="AC63" i="25"/>
  <c r="AB63" i="25"/>
  <c r="AA63" i="25"/>
  <c r="Z63" i="25"/>
  <c r="Y63" i="25"/>
  <c r="AJ5" i="25"/>
  <c r="AH5" i="25"/>
  <c r="AH4" i="25"/>
  <c r="AG5" i="25"/>
  <c r="AI5" i="25"/>
  <c r="AI4" i="25"/>
  <c r="C4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Z247" i="25"/>
  <c r="AD247" i="25"/>
  <c r="AF243" i="23"/>
  <c r="AE243" i="23"/>
  <c r="AD243" i="23"/>
  <c r="AB243" i="23"/>
  <c r="AA243" i="23"/>
  <c r="Z243" i="23"/>
  <c r="Y243" i="23"/>
  <c r="X243" i="23"/>
  <c r="W243" i="23"/>
  <c r="V243" i="23"/>
  <c r="U243" i="23"/>
  <c r="T243" i="23"/>
  <c r="S243" i="23"/>
  <c r="R243" i="23"/>
  <c r="Q243" i="23"/>
  <c r="P243" i="23"/>
  <c r="O243" i="23"/>
  <c r="N243" i="23"/>
  <c r="M243" i="23"/>
  <c r="L243" i="23"/>
  <c r="K243" i="23"/>
  <c r="J243" i="23"/>
  <c r="I243" i="23"/>
  <c r="H243" i="23"/>
  <c r="G243" i="23"/>
  <c r="F243" i="23"/>
  <c r="E243" i="23"/>
  <c r="D243" i="23"/>
  <c r="C243" i="23"/>
  <c r="B243" i="23"/>
  <c r="AF183" i="23"/>
  <c r="AE183" i="23"/>
  <c r="AD183" i="23"/>
  <c r="AB183" i="23"/>
  <c r="AA183" i="23"/>
  <c r="Z183" i="23"/>
  <c r="Y183" i="23"/>
  <c r="X183" i="23"/>
  <c r="W183" i="23"/>
  <c r="V183" i="23"/>
  <c r="U183" i="23"/>
  <c r="T183" i="23"/>
  <c r="S183" i="23"/>
  <c r="R183" i="23"/>
  <c r="Q183" i="23"/>
  <c r="P183" i="23"/>
  <c r="O183" i="23"/>
  <c r="N183" i="23"/>
  <c r="M183" i="23"/>
  <c r="E183" i="23"/>
  <c r="D183" i="23"/>
  <c r="C183" i="23"/>
  <c r="B18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D63" i="23"/>
  <c r="C63" i="23"/>
  <c r="B63" i="23"/>
  <c r="AF123" i="23"/>
  <c r="AE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B123" i="23"/>
  <c r="AJ5" i="23"/>
  <c r="AH5" i="23"/>
  <c r="AH4" i="23"/>
  <c r="AG5" i="23"/>
  <c r="AI5" i="23"/>
  <c r="AI4" i="23"/>
  <c r="C4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C247" i="23"/>
  <c r="J247" i="23"/>
  <c r="I247" i="23"/>
  <c r="M247" i="23"/>
  <c r="Q247" i="23"/>
  <c r="U247" i="23"/>
  <c r="Y247" i="23"/>
  <c r="Z247" i="23"/>
  <c r="AD247" i="23"/>
  <c r="R247" i="23"/>
  <c r="N247" i="23"/>
  <c r="AG183" i="23"/>
  <c r="E247" i="23"/>
  <c r="AG123" i="23"/>
  <c r="B247" i="23"/>
  <c r="G247" i="23"/>
  <c r="K247" i="23"/>
  <c r="O247" i="23"/>
  <c r="S247" i="23"/>
  <c r="W247" i="23"/>
  <c r="AA247" i="23"/>
  <c r="AE247" i="23"/>
  <c r="D247" i="23"/>
  <c r="H247" i="23"/>
  <c r="L247" i="23"/>
  <c r="P247" i="23"/>
  <c r="T247" i="23"/>
  <c r="X247" i="23"/>
  <c r="AB247" i="23"/>
  <c r="AF247" i="23"/>
  <c r="AG243" i="23"/>
  <c r="F247" i="23"/>
  <c r="V247" i="23"/>
  <c r="AG63" i="23"/>
  <c r="B185" i="23"/>
  <c r="C185" i="23"/>
  <c r="D185" i="23"/>
  <c r="E185" i="23"/>
  <c r="F185" i="23"/>
  <c r="G185" i="23"/>
  <c r="H185" i="23"/>
  <c r="I185" i="23"/>
  <c r="J185" i="23"/>
  <c r="K185" i="23"/>
  <c r="L185" i="23"/>
  <c r="M185" i="23"/>
  <c r="N185" i="23"/>
  <c r="O185" i="23"/>
  <c r="P185" i="23"/>
  <c r="Q185" i="23"/>
  <c r="R185" i="23"/>
  <c r="S185" i="23"/>
  <c r="T185" i="23"/>
  <c r="V185" i="23"/>
  <c r="W185" i="23"/>
  <c r="X185" i="23"/>
  <c r="Y185" i="23"/>
  <c r="Z185" i="23"/>
  <c r="AA185" i="23"/>
  <c r="AB185" i="23"/>
  <c r="AC185" i="23"/>
  <c r="AD185" i="23"/>
  <c r="AE185" i="23"/>
  <c r="AA247" i="25"/>
  <c r="I248" i="26"/>
  <c r="E248" i="26"/>
  <c r="C248" i="26"/>
  <c r="O247" i="25"/>
  <c r="P247" i="25"/>
  <c r="G247" i="25"/>
  <c r="C247" i="25"/>
  <c r="I247" i="25"/>
  <c r="Q247" i="25"/>
  <c r="Y247" i="25"/>
  <c r="AC247" i="25"/>
  <c r="AG183" i="25"/>
  <c r="S247" i="25"/>
  <c r="W247" i="25"/>
  <c r="AF247" i="25"/>
  <c r="H247" i="25"/>
  <c r="L247" i="25"/>
  <c r="T247" i="25"/>
  <c r="X247" i="25"/>
  <c r="R247" i="25"/>
  <c r="AA248" i="26"/>
  <c r="F248" i="26"/>
  <c r="V248" i="26"/>
  <c r="R248" i="26"/>
  <c r="B125" i="23"/>
  <c r="C125" i="23"/>
  <c r="D125" i="23"/>
  <c r="E125" i="23"/>
  <c r="F125" i="23"/>
  <c r="G125" i="23"/>
  <c r="H125" i="23"/>
  <c r="I125" i="23"/>
  <c r="J125" i="23"/>
  <c r="K125" i="23"/>
  <c r="L125" i="23"/>
  <c r="M125" i="23"/>
  <c r="N125" i="23"/>
  <c r="O125" i="23"/>
  <c r="P125" i="23"/>
  <c r="Q125" i="23"/>
  <c r="R125" i="23"/>
  <c r="S125" i="23"/>
  <c r="T125" i="23"/>
  <c r="V125" i="23"/>
  <c r="W125" i="23"/>
  <c r="X125" i="23"/>
  <c r="Y125" i="23"/>
  <c r="Z125" i="23"/>
  <c r="AA125" i="23"/>
  <c r="AB125" i="23"/>
  <c r="AC125" i="23"/>
  <c r="AD125" i="23"/>
  <c r="AE125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V65" i="23"/>
  <c r="W65" i="23"/>
  <c r="X65" i="23"/>
  <c r="Y65" i="23"/>
  <c r="Z65" i="23"/>
  <c r="AA65" i="23"/>
  <c r="AB65" i="23"/>
  <c r="AC65" i="23"/>
  <c r="AD65" i="23"/>
  <c r="AE65" i="23"/>
  <c r="AF185" i="23"/>
  <c r="AG185" i="23"/>
  <c r="B245" i="23"/>
  <c r="C245" i="23"/>
  <c r="D245" i="23"/>
  <c r="E245" i="23"/>
  <c r="F245" i="23"/>
  <c r="G245" i="23"/>
  <c r="H245" i="23"/>
  <c r="I245" i="23"/>
  <c r="J245" i="23"/>
  <c r="K245" i="23"/>
  <c r="L245" i="23"/>
  <c r="M245" i="23"/>
  <c r="N245" i="23"/>
  <c r="O245" i="23"/>
  <c r="P245" i="23"/>
  <c r="Q245" i="23"/>
  <c r="R245" i="23"/>
  <c r="S245" i="23"/>
  <c r="T245" i="23"/>
  <c r="V245" i="23"/>
  <c r="W245" i="23"/>
  <c r="X245" i="23"/>
  <c r="Y245" i="23"/>
  <c r="Z245" i="23"/>
  <c r="AA245" i="23"/>
  <c r="AB245" i="23"/>
  <c r="AC245" i="23"/>
  <c r="AD245" i="23"/>
  <c r="AE245" i="23"/>
  <c r="AG247" i="23"/>
  <c r="W2" i="23"/>
  <c r="AG243" i="25"/>
  <c r="D248" i="26"/>
  <c r="H248" i="26"/>
  <c r="O248" i="26"/>
  <c r="S248" i="26"/>
  <c r="AG63" i="25"/>
  <c r="E247" i="25"/>
  <c r="AB247" i="25"/>
  <c r="M247" i="25"/>
  <c r="Y248" i="26"/>
  <c r="AG183" i="27"/>
  <c r="AG247" i="27"/>
  <c r="W2" i="27"/>
  <c r="B247" i="25"/>
  <c r="J247" i="27"/>
  <c r="Z247" i="27"/>
  <c r="AC247" i="23"/>
  <c r="U247" i="25"/>
  <c r="K247" i="27"/>
  <c r="AA247" i="27"/>
  <c r="U247" i="27"/>
  <c r="N248" i="26"/>
  <c r="AD244" i="26"/>
  <c r="K248" i="26"/>
  <c r="F247" i="27"/>
  <c r="V247" i="27"/>
  <c r="AG65" i="23"/>
  <c r="AF65" i="23"/>
  <c r="X65" i="25"/>
  <c r="Y65" i="25"/>
  <c r="Z65" i="25"/>
  <c r="AA65" i="25"/>
  <c r="AB65" i="25"/>
  <c r="AC65" i="25"/>
  <c r="AD65" i="25"/>
  <c r="AE65" i="25"/>
  <c r="AF125" i="23"/>
  <c r="A125" i="25"/>
  <c r="B125" i="25"/>
  <c r="C125" i="25"/>
  <c r="D125" i="25"/>
  <c r="E125" i="25"/>
  <c r="F125" i="25"/>
  <c r="G125" i="25"/>
  <c r="H125" i="25"/>
  <c r="I125" i="25"/>
  <c r="J125" i="25"/>
  <c r="K125" i="25"/>
  <c r="L125" i="25"/>
  <c r="M125" i="25"/>
  <c r="N125" i="25"/>
  <c r="O125" i="25"/>
  <c r="P125" i="25"/>
  <c r="Q125" i="25"/>
  <c r="R125" i="25"/>
  <c r="S125" i="25"/>
  <c r="U125" i="25"/>
  <c r="V125" i="25"/>
  <c r="W125" i="25"/>
  <c r="X125" i="25"/>
  <c r="Y125" i="25"/>
  <c r="Z125" i="25"/>
  <c r="AA125" i="25"/>
  <c r="AB125" i="25"/>
  <c r="AC125" i="25"/>
  <c r="AD125" i="25"/>
  <c r="AE125" i="25"/>
  <c r="AG125" i="23"/>
  <c r="AG245" i="23"/>
  <c r="AF245" i="23"/>
  <c r="A245" i="25"/>
  <c r="B245" i="25"/>
  <c r="C245" i="25"/>
  <c r="D245" i="25"/>
  <c r="E245" i="25"/>
  <c r="F245" i="25"/>
  <c r="G245" i="25"/>
  <c r="H245" i="25"/>
  <c r="I245" i="25"/>
  <c r="L245" i="25"/>
  <c r="M245" i="25"/>
  <c r="N245" i="25"/>
  <c r="O245" i="25"/>
  <c r="P245" i="25"/>
  <c r="Q245" i="25"/>
  <c r="R245" i="25"/>
  <c r="S245" i="25"/>
  <c r="U245" i="25"/>
  <c r="V245" i="25"/>
  <c r="Z245" i="25"/>
  <c r="AA245" i="25"/>
  <c r="AB245" i="25"/>
  <c r="AC245" i="25"/>
  <c r="AD245" i="25"/>
  <c r="AE245" i="25"/>
  <c r="AF245" i="25"/>
  <c r="A246" i="26" s="1"/>
  <c r="B246" i="26" s="1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G245" i="25"/>
  <c r="AF65" i="25"/>
  <c r="A66" i="26" s="1"/>
  <c r="AG65" i="25"/>
  <c r="AF125" i="25"/>
  <c r="A126" i="26" s="1"/>
  <c r="B126" i="26" s="1"/>
  <c r="AG125" i="25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65" i="27" s="1"/>
  <c r="B245" i="27"/>
  <c r="C245" i="27"/>
  <c r="D245" i="27"/>
  <c r="E245" i="27"/>
  <c r="F245" i="27"/>
  <c r="G245" i="27"/>
  <c r="H245" i="27"/>
  <c r="I245" i="27"/>
  <c r="J245" i="27"/>
  <c r="K245" i="27"/>
  <c r="L245" i="27"/>
  <c r="M245" i="27"/>
  <c r="N245" i="27"/>
  <c r="O245" i="27"/>
  <c r="P245" i="27"/>
  <c r="Q245" i="27"/>
  <c r="R245" i="27"/>
  <c r="S245" i="27"/>
  <c r="T245" i="27"/>
  <c r="U245" i="27"/>
  <c r="V245" i="27"/>
  <c r="W245" i="27"/>
  <c r="X245" i="27"/>
  <c r="Y245" i="27"/>
  <c r="Z245" i="27"/>
  <c r="AA245" i="27"/>
  <c r="AB245" i="27"/>
  <c r="AC245" i="27"/>
  <c r="AD245" i="27"/>
  <c r="AE245" i="27"/>
  <c r="A245" i="28" s="1"/>
  <c r="B245" i="28" s="1"/>
  <c r="C245" i="28" s="1"/>
  <c r="D245" i="28" s="1"/>
  <c r="E245" i="28" s="1"/>
  <c r="F245" i="28" s="1"/>
  <c r="G245" i="28" s="1"/>
  <c r="H245" i="28" s="1"/>
  <c r="I245" i="28" s="1"/>
  <c r="J245" i="28" s="1"/>
  <c r="K245" i="28" s="1"/>
  <c r="L245" i="28" s="1"/>
  <c r="M245" i="28" s="1"/>
  <c r="N245" i="28" s="1"/>
  <c r="O245" i="28" s="1"/>
  <c r="P245" i="28" s="1"/>
  <c r="Q245" i="28" s="1"/>
  <c r="R245" i="28" s="1"/>
  <c r="S245" i="28" s="1"/>
  <c r="T245" i="28" s="1"/>
  <c r="U245" i="28" s="1"/>
  <c r="V245" i="28" s="1"/>
  <c r="W245" i="28" s="1"/>
  <c r="X245" i="28" s="1"/>
  <c r="Y245" i="28" s="1"/>
  <c r="Z245" i="28" s="1"/>
  <c r="AA245" i="28" s="1"/>
  <c r="AB245" i="28" s="1"/>
  <c r="AC245" i="28" s="1"/>
  <c r="AD245" i="28" s="1"/>
  <c r="A125" i="27"/>
  <c r="B125" i="27"/>
  <c r="C125" i="27"/>
  <c r="D125" i="27"/>
  <c r="E125" i="27"/>
  <c r="F125" i="27"/>
  <c r="G125" i="27"/>
  <c r="H125" i="27"/>
  <c r="I125" i="27"/>
  <c r="J125" i="27"/>
  <c r="K125" i="27"/>
  <c r="L125" i="27"/>
  <c r="M125" i="27"/>
  <c r="N125" i="27"/>
  <c r="O125" i="27"/>
  <c r="P125" i="27"/>
  <c r="Q125" i="27" s="1"/>
  <c r="R125" i="27"/>
  <c r="S125" i="27"/>
  <c r="T125" i="27"/>
  <c r="U125" i="27"/>
  <c r="V125" i="27"/>
  <c r="W125" i="27"/>
  <c r="X125" i="27"/>
  <c r="Y125" i="27"/>
  <c r="Z125" i="27"/>
  <c r="AA125" i="27"/>
  <c r="AB125" i="27"/>
  <c r="AC125" i="27"/>
  <c r="AD125" i="27"/>
  <c r="AE125" i="27"/>
  <c r="A125" i="28" s="1"/>
  <c r="B125" i="28" s="1"/>
  <c r="C125" i="28" s="1"/>
  <c r="D125" i="28" s="1"/>
  <c r="E125" i="28" s="1"/>
  <c r="F125" i="28" s="1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65" i="28" s="1"/>
  <c r="B65" i="28" s="1"/>
  <c r="C65" i="28" s="1"/>
  <c r="D65" i="28" s="1"/>
  <c r="E65" i="28" s="1"/>
  <c r="F65" i="28" s="1"/>
  <c r="G65" i="28" s="1"/>
  <c r="H65" i="28" s="1"/>
  <c r="I65" i="28" s="1"/>
  <c r="J65" i="28" s="1"/>
  <c r="K65" i="28" s="1"/>
  <c r="L65" i="28" s="1"/>
  <c r="M65" i="28" s="1"/>
  <c r="N65" i="28" s="1"/>
  <c r="O65" i="28" s="1"/>
  <c r="P65" i="28" s="1"/>
  <c r="Q65" i="28" s="1"/>
  <c r="R65" i="28" s="1"/>
  <c r="S65" i="28" s="1"/>
  <c r="T65" i="28" s="1"/>
  <c r="U65" i="28" s="1"/>
  <c r="V65" i="28" s="1"/>
  <c r="W65" i="28" s="1"/>
  <c r="X65" i="28" s="1"/>
  <c r="Y65" i="28" s="1"/>
  <c r="Z65" i="28" s="1"/>
  <c r="AA65" i="28" s="1"/>
  <c r="AB65" i="28" s="1"/>
  <c r="AC65" i="28" s="1"/>
  <c r="AD65" i="28" s="1"/>
  <c r="AG245" i="27"/>
  <c r="AF245" i="27"/>
  <c r="AF65" i="27"/>
  <c r="AG65" i="27"/>
  <c r="AF125" i="27"/>
  <c r="AG125" i="27"/>
  <c r="Z248" i="26"/>
  <c r="AD64" i="26" l="1"/>
  <c r="AD124" i="26"/>
  <c r="AE245" i="28"/>
  <c r="AF245" i="28" s="1"/>
  <c r="A245" i="29"/>
  <c r="B245" i="29" s="1"/>
  <c r="C245" i="29" s="1"/>
  <c r="D245" i="29" s="1"/>
  <c r="E245" i="29" s="1"/>
  <c r="F245" i="29" s="1"/>
  <c r="G245" i="29" s="1"/>
  <c r="H245" i="29" s="1"/>
  <c r="I245" i="29" s="1"/>
  <c r="J245" i="29" s="1"/>
  <c r="K245" i="29" s="1"/>
  <c r="L245" i="29" s="1"/>
  <c r="M245" i="29" s="1"/>
  <c r="N245" i="29" s="1"/>
  <c r="O245" i="29" s="1"/>
  <c r="P245" i="29" s="1"/>
  <c r="Q245" i="29" s="1"/>
  <c r="R245" i="29" s="1"/>
  <c r="S245" i="29" s="1"/>
  <c r="T245" i="29" s="1"/>
  <c r="U245" i="29" s="1"/>
  <c r="V245" i="29" s="1"/>
  <c r="W245" i="29" s="1"/>
  <c r="X245" i="29" s="1"/>
  <c r="Y245" i="29" s="1"/>
  <c r="Z245" i="29" s="1"/>
  <c r="AA245" i="29" s="1"/>
  <c r="AB245" i="29" s="1"/>
  <c r="AC245" i="29" s="1"/>
  <c r="AD245" i="29" s="1"/>
  <c r="AE245" i="29" s="1"/>
  <c r="AE125" i="28"/>
  <c r="AF125" i="28" s="1"/>
  <c r="A125" i="29"/>
  <c r="B125" i="29" s="1"/>
  <c r="C125" i="29" s="1"/>
  <c r="D125" i="29" s="1"/>
  <c r="E125" i="29" s="1"/>
  <c r="F125" i="29" s="1"/>
  <c r="G125" i="29" s="1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E65" i="28"/>
  <c r="AF65" i="28" s="1"/>
  <c r="A65" i="29"/>
  <c r="B65" i="29" s="1"/>
  <c r="C65" i="29" s="1"/>
  <c r="D65" i="29" s="1"/>
  <c r="E65" i="29" s="1"/>
  <c r="F65" i="29" s="1"/>
  <c r="G65" i="29" s="1"/>
  <c r="H65" i="29" s="1"/>
  <c r="I65" i="29" s="1"/>
  <c r="J65" i="29" s="1"/>
  <c r="K65" i="29" s="1"/>
  <c r="L65" i="29" s="1"/>
  <c r="M65" i="29" s="1"/>
  <c r="N65" i="29" s="1"/>
  <c r="O65" i="29" s="1"/>
  <c r="P65" i="29" s="1"/>
  <c r="Q65" i="29" s="1"/>
  <c r="R65" i="29" s="1"/>
  <c r="S65" i="29" s="1"/>
  <c r="T65" i="29" s="1"/>
  <c r="U65" i="29" s="1"/>
  <c r="V65" i="29" s="1"/>
  <c r="W65" i="29" s="1"/>
  <c r="X65" i="29" s="1"/>
  <c r="Y65" i="29" s="1"/>
  <c r="Z65" i="29" s="1"/>
  <c r="AA65" i="29" s="1"/>
  <c r="AB65" i="29" s="1"/>
  <c r="AC65" i="29" s="1"/>
  <c r="AD65" i="29" s="1"/>
  <c r="AE65" i="29" s="1"/>
  <c r="G185" i="25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AA185" i="25" s="1"/>
  <c r="AB185" i="25" s="1"/>
  <c r="AC185" i="25" s="1"/>
  <c r="AD185" i="25" s="1"/>
  <c r="AE185" i="25" s="1"/>
  <c r="AF185" i="25"/>
  <c r="A186" i="26" s="1"/>
  <c r="AG185" i="25"/>
  <c r="AD248" i="26" l="1"/>
  <c r="AD126" i="26"/>
  <c r="AF245" i="29"/>
  <c r="AG245" i="29"/>
  <c r="AG125" i="29"/>
  <c r="AF125" i="29"/>
  <c r="AG65" i="29"/>
  <c r="AF65" i="29"/>
  <c r="B186" i="26"/>
  <c r="C186" i="26" s="1"/>
  <c r="D186" i="26" s="1"/>
  <c r="E186" i="26" s="1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185" i="27" s="1"/>
  <c r="W2" i="26" l="1"/>
  <c r="B185" i="27"/>
  <c r="C185" i="27" s="1"/>
  <c r="D185" i="27" s="1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D186" i="26"/>
  <c r="AB185" i="27" l="1"/>
  <c r="AC185" i="27" s="1"/>
  <c r="AD185" i="27" s="1"/>
  <c r="AE185" i="27" s="1"/>
  <c r="AG248" i="25"/>
  <c r="A185" i="28" l="1"/>
  <c r="B185" i="28" s="1"/>
  <c r="C185" i="28" s="1"/>
  <c r="D185" i="28" s="1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G185" i="27"/>
  <c r="AF185" i="27"/>
  <c r="AE185" i="28"/>
  <c r="AF185" i="28" s="1"/>
  <c r="A185" i="29"/>
  <c r="B185" i="29" s="1"/>
  <c r="C185" i="29" s="1"/>
  <c r="D185" i="29" s="1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G250" i="25"/>
  <c r="AG185" i="29" l="1"/>
  <c r="AF185" i="29"/>
  <c r="AG249" i="25"/>
  <c r="AG253" i="25" s="1"/>
  <c r="AH254" i="25" s="1"/>
  <c r="AD252" i="26" l="1"/>
  <c r="AD254" i="26" s="1"/>
  <c r="AD255" i="26" s="1"/>
  <c r="AF252" i="28" l="1"/>
  <c r="AF253" i="28" s="1"/>
  <c r="AF254" i="28" s="1"/>
  <c r="AG252" i="27" l="1"/>
  <c r="AG253" i="27" s="1"/>
  <c r="AG254" i="27" s="1"/>
</calcChain>
</file>

<file path=xl/comments1.xml><?xml version="1.0" encoding="utf-8"?>
<comments xmlns="http://schemas.openxmlformats.org/spreadsheetml/2006/main">
  <authors>
    <author>Author</author>
  </authors>
  <commentList>
    <comment ref="AH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I5" authorId="0">
      <text>
        <r>
          <rPr>
            <b/>
            <sz val="24"/>
            <rFont val="Tahoma"/>
            <family val="2"/>
          </rPr>
          <t>8 t</t>
        </r>
      </text>
    </comment>
    <comment ref="AJ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H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I5" authorId="0">
      <text>
        <r>
          <rPr>
            <b/>
            <sz val="24"/>
            <rFont val="Tahoma"/>
            <family val="2"/>
          </rPr>
          <t>8 t</t>
        </r>
      </text>
    </comment>
    <comment ref="AJ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E6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F6" authorId="0">
      <text>
        <r>
          <rPr>
            <b/>
            <sz val="24"/>
            <rFont val="Tahoma"/>
            <family val="2"/>
          </rPr>
          <t>8 t</t>
        </r>
      </text>
    </comment>
    <comment ref="AG6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H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I5" authorId="0">
      <text>
        <r>
          <rPr>
            <b/>
            <sz val="24"/>
            <rFont val="Tahoma"/>
            <family val="2"/>
          </rPr>
          <t>8 t</t>
        </r>
      </text>
    </comment>
    <comment ref="AJ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G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H5" authorId="0">
      <text>
        <r>
          <rPr>
            <b/>
            <sz val="24"/>
            <rFont val="Tahoma"/>
            <family val="2"/>
          </rPr>
          <t>8 t</t>
        </r>
      </text>
    </comment>
    <comment ref="AI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H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  <comment ref="AI5" authorId="0">
      <text>
        <r>
          <rPr>
            <b/>
            <sz val="24"/>
            <rFont val="Tahoma"/>
            <family val="2"/>
          </rPr>
          <t>8 t</t>
        </r>
      </text>
    </comment>
    <comment ref="AJ5" authorId="0">
      <text>
        <r>
          <rPr>
            <b/>
            <sz val="20"/>
            <rFont val="Tahoma"/>
            <family val="2"/>
          </rPr>
          <t>tc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<sst xmlns="http://schemas.openxmlformats.org/spreadsheetml/2006/main" count="6315" uniqueCount="1020">
  <si>
    <t>裁斷</t>
  </si>
  <si>
    <t>針車</t>
  </si>
  <si>
    <t>成型</t>
  </si>
  <si>
    <t xml:space="preserve">  本月目標:</t>
  </si>
  <si>
    <t>雙</t>
  </si>
  <si>
    <t>(PRS)</t>
  </si>
  <si>
    <t>D/T</t>
  </si>
  <si>
    <t>TTL</t>
  </si>
  <si>
    <t>LINE</t>
  </si>
  <si>
    <t>so ngay</t>
  </si>
  <si>
    <t>LY</t>
  </si>
  <si>
    <t>RY</t>
  </si>
  <si>
    <t>材料/VT</t>
  </si>
  <si>
    <t>CHAT LIEU</t>
  </si>
  <si>
    <t>皮+星星月亮</t>
  </si>
  <si>
    <t>Last#</t>
  </si>
  <si>
    <t>01H-1</t>
  </si>
  <si>
    <t>BUY</t>
  </si>
  <si>
    <t>BTS</t>
  </si>
  <si>
    <t>in</t>
  </si>
  <si>
    <t>裁斷/C</t>
  </si>
  <si>
    <t>SKU</t>
  </si>
  <si>
    <t xml:space="preserve"> 針車/M</t>
  </si>
  <si>
    <t>數量/SL</t>
  </si>
  <si>
    <t>成型/G</t>
  </si>
  <si>
    <t>CSD</t>
  </si>
  <si>
    <t>661927C</t>
  </si>
  <si>
    <t>國家/N</t>
  </si>
  <si>
    <t>BV</t>
  </si>
  <si>
    <t>USA</t>
  </si>
  <si>
    <t>MEXICO</t>
  </si>
  <si>
    <t>CANADA</t>
  </si>
  <si>
    <t>661929C</t>
  </si>
  <si>
    <t>CHINA</t>
  </si>
  <si>
    <t>HONG KONG</t>
  </si>
  <si>
    <t>CHILE</t>
  </si>
  <si>
    <t>訂單數量</t>
  </si>
  <si>
    <t>保證產量</t>
  </si>
  <si>
    <t>小時目標</t>
  </si>
  <si>
    <t>KD251A</t>
  </si>
  <si>
    <t>布</t>
  </si>
  <si>
    <t>PU</t>
  </si>
  <si>
    <t>皮</t>
  </si>
  <si>
    <t>751878C</t>
  </si>
  <si>
    <t>GUI</t>
  </si>
  <si>
    <t>KOREA</t>
  </si>
  <si>
    <t>TAIWAN</t>
  </si>
  <si>
    <t>SINGAPORE</t>
  </si>
  <si>
    <t>AUSTRALIA</t>
  </si>
  <si>
    <t>067L-1</t>
  </si>
  <si>
    <t>THAILAND</t>
  </si>
  <si>
    <t>INDONESIA</t>
  </si>
  <si>
    <t>KD686B-7A</t>
  </si>
  <si>
    <t>01L-1</t>
  </si>
  <si>
    <t>651830C</t>
  </si>
  <si>
    <t>PHILIPPINES</t>
  </si>
  <si>
    <t>Total</t>
  </si>
  <si>
    <r>
      <rPr>
        <b/>
        <sz val="12"/>
        <rFont val="Times New Roman"/>
        <family val="1"/>
      </rPr>
      <t xml:space="preserve">  </t>
    </r>
    <r>
      <rPr>
        <b/>
        <sz val="12"/>
        <rFont val="新細明體"/>
        <family val="1"/>
        <charset val="136"/>
      </rPr>
      <t>審核：</t>
    </r>
  </si>
  <si>
    <t>廠主管:</t>
  </si>
  <si>
    <t>生管：</t>
  </si>
  <si>
    <t>制表:</t>
  </si>
  <si>
    <t>T-DCC-057B</t>
  </si>
  <si>
    <t>PERU</t>
  </si>
  <si>
    <t>NEW ZEALAND</t>
  </si>
  <si>
    <t>五</t>
  </si>
  <si>
    <t>067H-1</t>
  </si>
  <si>
    <t>LAM THU</t>
  </si>
  <si>
    <t>W-2689L</t>
  </si>
  <si>
    <t>W-2689H</t>
  </si>
  <si>
    <t>布+TC</t>
  </si>
  <si>
    <t>二</t>
  </si>
  <si>
    <t>W-2689</t>
  </si>
  <si>
    <t>PANAMA</t>
  </si>
  <si>
    <t>BELGIUM</t>
  </si>
  <si>
    <t>UK</t>
  </si>
  <si>
    <t>六</t>
  </si>
  <si>
    <t>OS129U-B</t>
  </si>
  <si>
    <t>3J256C</t>
  </si>
  <si>
    <t>6G CTAS OX</t>
  </si>
  <si>
    <t>3J235C</t>
  </si>
  <si>
    <t>3J236C</t>
  </si>
  <si>
    <t>3J237</t>
  </si>
  <si>
    <t>3J237C</t>
  </si>
  <si>
    <t>3J238</t>
  </si>
  <si>
    <t>3J238C</t>
  </si>
  <si>
    <t>基本型體</t>
  </si>
  <si>
    <t>326706C</t>
  </si>
  <si>
    <t>Viet Nam</t>
  </si>
  <si>
    <t>663608C</t>
  </si>
  <si>
    <t>SA216J-3B</t>
  </si>
  <si>
    <t>663605C</t>
  </si>
  <si>
    <t>SA216N-5B</t>
  </si>
  <si>
    <t>763532C</t>
  </si>
  <si>
    <t>SA216J-3A</t>
  </si>
  <si>
    <t>663654C</t>
  </si>
  <si>
    <t>PU+星星月亮</t>
  </si>
  <si>
    <t>663599C</t>
  </si>
  <si>
    <t>KD686A-8</t>
  </si>
  <si>
    <t>KD251B-10</t>
  </si>
  <si>
    <t>3J256</t>
  </si>
  <si>
    <t>3J232C</t>
  </si>
  <si>
    <t>3J253</t>
  </si>
  <si>
    <t>3J253C</t>
  </si>
  <si>
    <t>6G CTAS HI</t>
  </si>
  <si>
    <t>JOURNEYS</t>
  </si>
  <si>
    <t>3SIZE</t>
  </si>
  <si>
    <t>4SIZE</t>
  </si>
  <si>
    <t>5SIZE</t>
  </si>
  <si>
    <t>763527C</t>
  </si>
  <si>
    <t>SA216N-2A</t>
  </si>
  <si>
    <t>763564F</t>
  </si>
  <si>
    <t>Y1812-0161</t>
  </si>
  <si>
    <t>Y1812-0280</t>
  </si>
  <si>
    <t>8Buy</t>
  </si>
  <si>
    <t>布+星星月亮</t>
  </si>
  <si>
    <t>4size</t>
  </si>
  <si>
    <t xml:space="preserve">A1-01 廠 2018  年 12月 份 生 產 進 度 表--成型 / A1 LEAN01(CONVERSE)A7棟          </t>
  </si>
  <si>
    <t>5size</t>
  </si>
  <si>
    <t>9BUY</t>
  </si>
  <si>
    <t>3J231C</t>
  </si>
  <si>
    <t>3J233</t>
  </si>
  <si>
    <t>3J233C</t>
  </si>
  <si>
    <t>3J234</t>
  </si>
  <si>
    <t>3J234C</t>
  </si>
  <si>
    <t>3size</t>
  </si>
  <si>
    <t>Y1812-0564</t>
  </si>
  <si>
    <t>Y1812-0563</t>
  </si>
  <si>
    <t>Y1812-0530</t>
  </si>
  <si>
    <t>KD251B-11</t>
  </si>
  <si>
    <t>763582C</t>
  </si>
  <si>
    <t>Y1901-0128</t>
  </si>
  <si>
    <t>Y1901-0044</t>
  </si>
  <si>
    <t>Y1812-0604</t>
  </si>
  <si>
    <t>Y1812-0607</t>
  </si>
  <si>
    <t>Y1812-0608</t>
  </si>
  <si>
    <t>Y1812-0834</t>
  </si>
  <si>
    <t>Y1812-0611</t>
  </si>
  <si>
    <t>Y1812-0837</t>
  </si>
  <si>
    <t>Y1812-0606</t>
  </si>
  <si>
    <t>Y1901-0045</t>
  </si>
  <si>
    <t>Y1812-0836</t>
  </si>
  <si>
    <t>Y1812-0580</t>
  </si>
  <si>
    <t>Y1812-0482</t>
  </si>
  <si>
    <t xml:space="preserve"> </t>
  </si>
  <si>
    <t xml:space="preserve">A1-01 廠 2019  年 01月 份 生 產 進 度 表--成型 / A1 LEAN01(CONVERSE)A7棟          </t>
  </si>
  <si>
    <t>10BUY</t>
  </si>
  <si>
    <t>660747C</t>
  </si>
  <si>
    <t>SA216J-A-2</t>
  </si>
  <si>
    <t>660740C</t>
  </si>
  <si>
    <t>KD686A</t>
  </si>
  <si>
    <t>660742C</t>
  </si>
  <si>
    <t>664184C</t>
  </si>
  <si>
    <t xml:space="preserve"> KD686A-8</t>
  </si>
  <si>
    <t>664434C</t>
  </si>
  <si>
    <t>664184F</t>
  </si>
  <si>
    <t>664436C</t>
  </si>
  <si>
    <t>764439C</t>
  </si>
  <si>
    <t>764438C</t>
  </si>
  <si>
    <t>764437C</t>
  </si>
  <si>
    <t>764861C</t>
  </si>
  <si>
    <t>KD251B-12</t>
  </si>
  <si>
    <t>764862C</t>
  </si>
  <si>
    <t>617660F</t>
  </si>
  <si>
    <t>01H-D</t>
  </si>
  <si>
    <t>617663F</t>
  </si>
  <si>
    <t>Y1901-0528</t>
  </si>
  <si>
    <t>Y1901-0251</t>
  </si>
  <si>
    <t>Y1901-0253</t>
  </si>
  <si>
    <t>Y1902-0439</t>
  </si>
  <si>
    <t>Y1902-0451</t>
  </si>
  <si>
    <t>Y1902-0452</t>
  </si>
  <si>
    <t>Y1902-0111</t>
  </si>
  <si>
    <t>Y1902-0112</t>
  </si>
  <si>
    <t>Y1901-0179</t>
  </si>
  <si>
    <t>Y1902-0026</t>
  </si>
  <si>
    <t>Y1901-0174</t>
  </si>
  <si>
    <t>Y1902-0395</t>
  </si>
  <si>
    <t>Y1902-0126</t>
  </si>
  <si>
    <t>Y1901-0250</t>
  </si>
  <si>
    <t>Y1903-0055</t>
  </si>
  <si>
    <t>Y1901-0264</t>
  </si>
  <si>
    <t>Y1902-0454</t>
  </si>
  <si>
    <t>Y1901-0214</t>
  </si>
  <si>
    <t>Y1902-0491</t>
  </si>
  <si>
    <t>Y1902-0023</t>
  </si>
  <si>
    <t>Y1901-0252</t>
  </si>
  <si>
    <t>Y1903-0064</t>
  </si>
  <si>
    <t>Y1901-0278</t>
  </si>
  <si>
    <t>Y1901-0283</t>
  </si>
  <si>
    <t>Y1901-0175</t>
  </si>
  <si>
    <t>Y1901-0331</t>
  </si>
  <si>
    <t>Y1901-0245</t>
  </si>
  <si>
    <t>Y1901-0359</t>
  </si>
  <si>
    <t>Y1901-0368</t>
  </si>
  <si>
    <t>Y1901-0302</t>
  </si>
  <si>
    <t>Y1901-0244</t>
  </si>
  <si>
    <t>Y1901-0361</t>
  </si>
  <si>
    <t>Y1901-0369</t>
  </si>
  <si>
    <t>Y1902-0029</t>
  </si>
  <si>
    <t>Y1812-0882</t>
  </si>
  <si>
    <t>Y1901-0241</t>
  </si>
  <si>
    <t>Y1812-0886</t>
  </si>
  <si>
    <t>Y1901-0435</t>
  </si>
  <si>
    <t>Y1901-0383</t>
  </si>
  <si>
    <t>Y1901-0337</t>
  </si>
  <si>
    <t>Y1901-0287</t>
  </si>
  <si>
    <t>Y1812-0883</t>
  </si>
  <si>
    <t>Y1812-0863</t>
  </si>
  <si>
    <t>Y1902-0194</t>
  </si>
  <si>
    <t>Y1901-0386</t>
  </si>
  <si>
    <t>Y1902-0207</t>
  </si>
  <si>
    <t>Y1812-0844</t>
  </si>
  <si>
    <t>Y1902-0334</t>
  </si>
  <si>
    <t>Y1903-0012</t>
  </si>
  <si>
    <t>Y1812-0859</t>
  </si>
  <si>
    <t>Y1901-0285</t>
  </si>
  <si>
    <t>Y1902-0388</t>
  </si>
  <si>
    <t>Y1901-0332</t>
  </si>
  <si>
    <t>Y1901-0286</t>
  </si>
  <si>
    <t>Y1812-0898</t>
  </si>
  <si>
    <t>Y1902-0365</t>
  </si>
  <si>
    <t>Y1901-0436</t>
  </si>
  <si>
    <t>Y1902-0199</t>
  </si>
  <si>
    <t>Y1903-0008</t>
  </si>
  <si>
    <t>Y1902-0230</t>
  </si>
  <si>
    <t>Y1902-0226</t>
  </si>
  <si>
    <t>Y1902-0265</t>
  </si>
  <si>
    <t>Y1812-0881</t>
  </si>
  <si>
    <t>Y1901-0438</t>
  </si>
  <si>
    <t>Y1812-0879</t>
  </si>
  <si>
    <t>Y1901-0443</t>
  </si>
  <si>
    <t>Y1901-0185</t>
  </si>
  <si>
    <t>Y1902-0390</t>
  </si>
  <si>
    <t>Y1901-0452</t>
  </si>
  <si>
    <t>Y1902-0033</t>
  </si>
  <si>
    <t>Y1901-0203</t>
  </si>
  <si>
    <t>Y1901-0224</t>
  </si>
  <si>
    <t>Y1902-0221</t>
  </si>
  <si>
    <t>Y1902-0368</t>
  </si>
  <si>
    <t>Y1901-0204</t>
  </si>
  <si>
    <t>Y1901-0284</t>
  </si>
  <si>
    <t>Y1902-0448</t>
  </si>
  <si>
    <t>Y1901-0178</t>
  </si>
  <si>
    <t>Y1901-0260</t>
  </si>
  <si>
    <t>Y1901-0261</t>
  </si>
  <si>
    <t>Y1902-0183</t>
  </si>
  <si>
    <t>Y1902-0184</t>
  </si>
  <si>
    <t>Y1902-0116</t>
  </si>
  <si>
    <t>Y1902-0119</t>
  </si>
  <si>
    <t>Y1902-0195</t>
  </si>
  <si>
    <t>Y1902-0296</t>
  </si>
  <si>
    <t>Y1901-0299</t>
  </si>
  <si>
    <t>Y1902-0115</t>
  </si>
  <si>
    <t>Y1901-0296</t>
  </si>
  <si>
    <t>Y1902-0092</t>
  </si>
  <si>
    <t>Y1902-0471</t>
  </si>
  <si>
    <t>Y1901-0295</t>
  </si>
  <si>
    <t>Y1901-0236</t>
  </si>
  <si>
    <t>Y1902-0297</t>
  </si>
  <si>
    <t>Y1902-0098</t>
  </si>
  <si>
    <t>Y1902-0113</t>
  </si>
  <si>
    <t>Y1902-0114</t>
  </si>
  <si>
    <t>Y1901-0262</t>
  </si>
  <si>
    <t>Y1902-0127</t>
  </si>
  <si>
    <t>Y1901-0512</t>
  </si>
  <si>
    <t>163269C</t>
  </si>
  <si>
    <t>Y1902-0486</t>
  </si>
  <si>
    <t>Y1902-0058</t>
  </si>
  <si>
    <t>Y1901-0247</t>
  </si>
  <si>
    <t>Y1902-0105</t>
  </si>
  <si>
    <t>Y1903-0030</t>
  </si>
  <si>
    <t>Y1902-0263</t>
  </si>
  <si>
    <t>Y1902-0293</t>
  </si>
  <si>
    <t>164390C</t>
  </si>
  <si>
    <t>Y1901-0511</t>
  </si>
  <si>
    <t>Y1902-0150</t>
  </si>
  <si>
    <t>Y1902-0079</t>
  </si>
  <si>
    <t>Y1901-0539</t>
  </si>
  <si>
    <t>Y1902-0311</t>
  </si>
  <si>
    <t>Y1902-0485</t>
  </si>
  <si>
    <t>Y1903-0093</t>
  </si>
  <si>
    <t>Y1901-0294</t>
  </si>
  <si>
    <t>Y1901-0561</t>
  </si>
  <si>
    <t>Y1903-0092</t>
  </si>
  <si>
    <t>Y1901-0169</t>
  </si>
  <si>
    <t>Y1901-0586</t>
  </si>
  <si>
    <t>Y1902-0312</t>
  </si>
  <si>
    <t>Y1903-0048</t>
  </si>
  <si>
    <t>Y1902-0259</t>
  </si>
  <si>
    <t>Y1902-0377</t>
  </si>
  <si>
    <t>Y1902-0353</t>
  </si>
  <si>
    <t>Y1902-0294</t>
  </si>
  <si>
    <t>164391C</t>
  </si>
  <si>
    <t>Y1902-0484</t>
  </si>
  <si>
    <t>Y1901-0564</t>
  </si>
  <si>
    <t>Y1902-0080</t>
  </si>
  <si>
    <t>Y1901-0510</t>
  </si>
  <si>
    <t>Y1902-0260</t>
  </si>
  <si>
    <t>Y1902-0151</t>
  </si>
  <si>
    <t>164392C</t>
  </si>
  <si>
    <t>Y1901-0584</t>
  </si>
  <si>
    <t>Y1901-0297</t>
  </si>
  <si>
    <t>Y1902-0081</t>
  </si>
  <si>
    <t>Y1901-0298</t>
  </si>
  <si>
    <t>Y1901-0562</t>
  </si>
  <si>
    <t>Y1902-0152</t>
  </si>
  <si>
    <t>Y1902-0354</t>
  </si>
  <si>
    <t>164393C</t>
  </si>
  <si>
    <t>Y1901-0563</t>
  </si>
  <si>
    <t>Y1901-0518</t>
  </si>
  <si>
    <t>Y1902-0261</t>
  </si>
  <si>
    <t>Y1901-0585</t>
  </si>
  <si>
    <t>Y1902-0380</t>
  </si>
  <si>
    <t>Y1903-0049</t>
  </si>
  <si>
    <t>Y1902-0316</t>
  </si>
  <si>
    <t>Y1902-0082</t>
  </si>
  <si>
    <t>Y1901-0301</t>
  </si>
  <si>
    <t>Y1901-0426</t>
  </si>
  <si>
    <t>Y1901-0540</t>
  </si>
  <si>
    <t>Y1902-0362</t>
  </si>
  <si>
    <t>Y1902-0483</t>
  </si>
  <si>
    <t>Y1901-0300</t>
  </si>
  <si>
    <t>164525C</t>
  </si>
  <si>
    <t>Y1901-0517</t>
  </si>
  <si>
    <t>Y1902-0381</t>
  </si>
  <si>
    <t>Y1903-0050</t>
  </si>
  <si>
    <t>Y1902-0319</t>
  </si>
  <si>
    <t>Y1902-0487</t>
  </si>
  <si>
    <t>Y1902-0262</t>
  </si>
  <si>
    <t>Y1902-0153</t>
  </si>
  <si>
    <t>Y1901-0232</t>
  </si>
  <si>
    <t>Y1903-0017</t>
  </si>
  <si>
    <t>Y1902-0083</t>
  </si>
  <si>
    <t>Y1902-0245</t>
  </si>
  <si>
    <t>Y1903-0091</t>
  </si>
  <si>
    <t>Y1902-0295</t>
  </si>
  <si>
    <t>Y1902-0382</t>
  </si>
  <si>
    <t>Y1903-0089</t>
  </si>
  <si>
    <t>564204C</t>
  </si>
  <si>
    <t>Y1903-0103</t>
  </si>
  <si>
    <t>OS144U-A</t>
  </si>
  <si>
    <t>Y1901-0272</t>
  </si>
  <si>
    <t>Y1901-0496</t>
  </si>
  <si>
    <t>Y1902-0410</t>
  </si>
  <si>
    <t>Y1902-0250</t>
  </si>
  <si>
    <t>Y1903-0102</t>
  </si>
  <si>
    <t>Y1902-0453</t>
  </si>
  <si>
    <t>564205C</t>
  </si>
  <si>
    <t>Y1902-0251</t>
  </si>
  <si>
    <t>Y1901-0273</t>
  </si>
  <si>
    <t>Y1903-0097</t>
  </si>
  <si>
    <t>Y1901-0497</t>
  </si>
  <si>
    <t>Y1903-0034</t>
  </si>
  <si>
    <t>Y1903-0096</t>
  </si>
  <si>
    <t>Y1901-0489</t>
  </si>
  <si>
    <t>Y1903-0001</t>
  </si>
  <si>
    <t>Y1903-0002</t>
  </si>
  <si>
    <t>Y1902-0447</t>
  </si>
  <si>
    <t>Y1902-0408</t>
  </si>
  <si>
    <t>Y1902-0325</t>
  </si>
  <si>
    <t>Y1903-0035</t>
  </si>
  <si>
    <t>564207C</t>
  </si>
  <si>
    <t>564206C</t>
  </si>
  <si>
    <t>Y1901-0498</t>
  </si>
  <si>
    <t>Y1903-0003</t>
  </si>
  <si>
    <t>Y1903-0101</t>
  </si>
  <si>
    <t>Y1901-0495</t>
  </si>
  <si>
    <t>Y1901-0491</t>
  </si>
  <si>
    <t>Y1902-0255</t>
  </si>
  <si>
    <t>Y1903-0095</t>
  </si>
  <si>
    <t>Y1901-0490</t>
  </si>
  <si>
    <t>Y1903-0054</t>
  </si>
  <si>
    <t>Y1902-0326</t>
  </si>
  <si>
    <t>Y1902-0436</t>
  </si>
  <si>
    <t>Y1902-0407</t>
  </si>
  <si>
    <t>Y1903-0037</t>
  </si>
  <si>
    <t>Y1903-0124</t>
  </si>
  <si>
    <t>Y1901-0274</t>
  </si>
  <si>
    <t>Y1903-0053</t>
  </si>
  <si>
    <t>Y1901-0275</t>
  </si>
  <si>
    <t>Y1903-0094</t>
  </si>
  <si>
    <t>Y1903-0004</t>
  </si>
  <si>
    <t>Y1903-0100</t>
  </si>
  <si>
    <t>Y1902-0450</t>
  </si>
  <si>
    <t xml:space="preserve">A1-01 廠 2019  年 02月 份 生 產 進 度 表--成型 / A1 LEAN01(CONVERSE)A7棟          </t>
  </si>
  <si>
    <t>Y1812-0885</t>
  </si>
  <si>
    <t>Y1902-0030</t>
  </si>
  <si>
    <t>Y1812-0851</t>
  </si>
  <si>
    <t>Y1812-0880</t>
  </si>
  <si>
    <t>Y1812-0856</t>
  </si>
  <si>
    <t>Y1901-0266</t>
  </si>
  <si>
    <t>Y1901-0265</t>
  </si>
  <si>
    <t>Y1901-0220</t>
  </si>
  <si>
    <t>Y1902-0458</t>
  </si>
  <si>
    <t>Y1902-0385</t>
  </si>
  <si>
    <t>Y1901-0363</t>
  </si>
  <si>
    <t>Y1901-0330</t>
  </si>
  <si>
    <t>Y1901-0243</t>
  </si>
  <si>
    <t>Y1812-0854</t>
  </si>
  <si>
    <t>Y1812-0899</t>
  </si>
  <si>
    <t>Y1812-0872</t>
  </si>
  <si>
    <t>Y1901-0202</t>
  </si>
  <si>
    <t>Y1902-0389</t>
  </si>
  <si>
    <t>Y1902-0027</t>
  </si>
  <si>
    <t>Y1901-0439</t>
  </si>
  <si>
    <t>Y1902-0091</t>
  </si>
  <si>
    <t>Y1902-0239</t>
  </si>
  <si>
    <t>Y1902-0233</t>
  </si>
  <si>
    <t>Y1902-0198</t>
  </si>
  <si>
    <t>Y1902-0028</t>
  </si>
  <si>
    <t>Y1903-0013</t>
  </si>
  <si>
    <t>Y1902-0218</t>
  </si>
  <si>
    <t>INDIA</t>
  </si>
  <si>
    <t>021L-1A</t>
  </si>
  <si>
    <t>PEAC</t>
  </si>
  <si>
    <t>chị Nhung</t>
  </si>
  <si>
    <t>Y1812-0843</t>
  </si>
  <si>
    <t>10 Buy</t>
  </si>
  <si>
    <t xml:space="preserve">A1-01 廠 2019  年 03月 份 生 產 進 度 表--成型 / A1 LEAN01(CONVERSE)A7棟          </t>
  </si>
  <si>
    <t>11BUY</t>
  </si>
  <si>
    <t>664435C</t>
  </si>
  <si>
    <t>1J794C</t>
  </si>
  <si>
    <t>CTAS OX CR-XXX</t>
  </si>
  <si>
    <t>1J794</t>
  </si>
  <si>
    <t>5J794</t>
  </si>
  <si>
    <t>M7650C</t>
  </si>
  <si>
    <t>M7650</t>
  </si>
  <si>
    <t>M7652C</t>
  </si>
  <si>
    <t>Y1902-0567</t>
  </si>
  <si>
    <t>Y1901-0632</t>
  </si>
  <si>
    <t>Y1902-0590</t>
  </si>
  <si>
    <t>Y1902-0610</t>
  </si>
  <si>
    <t>Y1901-0666</t>
  </si>
  <si>
    <t>Y1902-0586</t>
  </si>
  <si>
    <t>Y1901-0636</t>
  </si>
  <si>
    <t>Y1902-0576</t>
  </si>
  <si>
    <t>Y1901-0643</t>
  </si>
  <si>
    <t>Y1901-0665</t>
  </si>
  <si>
    <t>Y1903-0141</t>
  </si>
  <si>
    <t>Y1902-0585</t>
  </si>
  <si>
    <t>Y1901-0635</t>
  </si>
  <si>
    <t>Y1901-0637</t>
  </si>
  <si>
    <t>Y1903-0168</t>
  </si>
  <si>
    <t>Y1901-0661</t>
  </si>
  <si>
    <t>Y1903-0174</t>
  </si>
  <si>
    <t>Y1901-0659</t>
  </si>
  <si>
    <t>Y1902-0587</t>
  </si>
  <si>
    <t>Y1901-0668</t>
  </si>
  <si>
    <t>Y1903-0161</t>
  </si>
  <si>
    <t>Y1901-0644</t>
  </si>
  <si>
    <t>Y1902-0602</t>
  </si>
  <si>
    <t>Y1903-0193</t>
  </si>
  <si>
    <t>Y1901-0639</t>
  </si>
  <si>
    <t>Y1903-0212</t>
  </si>
  <si>
    <t>Y1901-0646</t>
  </si>
  <si>
    <t>Y1901-0667</t>
  </si>
  <si>
    <t>Y1901-0626</t>
  </si>
  <si>
    <t>Y1903-0149</t>
  </si>
  <si>
    <t>Y1903-0150</t>
  </si>
  <si>
    <t>Y1902-0571</t>
  </si>
  <si>
    <t>Y1901-0657</t>
  </si>
  <si>
    <t>Y1901-0663</t>
  </si>
  <si>
    <t>Y1902-0589</t>
  </si>
  <si>
    <t>Y1901-0640</t>
  </si>
  <si>
    <t>Y1902-0596</t>
  </si>
  <si>
    <t>Y1903-0175</t>
  </si>
  <si>
    <t>Y1903-0176</t>
  </si>
  <si>
    <t>Y1902-0594</t>
  </si>
  <si>
    <t>Y1903-0148</t>
  </si>
  <si>
    <t>Y1903-0147</t>
  </si>
  <si>
    <t>South Africa</t>
  </si>
  <si>
    <t>chị Mai</t>
  </si>
  <si>
    <t>Y1903-0170</t>
  </si>
  <si>
    <t>CT AS OX CR-XXX</t>
  </si>
  <si>
    <t>Y1903-0167</t>
  </si>
  <si>
    <t>Y1903-0206</t>
  </si>
  <si>
    <t>Y1903-0208</t>
  </si>
  <si>
    <t>Y1903-0202</t>
  </si>
  <si>
    <t>OK12/4</t>
  </si>
  <si>
    <t>OK12/5</t>
  </si>
  <si>
    <t>OK12/6</t>
  </si>
  <si>
    <t>OK12/3</t>
  </si>
  <si>
    <t>12/04</t>
  </si>
  <si>
    <t>12/10</t>
  </si>
  <si>
    <t>12/20</t>
  </si>
  <si>
    <t>12/15</t>
  </si>
  <si>
    <t>12/07</t>
  </si>
  <si>
    <t>OK</t>
  </si>
  <si>
    <t>12/12</t>
  </si>
  <si>
    <t>12/21</t>
  </si>
  <si>
    <t>12/25</t>
  </si>
  <si>
    <t>12/24</t>
  </si>
  <si>
    <t>3J235</t>
  </si>
  <si>
    <t>12BUY</t>
  </si>
  <si>
    <t>HI CR-XXX</t>
  </si>
  <si>
    <t>YL1901-0014</t>
  </si>
  <si>
    <t>MAI</t>
  </si>
  <si>
    <t>OX CR-XXX</t>
  </si>
  <si>
    <t>OK12/7</t>
  </si>
  <si>
    <t>OK12/8</t>
  </si>
  <si>
    <t>OK12/10</t>
  </si>
  <si>
    <t>OK12/12</t>
  </si>
  <si>
    <t>OK12/11</t>
  </si>
  <si>
    <t>12/01</t>
  </si>
  <si>
    <t>12/05</t>
  </si>
  <si>
    <t>665770F</t>
  </si>
  <si>
    <t>M9697C</t>
  </si>
  <si>
    <t>M9622C</t>
  </si>
  <si>
    <t>6G CTAS-HI-18</t>
  </si>
  <si>
    <t>ZS1903-010</t>
  </si>
  <si>
    <t>327467C</t>
  </si>
  <si>
    <t>ZS1903-011</t>
  </si>
  <si>
    <t>327468C</t>
  </si>
  <si>
    <t>ZS1903-012</t>
  </si>
  <si>
    <t>327469C</t>
  </si>
  <si>
    <t>ZS1903-013</t>
  </si>
  <si>
    <t>327470C</t>
  </si>
  <si>
    <t>11 BUY</t>
  </si>
  <si>
    <t>快速订单2BUY</t>
  </si>
  <si>
    <t>OK12/13</t>
  </si>
  <si>
    <t>OK12/14</t>
  </si>
  <si>
    <t>OK12/15</t>
  </si>
  <si>
    <t>165767F</t>
  </si>
  <si>
    <t>165766F</t>
  </si>
  <si>
    <t>Order No</t>
  </si>
  <si>
    <t>ARTICLE</t>
  </si>
  <si>
    <t>Cust PO</t>
  </si>
  <si>
    <t>Pairs Qty</t>
  </si>
  <si>
    <t>BOM TAKER</t>
  </si>
  <si>
    <t>Nation</t>
  </si>
  <si>
    <t>BUY§O</t>
  </si>
  <si>
    <t>NOTE</t>
  </si>
  <si>
    <t>Y1903-0397</t>
  </si>
  <si>
    <t>165709C</t>
  </si>
  <si>
    <t>KITTY</t>
  </si>
  <si>
    <t>NETHERLANDS B.V</t>
  </si>
  <si>
    <t>201901 19F</t>
  </si>
  <si>
    <t>Pre-built</t>
  </si>
  <si>
    <t>Y1903-0398</t>
  </si>
  <si>
    <t>Y1903-0399</t>
  </si>
  <si>
    <t>Y1903-0400</t>
  </si>
  <si>
    <t>165710C</t>
  </si>
  <si>
    <t>JOHN</t>
  </si>
  <si>
    <t>Y1903-0401</t>
  </si>
  <si>
    <t>Y1903-0402</t>
  </si>
  <si>
    <t>Y1903-0403</t>
  </si>
  <si>
    <t>365711C</t>
  </si>
  <si>
    <t>JEANIE</t>
  </si>
  <si>
    <t>Y1903-0404</t>
  </si>
  <si>
    <t>Y1903-0405</t>
  </si>
  <si>
    <t>365712C</t>
  </si>
  <si>
    <t>ASHLEY</t>
  </si>
  <si>
    <t>Y1903-0406</t>
  </si>
  <si>
    <t>ORG</t>
  </si>
  <si>
    <t>Sold To Customer Name</t>
  </si>
  <si>
    <t>Material</t>
  </si>
  <si>
    <t>Purchase Requisition Quantity</t>
  </si>
  <si>
    <t>PHOI DOI</t>
  </si>
  <si>
    <t>PO#</t>
  </si>
  <si>
    <t>RGAC</t>
  </si>
  <si>
    <t>Converse US</t>
  </si>
  <si>
    <t>L &amp; M FOOTWEAR INC/ROBERT WAYNE</t>
  </si>
  <si>
    <t>M9621</t>
  </si>
  <si>
    <t>FAMOUS FOOTWEAR</t>
  </si>
  <si>
    <t>M9696</t>
  </si>
  <si>
    <t>M9622</t>
  </si>
  <si>
    <t>OFF BROADWAY SHOES INC</t>
  </si>
  <si>
    <t>Converse Canada</t>
  </si>
  <si>
    <t>JOURNEYS DIV GCO CANADA</t>
  </si>
  <si>
    <t>M9166C</t>
  </si>
  <si>
    <t>FILCON MANUFACTURING CORP.</t>
  </si>
  <si>
    <t>159484C</t>
  </si>
  <si>
    <t>666047C</t>
  </si>
  <si>
    <t>SA216J</t>
  </si>
  <si>
    <t>666049C</t>
  </si>
  <si>
    <t>666048C</t>
  </si>
  <si>
    <t>766052C</t>
  </si>
  <si>
    <t>766051C</t>
  </si>
  <si>
    <t>666050C</t>
  </si>
  <si>
    <t>666043C</t>
  </si>
  <si>
    <t>SA086J</t>
  </si>
  <si>
    <t>666042C</t>
  </si>
  <si>
    <t>766046C</t>
  </si>
  <si>
    <t>766045C</t>
  </si>
  <si>
    <t>SA086N</t>
  </si>
  <si>
    <t>666040C</t>
  </si>
  <si>
    <t>666039C</t>
  </si>
  <si>
    <t>SA170J</t>
  </si>
  <si>
    <t>766044C</t>
  </si>
  <si>
    <t>666041C</t>
  </si>
  <si>
    <t>165969C</t>
  </si>
  <si>
    <t>OS129U</t>
  </si>
  <si>
    <t>165968C</t>
  </si>
  <si>
    <t>165950C</t>
  </si>
  <si>
    <t>165949C</t>
  </si>
  <si>
    <t>Y1903-0329</t>
  </si>
  <si>
    <t>Y1902-0679</t>
  </si>
  <si>
    <t>Y1902-0683</t>
  </si>
  <si>
    <t>Y1903-0300</t>
  </si>
  <si>
    <t>Y1902-0686</t>
  </si>
  <si>
    <t>Y1902-0695</t>
  </si>
  <si>
    <t>Y1902-0666</t>
  </si>
  <si>
    <t>2SIZE</t>
  </si>
  <si>
    <t>Y1903-0332</t>
  </si>
  <si>
    <t>Y1903-0372</t>
  </si>
  <si>
    <t>Y1903-0304</t>
  </si>
  <si>
    <t>Y1905-0012</t>
  </si>
  <si>
    <t>Y1904-0069</t>
  </si>
  <si>
    <t>Y1904-0043</t>
  </si>
  <si>
    <t>Y1904-0068</t>
  </si>
  <si>
    <t>Y1903-0274</t>
  </si>
  <si>
    <t>Y1905-0023</t>
  </si>
  <si>
    <t>Y1904-0066</t>
  </si>
  <si>
    <t>Y1904-0067</t>
  </si>
  <si>
    <t>Y1903-0286</t>
  </si>
  <si>
    <t>Y1903-0294</t>
  </si>
  <si>
    <t xml:space="preserve"> HI CR-XXX-6A-1</t>
  </si>
  <si>
    <t>Y1903-0293</t>
  </si>
  <si>
    <t>Y1903-0259</t>
  </si>
  <si>
    <t>Y1902-0664</t>
  </si>
  <si>
    <t>Y1902-0672</t>
  </si>
  <si>
    <t>Y1902-0696</t>
  </si>
  <si>
    <t>Y1902-0671</t>
  </si>
  <si>
    <t>Y1903-0336</t>
  </si>
  <si>
    <t>Y1902-0675</t>
  </si>
  <si>
    <t>Y1902-0684</t>
  </si>
  <si>
    <t>Y1903-0258</t>
  </si>
  <si>
    <t>Y1903-0275</t>
  </si>
  <si>
    <t>Y1903-0323</t>
  </si>
  <si>
    <t>Y1903-0373</t>
  </si>
  <si>
    <t xml:space="preserve">JOURNEYS </t>
  </si>
  <si>
    <t>Y1903-0309</t>
  </si>
  <si>
    <t>Y1903-0312</t>
  </si>
  <si>
    <t>Y1903-0326</t>
  </si>
  <si>
    <t>Y1903-0269</t>
  </si>
  <si>
    <t>Y1904-0025</t>
  </si>
  <si>
    <t>Y1905-0016</t>
  </si>
  <si>
    <t>Y1903-0273</t>
  </si>
  <si>
    <t>Y1903-0375</t>
  </si>
  <si>
    <t>Y1903-0328</t>
  </si>
  <si>
    <t>Y1904-0064</t>
  </si>
  <si>
    <t>Y1904-0095</t>
  </si>
  <si>
    <t>Y1905-0024</t>
  </si>
  <si>
    <t>Y1903-0374</t>
  </si>
  <si>
    <t>Y1905-0021</t>
  </si>
  <si>
    <t>Y1904-0065</t>
  </si>
  <si>
    <t>Y1904-0024</t>
  </si>
  <si>
    <t>Y1904-0023</t>
  </si>
  <si>
    <t>Y1904-0046</t>
  </si>
  <si>
    <t>Y1904-0070</t>
  </si>
  <si>
    <t>Y1904-0036</t>
  </si>
  <si>
    <t>Y1902-0690</t>
  </si>
  <si>
    <t>Y1903-0370</t>
  </si>
  <si>
    <t>Y1903-0369</t>
  </si>
  <si>
    <t>Y1903-0360</t>
  </si>
  <si>
    <t>Y1903-0371</t>
  </si>
  <si>
    <t>Y1905-0028</t>
  </si>
  <si>
    <t>ZS1903-009</t>
  </si>
  <si>
    <t>Y1904-0033</t>
  </si>
  <si>
    <t>665291C</t>
  </si>
  <si>
    <t>Status</t>
  </si>
  <si>
    <t>Y1903-0416</t>
  </si>
  <si>
    <t>161599C</t>
  </si>
  <si>
    <t>Pre-built 2nd~1220</t>
  </si>
  <si>
    <t>Y1903-0417</t>
  </si>
  <si>
    <t>161602C</t>
  </si>
  <si>
    <t>PETER</t>
  </si>
  <si>
    <t>Y1903-0418</t>
  </si>
  <si>
    <t>161603C</t>
  </si>
  <si>
    <t>Y1904-0115</t>
  </si>
  <si>
    <t>361817C</t>
  </si>
  <si>
    <t>Y1903-0419</t>
  </si>
  <si>
    <t>361818C</t>
  </si>
  <si>
    <t>Y1904-0112</t>
  </si>
  <si>
    <t>Y1904-0113</t>
  </si>
  <si>
    <t>Y1904-0114</t>
  </si>
  <si>
    <t>165767C</t>
  </si>
  <si>
    <t>Y1903-0420</t>
  </si>
  <si>
    <t>OK1/7</t>
  </si>
  <si>
    <t>3J231</t>
  </si>
  <si>
    <t>YL1902-0013</t>
  </si>
  <si>
    <t>YL1902-0014</t>
  </si>
  <si>
    <t>YL1902-0016</t>
  </si>
  <si>
    <t>Y1903-0358-1</t>
  </si>
  <si>
    <t>Y1903-0358-2</t>
  </si>
  <si>
    <t>1BUY</t>
  </si>
  <si>
    <t>OK1/4</t>
  </si>
  <si>
    <t>OK1/5</t>
  </si>
  <si>
    <t>OK1/10</t>
  </si>
  <si>
    <t>OK1/9</t>
  </si>
  <si>
    <t>OK1/14</t>
  </si>
  <si>
    <t>OK1/11</t>
  </si>
  <si>
    <t>OK1/15</t>
  </si>
  <si>
    <t>OK1/8</t>
  </si>
  <si>
    <t>OK1/3</t>
  </si>
  <si>
    <t>OK1/12</t>
  </si>
  <si>
    <t>-8184</t>
  </si>
  <si>
    <t>CC-OX-A</t>
  </si>
  <si>
    <t xml:space="preserve"> VẢI 布</t>
  </si>
  <si>
    <t>165895F</t>
  </si>
  <si>
    <t>CC-HI-A</t>
  </si>
  <si>
    <t>765897F</t>
  </si>
  <si>
    <t>365896F</t>
  </si>
  <si>
    <t>KY-7G-OX-A</t>
  </si>
  <si>
    <t>KY-6G-OX-A</t>
  </si>
  <si>
    <t>一</t>
  </si>
  <si>
    <t>三</t>
  </si>
  <si>
    <t xml:space="preserve">A1-01 廠 2019  年 04月 份 生 產 進 度 表--成型 / A1 LEAN01(CONVERSE)A7棟          </t>
  </si>
  <si>
    <t xml:space="preserve">A1-01 廠 2019  年 05月 份 生 產 進 度 表--成型 / A1 LEAN01(CONVERSE)A7棟          </t>
  </si>
  <si>
    <t>665292C</t>
  </si>
  <si>
    <t xml:space="preserve"> DA 皮</t>
  </si>
  <si>
    <t>SA216J-7B</t>
  </si>
  <si>
    <t>665290C</t>
  </si>
  <si>
    <t>665277C</t>
  </si>
  <si>
    <t>SA216J-8B</t>
  </si>
  <si>
    <t>665278C</t>
  </si>
  <si>
    <t>665279C</t>
  </si>
  <si>
    <t>662817C</t>
  </si>
  <si>
    <t>SA216J-B-3</t>
  </si>
  <si>
    <t>665285C</t>
  </si>
  <si>
    <t>SA216J-8A</t>
  </si>
  <si>
    <t>665284F</t>
  </si>
  <si>
    <t>665285F</t>
  </si>
  <si>
    <t>762011C</t>
  </si>
  <si>
    <t>SA216N-13B</t>
  </si>
  <si>
    <t>765296C</t>
  </si>
  <si>
    <t>SA216N-7B</t>
  </si>
  <si>
    <t>765286F</t>
  </si>
  <si>
    <t xml:space="preserve"> vải布+星星月亮</t>
  </si>
  <si>
    <t>SA216N-8A</t>
  </si>
  <si>
    <t>765297C</t>
  </si>
  <si>
    <t>765281C</t>
  </si>
  <si>
    <t>SA216N-8B</t>
  </si>
  <si>
    <t>665839C</t>
  </si>
  <si>
    <t>SA216J-9B</t>
  </si>
  <si>
    <t>765286C</t>
  </si>
  <si>
    <t>665284C</t>
  </si>
  <si>
    <t>746139C</t>
  </si>
  <si>
    <t>746140C</t>
  </si>
  <si>
    <t>762016C</t>
  </si>
  <si>
    <t>765886C</t>
  </si>
  <si>
    <t>KD251A-6</t>
  </si>
  <si>
    <t>661922C</t>
  </si>
  <si>
    <t>SA170J-6B</t>
  </si>
  <si>
    <t>661925C</t>
  </si>
  <si>
    <t>665268C</t>
  </si>
  <si>
    <t>SA170J-7B</t>
  </si>
  <si>
    <t>665269C</t>
  </si>
  <si>
    <t>665270C</t>
  </si>
  <si>
    <t>762009C</t>
  </si>
  <si>
    <t>SA170N-3B</t>
  </si>
  <si>
    <t>765275C</t>
  </si>
  <si>
    <t>765274C</t>
  </si>
  <si>
    <t xml:space="preserve"> DA 皮+PU </t>
  </si>
  <si>
    <t>SA170N-4B</t>
  </si>
  <si>
    <t>765276C</t>
  </si>
  <si>
    <t>765887C</t>
  </si>
  <si>
    <t>765891C</t>
  </si>
  <si>
    <t>765892C</t>
  </si>
  <si>
    <t>661937C</t>
  </si>
  <si>
    <t>KD686B-4</t>
  </si>
  <si>
    <t>646139C</t>
  </si>
  <si>
    <t>KD686B</t>
  </si>
  <si>
    <t>665883C</t>
  </si>
  <si>
    <t>646140C</t>
  </si>
  <si>
    <t>KD686B-7B</t>
  </si>
  <si>
    <t>665884C</t>
  </si>
  <si>
    <t>665885C</t>
  </si>
  <si>
    <t>huy</t>
  </si>
  <si>
    <t>THEU</t>
  </si>
  <si>
    <t>Y1903-0422</t>
  </si>
  <si>
    <t>Y1903-0427</t>
  </si>
  <si>
    <t>Y1903-0424</t>
  </si>
  <si>
    <t>Y1904-0147</t>
  </si>
  <si>
    <t>Y1904-0392</t>
  </si>
  <si>
    <t>Y1904-0398</t>
  </si>
  <si>
    <t>Y1904-0342</t>
  </si>
  <si>
    <t>Y1903-0425</t>
  </si>
  <si>
    <t>Y1903-0423</t>
  </si>
  <si>
    <t>Y1903-0426</t>
  </si>
  <si>
    <t>Y1904-0146</t>
  </si>
  <si>
    <t>Y1904-0253</t>
  </si>
  <si>
    <t>Y1903-0429</t>
  </si>
  <si>
    <t>Y1904-0892</t>
  </si>
  <si>
    <t>Y1904-0202</t>
  </si>
  <si>
    <t>Y1904-0280</t>
  </si>
  <si>
    <t>Y1905-0059</t>
  </si>
  <si>
    <t>Y1904-0232</t>
  </si>
  <si>
    <t>Y1904-0211</t>
  </si>
  <si>
    <t>Y1904-0657</t>
  </si>
  <si>
    <t>Y1904-0897</t>
  </si>
  <si>
    <t>Y1905-0062</t>
  </si>
  <si>
    <t>Y1904-0215</t>
  </si>
  <si>
    <t>Y1904-0507</t>
  </si>
  <si>
    <t>Y1904-0314</t>
  </si>
  <si>
    <t>Y1904-0733</t>
  </si>
  <si>
    <t>Y1904-0293</t>
  </si>
  <si>
    <t>Y1904-0295</t>
  </si>
  <si>
    <t>Y1904-0515</t>
  </si>
  <si>
    <t>Y1904-0182</t>
  </si>
  <si>
    <t>Y1904-0651</t>
  </si>
  <si>
    <t>Y1904-0294</t>
  </si>
  <si>
    <t>Y1904-0574</t>
  </si>
  <si>
    <t>Y1904-0279</t>
  </si>
  <si>
    <t>Y1904-0296</t>
  </si>
  <si>
    <t>Y1904-0297</t>
  </si>
  <si>
    <t>Y1904-0183</t>
  </si>
  <si>
    <t>Y1904-0185</t>
  </si>
  <si>
    <t>Y1904-0300</t>
  </si>
  <si>
    <t>Y1904-0349</t>
  </si>
  <si>
    <t>Y1904-0404</t>
  </si>
  <si>
    <t>Y1904-0267</t>
  </si>
  <si>
    <t>Y1904-0661</t>
  </si>
  <si>
    <t>Y1904-0647</t>
  </si>
  <si>
    <t>Y1904-0431</t>
  </si>
  <si>
    <t>Y1904-0470</t>
  </si>
  <si>
    <t>Y1904-0519</t>
  </si>
  <si>
    <t>Y1904-0492</t>
  </si>
  <si>
    <t>Y1904-0529</t>
  </si>
  <si>
    <t>Y1904-0483</t>
  </si>
  <si>
    <t>Y1904-0453</t>
  </si>
  <si>
    <t>Y1904-0461</t>
  </si>
  <si>
    <t>Y1904-0502</t>
  </si>
  <si>
    <t>Y1904-0663</t>
  </si>
  <si>
    <t>Y1904-0648</t>
  </si>
  <si>
    <t>Y1904-0432</t>
  </si>
  <si>
    <t>Y1905-0053</t>
  </si>
  <si>
    <t>Y1904-0301</t>
  </si>
  <si>
    <t>Y1904-0302</t>
  </si>
  <si>
    <t>Y1904-0186</t>
  </si>
  <si>
    <t>Y1904-0925</t>
  </si>
  <si>
    <t>Y1905-0684</t>
  </si>
  <si>
    <t>Y1904-0187</t>
  </si>
  <si>
    <t>Y1905-0060</t>
  </si>
  <si>
    <t>Y1904-0303</t>
  </si>
  <si>
    <t>Y1905-0054</t>
  </si>
  <si>
    <t>Y1905-0675</t>
  </si>
  <si>
    <t>Y1904-0744</t>
  </si>
  <si>
    <t>Y1904-0746</t>
  </si>
  <si>
    <t>Y1904-0281</t>
  </si>
  <si>
    <t>Y1903-0471</t>
  </si>
  <si>
    <t>Y1905-0677</t>
  </si>
  <si>
    <t>Y1904-0559</t>
  </si>
  <si>
    <t>Y1904-0922</t>
  </si>
  <si>
    <t>Y1904-0558</t>
  </si>
  <si>
    <t>Y1904-0659</t>
  </si>
  <si>
    <t>Y1904-0322</t>
  </si>
  <si>
    <t>Y1905-0482</t>
  </si>
  <si>
    <t>Y1904-0904</t>
  </si>
  <si>
    <t>Y1904-0321</t>
  </si>
  <si>
    <t>Y1905-0170</t>
  </si>
  <si>
    <t>Y1905-0415</t>
  </si>
  <si>
    <t>Y1905-0235</t>
  </si>
  <si>
    <t>Y1905-0233</t>
  </si>
  <si>
    <t>Y1905-0232</t>
  </si>
  <si>
    <t>Y1906-0035</t>
  </si>
  <si>
    <t>Y1905-0673</t>
  </si>
  <si>
    <t>Y1905-0440</t>
  </si>
  <si>
    <t>Y1905-0234</t>
  </si>
  <si>
    <t>Y1906-0044</t>
  </si>
  <si>
    <t>Y1905-0575</t>
  </si>
  <si>
    <t>Y1905-0462</t>
  </si>
  <si>
    <t>Y1905-0574</t>
  </si>
  <si>
    <t>Y1905-0165</t>
  </si>
  <si>
    <t>Y1905-0166</t>
  </si>
  <si>
    <t>Y1905-0167</t>
  </si>
  <si>
    <t>Y1906-0045</t>
  </si>
  <si>
    <t>Y1905-0600</t>
  </si>
  <si>
    <t>Y1905-0567</t>
  </si>
  <si>
    <t>Y1905-0570</t>
  </si>
  <si>
    <t>Y1905-0168</t>
  </si>
  <si>
    <t>Y1905-0568</t>
  </si>
  <si>
    <t>Y1905-0169</t>
  </si>
  <si>
    <t>Y1906-0046</t>
  </si>
  <si>
    <t>Y1905-0397</t>
  </si>
  <si>
    <t>Y1905-0405</t>
  </si>
  <si>
    <t>Y1905-0596</t>
  </si>
  <si>
    <t>Y1905-0463</t>
  </si>
  <si>
    <t>Y1905-0410</t>
  </si>
  <si>
    <t>Y1905-0172</t>
  </si>
  <si>
    <t>Y1905-0434</t>
  </si>
  <si>
    <t>Y1905-0158</t>
  </si>
  <si>
    <t>Y1905-0156</t>
  </si>
  <si>
    <t>Y1905-0155</t>
  </si>
  <si>
    <t>Y1905-0477</t>
  </si>
  <si>
    <t>Y1905-0464</t>
  </si>
  <si>
    <t>Y1905-0526</t>
  </si>
  <si>
    <t>Y1905-0157</t>
  </si>
  <si>
    <t>Y1906-0034</t>
  </si>
  <si>
    <t>Y1905-0435</t>
  </si>
  <si>
    <t>Y1905-0277</t>
  </si>
  <si>
    <t>Y1905-0683</t>
  </si>
  <si>
    <t>Y1905-0380</t>
  </si>
  <si>
    <t>Y1903-0516</t>
  </si>
  <si>
    <t>Y1903-0478</t>
  </si>
  <si>
    <t>Y1904-0828</t>
  </si>
  <si>
    <t>TURKEY</t>
  </si>
  <si>
    <t>Y1903-0530</t>
  </si>
  <si>
    <t>Y1903-0504</t>
  </si>
  <si>
    <t>Y1903-0483</t>
  </si>
  <si>
    <t>Y1904-0356</t>
  </si>
  <si>
    <t>Y1903-0515</t>
  </si>
  <si>
    <t>Y1903-0435</t>
  </si>
  <si>
    <t>Y1903-0494</t>
  </si>
  <si>
    <t>Y1903-0463</t>
  </si>
  <si>
    <t>Y1903-0480</t>
  </si>
  <si>
    <t>Y1903-0519</t>
  </si>
  <si>
    <t>Y1904-0196</t>
  </si>
  <si>
    <t>Y1904-0829</t>
  </si>
  <si>
    <t>Y1903-0436</t>
  </si>
  <si>
    <t>Y1903-0445</t>
  </si>
  <si>
    <t>314786F</t>
  </si>
  <si>
    <t>Y1903-0464</t>
  </si>
  <si>
    <t>314786C</t>
  </si>
  <si>
    <t>Y1905-0643</t>
  </si>
  <si>
    <t>Y1905-0642</t>
  </si>
  <si>
    <t>Y1904-0617</t>
  </si>
  <si>
    <t>Y1904-0384</t>
  </si>
  <si>
    <t>Y1904-0520</t>
  </si>
  <si>
    <t>Y1904-0364</t>
  </si>
  <si>
    <t>Y1904-0363</t>
  </si>
  <si>
    <t>Y1904-0385</t>
  </si>
  <si>
    <t>Y1904-0381</t>
  </si>
  <si>
    <t>Y1904-0416</t>
  </si>
  <si>
    <t>Y1904-0462</t>
  </si>
  <si>
    <t>Y1904-0358</t>
  </si>
  <si>
    <t>Y1904-0359</t>
  </si>
  <si>
    <t>Y1904-0308</t>
  </si>
  <si>
    <t>Y1904-0400</t>
  </si>
  <si>
    <t>Y1904-0394</t>
  </si>
  <si>
    <t>Y1904-0399</t>
  </si>
  <si>
    <t>Y1904-0393</t>
  </si>
  <si>
    <t>Y1904-0239</t>
  </si>
  <si>
    <t>Y1904-0672</t>
  </si>
  <si>
    <t>Y1904-0626</t>
  </si>
  <si>
    <t>Y1904-0531</t>
  </si>
  <si>
    <t>Y1904-0439</t>
  </si>
  <si>
    <t>Y1904-0536</t>
  </si>
  <si>
    <t>Y1904-0217</t>
  </si>
  <si>
    <t>Y1904-0526</t>
  </si>
  <si>
    <t>Y1904-0291</t>
  </si>
  <si>
    <t>Y1904-0255</t>
  </si>
  <si>
    <t>Y1905-0389</t>
  </si>
  <si>
    <t>Y1904-0629</t>
  </si>
  <si>
    <t>Y1904-0677</t>
  </si>
  <si>
    <t>Y1905-0588</t>
  </si>
  <si>
    <t>Y1905-0141</t>
  </si>
  <si>
    <t>Y1905-0587</t>
  </si>
  <si>
    <t>Y1905-0143</t>
  </si>
  <si>
    <t>Y1905-0144</t>
  </si>
  <si>
    <t>Y1905-0176</t>
  </si>
  <si>
    <t>Y1905-0178</t>
  </si>
  <si>
    <t>Y1905-0177</t>
  </si>
  <si>
    <t>Y1905-0259</t>
  </si>
  <si>
    <t>Y1905-0383</t>
  </si>
  <si>
    <t>Y1904-0249</t>
  </si>
  <si>
    <t>Y1905-0521</t>
  </si>
  <si>
    <t>Y1905-0394</t>
  </si>
  <si>
    <t>Y1905-0137</t>
  </si>
  <si>
    <t>Y1904-0630</t>
  </si>
  <si>
    <t>Y1905-0594</t>
  </si>
  <si>
    <t>Y1904-0678</t>
  </si>
  <si>
    <t>Y1905-0140</t>
  </si>
  <si>
    <t>Y1905-0142</t>
  </si>
  <si>
    <t>Y1905-0130</t>
  </si>
  <si>
    <t>Y1905-0136</t>
  </si>
  <si>
    <t>Y1904-0265</t>
  </si>
  <si>
    <t>Y1905-0164</t>
  </si>
  <si>
    <t>Y1904-0299</t>
  </si>
  <si>
    <t>Y1904-0266</t>
  </si>
  <si>
    <t>Y1905-0272</t>
  </si>
  <si>
    <t>Y1904-0184</t>
  </si>
  <si>
    <t>Y1905-0052</t>
  </si>
  <si>
    <t>Y1905-0154</t>
  </si>
  <si>
    <t>Y1904-0181</t>
  </si>
  <si>
    <t>Y1904-0292</t>
  </si>
  <si>
    <t>Y1905-0153</t>
  </si>
  <si>
    <t>Y1905-0051</t>
  </si>
  <si>
    <t>Y1905-0152</t>
  </si>
  <si>
    <t>Y1905-0139</t>
  </si>
  <si>
    <t>Y1905-0160</t>
  </si>
  <si>
    <t>Y1905-0404</t>
  </si>
  <si>
    <t>Y1905-0301</t>
  </si>
  <si>
    <t>Y1905-0159</t>
  </si>
  <si>
    <t>Y1905-0161</t>
  </si>
  <si>
    <t>Y1905-0396</t>
  </si>
  <si>
    <t>Y1905-0300</t>
  </si>
  <si>
    <t>Y1905-0162</t>
  </si>
  <si>
    <t>YL1902-0002</t>
  </si>
  <si>
    <t>YL1902-0004-2</t>
  </si>
  <si>
    <t>1 BUY ĐHN</t>
  </si>
  <si>
    <t>lam thu</t>
  </si>
  <si>
    <t>3 SIZE</t>
  </si>
  <si>
    <t>JOURNEYS RETAIL</t>
  </si>
  <si>
    <t xml:space="preserve"> HI CR-XXX</t>
  </si>
  <si>
    <t>T1~22</t>
  </si>
  <si>
    <t>T23~33</t>
  </si>
  <si>
    <t>YL1902-0022D</t>
  </si>
  <si>
    <t>YL1902-0022F</t>
  </si>
  <si>
    <t>YL1902-0022G</t>
  </si>
  <si>
    <t>1 BUY</t>
  </si>
  <si>
    <t>布+in</t>
  </si>
  <si>
    <t>布+IN TL</t>
  </si>
  <si>
    <t>Canada</t>
  </si>
  <si>
    <t>反毛皮+in</t>
  </si>
  <si>
    <t>布+TC+IN</t>
  </si>
  <si>
    <t>皮+in</t>
  </si>
  <si>
    <t>布+THEU</t>
  </si>
  <si>
    <t>CTAS HI CR-XXX-6A-1</t>
  </si>
  <si>
    <t>Y1902-0702</t>
  </si>
  <si>
    <t>Y1904-0155</t>
  </si>
  <si>
    <t>Y1905-0035</t>
  </si>
  <si>
    <t>Y1904-0151</t>
  </si>
  <si>
    <t>Y1905-0032</t>
  </si>
  <si>
    <t>Y1905-0037</t>
  </si>
  <si>
    <t>Y1905-0034</t>
  </si>
  <si>
    <t>Y1905-0033</t>
  </si>
  <si>
    <t>1Buy</t>
  </si>
  <si>
    <t>Y1904-0148</t>
  </si>
  <si>
    <t>Y1904-0156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</si>
</sst>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NT$&quot;* #,##0.00_-;\-&quot;NT$&quot;* #,##0.00_-;_-&quot;NT$&quot;* &quot;-&quot;??_-;_-@_-"/>
    <numFmt numFmtId="164" formatCode="_(* #,##0.00_);_(* \(#,##0.00\);_(* &quot;-&quot;??_);_(@_)"/>
    <numFmt numFmtId="165" formatCode="0_);[Red]\(0\)"/>
    <numFmt numFmtId="166" formatCode="m/d;@"/>
    <numFmt numFmtId="167" formatCode="[$-1010409]General"/>
    <numFmt numFmtId="168" formatCode="0.00;[Red]0.00"/>
    <numFmt numFmtId="169" formatCode="[$$-409]#,##0.00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b/>
      <sz val="20"/>
      <name val="標楷體"/>
      <family val="4"/>
      <charset val="136"/>
    </font>
    <font>
      <sz val="12"/>
      <color indexed="8"/>
      <name val="????"/>
      <charset val="136"/>
    </font>
    <font>
      <b/>
      <sz val="12"/>
      <name val="新細明體"/>
      <family val="1"/>
      <charset val="136"/>
    </font>
    <font>
      <b/>
      <sz val="20"/>
      <name val="新細明體"/>
      <family val="1"/>
      <charset val="136"/>
    </font>
    <font>
      <b/>
      <sz val="20"/>
      <name val="標楷體"/>
      <family val="4"/>
      <charset val="136"/>
    </font>
    <font>
      <b/>
      <sz val="24"/>
      <name val="標楷體"/>
      <family val="4"/>
      <charset val="136"/>
    </font>
    <font>
      <b/>
      <sz val="22"/>
      <name val="新細明體"/>
      <family val="1"/>
      <charset val="136"/>
    </font>
    <font>
      <sz val="18"/>
      <name val=".VnArial Narrow"/>
      <family val="2"/>
    </font>
    <font>
      <sz val="16"/>
      <name val=".VnArial Narrow"/>
      <family val="2"/>
    </font>
    <font>
      <b/>
      <sz val="16"/>
      <name val=".VnArial Narrow"/>
      <family val="2"/>
    </font>
    <font>
      <sz val="12"/>
      <name val=".VnArial Narrow"/>
      <family val="2"/>
    </font>
    <font>
      <sz val="12"/>
      <name val="Times New Roman"/>
      <family val="1"/>
    </font>
    <font>
      <b/>
      <sz val="12"/>
      <name val="Arial Narrow"/>
      <family val="2"/>
    </font>
    <font>
      <sz val="9"/>
      <name val="Arial"/>
      <family val="2"/>
    </font>
    <font>
      <b/>
      <sz val="12"/>
      <color theme="1"/>
      <name val="Arial Narrow"/>
      <family val="2"/>
    </font>
    <font>
      <sz val="10"/>
      <color indexed="8"/>
      <name val="Arial"/>
      <family val="2"/>
    </font>
    <font>
      <b/>
      <sz val="12"/>
      <color rgb="FF00B050"/>
      <name val="Arial Narrow"/>
      <family val="2"/>
    </font>
    <font>
      <b/>
      <sz val="12"/>
      <name val="Arial"/>
      <family val="2"/>
    </font>
    <font>
      <b/>
      <sz val="12"/>
      <color rgb="FFFF0000"/>
      <name val="Arial Narrow"/>
      <family val="2"/>
    </font>
    <font>
      <b/>
      <sz val="12"/>
      <color rgb="FFFF00FF"/>
      <name val="Arial Narrow"/>
      <family val="2"/>
    </font>
    <font>
      <b/>
      <sz val="12"/>
      <color indexed="10"/>
      <name val="Arial Narrow"/>
      <family val="2"/>
    </font>
    <font>
      <b/>
      <sz val="12"/>
      <color indexed="12"/>
      <name val="Arial Narrow"/>
      <family val="2"/>
    </font>
    <font>
      <b/>
      <sz val="14"/>
      <name val="新細明體"/>
      <family val="1"/>
      <charset val="136"/>
    </font>
    <font>
      <b/>
      <sz val="14"/>
      <color indexed="1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color theme="1"/>
      <name val="Calibri"/>
      <family val="2"/>
      <scheme val="minor"/>
    </font>
    <font>
      <sz val="12"/>
      <color indexed="8"/>
      <name val="Arial Narrow"/>
      <family val="2"/>
    </font>
    <font>
      <sz val="14"/>
      <color indexed="8"/>
      <name val="Arial Narrow"/>
      <family val="2"/>
    </font>
    <font>
      <sz val="20"/>
      <color indexed="8"/>
      <name val="VNI-Times"/>
    </font>
    <font>
      <b/>
      <sz val="12"/>
      <name val="Times New Roman"/>
      <family val="1"/>
    </font>
    <font>
      <sz val="20"/>
      <color indexed="8"/>
      <name val="Arial Narrow"/>
      <family val="2"/>
    </font>
    <font>
      <sz val="10"/>
      <color indexed="8"/>
      <name val="Arial Narrow"/>
      <family val="2"/>
    </font>
    <font>
      <b/>
      <sz val="20"/>
      <name val="Tahoma"/>
      <family val="2"/>
    </font>
    <font>
      <sz val="8"/>
      <name val="Tahoma"/>
      <family val="2"/>
    </font>
    <font>
      <b/>
      <sz val="24"/>
      <name val="Tahoma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36"/>
      <color indexed="8"/>
      <name val="VNI-Bodon-Poste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Arial Narrow"/>
      <family val="2"/>
    </font>
    <font>
      <sz val="11"/>
      <color rgb="FF00B050"/>
      <name val="Arial Narrow"/>
      <family val="2"/>
    </font>
    <font>
      <sz val="11"/>
      <color rgb="FFFF0000"/>
      <name val="Arial Narrow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7030A0"/>
      <name val="Arial Narrow"/>
      <family val="2"/>
    </font>
    <font>
      <b/>
      <sz val="12"/>
      <color rgb="FF0070C0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新細明體"/>
      <family val="1"/>
      <charset val="136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20"/>
      <name val="標楷體"/>
      <charset val="136"/>
    </font>
    <font>
      <b/>
      <sz val="20"/>
      <name val="標楷體"/>
      <charset val="134"/>
    </font>
    <font>
      <b/>
      <sz val="24"/>
      <name val="標楷體"/>
      <charset val="134"/>
    </font>
    <font>
      <sz val="11"/>
      <color theme="1"/>
      <name val="Verdana"/>
      <family val="2"/>
    </font>
    <font>
      <b/>
      <sz val="12"/>
      <color rgb="FF99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4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rgb="FFF6C77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D7F3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/>
      <right style="thick">
        <color rgb="FFFF0000"/>
      </right>
      <top style="medium">
        <color auto="1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thick">
        <color rgb="FFFF0000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FF0000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rgb="FFFF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4" fontId="11" fillId="0" borderId="0" applyFont="0" applyFill="0" applyBorder="0" applyAlignment="0" applyProtection="0"/>
    <xf numFmtId="0" fontId="12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0" fontId="12" fillId="0" borderId="0"/>
    <xf numFmtId="0" fontId="25" fillId="0" borderId="0"/>
    <xf numFmtId="0" fontId="12" fillId="0" borderId="0"/>
    <xf numFmtId="0" fontId="15" fillId="0" borderId="0" applyProtection="0"/>
    <xf numFmtId="0" fontId="13" fillId="0" borderId="0" applyProtection="0"/>
    <xf numFmtId="0" fontId="29" fillId="0" borderId="0"/>
    <xf numFmtId="0" fontId="12" fillId="0" borderId="0"/>
    <xf numFmtId="0" fontId="13" fillId="0" borderId="0" applyProtection="0"/>
    <xf numFmtId="0" fontId="12" fillId="0" borderId="0"/>
    <xf numFmtId="0" fontId="13" fillId="0" borderId="0"/>
    <xf numFmtId="0" fontId="13" fillId="0" borderId="0"/>
    <xf numFmtId="0" fontId="38" fillId="0" borderId="0"/>
    <xf numFmtId="0" fontId="15" fillId="0" borderId="0"/>
    <xf numFmtId="0" fontId="25" fillId="0" borderId="0"/>
    <xf numFmtId="0" fontId="15" fillId="0" borderId="0"/>
    <xf numFmtId="0" fontId="29" fillId="0" borderId="0"/>
    <xf numFmtId="0" fontId="12" fillId="0" borderId="0"/>
    <xf numFmtId="0" fontId="12" fillId="0" borderId="0"/>
    <xf numFmtId="0" fontId="10" fillId="0" borderId="0"/>
    <xf numFmtId="0" fontId="9" fillId="0" borderId="0"/>
    <xf numFmtId="0" fontId="8" fillId="0" borderId="0"/>
    <xf numFmtId="0" fontId="11" fillId="0" borderId="0"/>
    <xf numFmtId="164" fontId="12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168" fontId="12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" fillId="0" borderId="0">
      <alignment vertical="center"/>
    </xf>
    <xf numFmtId="0" fontId="11" fillId="0" borderId="0"/>
    <xf numFmtId="0" fontId="29" fillId="0" borderId="0">
      <alignment vertical="top"/>
    </xf>
    <xf numFmtId="0" fontId="29" fillId="0" borderId="0"/>
    <xf numFmtId="0" fontId="12" fillId="0" borderId="0"/>
    <xf numFmtId="164" fontId="11" fillId="0" borderId="0" applyFont="0" applyFill="0" applyBorder="0" applyAlignment="0" applyProtection="0"/>
  </cellStyleXfs>
  <cellXfs count="534">
    <xf numFmtId="0" fontId="0" fillId="0" borderId="0" xfId="0"/>
    <xf numFmtId="0" fontId="12" fillId="0" borderId="0" xfId="2" applyFill="1"/>
    <xf numFmtId="0" fontId="14" fillId="0" borderId="0" xfId="3" applyNumberFormat="1" applyFont="1" applyFill="1" applyBorder="1" applyAlignment="1">
      <alignment horizontal="center" vertical="center" shrinkToFit="1"/>
    </xf>
    <xf numFmtId="0" fontId="16" fillId="0" borderId="0" xfId="4" applyFont="1" applyFill="1" applyBorder="1" applyAlignment="1">
      <alignment vertical="center" shrinkToFit="1"/>
    </xf>
    <xf numFmtId="0" fontId="14" fillId="0" borderId="0" xfId="3" applyNumberFormat="1" applyFont="1" applyFill="1" applyBorder="1" applyAlignment="1">
      <alignment vertical="center" shrinkToFit="1"/>
    </xf>
    <xf numFmtId="0" fontId="17" fillId="0" borderId="0" xfId="4" applyFont="1" applyFill="1" applyBorder="1" applyAlignment="1">
      <alignment vertical="center" shrinkToFit="1"/>
    </xf>
    <xf numFmtId="0" fontId="17" fillId="0" borderId="0" xfId="4" applyFont="1" applyFill="1" applyBorder="1" applyAlignment="1">
      <alignment horizontal="center" vertical="center" shrinkToFit="1"/>
    </xf>
    <xf numFmtId="0" fontId="14" fillId="0" borderId="0" xfId="5" applyNumberFormat="1" applyFont="1" applyFill="1" applyBorder="1" applyAlignment="1">
      <alignment vertical="center" shrinkToFit="1"/>
    </xf>
    <xf numFmtId="165" fontId="14" fillId="0" borderId="0" xfId="5" applyNumberFormat="1" applyFont="1" applyFill="1" applyBorder="1" applyAlignment="1">
      <alignment horizontal="center" vertical="center" shrinkToFit="1"/>
    </xf>
    <xf numFmtId="166" fontId="20" fillId="0" borderId="1" xfId="4" applyNumberFormat="1" applyFont="1" applyFill="1" applyBorder="1" applyAlignment="1">
      <alignment vertical="center" shrinkToFit="1"/>
    </xf>
    <xf numFmtId="0" fontId="0" fillId="0" borderId="0" xfId="2" applyFont="1" applyFill="1"/>
    <xf numFmtId="0" fontId="0" fillId="2" borderId="0" xfId="2" applyFont="1" applyFill="1" applyAlignment="1">
      <alignment horizontal="center"/>
    </xf>
    <xf numFmtId="0" fontId="24" fillId="0" borderId="0" xfId="8" applyFont="1" applyFill="1" applyBorder="1" applyAlignment="1">
      <alignment horizontal="center" vertical="center" shrinkToFit="1"/>
    </xf>
    <xf numFmtId="0" fontId="0" fillId="2" borderId="0" xfId="9" applyFont="1" applyFill="1"/>
    <xf numFmtId="0" fontId="0" fillId="0" borderId="0" xfId="9" applyFont="1" applyFill="1"/>
    <xf numFmtId="0" fontId="0" fillId="2" borderId="0" xfId="9" applyFont="1" applyFill="1" applyBorder="1"/>
    <xf numFmtId="166" fontId="30" fillId="0" borderId="0" xfId="12" applyNumberFormat="1" applyFont="1" applyFill="1" applyBorder="1" applyAlignment="1">
      <alignment horizontal="center" vertical="center"/>
    </xf>
    <xf numFmtId="166" fontId="30" fillId="0" borderId="0" xfId="12" applyNumberFormat="1" applyFont="1" applyFill="1" applyBorder="1" applyAlignment="1">
      <alignment horizontal="center" vertical="center" shrinkToFit="1"/>
    </xf>
    <xf numFmtId="0" fontId="31" fillId="0" borderId="0" xfId="13" applyFont="1" applyFill="1" applyBorder="1" applyAlignment="1">
      <alignment horizontal="center" vertical="center" shrinkToFit="1"/>
    </xf>
    <xf numFmtId="166" fontId="32" fillId="0" borderId="0" xfId="12" applyNumberFormat="1" applyFont="1" applyFill="1" applyBorder="1" applyAlignment="1">
      <alignment horizontal="center" vertical="center" shrinkToFit="1"/>
    </xf>
    <xf numFmtId="0" fontId="0" fillId="0" borderId="0" xfId="10" applyFont="1" applyFill="1" applyBorder="1" applyAlignment="1">
      <alignment horizontal="center" vertical="center"/>
    </xf>
    <xf numFmtId="166" fontId="32" fillId="0" borderId="0" xfId="8" applyNumberFormat="1" applyFont="1" applyFill="1" applyBorder="1" applyAlignment="1">
      <alignment horizontal="center" vertical="center" shrinkToFit="1"/>
    </xf>
    <xf numFmtId="166" fontId="32" fillId="0" borderId="0" xfId="12" applyNumberFormat="1" applyFont="1" applyFill="1" applyBorder="1" applyAlignment="1">
      <alignment horizontal="center" vertical="center"/>
    </xf>
    <xf numFmtId="166" fontId="33" fillId="0" borderId="0" xfId="8" applyNumberFormat="1" applyFont="1" applyFill="1" applyBorder="1" applyAlignment="1">
      <alignment horizontal="center" vertical="center" shrinkToFit="1"/>
    </xf>
    <xf numFmtId="0" fontId="0" fillId="0" borderId="0" xfId="0" applyFill="1"/>
    <xf numFmtId="1" fontId="24" fillId="0" borderId="0" xfId="8" applyNumberFormat="1" applyFont="1" applyFill="1" applyBorder="1" applyAlignment="1">
      <alignment horizontal="center" vertical="center" shrinkToFit="1"/>
    </xf>
    <xf numFmtId="0" fontId="0" fillId="0" borderId="0" xfId="15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6" fillId="0" borderId="0" xfId="12" applyFont="1" applyFill="1" applyBorder="1" applyAlignment="1">
      <alignment horizontal="center" vertical="center"/>
    </xf>
    <xf numFmtId="0" fontId="34" fillId="3" borderId="0" xfId="12" quotePrefix="1" applyFont="1" applyFill="1" applyBorder="1" applyAlignment="1">
      <alignment horizontal="center" vertical="center"/>
    </xf>
    <xf numFmtId="166" fontId="26" fillId="0" borderId="0" xfId="11" applyNumberFormat="1" applyFont="1" applyFill="1" applyBorder="1" applyAlignment="1">
      <alignment horizontal="center" vertical="center"/>
    </xf>
    <xf numFmtId="166" fontId="24" fillId="0" borderId="0" xfId="8" applyNumberFormat="1" applyFont="1" applyFill="1" applyBorder="1" applyAlignment="1">
      <alignment horizontal="center" vertical="center" shrinkToFit="1"/>
    </xf>
    <xf numFmtId="166" fontId="35" fillId="0" borderId="0" xfId="8" applyNumberFormat="1" applyFont="1" applyFill="1" applyBorder="1" applyAlignment="1">
      <alignment horizontal="center" vertical="center" shrinkToFit="1"/>
    </xf>
    <xf numFmtId="0" fontId="0" fillId="0" borderId="0" xfId="9" applyFont="1" applyFill="1" applyBorder="1"/>
    <xf numFmtId="0" fontId="0" fillId="2" borderId="1" xfId="9" applyFont="1" applyFill="1" applyBorder="1"/>
    <xf numFmtId="0" fontId="0" fillId="0" borderId="1" xfId="9" applyFont="1" applyFill="1" applyBorder="1"/>
    <xf numFmtId="1" fontId="36" fillId="2" borderId="2" xfId="16" applyNumberFormat="1" applyFont="1" applyFill="1" applyBorder="1" applyAlignment="1">
      <alignment horizontal="center" vertical="center" shrinkToFit="1"/>
    </xf>
    <xf numFmtId="1" fontId="36" fillId="0" borderId="2" xfId="16" applyNumberFormat="1" applyFont="1" applyFill="1" applyBorder="1" applyAlignment="1">
      <alignment horizontal="center" vertical="center" shrinkToFit="1"/>
    </xf>
    <xf numFmtId="1" fontId="36" fillId="0" borderId="3" xfId="16" applyNumberFormat="1" applyFont="1" applyFill="1" applyBorder="1" applyAlignment="1">
      <alignment horizontal="center" vertical="center" shrinkToFit="1"/>
    </xf>
    <xf numFmtId="0" fontId="36" fillId="2" borderId="4" xfId="17" applyNumberFormat="1" applyFont="1" applyFill="1" applyBorder="1" applyAlignment="1">
      <alignment horizontal="center" vertical="center" shrinkToFit="1"/>
    </xf>
    <xf numFmtId="0" fontId="36" fillId="0" borderId="4" xfId="17" applyNumberFormat="1" applyFont="1" applyFill="1" applyBorder="1" applyAlignment="1">
      <alignment horizontal="center" vertical="center" shrinkToFit="1"/>
    </xf>
    <xf numFmtId="0" fontId="36" fillId="0" borderId="5" xfId="16" applyNumberFormat="1" applyFont="1" applyFill="1" applyBorder="1" applyAlignment="1">
      <alignment horizontal="center" vertical="center" shrinkToFit="1"/>
    </xf>
    <xf numFmtId="0" fontId="37" fillId="2" borderId="4" xfId="17" applyNumberFormat="1" applyFont="1" applyFill="1" applyBorder="1" applyAlignment="1">
      <alignment horizontal="center" vertical="center" shrinkToFit="1"/>
    </xf>
    <xf numFmtId="0" fontId="37" fillId="0" borderId="4" xfId="17" applyNumberFormat="1" applyFont="1" applyFill="1" applyBorder="1" applyAlignment="1">
      <alignment horizontal="center" vertical="center" shrinkToFit="1"/>
    </xf>
    <xf numFmtId="0" fontId="36" fillId="0" borderId="6" xfId="16" applyNumberFormat="1" applyFont="1" applyFill="1" applyBorder="1" applyAlignment="1">
      <alignment horizontal="center" vertical="center" shrinkToFit="1"/>
    </xf>
    <xf numFmtId="0" fontId="36" fillId="0" borderId="7" xfId="17" applyNumberFormat="1" applyFont="1" applyFill="1" applyBorder="1" applyAlignment="1">
      <alignment horizontal="center" vertical="center" shrinkToFit="1"/>
    </xf>
    <xf numFmtId="0" fontId="36" fillId="0" borderId="8" xfId="17" applyNumberFormat="1" applyFont="1" applyFill="1" applyBorder="1" applyAlignment="1">
      <alignment horizontal="center" vertical="center" shrinkToFit="1"/>
    </xf>
    <xf numFmtId="0" fontId="36" fillId="0" borderId="9" xfId="17" applyNumberFormat="1" applyFont="1" applyFill="1" applyBorder="1" applyAlignment="1">
      <alignment horizontal="center" vertical="center" shrinkToFit="1"/>
    </xf>
    <xf numFmtId="0" fontId="0" fillId="2" borderId="10" xfId="9" applyFont="1" applyFill="1" applyBorder="1"/>
    <xf numFmtId="166" fontId="34" fillId="0" borderId="0" xfId="12" applyNumberFormat="1" applyFont="1" applyFill="1" applyBorder="1" applyAlignment="1">
      <alignment horizontal="center" vertical="center" shrinkToFit="1"/>
    </xf>
    <xf numFmtId="0" fontId="0" fillId="0" borderId="0" xfId="0" applyFill="1" applyBorder="1"/>
    <xf numFmtId="0" fontId="26" fillId="2" borderId="0" xfId="8" applyNumberFormat="1" applyFont="1" applyFill="1" applyBorder="1" applyAlignment="1">
      <alignment horizontal="center" vertical="center" shrinkToFit="1"/>
    </xf>
    <xf numFmtId="0" fontId="26" fillId="2" borderId="0" xfId="11" applyNumberFormat="1" applyFont="1" applyFill="1" applyBorder="1" applyAlignment="1">
      <alignment horizontal="center" vertical="center" shrinkToFit="1"/>
    </xf>
    <xf numFmtId="166" fontId="32" fillId="2" borderId="0" xfId="12" applyNumberFormat="1" applyFont="1" applyFill="1" applyBorder="1" applyAlignment="1">
      <alignment horizontal="center" vertical="center" shrinkToFit="1"/>
    </xf>
    <xf numFmtId="166" fontId="33" fillId="2" borderId="0" xfId="8" applyNumberFormat="1" applyFont="1" applyFill="1" applyBorder="1" applyAlignment="1">
      <alignment horizontal="center" vertical="center" shrinkToFit="1"/>
    </xf>
    <xf numFmtId="0" fontId="0" fillId="2" borderId="0" xfId="0" applyFill="1"/>
    <xf numFmtId="166" fontId="28" fillId="2" borderId="0" xfId="8" applyNumberFormat="1" applyFont="1" applyFill="1" applyBorder="1" applyAlignment="1">
      <alignment horizontal="center" vertical="center" shrinkToFit="1"/>
    </xf>
    <xf numFmtId="0" fontId="0" fillId="2" borderId="0" xfId="0" applyFill="1" applyBorder="1" applyAlignment="1">
      <alignment horizontal="center" vertical="center"/>
    </xf>
    <xf numFmtId="166" fontId="24" fillId="2" borderId="0" xfId="8" applyNumberFormat="1" applyFont="1" applyFill="1" applyBorder="1" applyAlignment="1">
      <alignment horizontal="center" vertical="center" shrinkToFit="1"/>
    </xf>
    <xf numFmtId="0" fontId="26" fillId="0" borderId="10" xfId="8" applyNumberFormat="1" applyFont="1" applyFill="1" applyBorder="1" applyAlignment="1">
      <alignment horizontal="center" vertical="center" shrinkToFit="1"/>
    </xf>
    <xf numFmtId="0" fontId="36" fillId="0" borderId="0" xfId="17" applyNumberFormat="1" applyFont="1" applyFill="1" applyBorder="1" applyAlignment="1">
      <alignment horizontal="center" vertical="center" shrinkToFit="1"/>
    </xf>
    <xf numFmtId="0" fontId="36" fillId="2" borderId="0" xfId="17" applyNumberFormat="1" applyFont="1" applyFill="1" applyBorder="1" applyAlignment="1">
      <alignment horizontal="center" vertical="center" shrinkToFit="1"/>
    </xf>
    <xf numFmtId="0" fontId="36" fillId="0" borderId="11" xfId="16" applyNumberFormat="1" applyFont="1" applyFill="1" applyBorder="1" applyAlignment="1">
      <alignment horizontal="center" vertical="center" shrinkToFit="1"/>
    </xf>
    <xf numFmtId="0" fontId="40" fillId="0" borderId="0" xfId="19" applyNumberFormat="1" applyFont="1" applyFill="1" applyBorder="1" applyAlignment="1">
      <alignment horizontal="center" vertical="center" shrinkToFit="1"/>
    </xf>
    <xf numFmtId="0" fontId="41" fillId="0" borderId="0" xfId="19" applyNumberFormat="1" applyFont="1" applyFill="1" applyBorder="1" applyAlignment="1">
      <alignment horizontal="center" vertical="center" shrinkToFit="1"/>
    </xf>
    <xf numFmtId="0" fontId="42" fillId="0" borderId="0" xfId="10" applyFont="1" applyFill="1" applyBorder="1" applyAlignment="1">
      <alignment vertical="center"/>
    </xf>
    <xf numFmtId="0" fontId="43" fillId="0" borderId="0" xfId="20" applyFont="1" applyFill="1" applyBorder="1" applyAlignment="1">
      <alignment horizontal="center"/>
    </xf>
    <xf numFmtId="0" fontId="29" fillId="0" borderId="0" xfId="12" applyFont="1" applyFill="1" applyBorder="1"/>
    <xf numFmtId="0" fontId="44" fillId="0" borderId="0" xfId="21" applyFont="1" applyFill="1" applyBorder="1" applyAlignment="1">
      <alignment horizontal="center"/>
    </xf>
    <xf numFmtId="0" fontId="45" fillId="0" borderId="0" xfId="21" applyFont="1" applyFill="1" applyBorder="1" applyAlignment="1">
      <alignment horizontal="center"/>
    </xf>
    <xf numFmtId="0" fontId="29" fillId="0" borderId="0" xfId="22"/>
    <xf numFmtId="0" fontId="24" fillId="2" borderId="0" xfId="8" applyFont="1" applyFill="1" applyBorder="1" applyAlignment="1">
      <alignment horizontal="center" vertical="center" shrinkToFit="1"/>
    </xf>
    <xf numFmtId="0" fontId="49" fillId="2" borderId="0" xfId="10" applyFont="1" applyFill="1" applyBorder="1" applyAlignment="1">
      <alignment horizontal="center" vertical="center"/>
    </xf>
    <xf numFmtId="1" fontId="24" fillId="2" borderId="0" xfId="8" applyNumberFormat="1" applyFont="1" applyFill="1" applyBorder="1" applyAlignment="1">
      <alignment horizontal="center" vertical="center" shrinkToFit="1"/>
    </xf>
    <xf numFmtId="0" fontId="31" fillId="2" borderId="0" xfId="13" applyFont="1" applyFill="1" applyBorder="1" applyAlignment="1">
      <alignment horizontal="center" vertical="center" shrinkToFit="1"/>
    </xf>
    <xf numFmtId="0" fontId="0" fillId="2" borderId="0" xfId="10" applyFont="1" applyFill="1" applyBorder="1" applyAlignment="1">
      <alignment horizontal="center" vertical="center"/>
    </xf>
    <xf numFmtId="0" fontId="50" fillId="2" borderId="0" xfId="14" applyFont="1" applyFill="1" applyBorder="1" applyAlignment="1">
      <alignment horizontal="center" vertical="center"/>
    </xf>
    <xf numFmtId="166" fontId="32" fillId="2" borderId="0" xfId="12" applyNumberFormat="1" applyFont="1" applyFill="1" applyBorder="1" applyAlignment="1">
      <alignment horizontal="center" vertical="center"/>
    </xf>
    <xf numFmtId="0" fontId="0" fillId="2" borderId="0" xfId="15" applyFont="1" applyFill="1" applyBorder="1" applyAlignment="1">
      <alignment horizontal="center" vertical="center"/>
    </xf>
    <xf numFmtId="0" fontId="26" fillId="2" borderId="0" xfId="12" applyFont="1" applyFill="1" applyBorder="1" applyAlignment="1">
      <alignment horizontal="center" vertical="center"/>
    </xf>
    <xf numFmtId="0" fontId="0" fillId="0" borderId="12" xfId="9" applyFont="1" applyFill="1" applyBorder="1"/>
    <xf numFmtId="0" fontId="0" fillId="0" borderId="13" xfId="9" applyFont="1" applyFill="1" applyBorder="1"/>
    <xf numFmtId="0" fontId="0" fillId="0" borderId="10" xfId="9" applyFont="1" applyFill="1" applyBorder="1"/>
    <xf numFmtId="0" fontId="24" fillId="2" borderId="10" xfId="8" applyFont="1" applyFill="1" applyBorder="1" applyAlignment="1">
      <alignment horizontal="center" vertical="center" shrinkToFit="1"/>
    </xf>
    <xf numFmtId="166" fontId="30" fillId="2" borderId="0" xfId="12" applyNumberFormat="1" applyFont="1" applyFill="1" applyBorder="1" applyAlignment="1">
      <alignment horizontal="center" vertical="center"/>
    </xf>
    <xf numFmtId="0" fontId="49" fillId="0" borderId="0" xfId="10" applyFont="1" applyFill="1" applyBorder="1" applyAlignment="1">
      <alignment horizontal="center" vertical="center"/>
    </xf>
    <xf numFmtId="0" fontId="50" fillId="0" borderId="0" xfId="14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0" borderId="1" xfId="0" applyFill="1" applyBorder="1"/>
    <xf numFmtId="166" fontId="26" fillId="0" borderId="0" xfId="8" applyNumberFormat="1" applyFont="1" applyFill="1" applyBorder="1" applyAlignment="1">
      <alignment horizontal="center" vertical="center" shrinkToFit="1"/>
    </xf>
    <xf numFmtId="166" fontId="24" fillId="0" borderId="1" xfId="8" applyNumberFormat="1" applyFont="1" applyFill="1" applyBorder="1" applyAlignment="1">
      <alignment horizontal="center" vertical="center" shrinkToFit="1"/>
    </xf>
    <xf numFmtId="0" fontId="26" fillId="0" borderId="0" xfId="11" applyNumberFormat="1" applyFont="1" applyFill="1" applyBorder="1" applyAlignment="1">
      <alignment horizontal="center" vertical="center" shrinkToFit="1"/>
    </xf>
    <xf numFmtId="166" fontId="28" fillId="0" borderId="0" xfId="8" applyNumberFormat="1" applyFont="1" applyFill="1" applyBorder="1" applyAlignment="1">
      <alignment horizontal="center" vertical="center" shrinkToFit="1"/>
    </xf>
    <xf numFmtId="0" fontId="21" fillId="0" borderId="17" xfId="6" applyNumberFormat="1" applyFont="1" applyFill="1" applyBorder="1" applyAlignment="1">
      <alignment horizontal="center" vertical="center" shrinkToFit="1"/>
    </xf>
    <xf numFmtId="0" fontId="24" fillId="0" borderId="17" xfId="6" applyNumberFormat="1" applyFont="1" applyFill="1" applyBorder="1" applyAlignment="1">
      <alignment horizontal="center" vertical="center" shrinkToFit="1"/>
    </xf>
    <xf numFmtId="0" fontId="0" fillId="0" borderId="19" xfId="9" applyFont="1" applyFill="1" applyBorder="1"/>
    <xf numFmtId="0" fontId="0" fillId="0" borderId="16" xfId="9" applyFont="1" applyFill="1" applyBorder="1"/>
    <xf numFmtId="0" fontId="0" fillId="0" borderId="18" xfId="9" applyFont="1" applyFill="1" applyBorder="1"/>
    <xf numFmtId="166" fontId="30" fillId="0" borderId="0" xfId="8" applyNumberFormat="1" applyFont="1" applyFill="1" applyBorder="1" applyAlignment="1">
      <alignment horizontal="center" vertical="center" shrinkToFit="1"/>
    </xf>
    <xf numFmtId="0" fontId="26" fillId="0" borderId="12" xfId="11" applyNumberFormat="1" applyFont="1" applyFill="1" applyBorder="1" applyAlignment="1">
      <alignment horizontal="center" vertical="center" shrinkToFit="1"/>
    </xf>
    <xf numFmtId="166" fontId="32" fillId="0" borderId="12" xfId="12" applyNumberFormat="1" applyFont="1" applyFill="1" applyBorder="1" applyAlignment="1">
      <alignment horizontal="center" vertical="center" shrinkToFit="1"/>
    </xf>
    <xf numFmtId="0" fontId="26" fillId="0" borderId="12" xfId="8" applyNumberFormat="1" applyFont="1" applyFill="1" applyBorder="1" applyAlignment="1">
      <alignment horizontal="center" vertical="center" shrinkToFit="1"/>
    </xf>
    <xf numFmtId="166" fontId="28" fillId="0" borderId="12" xfId="8" applyNumberFormat="1" applyFont="1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/>
    </xf>
    <xf numFmtId="166" fontId="35" fillId="0" borderId="12" xfId="8" applyNumberFormat="1" applyFont="1" applyFill="1" applyBorder="1" applyAlignment="1">
      <alignment horizontal="center" vertical="center" shrinkToFit="1"/>
    </xf>
    <xf numFmtId="166" fontId="24" fillId="0" borderId="12" xfId="8" applyNumberFormat="1" applyFont="1" applyFill="1" applyBorder="1" applyAlignment="1">
      <alignment horizontal="center" vertical="center" shrinkToFit="1"/>
    </xf>
    <xf numFmtId="0" fontId="26" fillId="0" borderId="20" xfId="8" applyNumberFormat="1" applyFont="1" applyFill="1" applyBorder="1" applyAlignment="1">
      <alignment horizontal="center" vertical="center" shrinkToFit="1"/>
    </xf>
    <xf numFmtId="166" fontId="33" fillId="0" borderId="12" xfId="8" applyNumberFormat="1" applyFont="1" applyFill="1" applyBorder="1" applyAlignment="1">
      <alignment horizontal="center" vertical="center" shrinkToFit="1"/>
    </xf>
    <xf numFmtId="166" fontId="30" fillId="2" borderId="0" xfId="8" applyNumberFormat="1" applyFont="1" applyFill="1" applyBorder="1" applyAlignment="1">
      <alignment horizontal="center" vertical="center" shrinkToFit="1"/>
    </xf>
    <xf numFmtId="166" fontId="26" fillId="2" borderId="0" xfId="11" applyNumberFormat="1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0" xfId="0" applyFill="1" applyBorder="1"/>
    <xf numFmtId="0" fontId="0" fillId="0" borderId="21" xfId="0" applyFill="1" applyBorder="1"/>
    <xf numFmtId="0" fontId="0" fillId="0" borderId="22" xfId="9" applyFont="1" applyFill="1" applyBorder="1"/>
    <xf numFmtId="0" fontId="26" fillId="0" borderId="19" xfId="8" applyNumberFormat="1" applyFont="1" applyFill="1" applyBorder="1" applyAlignment="1">
      <alignment horizontal="center" vertical="center" shrinkToFit="1"/>
    </xf>
    <xf numFmtId="0" fontId="26" fillId="0" borderId="16" xfId="11" applyNumberFormat="1" applyFont="1" applyFill="1" applyBorder="1" applyAlignment="1">
      <alignment horizontal="center" vertical="center" shrinkToFit="1"/>
    </xf>
    <xf numFmtId="166" fontId="32" fillId="0" borderId="16" xfId="12" applyNumberFormat="1" applyFont="1" applyFill="1" applyBorder="1" applyAlignment="1">
      <alignment horizontal="center" vertical="center" shrinkToFit="1"/>
    </xf>
    <xf numFmtId="0" fontId="26" fillId="0" borderId="16" xfId="8" applyNumberFormat="1" applyFont="1" applyFill="1" applyBorder="1" applyAlignment="1">
      <alignment horizontal="center" vertical="center" shrinkToFit="1"/>
    </xf>
    <xf numFmtId="166" fontId="30" fillId="0" borderId="16" xfId="8" applyNumberFormat="1" applyFont="1" applyFill="1" applyBorder="1" applyAlignment="1">
      <alignment horizontal="center" vertical="center" shrinkToFit="1"/>
    </xf>
    <xf numFmtId="166" fontId="33" fillId="0" borderId="16" xfId="8" applyNumberFormat="1" applyFont="1" applyFill="1" applyBorder="1" applyAlignment="1">
      <alignment horizontal="center" vertical="center" shrinkToFit="1"/>
    </xf>
    <xf numFmtId="166" fontId="28" fillId="0" borderId="16" xfId="8" applyNumberFormat="1" applyFont="1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 vertical="center"/>
    </xf>
    <xf numFmtId="166" fontId="26" fillId="0" borderId="16" xfId="11" applyNumberFormat="1" applyFont="1" applyFill="1" applyBorder="1" applyAlignment="1">
      <alignment horizontal="center" vertical="center"/>
    </xf>
    <xf numFmtId="166" fontId="35" fillId="0" borderId="16" xfId="8" applyNumberFormat="1" applyFont="1" applyFill="1" applyBorder="1" applyAlignment="1">
      <alignment horizontal="center" vertical="center" shrinkToFit="1"/>
    </xf>
    <xf numFmtId="166" fontId="24" fillId="0" borderId="18" xfId="8" applyNumberFormat="1" applyFont="1" applyFill="1" applyBorder="1" applyAlignment="1">
      <alignment horizontal="center" vertical="center" shrinkToFit="1"/>
    </xf>
    <xf numFmtId="166" fontId="34" fillId="2" borderId="0" xfId="12" applyNumberFormat="1" applyFont="1" applyFill="1" applyBorder="1" applyAlignment="1">
      <alignment horizontal="center" vertical="center" shrinkToFit="1"/>
    </xf>
    <xf numFmtId="166" fontId="24" fillId="0" borderId="16" xfId="8" applyNumberFormat="1" applyFont="1" applyFill="1" applyBorder="1" applyAlignment="1">
      <alignment horizontal="center" vertical="center" shrinkToFit="1"/>
    </xf>
    <xf numFmtId="166" fontId="32" fillId="0" borderId="21" xfId="12" applyNumberFormat="1" applyFont="1" applyFill="1" applyBorder="1" applyAlignment="1">
      <alignment horizontal="center" vertical="center" shrinkToFit="1"/>
    </xf>
    <xf numFmtId="0" fontId="26" fillId="0" borderId="21" xfId="8" applyNumberFormat="1" applyFont="1" applyFill="1" applyBorder="1" applyAlignment="1">
      <alignment horizontal="center" vertical="center" shrinkToFit="1"/>
    </xf>
    <xf numFmtId="166" fontId="33" fillId="0" borderId="21" xfId="8" applyNumberFormat="1" applyFont="1" applyFill="1" applyBorder="1" applyAlignment="1">
      <alignment horizontal="center" vertical="center" shrinkToFit="1"/>
    </xf>
    <xf numFmtId="0" fontId="0" fillId="0" borderId="21" xfId="0" applyFill="1" applyBorder="1" applyAlignment="1">
      <alignment horizontal="center" vertical="center"/>
    </xf>
    <xf numFmtId="166" fontId="35" fillId="0" borderId="21" xfId="8" applyNumberFormat="1" applyFont="1" applyFill="1" applyBorder="1" applyAlignment="1">
      <alignment horizontal="center" vertical="center" shrinkToFit="1"/>
    </xf>
    <xf numFmtId="166" fontId="24" fillId="0" borderId="21" xfId="8" applyNumberFormat="1" applyFont="1" applyFill="1" applyBorder="1" applyAlignment="1">
      <alignment horizontal="center" vertical="center" shrinkToFit="1"/>
    </xf>
    <xf numFmtId="166" fontId="24" fillId="0" borderId="25" xfId="8" applyNumberFormat="1" applyFont="1" applyFill="1" applyBorder="1" applyAlignment="1">
      <alignment horizontal="center" vertical="center" shrinkToFit="1"/>
    </xf>
    <xf numFmtId="0" fontId="26" fillId="0" borderId="25" xfId="11" applyNumberFormat="1" applyFont="1" applyFill="1" applyBorder="1" applyAlignment="1">
      <alignment horizontal="center" vertical="center" shrinkToFit="1"/>
    </xf>
    <xf numFmtId="166" fontId="32" fillId="0" borderId="25" xfId="12" applyNumberFormat="1" applyFont="1" applyFill="1" applyBorder="1" applyAlignment="1">
      <alignment horizontal="center" vertical="center" shrinkToFit="1"/>
    </xf>
    <xf numFmtId="0" fontId="26" fillId="0" borderId="25" xfId="8" applyNumberFormat="1" applyFont="1" applyFill="1" applyBorder="1" applyAlignment="1">
      <alignment horizontal="center" vertical="center" shrinkToFit="1"/>
    </xf>
    <xf numFmtId="166" fontId="33" fillId="0" borderId="25" xfId="8" applyNumberFormat="1" applyFont="1" applyFill="1" applyBorder="1" applyAlignment="1">
      <alignment horizontal="center" vertical="center" shrinkToFit="1"/>
    </xf>
    <xf numFmtId="166" fontId="28" fillId="0" borderId="25" xfId="8" applyNumberFormat="1" applyFont="1" applyFill="1" applyBorder="1" applyAlignment="1">
      <alignment horizontal="center" vertical="center" shrinkToFit="1"/>
    </xf>
    <xf numFmtId="0" fontId="0" fillId="0" borderId="25" xfId="0" applyFill="1" applyBorder="1" applyAlignment="1">
      <alignment horizontal="center" vertical="center"/>
    </xf>
    <xf numFmtId="166" fontId="35" fillId="0" borderId="25" xfId="8" applyNumberFormat="1" applyFont="1" applyFill="1" applyBorder="1" applyAlignment="1">
      <alignment horizontal="center" vertical="center" shrinkToFit="1"/>
    </xf>
    <xf numFmtId="1" fontId="36" fillId="0" borderId="26" xfId="16" applyNumberFormat="1" applyFont="1" applyFill="1" applyBorder="1" applyAlignment="1">
      <alignment horizontal="center" vertical="center" shrinkToFit="1"/>
    </xf>
    <xf numFmtId="0" fontId="36" fillId="0" borderId="27" xfId="17" applyNumberFormat="1" applyFont="1" applyFill="1" applyBorder="1" applyAlignment="1">
      <alignment horizontal="center" vertical="center" shrinkToFit="1"/>
    </xf>
    <xf numFmtId="0" fontId="37" fillId="0" borderId="27" xfId="17" applyNumberFormat="1" applyFont="1" applyFill="1" applyBorder="1" applyAlignment="1">
      <alignment horizontal="center" vertical="center" shrinkToFit="1"/>
    </xf>
    <xf numFmtId="0" fontId="24" fillId="0" borderId="16" xfId="8" applyFont="1" applyFill="1" applyBorder="1" applyAlignment="1">
      <alignment horizontal="center" vertical="center" shrinkToFit="1"/>
    </xf>
    <xf numFmtId="0" fontId="27" fillId="0" borderId="16" xfId="10" applyFont="1" applyFill="1" applyBorder="1" applyAlignment="1">
      <alignment horizontal="center" vertical="center"/>
    </xf>
    <xf numFmtId="166" fontId="30" fillId="0" borderId="16" xfId="12" applyNumberFormat="1" applyFont="1" applyFill="1" applyBorder="1" applyAlignment="1">
      <alignment horizontal="center" vertical="center"/>
    </xf>
    <xf numFmtId="0" fontId="31" fillId="0" borderId="16" xfId="13" applyFont="1" applyFill="1" applyBorder="1" applyAlignment="1">
      <alignment horizontal="center" vertical="center" shrinkToFit="1"/>
    </xf>
    <xf numFmtId="0" fontId="0" fillId="0" borderId="16" xfId="10" applyFont="1" applyFill="1" applyBorder="1" applyAlignment="1">
      <alignment horizontal="center" vertical="center"/>
    </xf>
    <xf numFmtId="0" fontId="0" fillId="0" borderId="16" xfId="14" applyFont="1" applyFill="1" applyBorder="1" applyAlignment="1">
      <alignment horizontal="center" vertical="center"/>
    </xf>
    <xf numFmtId="166" fontId="32" fillId="0" borderId="16" xfId="12" applyNumberFormat="1" applyFont="1" applyFill="1" applyBorder="1" applyAlignment="1">
      <alignment horizontal="center" vertical="center"/>
    </xf>
    <xf numFmtId="1" fontId="24" fillId="0" borderId="16" xfId="8" applyNumberFormat="1" applyFont="1" applyFill="1" applyBorder="1" applyAlignment="1">
      <alignment horizontal="center" vertical="center" shrinkToFit="1"/>
    </xf>
    <xf numFmtId="0" fontId="0" fillId="0" borderId="16" xfId="15" applyFont="1" applyFill="1" applyBorder="1" applyAlignment="1">
      <alignment horizontal="center" vertical="center"/>
    </xf>
    <xf numFmtId="0" fontId="26" fillId="0" borderId="16" xfId="12" applyFont="1" applyFill="1" applyBorder="1" applyAlignment="1">
      <alignment horizontal="center" vertical="center"/>
    </xf>
    <xf numFmtId="0" fontId="16" fillId="0" borderId="0" xfId="4" applyFont="1" applyFill="1" applyBorder="1" applyAlignment="1">
      <alignment horizontal="center" vertical="center" shrinkToFit="1"/>
    </xf>
    <xf numFmtId="0" fontId="12" fillId="0" borderId="0" xfId="2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9" xfId="9" applyFont="1" applyFill="1" applyBorder="1" applyAlignment="1">
      <alignment horizontal="center" vertical="center"/>
    </xf>
    <xf numFmtId="0" fontId="0" fillId="0" borderId="0" xfId="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9" applyFont="1" applyFill="1" applyBorder="1" applyAlignment="1">
      <alignment horizontal="center" vertical="center"/>
    </xf>
    <xf numFmtId="0" fontId="0" fillId="0" borderId="0" xfId="9" applyFont="1" applyFill="1" applyBorder="1" applyAlignment="1">
      <alignment horizontal="center" vertical="center"/>
    </xf>
    <xf numFmtId="0" fontId="0" fillId="0" borderId="1" xfId="9" applyFont="1" applyFill="1" applyBorder="1" applyAlignment="1">
      <alignment horizontal="center" vertical="center"/>
    </xf>
    <xf numFmtId="0" fontId="0" fillId="0" borderId="18" xfId="9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22" fillId="0" borderId="17" xfId="6" applyNumberFormat="1" applyFont="1" applyFill="1" applyBorder="1" applyAlignment="1">
      <alignment horizontal="center" vertical="center" shrinkToFit="1"/>
    </xf>
    <xf numFmtId="166" fontId="22" fillId="2" borderId="17" xfId="6" applyNumberFormat="1" applyFont="1" applyFill="1" applyBorder="1" applyAlignment="1">
      <alignment horizontal="center" vertical="center" shrinkToFit="1"/>
    </xf>
    <xf numFmtId="0" fontId="22" fillId="0" borderId="17" xfId="6" applyNumberFormat="1" applyFont="1" applyFill="1" applyBorder="1" applyAlignment="1">
      <alignment horizontal="center" vertical="center" shrinkToFit="1"/>
    </xf>
    <xf numFmtId="0" fontId="22" fillId="2" borderId="17" xfId="6" applyNumberFormat="1" applyFont="1" applyFill="1" applyBorder="1" applyAlignment="1">
      <alignment horizontal="center" vertical="center" shrinkToFit="1"/>
    </xf>
    <xf numFmtId="0" fontId="0" fillId="0" borderId="17" xfId="2" applyFont="1" applyFill="1" applyBorder="1" applyAlignment="1">
      <alignment horizontal="center"/>
    </xf>
    <xf numFmtId="0" fontId="0" fillId="2" borderId="17" xfId="2" applyFont="1" applyFill="1" applyBorder="1" applyAlignment="1">
      <alignment horizontal="center"/>
    </xf>
    <xf numFmtId="166" fontId="20" fillId="0" borderId="0" xfId="4" applyNumberFormat="1" applyFont="1" applyFill="1" applyBorder="1" applyAlignment="1">
      <alignment vertical="center" shrinkToFit="1"/>
    </xf>
    <xf numFmtId="0" fontId="24" fillId="2" borderId="17" xfId="6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/>
    </xf>
    <xf numFmtId="0" fontId="54" fillId="0" borderId="0" xfId="0" applyFont="1" applyFill="1" applyAlignment="1">
      <alignment horizontal="center"/>
    </xf>
    <xf numFmtId="0" fontId="55" fillId="0" borderId="0" xfId="0" applyFont="1" applyFill="1" applyAlignment="1">
      <alignment horizontal="center"/>
    </xf>
    <xf numFmtId="0" fontId="57" fillId="0" borderId="0" xfId="0" applyFont="1" applyFill="1" applyAlignment="1">
      <alignment horizontal="center"/>
    </xf>
    <xf numFmtId="0" fontId="58" fillId="2" borderId="0" xfId="9" applyFont="1" applyFill="1" applyBorder="1"/>
    <xf numFmtId="0" fontId="52" fillId="0" borderId="0" xfId="0" applyNumberFormat="1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9" applyFont="1" applyFill="1" applyAlignment="1">
      <alignment horizontal="center"/>
    </xf>
    <xf numFmtId="0" fontId="0" fillId="0" borderId="0" xfId="9" applyFont="1" applyFill="1" applyBorder="1" applyAlignment="1">
      <alignment horizontal="center"/>
    </xf>
    <xf numFmtId="0" fontId="0" fillId="0" borderId="0" xfId="9" applyFont="1" applyFill="1" applyAlignment="1">
      <alignment horizontal="center"/>
    </xf>
    <xf numFmtId="0" fontId="0" fillId="0" borderId="1" xfId="9" applyFont="1" applyFill="1" applyBorder="1" applyAlignment="1">
      <alignment horizontal="center"/>
    </xf>
    <xf numFmtId="0" fontId="0" fillId="2" borderId="0" xfId="9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6" fillId="2" borderId="27" xfId="17" applyNumberFormat="1" applyFont="1" applyFill="1" applyBorder="1" applyAlignment="1">
      <alignment horizontal="center" vertical="center" shrinkToFit="1"/>
    </xf>
    <xf numFmtId="0" fontId="57" fillId="0" borderId="0" xfId="0" applyFont="1" applyFill="1" applyBorder="1" applyAlignment="1">
      <alignment horizontal="center"/>
    </xf>
    <xf numFmtId="166" fontId="52" fillId="0" borderId="0" xfId="0" applyNumberFormat="1" applyFont="1" applyBorder="1" applyAlignment="1">
      <alignment horizontal="center" vertical="top"/>
    </xf>
    <xf numFmtId="0" fontId="26" fillId="0" borderId="0" xfId="8" applyNumberFormat="1" applyFont="1" applyFill="1" applyBorder="1" applyAlignment="1">
      <alignment horizontal="center" vertical="center" shrinkToFit="1"/>
    </xf>
    <xf numFmtId="0" fontId="0" fillId="2" borderId="0" xfId="0" applyFill="1" applyBorder="1" applyAlignment="1">
      <alignment horizontal="center"/>
    </xf>
    <xf numFmtId="0" fontId="52" fillId="0" borderId="0" xfId="0" applyNumberFormat="1" applyFont="1" applyFill="1" applyBorder="1" applyAlignment="1">
      <alignment horizontal="center" vertical="top"/>
    </xf>
    <xf numFmtId="0" fontId="55" fillId="0" borderId="0" xfId="0" applyFont="1" applyFill="1" applyBorder="1" applyAlignment="1">
      <alignment horizontal="center"/>
    </xf>
    <xf numFmtId="166" fontId="52" fillId="0" borderId="0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0" fontId="26" fillId="2" borderId="10" xfId="8" applyNumberFormat="1" applyFont="1" applyFill="1" applyBorder="1" applyAlignment="1">
      <alignment horizontal="center" vertical="center" shrinkToFit="1"/>
    </xf>
    <xf numFmtId="0" fontId="56" fillId="2" borderId="0" xfId="0" applyFont="1" applyFill="1" applyBorder="1" applyAlignment="1">
      <alignment horizontal="center" vertical="top"/>
    </xf>
    <xf numFmtId="0" fontId="55" fillId="2" borderId="0" xfId="0" applyFont="1" applyFill="1" applyBorder="1" applyAlignment="1">
      <alignment horizontal="center"/>
    </xf>
    <xf numFmtId="166" fontId="52" fillId="2" borderId="0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52" fillId="2" borderId="0" xfId="0" applyNumberFormat="1" applyFont="1" applyFill="1" applyBorder="1" applyAlignment="1">
      <alignment horizontal="center" vertical="top"/>
    </xf>
    <xf numFmtId="0" fontId="57" fillId="2" borderId="0" xfId="0" applyFont="1" applyFill="1" applyBorder="1" applyAlignment="1">
      <alignment horizontal="center"/>
    </xf>
    <xf numFmtId="0" fontId="0" fillId="2" borderId="10" xfId="0" applyFill="1" applyBorder="1"/>
    <xf numFmtId="0" fontId="56" fillId="2" borderId="0" xfId="0" applyNumberFormat="1" applyFont="1" applyFill="1" applyBorder="1" applyAlignment="1">
      <alignment horizontal="center" vertical="top"/>
    </xf>
    <xf numFmtId="0" fontId="54" fillId="2" borderId="0" xfId="0" applyFont="1" applyFill="1" applyBorder="1" applyAlignment="1">
      <alignment horizontal="center"/>
    </xf>
    <xf numFmtId="0" fontId="0" fillId="2" borderId="1" xfId="0" applyFill="1" applyBorder="1"/>
    <xf numFmtId="0" fontId="29" fillId="0" borderId="0" xfId="22" applyFill="1"/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57" fillId="2" borderId="0" xfId="9" applyFont="1" applyFill="1" applyBorder="1"/>
    <xf numFmtId="0" fontId="57" fillId="0" borderId="0" xfId="0" applyFont="1" applyFill="1"/>
    <xf numFmtId="0" fontId="57" fillId="0" borderId="0" xfId="9" applyFont="1" applyFill="1"/>
    <xf numFmtId="167" fontId="0" fillId="0" borderId="17" xfId="9" applyNumberFormat="1" applyFont="1" applyBorder="1"/>
    <xf numFmtId="0" fontId="36" fillId="0" borderId="17" xfId="17" applyNumberFormat="1" applyFont="1" applyFill="1" applyBorder="1" applyAlignment="1">
      <alignment horizontal="center" vertical="center" shrinkToFit="1"/>
    </xf>
    <xf numFmtId="1" fontId="36" fillId="2" borderId="26" xfId="16" applyNumberFormat="1" applyFont="1" applyFill="1" applyBorder="1" applyAlignment="1">
      <alignment horizontal="center" vertical="center" shrinkToFit="1"/>
    </xf>
    <xf numFmtId="0" fontId="37" fillId="2" borderId="27" xfId="17" applyNumberFormat="1" applyFont="1" applyFill="1" applyBorder="1" applyAlignment="1">
      <alignment horizontal="center" vertical="center" shrinkToFit="1"/>
    </xf>
    <xf numFmtId="0" fontId="24" fillId="0" borderId="19" xfId="8" applyFont="1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/>
    </xf>
    <xf numFmtId="0" fontId="59" fillId="0" borderId="0" xfId="0" applyFont="1" applyFill="1" applyBorder="1" applyAlignment="1">
      <alignment horizontal="center" vertical="center"/>
    </xf>
    <xf numFmtId="0" fontId="59" fillId="0" borderId="16" xfId="0" applyFont="1" applyFill="1" applyBorder="1" applyAlignment="1">
      <alignment horizont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14" fillId="0" borderId="0" xfId="5" applyNumberFormat="1" applyFont="1" applyFill="1" applyBorder="1" applyAlignment="1">
      <alignment horizontal="center" vertical="center" shrinkToFit="1"/>
    </xf>
    <xf numFmtId="0" fontId="0" fillId="0" borderId="14" xfId="0" applyBorder="1"/>
    <xf numFmtId="0" fontId="26" fillId="0" borderId="28" xfId="8" applyNumberFormat="1" applyFont="1" applyFill="1" applyBorder="1" applyAlignment="1">
      <alignment horizontal="center" vertical="center" shrinkToFit="1"/>
    </xf>
    <xf numFmtId="0" fontId="26" fillId="0" borderId="28" xfId="11" applyNumberFormat="1" applyFont="1" applyFill="1" applyBorder="1" applyAlignment="1">
      <alignment horizontal="center" vertical="center" shrinkToFit="1"/>
    </xf>
    <xf numFmtId="166" fontId="34" fillId="0" borderId="28" xfId="12" applyNumberFormat="1" applyFont="1" applyFill="1" applyBorder="1" applyAlignment="1">
      <alignment horizontal="center" vertical="center" shrinkToFit="1"/>
    </xf>
    <xf numFmtId="166" fontId="32" fillId="0" borderId="28" xfId="12" applyNumberFormat="1" applyFont="1" applyFill="1" applyBorder="1" applyAlignment="1">
      <alignment horizontal="center" vertical="center" shrinkToFit="1"/>
    </xf>
    <xf numFmtId="166" fontId="30" fillId="0" borderId="28" xfId="8" applyNumberFormat="1" applyFont="1" applyFill="1" applyBorder="1" applyAlignment="1">
      <alignment horizontal="center" vertical="center" shrinkToFit="1"/>
    </xf>
    <xf numFmtId="166" fontId="33" fillId="0" borderId="28" xfId="8" applyNumberFormat="1" applyFont="1" applyFill="1" applyBorder="1" applyAlignment="1">
      <alignment horizontal="center" vertical="center" shrinkToFit="1"/>
    </xf>
    <xf numFmtId="0" fontId="0" fillId="0" borderId="28" xfId="0" applyFill="1" applyBorder="1" applyAlignment="1">
      <alignment horizontal="center"/>
    </xf>
    <xf numFmtId="166" fontId="28" fillId="0" borderId="28" xfId="8" applyNumberFormat="1" applyFont="1" applyFill="1" applyBorder="1" applyAlignment="1">
      <alignment horizontal="center" vertical="center" shrinkToFit="1"/>
    </xf>
    <xf numFmtId="0" fontId="0" fillId="0" borderId="28" xfId="0" applyFill="1" applyBorder="1" applyAlignment="1">
      <alignment horizontal="center" vertical="center"/>
    </xf>
    <xf numFmtId="166" fontId="26" fillId="0" borderId="28" xfId="11" applyNumberFormat="1" applyFont="1" applyFill="1" applyBorder="1" applyAlignment="1">
      <alignment horizontal="center" vertical="center"/>
    </xf>
    <xf numFmtId="166" fontId="35" fillId="0" borderId="28" xfId="8" applyNumberFormat="1" applyFont="1" applyFill="1" applyBorder="1" applyAlignment="1">
      <alignment horizontal="center" vertical="center" shrinkToFit="1"/>
    </xf>
    <xf numFmtId="166" fontId="24" fillId="0" borderId="29" xfId="8" applyNumberFormat="1" applyFont="1" applyFill="1" applyBorder="1" applyAlignment="1">
      <alignment horizontal="center" vertical="center" shrinkToFit="1"/>
    </xf>
    <xf numFmtId="0" fontId="26" fillId="0" borderId="30" xfId="8" applyNumberFormat="1" applyFont="1" applyFill="1" applyBorder="1" applyAlignment="1">
      <alignment horizontal="center" vertical="center" shrinkToFit="1"/>
    </xf>
    <xf numFmtId="0" fontId="26" fillId="0" borderId="15" xfId="11" applyNumberFormat="1" applyFont="1" applyFill="1" applyBorder="1" applyAlignment="1">
      <alignment horizontal="center" vertical="center" shrinkToFit="1"/>
    </xf>
    <xf numFmtId="166" fontId="32" fillId="0" borderId="15" xfId="12" applyNumberFormat="1" applyFont="1" applyFill="1" applyBorder="1" applyAlignment="1">
      <alignment horizontal="center" vertical="center" shrinkToFit="1"/>
    </xf>
    <xf numFmtId="0" fontId="26" fillId="0" borderId="15" xfId="8" applyNumberFormat="1" applyFont="1" applyFill="1" applyBorder="1" applyAlignment="1">
      <alignment horizontal="center" vertical="center" shrinkToFit="1"/>
    </xf>
    <xf numFmtId="166" fontId="33" fillId="0" borderId="15" xfId="8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/>
    </xf>
    <xf numFmtId="166" fontId="28" fillId="0" borderId="15" xfId="8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/>
    </xf>
    <xf numFmtId="166" fontId="35" fillId="0" borderId="15" xfId="8" applyNumberFormat="1" applyFont="1" applyFill="1" applyBorder="1" applyAlignment="1">
      <alignment horizontal="center" vertical="center" shrinkToFit="1"/>
    </xf>
    <xf numFmtId="166" fontId="24" fillId="0" borderId="31" xfId="8" applyNumberFormat="1" applyFont="1" applyFill="1" applyBorder="1" applyAlignment="1">
      <alignment horizontal="center" vertical="center" shrinkToFit="1"/>
    </xf>
    <xf numFmtId="166" fontId="30" fillId="0" borderId="16" xfId="12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2" borderId="17" xfId="2" applyFont="1" applyFill="1" applyBorder="1" applyAlignment="1">
      <alignment horizontal="center" vertical="center"/>
    </xf>
    <xf numFmtId="0" fontId="0" fillId="0" borderId="17" xfId="2" applyFont="1" applyFill="1" applyBorder="1" applyAlignment="1">
      <alignment horizontal="center" vertical="center"/>
    </xf>
    <xf numFmtId="0" fontId="0" fillId="2" borderId="0" xfId="2" applyFont="1" applyFill="1" applyAlignment="1">
      <alignment horizontal="center" vertical="center"/>
    </xf>
    <xf numFmtId="0" fontId="0" fillId="2" borderId="0" xfId="9" applyFont="1" applyFill="1" applyBorder="1" applyAlignment="1">
      <alignment horizontal="center" vertical="center"/>
    </xf>
    <xf numFmtId="0" fontId="0" fillId="2" borderId="0" xfId="9" applyFont="1" applyFill="1" applyAlignment="1">
      <alignment horizontal="center" vertical="center"/>
    </xf>
    <xf numFmtId="166" fontId="58" fillId="0" borderId="0" xfId="0" applyNumberFormat="1" applyFont="1" applyAlignment="1">
      <alignment horizontal="center" vertical="center"/>
    </xf>
    <xf numFmtId="0" fontId="43" fillId="0" borderId="0" xfId="20" applyFont="1" applyFill="1" applyBorder="1" applyAlignment="1">
      <alignment horizontal="center" vertical="center"/>
    </xf>
    <xf numFmtId="0" fontId="44" fillId="0" borderId="0" xfId="21" applyFont="1" applyFill="1" applyBorder="1" applyAlignment="1">
      <alignment horizontal="center" vertical="center"/>
    </xf>
    <xf numFmtId="0" fontId="45" fillId="0" borderId="0" xfId="21" applyFont="1" applyFill="1" applyBorder="1" applyAlignment="1">
      <alignment horizontal="center" vertical="center"/>
    </xf>
    <xf numFmtId="166" fontId="20" fillId="0" borderId="0" xfId="4" applyNumberFormat="1" applyFont="1" applyFill="1" applyBorder="1" applyAlignment="1">
      <alignment horizontal="center" vertical="center" shrinkToFit="1"/>
    </xf>
    <xf numFmtId="0" fontId="0" fillId="0" borderId="0" xfId="2" applyFont="1" applyFill="1" applyAlignment="1">
      <alignment horizontal="center" vertical="center"/>
    </xf>
    <xf numFmtId="0" fontId="0" fillId="2" borderId="10" xfId="9" applyFont="1" applyFill="1" applyBorder="1" applyAlignment="1">
      <alignment horizontal="center" vertical="center"/>
    </xf>
    <xf numFmtId="0" fontId="0" fillId="2" borderId="1" xfId="9" applyFont="1" applyFill="1" applyBorder="1" applyAlignment="1">
      <alignment horizontal="center" vertical="center"/>
    </xf>
    <xf numFmtId="167" fontId="0" fillId="0" borderId="17" xfId="9" applyNumberFormat="1" applyFont="1" applyBorder="1" applyAlignment="1">
      <alignment horizontal="center" vertical="center"/>
    </xf>
    <xf numFmtId="0" fontId="42" fillId="0" borderId="0" xfId="10" applyFont="1" applyFill="1" applyBorder="1" applyAlignment="1">
      <alignment horizontal="center" vertical="center"/>
    </xf>
    <xf numFmtId="0" fontId="29" fillId="0" borderId="0" xfId="12" applyFont="1" applyFill="1" applyBorder="1" applyAlignment="1">
      <alignment horizontal="center" vertical="center"/>
    </xf>
    <xf numFmtId="0" fontId="29" fillId="0" borderId="0" xfId="22" applyAlignment="1">
      <alignment horizontal="center" vertical="center"/>
    </xf>
    <xf numFmtId="0" fontId="36" fillId="0" borderId="32" xfId="17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37" fillId="4" borderId="4" xfId="17" applyNumberFormat="1" applyFont="1" applyFill="1" applyBorder="1" applyAlignment="1">
      <alignment horizontal="center" vertical="center" shrinkToFit="1"/>
    </xf>
    <xf numFmtId="0" fontId="36" fillId="4" borderId="0" xfId="17" applyNumberFormat="1" applyFont="1" applyFill="1" applyBorder="1" applyAlignment="1">
      <alignment horizontal="center" vertical="center" shrinkToFit="1"/>
    </xf>
    <xf numFmtId="0" fontId="60" fillId="0" borderId="0" xfId="0" applyFont="1" applyFill="1" applyBorder="1" applyAlignment="1">
      <alignment horizont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52" fillId="2" borderId="0" xfId="9" applyFont="1" applyFill="1" applyBorder="1" applyAlignment="1">
      <alignment horizontal="center" vertical="center"/>
    </xf>
    <xf numFmtId="0" fontId="52" fillId="2" borderId="0" xfId="9" applyFont="1" applyFill="1" applyAlignment="1">
      <alignment horizontal="center" vertical="center"/>
    </xf>
    <xf numFmtId="0" fontId="52" fillId="0" borderId="0" xfId="9" applyFont="1" applyFill="1" applyAlignment="1">
      <alignment horizontal="center" vertical="center"/>
    </xf>
    <xf numFmtId="0" fontId="52" fillId="0" borderId="0" xfId="0" applyFont="1" applyFill="1" applyBorder="1" applyAlignment="1">
      <alignment horizont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166" fontId="52" fillId="0" borderId="0" xfId="0" applyNumberFormat="1" applyFont="1" applyFill="1" applyAlignment="1">
      <alignment horizontal="center" vertical="top"/>
    </xf>
    <xf numFmtId="0" fontId="56" fillId="0" borderId="0" xfId="0" applyNumberFormat="1" applyFont="1" applyFill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0" fontId="0" fillId="0" borderId="15" xfId="9" applyFont="1" applyFill="1" applyBorder="1" applyAlignment="1">
      <alignment horizontal="center" vertical="center"/>
    </xf>
    <xf numFmtId="0" fontId="0" fillId="0" borderId="31" xfId="9" applyFont="1" applyFill="1" applyBorder="1" applyAlignment="1">
      <alignment horizontal="center" vertic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0" fillId="0" borderId="24" xfId="0" applyFill="1" applyBorder="1" applyAlignment="1">
      <alignment horizontal="center"/>
    </xf>
    <xf numFmtId="0" fontId="52" fillId="0" borderId="24" xfId="0" applyFont="1" applyFill="1" applyBorder="1" applyAlignment="1">
      <alignment horizontal="center"/>
    </xf>
    <xf numFmtId="0" fontId="52" fillId="0" borderId="15" xfId="0" applyFont="1" applyFill="1" applyBorder="1" applyAlignment="1">
      <alignment horizontal="center"/>
    </xf>
    <xf numFmtId="0" fontId="26" fillId="0" borderId="24" xfId="8" applyNumberFormat="1" applyFont="1" applyFill="1" applyBorder="1" applyAlignment="1">
      <alignment horizontal="center" vertical="center" shrinkToFit="1"/>
    </xf>
    <xf numFmtId="0" fontId="60" fillId="0" borderId="24" xfId="0" applyFont="1" applyFill="1" applyBorder="1" applyAlignment="1">
      <alignment horizontal="center"/>
    </xf>
    <xf numFmtId="0" fontId="60" fillId="0" borderId="15" xfId="0" applyFont="1" applyFill="1" applyBorder="1" applyAlignment="1">
      <alignment horizontal="center"/>
    </xf>
    <xf numFmtId="166" fontId="28" fillId="0" borderId="24" xfId="8" applyNumberFormat="1" applyFont="1" applyFill="1" applyBorder="1" applyAlignment="1">
      <alignment horizontal="center" vertical="center" shrinkToFit="1"/>
    </xf>
    <xf numFmtId="166" fontId="35" fillId="0" borderId="24" xfId="8" applyNumberFormat="1" applyFont="1" applyFill="1" applyBorder="1" applyAlignment="1">
      <alignment horizontal="center" vertical="center" shrinkToFit="1"/>
    </xf>
    <xf numFmtId="166" fontId="24" fillId="0" borderId="24" xfId="8" applyNumberFormat="1" applyFont="1" applyFill="1" applyBorder="1" applyAlignment="1">
      <alignment horizontal="center" vertical="center" shrinkToFit="1"/>
    </xf>
    <xf numFmtId="166" fontId="24" fillId="0" borderId="15" xfId="8" applyNumberFormat="1" applyFont="1" applyFill="1" applyBorder="1" applyAlignment="1">
      <alignment horizontal="center" vertical="center" shrinkToFit="1"/>
    </xf>
    <xf numFmtId="166" fontId="24" fillId="0" borderId="36" xfId="8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26" fillId="0" borderId="24" xfId="11" applyNumberFormat="1" applyFont="1" applyFill="1" applyBorder="1" applyAlignment="1">
      <alignment horizontal="center" vertical="center" shrinkToFit="1"/>
    </xf>
    <xf numFmtId="166" fontId="32" fillId="0" borderId="24" xfId="12" applyNumberFormat="1" applyFont="1" applyFill="1" applyBorder="1" applyAlignment="1">
      <alignment horizontal="center" vertical="center" shrinkToFit="1"/>
    </xf>
    <xf numFmtId="166" fontId="33" fillId="0" borderId="24" xfId="8" applyNumberFormat="1" applyFont="1" applyFill="1" applyBorder="1" applyAlignment="1">
      <alignment horizontal="center" vertical="center" shrinkToFit="1"/>
    </xf>
    <xf numFmtId="0" fontId="0" fillId="0" borderId="24" xfId="0" applyFill="1" applyBorder="1" applyAlignment="1">
      <alignment horizontal="center" vertic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0" fillId="0" borderId="31" xfId="0" applyFill="1" applyBorder="1" applyAlignment="1">
      <alignment horizontal="center" vertical="center"/>
    </xf>
    <xf numFmtId="0" fontId="30" fillId="0" borderId="0" xfId="0" applyFont="1" applyFill="1" applyAlignment="1">
      <alignment horizontal="center"/>
    </xf>
    <xf numFmtId="169" fontId="0" fillId="0" borderId="0" xfId="0" applyNumberFormat="1" applyFill="1" applyBorder="1" applyAlignment="1">
      <alignment vertical="top"/>
    </xf>
    <xf numFmtId="0" fontId="56" fillId="0" borderId="0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26" fillId="0" borderId="37" xfId="8" applyNumberFormat="1" applyFont="1" applyFill="1" applyBorder="1" applyAlignment="1">
      <alignment horizontal="center" vertical="center" shrinkToFit="1"/>
    </xf>
    <xf numFmtId="166" fontId="26" fillId="0" borderId="25" xfId="11" applyNumberFormat="1" applyFont="1" applyFill="1" applyBorder="1" applyAlignment="1">
      <alignment horizontal="center" vertical="center"/>
    </xf>
    <xf numFmtId="166" fontId="30" fillId="0" borderId="25" xfId="8" applyNumberFormat="1" applyFont="1" applyFill="1" applyBorder="1" applyAlignment="1">
      <alignment horizontal="center" vertical="center" shrinkToFit="1"/>
    </xf>
    <xf numFmtId="166" fontId="61" fillId="0" borderId="0" xfId="46" quotePrefix="1" applyNumberFormat="1" applyFont="1" applyFill="1" applyBorder="1" applyAlignment="1">
      <alignment horizontal="center" vertical="center" shrinkToFit="1"/>
    </xf>
    <xf numFmtId="166" fontId="58" fillId="2" borderId="0" xfId="0" applyNumberFormat="1" applyFont="1" applyFill="1" applyBorder="1" applyAlignment="1">
      <alignment horizontal="center" vertical="top"/>
    </xf>
    <xf numFmtId="0" fontId="24" fillId="0" borderId="24" xfId="8" applyFont="1" applyFill="1" applyBorder="1" applyAlignment="1">
      <alignment horizontal="center" vertical="center" shrinkToFit="1"/>
    </xf>
    <xf numFmtId="0" fontId="27" fillId="0" borderId="24" xfId="10" applyFont="1" applyFill="1" applyBorder="1" applyAlignment="1">
      <alignment horizontal="center" vertical="center"/>
    </xf>
    <xf numFmtId="166" fontId="30" fillId="0" borderId="24" xfId="12" applyNumberFormat="1" applyFont="1" applyFill="1" applyBorder="1" applyAlignment="1">
      <alignment horizontal="center" vertical="center"/>
    </xf>
    <xf numFmtId="0" fontId="31" fillId="0" borderId="24" xfId="13" applyFont="1" applyFill="1" applyBorder="1" applyAlignment="1">
      <alignment horizontal="center" vertical="center" shrinkToFit="1"/>
    </xf>
    <xf numFmtId="0" fontId="0" fillId="0" borderId="24" xfId="10" applyFont="1" applyFill="1" applyBorder="1" applyAlignment="1">
      <alignment horizontal="center" vertical="center"/>
    </xf>
    <xf numFmtId="0" fontId="0" fillId="0" borderId="24" xfId="14" applyFont="1" applyFill="1" applyBorder="1" applyAlignment="1">
      <alignment horizontal="center" vertical="center"/>
    </xf>
    <xf numFmtId="166" fontId="32" fillId="0" borderId="24" xfId="12" applyNumberFormat="1" applyFont="1" applyFill="1" applyBorder="1" applyAlignment="1">
      <alignment horizontal="center" vertical="center"/>
    </xf>
    <xf numFmtId="1" fontId="24" fillId="0" borderId="24" xfId="8" applyNumberFormat="1" applyFont="1" applyFill="1" applyBorder="1" applyAlignment="1">
      <alignment horizontal="center" vertical="center" shrinkToFit="1"/>
    </xf>
    <xf numFmtId="0" fontId="0" fillId="0" borderId="24" xfId="15" applyFont="1" applyFill="1" applyBorder="1" applyAlignment="1">
      <alignment horizontal="center" vertical="center"/>
    </xf>
    <xf numFmtId="0" fontId="26" fillId="0" borderId="24" xfId="12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/>
    </xf>
    <xf numFmtId="0" fontId="0" fillId="0" borderId="36" xfId="9" applyFont="1" applyFill="1" applyBorder="1"/>
    <xf numFmtId="0" fontId="26" fillId="0" borderId="0" xfId="8" applyNumberFormat="1" applyFont="1" applyFill="1" applyBorder="1" applyAlignment="1">
      <alignment horizontal="center" vertical="center" shrinkToFit="1"/>
    </xf>
    <xf numFmtId="0" fontId="39" fillId="0" borderId="0" xfId="48" applyNumberFormat="1" applyFont="1" applyFill="1" applyAlignment="1">
      <alignment horizontal="center" vertical="top"/>
    </xf>
    <xf numFmtId="0" fontId="0" fillId="0" borderId="24" xfId="0" applyFill="1" applyBorder="1"/>
    <xf numFmtId="0" fontId="62" fillId="5" borderId="17" xfId="0" applyFont="1" applyFill="1" applyBorder="1" applyAlignment="1">
      <alignment horizontal="center" vertical="center"/>
    </xf>
    <xf numFmtId="0" fontId="62" fillId="5" borderId="38" xfId="0" applyFont="1" applyFill="1" applyBorder="1" applyAlignment="1">
      <alignment horizontal="center" vertical="center"/>
    </xf>
    <xf numFmtId="0" fontId="63" fillId="0" borderId="18" xfId="0" applyFont="1" applyBorder="1" applyAlignment="1">
      <alignment vertical="center"/>
    </xf>
    <xf numFmtId="0" fontId="63" fillId="0" borderId="31" xfId="0" applyFont="1" applyBorder="1" applyAlignment="1">
      <alignment vertical="center"/>
    </xf>
    <xf numFmtId="0" fontId="63" fillId="0" borderId="31" xfId="0" applyFont="1" applyBorder="1" applyAlignment="1">
      <alignment horizontal="right" vertical="center"/>
    </xf>
    <xf numFmtId="0" fontId="63" fillId="0" borderId="31" xfId="0" applyFont="1" applyBorder="1" applyAlignment="1">
      <alignment horizontal="center" vertical="center"/>
    </xf>
    <xf numFmtId="0" fontId="62" fillId="6" borderId="17" xfId="0" applyFont="1" applyFill="1" applyBorder="1" applyAlignment="1">
      <alignment horizontal="center" vertical="center" wrapText="1"/>
    </xf>
    <xf numFmtId="0" fontId="62" fillId="7" borderId="38" xfId="0" applyFont="1" applyFill="1" applyBorder="1" applyAlignment="1">
      <alignment horizontal="center" vertical="center" wrapText="1"/>
    </xf>
    <xf numFmtId="0" fontId="62" fillId="2" borderId="38" xfId="0" applyFont="1" applyFill="1" applyBorder="1" applyAlignment="1">
      <alignment horizontal="center" vertical="center" wrapText="1"/>
    </xf>
    <xf numFmtId="0" fontId="62" fillId="6" borderId="38" xfId="0" applyFont="1" applyFill="1" applyBorder="1" applyAlignment="1">
      <alignment vertical="center" wrapText="1"/>
    </xf>
    <xf numFmtId="0" fontId="62" fillId="8" borderId="38" xfId="0" applyFont="1" applyFill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/>
    </xf>
    <xf numFmtId="0" fontId="64" fillId="0" borderId="31" xfId="0" applyFont="1" applyBorder="1" applyAlignment="1">
      <alignment vertical="center"/>
    </xf>
    <xf numFmtId="0" fontId="64" fillId="0" borderId="31" xfId="0" applyFont="1" applyBorder="1" applyAlignment="1">
      <alignment horizontal="right" vertical="center"/>
    </xf>
    <xf numFmtId="14" fontId="64" fillId="2" borderId="31" xfId="0" applyNumberFormat="1" applyFont="1" applyFill="1" applyBorder="1" applyAlignment="1">
      <alignment horizontal="right" vertical="center"/>
    </xf>
    <xf numFmtId="0" fontId="64" fillId="9" borderId="31" xfId="0" applyFont="1" applyFill="1" applyBorder="1" applyAlignment="1">
      <alignment horizontal="right" vertical="center"/>
    </xf>
    <xf numFmtId="14" fontId="64" fillId="0" borderId="31" xfId="0" applyNumberFormat="1" applyFont="1" applyBorder="1" applyAlignment="1">
      <alignment horizontal="right" vertical="center"/>
    </xf>
    <xf numFmtId="3" fontId="64" fillId="0" borderId="31" xfId="0" applyNumberFormat="1" applyFont="1" applyBorder="1" applyAlignment="1">
      <alignment horizontal="right" vertical="center"/>
    </xf>
    <xf numFmtId="0" fontId="65" fillId="0" borderId="31" xfId="0" applyFont="1" applyBorder="1" applyAlignment="1">
      <alignment vertic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39" xfId="11" applyNumberFormat="1" applyFont="1" applyFill="1" applyBorder="1" applyAlignment="1">
      <alignment horizontal="center" vertical="center" shrinkToFit="1"/>
    </xf>
    <xf numFmtId="0" fontId="26" fillId="0" borderId="40" xfId="11" applyNumberFormat="1" applyFont="1" applyFill="1" applyBorder="1" applyAlignment="1">
      <alignment horizontal="center" vertical="center" shrinkToFit="1"/>
    </xf>
    <xf numFmtId="166" fontId="32" fillId="0" borderId="39" xfId="12" applyNumberFormat="1" applyFont="1" applyFill="1" applyBorder="1" applyAlignment="1">
      <alignment horizontal="center" vertical="center" shrinkToFit="1"/>
    </xf>
    <xf numFmtId="166" fontId="32" fillId="0" borderId="40" xfId="12" applyNumberFormat="1" applyFont="1" applyFill="1" applyBorder="1" applyAlignment="1">
      <alignment horizontal="center" vertical="center" shrinkToFit="1"/>
    </xf>
    <xf numFmtId="0" fontId="26" fillId="0" borderId="39" xfId="8" applyNumberFormat="1" applyFont="1" applyFill="1" applyBorder="1" applyAlignment="1">
      <alignment horizontal="center" vertical="center" shrinkToFit="1"/>
    </xf>
    <xf numFmtId="0" fontId="26" fillId="0" borderId="40" xfId="8" applyNumberFormat="1" applyFont="1" applyFill="1" applyBorder="1" applyAlignment="1">
      <alignment horizontal="center" vertical="center" shrinkToFit="1"/>
    </xf>
    <xf numFmtId="0" fontId="60" fillId="0" borderId="39" xfId="0" applyFont="1" applyFill="1" applyBorder="1" applyAlignment="1">
      <alignment horizontal="center"/>
    </xf>
    <xf numFmtId="0" fontId="60" fillId="0" borderId="40" xfId="0" applyFont="1" applyFill="1" applyBorder="1" applyAlignment="1">
      <alignment horizontal="center"/>
    </xf>
    <xf numFmtId="166" fontId="33" fillId="0" borderId="39" xfId="8" applyNumberFormat="1" applyFont="1" applyFill="1" applyBorder="1" applyAlignment="1">
      <alignment horizontal="center" vertical="center" shrinkToFit="1"/>
    </xf>
    <xf numFmtId="166" fontId="33" fillId="0" borderId="40" xfId="8" applyNumberFormat="1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6" fontId="28" fillId="0" borderId="39" xfId="8" applyNumberFormat="1" applyFont="1" applyFill="1" applyBorder="1" applyAlignment="1">
      <alignment horizontal="center" vertical="center" shrinkToFit="1"/>
    </xf>
    <xf numFmtId="166" fontId="28" fillId="0" borderId="40" xfId="8" applyNumberFormat="1" applyFont="1" applyFill="1" applyBorder="1" applyAlignment="1">
      <alignment horizontal="center" vertical="center" shrinkToFit="1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166" fontId="35" fillId="0" borderId="39" xfId="8" applyNumberFormat="1" applyFont="1" applyFill="1" applyBorder="1" applyAlignment="1">
      <alignment horizontal="center" vertical="center" shrinkToFit="1"/>
    </xf>
    <xf numFmtId="166" fontId="35" fillId="0" borderId="40" xfId="8" applyNumberFormat="1" applyFont="1" applyFill="1" applyBorder="1" applyAlignment="1">
      <alignment horizontal="center" vertical="center" shrinkToFit="1"/>
    </xf>
    <xf numFmtId="166" fontId="24" fillId="0" borderId="39" xfId="8" applyNumberFormat="1" applyFont="1" applyFill="1" applyBorder="1" applyAlignment="1">
      <alignment horizontal="center" vertical="center" shrinkToFit="1"/>
    </xf>
    <xf numFmtId="166" fontId="24" fillId="0" borderId="40" xfId="8" applyNumberFormat="1" applyFont="1" applyFill="1" applyBorder="1" applyAlignment="1">
      <alignment horizontal="center" vertical="center" shrinkToFit="1"/>
    </xf>
    <xf numFmtId="166" fontId="24" fillId="0" borderId="41" xfId="8" applyNumberFormat="1" applyFont="1" applyFill="1" applyBorder="1" applyAlignment="1">
      <alignment horizontal="center" vertical="center" shrinkToFit="1"/>
    </xf>
    <xf numFmtId="0" fontId="0" fillId="2" borderId="42" xfId="9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166" fontId="24" fillId="0" borderId="43" xfId="8" applyNumberFormat="1" applyFont="1" applyFill="1" applyBorder="1" applyAlignment="1">
      <alignment horizontal="center" vertical="center" shrinkToFi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35" xfId="8" applyNumberFormat="1" applyFont="1" applyFill="1" applyBorder="1" applyAlignment="1">
      <alignment horizontal="center" vertical="center" shrinkToFit="1"/>
    </xf>
    <xf numFmtId="166" fontId="30" fillId="0" borderId="24" xfId="8" applyNumberFormat="1" applyFont="1" applyFill="1" applyBorder="1" applyAlignment="1">
      <alignment horizontal="center" vertical="center" shrinkToFit="1"/>
    </xf>
    <xf numFmtId="166" fontId="30" fillId="0" borderId="15" xfId="8" applyNumberFormat="1" applyFont="1" applyFill="1" applyBorder="1" applyAlignment="1">
      <alignment horizontal="center" vertical="center" shrinkToFit="1"/>
    </xf>
    <xf numFmtId="0" fontId="26" fillId="0" borderId="14" xfId="8" applyNumberFormat="1" applyFont="1" applyFill="1" applyBorder="1" applyAlignment="1">
      <alignment horizontal="center" vertical="center" shrinkToFit="1"/>
    </xf>
    <xf numFmtId="166" fontId="24" fillId="0" borderId="28" xfId="8" applyNumberFormat="1" applyFont="1" applyFill="1" applyBorder="1" applyAlignment="1">
      <alignment horizontal="center" vertical="center" shrinkToFit="1"/>
    </xf>
    <xf numFmtId="0" fontId="0" fillId="0" borderId="16" xfId="0" applyFill="1" applyBorder="1"/>
    <xf numFmtId="166" fontId="61" fillId="0" borderId="16" xfId="8" applyNumberFormat="1" applyFont="1" applyFill="1" applyBorder="1" applyAlignment="1">
      <alignment horizontal="center" vertical="center" shrinkToFit="1"/>
    </xf>
    <xf numFmtId="166" fontId="61" fillId="0" borderId="0" xfId="8" applyNumberFormat="1" applyFont="1" applyFill="1" applyBorder="1" applyAlignment="1">
      <alignment horizontal="center" vertical="center" shrinkToFit="1"/>
    </xf>
    <xf numFmtId="166" fontId="61" fillId="0" borderId="15" xfId="8" applyNumberFormat="1" applyFont="1" applyFill="1" applyBorder="1" applyAlignment="1">
      <alignment horizontal="center" vertical="center" shrinkToFit="1"/>
    </xf>
    <xf numFmtId="0" fontId="0" fillId="0" borderId="15" xfId="0" applyFill="1" applyBorder="1"/>
    <xf numFmtId="0" fontId="60" fillId="0" borderId="12" xfId="0" applyFont="1" applyFill="1" applyBorder="1" applyAlignment="1">
      <alignment horizontal="center"/>
    </xf>
    <xf numFmtId="166" fontId="26" fillId="0" borderId="12" xfId="11" applyNumberFormat="1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66" fontId="61" fillId="0" borderId="24" xfId="8" applyNumberFormat="1" applyFont="1" applyFill="1" applyBorder="1" applyAlignment="1">
      <alignment horizontal="center" vertical="center" shrinkToFit="1"/>
    </xf>
    <xf numFmtId="0" fontId="0" fillId="0" borderId="36" xfId="0" applyFill="1" applyBorder="1" applyAlignment="1">
      <alignment horizontal="center" vertical="center"/>
    </xf>
    <xf numFmtId="169" fontId="0" fillId="2" borderId="0" xfId="0" applyNumberFormat="1" applyFill="1" applyBorder="1" applyAlignment="1">
      <alignment vertical="top"/>
    </xf>
    <xf numFmtId="0" fontId="0" fillId="2" borderId="1" xfId="9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0" fillId="0" borderId="19" xfId="2" applyFont="1" applyFill="1" applyBorder="1" applyAlignment="1">
      <alignment horizontal="center"/>
    </xf>
    <xf numFmtId="166" fontId="21" fillId="0" borderId="17" xfId="6" applyNumberFormat="1" applyFont="1" applyFill="1" applyBorder="1" applyAlignment="1">
      <alignment horizontal="center" vertical="center" shrinkToFit="1"/>
    </xf>
    <xf numFmtId="166" fontId="12" fillId="0" borderId="0" xfId="2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67" fillId="5" borderId="17" xfId="0" applyFont="1" applyFill="1" applyBorder="1" applyAlignment="1">
      <alignment horizontal="center" vertical="center"/>
    </xf>
    <xf numFmtId="0" fontId="67" fillId="5" borderId="38" xfId="0" applyFont="1" applyFill="1" applyBorder="1" applyAlignment="1">
      <alignment horizontal="center" vertical="center"/>
    </xf>
    <xf numFmtId="0" fontId="68" fillId="2" borderId="31" xfId="0" applyFont="1" applyFill="1" applyBorder="1" applyAlignment="1">
      <alignment horizontal="center" vertical="center"/>
    </xf>
    <xf numFmtId="0" fontId="66" fillId="2" borderId="31" xfId="0" applyFont="1" applyFill="1" applyBorder="1" applyAlignment="1">
      <alignment horizontal="center" vertical="center"/>
    </xf>
    <xf numFmtId="0" fontId="68" fillId="0" borderId="18" xfId="0" applyFont="1" applyFill="1" applyBorder="1" applyAlignment="1">
      <alignment horizontal="center" vertical="center"/>
    </xf>
    <xf numFmtId="1" fontId="0" fillId="0" borderId="0" xfId="0" applyNumberFormat="1" applyFill="1"/>
    <xf numFmtId="0" fontId="26" fillId="0" borderId="23" xfId="8" applyNumberFormat="1" applyFont="1" applyFill="1" applyBorder="1" applyAlignment="1">
      <alignment horizontal="center" vertical="center" shrinkToFit="1"/>
    </xf>
    <xf numFmtId="0" fontId="26" fillId="0" borderId="21" xfId="11" applyNumberFormat="1" applyFont="1" applyFill="1" applyBorder="1" applyAlignment="1">
      <alignment horizontal="center" vertical="center" shrinkToFit="1"/>
    </xf>
    <xf numFmtId="0" fontId="26" fillId="0" borderId="0" xfId="8" applyNumberFormat="1" applyFont="1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34" fillId="0" borderId="0" xfId="12" quotePrefix="1" applyFont="1" applyFill="1" applyBorder="1" applyAlignment="1">
      <alignment horizontal="center" vertical="center"/>
    </xf>
    <xf numFmtId="166" fontId="32" fillId="0" borderId="21" xfId="8" applyNumberFormat="1" applyFont="1" applyFill="1" applyBorder="1" applyAlignment="1">
      <alignment horizontal="center" vertical="center" shrinkToFit="1"/>
    </xf>
    <xf numFmtId="0" fontId="60" fillId="0" borderId="2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166" fontId="28" fillId="0" borderId="21" xfId="8" applyNumberFormat="1" applyFont="1" applyFill="1" applyBorder="1" applyAlignment="1">
      <alignment horizontal="center" vertical="center" shrinkToFit="1"/>
    </xf>
    <xf numFmtId="0" fontId="34" fillId="0" borderId="21" xfId="12" quotePrefix="1" applyFont="1" applyFill="1" applyBorder="1" applyAlignment="1">
      <alignment horizontal="center" vertical="center"/>
    </xf>
    <xf numFmtId="0" fontId="0" fillId="0" borderId="0" xfId="0" applyFill="1" applyAlignment="1"/>
    <xf numFmtId="0" fontId="52" fillId="0" borderId="0" xfId="0" applyFont="1" applyFill="1" applyAlignment="1">
      <alignment horizontal="center" vertical="center"/>
    </xf>
    <xf numFmtId="0" fontId="0" fillId="0" borderId="24" xfId="9" applyFont="1" applyFill="1" applyBorder="1"/>
    <xf numFmtId="0" fontId="69" fillId="0" borderId="0" xfId="3" applyNumberFormat="1" applyFont="1" applyFill="1" applyBorder="1" applyAlignment="1">
      <alignment horizontal="center" vertical="center" shrinkToFit="1"/>
    </xf>
    <xf numFmtId="0" fontId="69" fillId="0" borderId="0" xfId="3" applyNumberFormat="1" applyFont="1" applyFill="1" applyBorder="1" applyAlignment="1">
      <alignment vertical="center" shrinkToFit="1"/>
    </xf>
    <xf numFmtId="0" fontId="69" fillId="0" borderId="0" xfId="5" applyNumberFormat="1" applyFont="1" applyFill="1" applyBorder="1" applyAlignment="1">
      <alignment vertical="center" shrinkToFit="1"/>
    </xf>
    <xf numFmtId="165" fontId="69" fillId="0" borderId="0" xfId="5" applyNumberFormat="1" applyFont="1" applyFill="1" applyBorder="1" applyAlignment="1">
      <alignment horizontal="center" vertical="center" shrinkToFit="1"/>
    </xf>
    <xf numFmtId="166" fontId="22" fillId="0" borderId="44" xfId="6" applyNumberFormat="1" applyFont="1" applyFill="1" applyBorder="1" applyAlignment="1">
      <alignment horizontal="center" vertical="center" shrinkToFit="1"/>
    </xf>
    <xf numFmtId="166" fontId="22" fillId="2" borderId="44" xfId="6" applyNumberFormat="1" applyFont="1" applyFill="1" applyBorder="1" applyAlignment="1">
      <alignment horizontal="center" vertical="center" shrinkToFit="1"/>
    </xf>
    <xf numFmtId="0" fontId="24" fillId="0" borderId="45" xfId="6" applyNumberFormat="1" applyFont="1" applyFill="1" applyBorder="1" applyAlignment="1">
      <alignment horizontal="center" vertical="center" shrinkToFit="1"/>
    </xf>
    <xf numFmtId="0" fontId="22" fillId="0" borderId="46" xfId="6" applyNumberFormat="1" applyFont="1" applyFill="1" applyBorder="1" applyAlignment="1">
      <alignment horizontal="center" vertical="center" shrinkToFit="1"/>
    </xf>
    <xf numFmtId="0" fontId="22" fillId="2" borderId="44" xfId="6" applyNumberFormat="1" applyFont="1" applyFill="1" applyBorder="1" applyAlignment="1">
      <alignment horizontal="center" vertical="center" shrinkToFit="1"/>
    </xf>
    <xf numFmtId="0" fontId="24" fillId="0" borderId="47" xfId="6" applyNumberFormat="1" applyFont="1" applyFill="1" applyBorder="1" applyAlignment="1">
      <alignment horizontal="center" vertical="center" shrinkToFit="1"/>
    </xf>
    <xf numFmtId="0" fontId="0" fillId="0" borderId="48" xfId="2" applyFont="1" applyFill="1" applyBorder="1" applyAlignment="1">
      <alignment horizontal="center"/>
    </xf>
    <xf numFmtId="0" fontId="0" fillId="2" borderId="48" xfId="2" applyFont="1" applyFill="1" applyBorder="1" applyAlignment="1">
      <alignment horizontal="center"/>
    </xf>
    <xf numFmtId="0" fontId="24" fillId="2" borderId="49" xfId="8" applyFont="1" applyFill="1" applyBorder="1" applyAlignment="1">
      <alignment horizontal="center" vertical="center" shrinkToFit="1"/>
    </xf>
    <xf numFmtId="0" fontId="27" fillId="0" borderId="0" xfId="10" applyFont="1" applyFill="1" applyBorder="1" applyAlignment="1">
      <alignment horizontal="center" vertical="center"/>
    </xf>
    <xf numFmtId="0" fontId="0" fillId="0" borderId="0" xfId="14" applyFont="1" applyFill="1" applyBorder="1" applyAlignment="1">
      <alignment horizontal="center" vertical="center"/>
    </xf>
    <xf numFmtId="167" fontId="0" fillId="0" borderId="48" xfId="9" applyNumberFormat="1" applyFont="1" applyBorder="1"/>
    <xf numFmtId="0" fontId="24" fillId="0" borderId="10" xfId="8" applyFont="1" applyFill="1" applyBorder="1" applyAlignment="1">
      <alignment horizontal="center" vertical="center" shrinkToFit="1"/>
    </xf>
    <xf numFmtId="0" fontId="24" fillId="2" borderId="45" xfId="6" applyNumberFormat="1" applyFont="1" applyFill="1" applyBorder="1" applyAlignment="1">
      <alignment horizontal="center" vertical="center" shrinkToFit="1"/>
    </xf>
    <xf numFmtId="0" fontId="22" fillId="0" borderId="44" xfId="6" applyNumberFormat="1" applyFont="1" applyFill="1" applyBorder="1" applyAlignment="1">
      <alignment horizontal="center" vertical="center" shrinkToFit="1"/>
    </xf>
    <xf numFmtId="0" fontId="22" fillId="0" borderId="50" xfId="6" applyNumberFormat="1" applyFont="1" applyFill="1" applyBorder="1" applyAlignment="1">
      <alignment horizontal="center" vertical="center" shrinkToFit="1"/>
    </xf>
    <xf numFmtId="0" fontId="0" fillId="0" borderId="49" xfId="0" applyFill="1" applyBorder="1"/>
    <xf numFmtId="0" fontId="24" fillId="0" borderId="12" xfId="8" applyFont="1" applyFill="1" applyBorder="1" applyAlignment="1">
      <alignment horizontal="center" vertical="center" shrinkToFit="1"/>
    </xf>
    <xf numFmtId="0" fontId="68" fillId="0" borderId="18" xfId="0" applyFont="1" applyFill="1" applyBorder="1" applyAlignment="1">
      <alignment horizontal="center" vertical="center" shrinkToFit="1"/>
    </xf>
    <xf numFmtId="0" fontId="68" fillId="2" borderId="31" xfId="0" applyFont="1" applyFill="1" applyBorder="1" applyAlignment="1">
      <alignment horizontal="center" vertical="center" shrinkToFit="1"/>
    </xf>
    <xf numFmtId="0" fontId="66" fillId="2" borderId="31" xfId="0" applyFont="1" applyFill="1" applyBorder="1" applyAlignment="1">
      <alignment horizontal="center" vertical="center" shrinkToFit="1"/>
    </xf>
    <xf numFmtId="0" fontId="68" fillId="2" borderId="15" xfId="0" applyFont="1" applyFill="1" applyBorder="1" applyAlignment="1">
      <alignment horizontal="center" vertical="center" shrinkToFit="1"/>
    </xf>
    <xf numFmtId="0" fontId="72" fillId="0" borderId="0" xfId="0" applyFont="1"/>
    <xf numFmtId="0" fontId="26" fillId="0" borderId="49" xfId="8" applyNumberFormat="1" applyFont="1" applyFill="1" applyBorder="1" applyAlignment="1">
      <alignment horizontal="center" vertical="center" shrinkToFit="1"/>
    </xf>
    <xf numFmtId="0" fontId="26" fillId="0" borderId="51" xfId="8" applyNumberFormat="1" applyFont="1" applyFill="1" applyBorder="1" applyAlignment="1">
      <alignment horizontal="center" vertical="center" shrinkToFit="1"/>
    </xf>
    <xf numFmtId="0" fontId="0" fillId="2" borderId="49" xfId="9" applyFont="1" applyFill="1" applyBorder="1"/>
    <xf numFmtId="166" fontId="61" fillId="0" borderId="21" xfId="8" applyNumberFormat="1" applyFont="1" applyFill="1" applyBorder="1" applyAlignment="1">
      <alignment horizontal="center" vertical="center" shrinkToFit="1"/>
    </xf>
    <xf numFmtId="0" fontId="0" fillId="0" borderId="21" xfId="9" applyFont="1" applyFill="1" applyBorder="1"/>
    <xf numFmtId="0" fontId="36" fillId="10" borderId="27" xfId="17" applyNumberFormat="1" applyFont="1" applyFill="1" applyBorder="1" applyAlignment="1">
      <alignment horizontal="center" vertical="center" shrinkToFit="1"/>
    </xf>
    <xf numFmtId="0" fontId="0" fillId="0" borderId="20" xfId="0" applyFill="1" applyBorder="1"/>
    <xf numFmtId="166" fontId="61" fillId="0" borderId="12" xfId="8" applyNumberFormat="1" applyFont="1" applyFill="1" applyBorder="1" applyAlignment="1">
      <alignment horizontal="center" vertical="center" shrinkToFit="1"/>
    </xf>
    <xf numFmtId="1" fontId="0" fillId="0" borderId="0" xfId="0" applyNumberFormat="1"/>
    <xf numFmtId="0" fontId="26" fillId="11" borderId="10" xfId="8" applyNumberFormat="1" applyFont="1" applyFill="1" applyBorder="1" applyAlignment="1">
      <alignment horizontal="center" vertical="center" shrinkToFit="1"/>
    </xf>
    <xf numFmtId="0" fontId="26" fillId="11" borderId="0" xfId="11" applyNumberFormat="1" applyFont="1" applyFill="1" applyBorder="1" applyAlignment="1">
      <alignment horizontal="center" vertical="center" shrinkToFit="1"/>
    </xf>
    <xf numFmtId="166" fontId="32" fillId="11" borderId="0" xfId="8" applyNumberFormat="1" applyFont="1" applyFill="1" applyBorder="1" applyAlignment="1">
      <alignment horizontal="center" vertical="center" shrinkToFit="1"/>
    </xf>
    <xf numFmtId="166" fontId="32" fillId="11" borderId="0" xfId="12" applyNumberFormat="1" applyFont="1" applyFill="1" applyBorder="1" applyAlignment="1">
      <alignment horizontal="center" vertical="center" shrinkToFit="1"/>
    </xf>
    <xf numFmtId="0" fontId="26" fillId="11" borderId="0" xfId="8" applyNumberFormat="1" applyFont="1" applyFill="1" applyBorder="1" applyAlignment="1">
      <alignment horizontal="center" vertical="center" shrinkToFit="1"/>
    </xf>
    <xf numFmtId="0" fontId="60" fillId="11" borderId="0" xfId="0" applyFont="1" applyFill="1" applyBorder="1" applyAlignment="1">
      <alignment horizontal="center"/>
    </xf>
    <xf numFmtId="166" fontId="33" fillId="11" borderId="0" xfId="8" applyNumberFormat="1" applyFont="1" applyFill="1" applyBorder="1" applyAlignment="1">
      <alignment horizontal="center" vertical="center" shrinkToFit="1"/>
    </xf>
    <xf numFmtId="0" fontId="0" fillId="11" borderId="0" xfId="0" applyFill="1" applyBorder="1" applyAlignment="1">
      <alignment horizontal="center"/>
    </xf>
    <xf numFmtId="166" fontId="28" fillId="11" borderId="0" xfId="8" applyNumberFormat="1" applyFont="1" applyFill="1" applyBorder="1" applyAlignment="1">
      <alignment horizontal="center" vertical="center" shrinkToFit="1"/>
    </xf>
    <xf numFmtId="0" fontId="0" fillId="11" borderId="0" xfId="0" applyFill="1" applyBorder="1" applyAlignment="1">
      <alignment horizontal="center" vertical="center"/>
    </xf>
    <xf numFmtId="0" fontId="34" fillId="11" borderId="0" xfId="12" quotePrefix="1" applyFont="1" applyFill="1" applyBorder="1" applyAlignment="1">
      <alignment horizontal="center" vertical="center"/>
    </xf>
    <xf numFmtId="166" fontId="35" fillId="11" borderId="0" xfId="8" applyNumberFormat="1" applyFont="1" applyFill="1" applyBorder="1" applyAlignment="1">
      <alignment horizontal="center" vertical="center" shrinkToFit="1"/>
    </xf>
    <xf numFmtId="166" fontId="24" fillId="11" borderId="0" xfId="8" applyNumberFormat="1" applyFont="1" applyFill="1" applyBorder="1" applyAlignment="1">
      <alignment horizontal="center" vertical="center" shrinkToFit="1"/>
    </xf>
    <xf numFmtId="0" fontId="73" fillId="0" borderId="0" xfId="0" applyFont="1" applyFill="1" applyBorder="1" applyAlignment="1">
      <alignment horizontal="center"/>
    </xf>
    <xf numFmtId="0" fontId="74" fillId="0" borderId="0" xfId="44" applyFont="1" applyFill="1" applyBorder="1" applyAlignment="1"/>
    <xf numFmtId="166" fontId="26" fillId="0" borderId="16" xfId="8" applyNumberFormat="1" applyFont="1" applyFill="1" applyBorder="1" applyAlignment="1">
      <alignment horizontal="center" vertical="center" shrinkToFit="1"/>
    </xf>
    <xf numFmtId="166" fontId="32" fillId="0" borderId="16" xfId="8" applyNumberFormat="1" applyFont="1" applyFill="1" applyBorder="1" applyAlignment="1">
      <alignment horizontal="center" vertical="center" shrinkToFit="1"/>
    </xf>
    <xf numFmtId="0" fontId="0" fillId="0" borderId="16" xfId="0" applyFill="1" applyBorder="1" applyAlignment="1"/>
    <xf numFmtId="0" fontId="73" fillId="0" borderId="16" xfId="0" applyFont="1" applyFill="1" applyBorder="1" applyAlignment="1">
      <alignment horizontal="center"/>
    </xf>
    <xf numFmtId="0" fontId="29" fillId="2" borderId="16" xfId="0" applyFont="1" applyFill="1" applyBorder="1" applyAlignment="1">
      <alignment vertical="top"/>
    </xf>
    <xf numFmtId="166" fontId="34" fillId="0" borderId="16" xfId="12" applyNumberFormat="1" applyFont="1" applyFill="1" applyBorder="1" applyAlignment="1">
      <alignment horizontal="center" vertical="center" shrinkToFit="1"/>
    </xf>
    <xf numFmtId="166" fontId="61" fillId="0" borderId="16" xfId="46" quotePrefix="1" applyNumberFormat="1" applyFont="1" applyFill="1" applyBorder="1" applyAlignment="1">
      <alignment horizontal="center" vertical="center" shrinkToFit="1"/>
    </xf>
    <xf numFmtId="166" fontId="26" fillId="0" borderId="18" xfId="8" applyNumberFormat="1" applyFont="1" applyFill="1" applyBorder="1" applyAlignment="1">
      <alignment horizontal="center" vertical="center" shrinkToFit="1"/>
    </xf>
    <xf numFmtId="0" fontId="29" fillId="0" borderId="52" xfId="0" applyFont="1" applyBorder="1" applyAlignment="1">
      <alignment horizontal="center" vertical="center"/>
    </xf>
    <xf numFmtId="0" fontId="75" fillId="2" borderId="21" xfId="0" applyFont="1" applyFill="1" applyBorder="1" applyAlignment="1">
      <alignment vertical="center"/>
    </xf>
    <xf numFmtId="166" fontId="35" fillId="2" borderId="0" xfId="8" applyNumberFormat="1" applyFont="1" applyFill="1" applyBorder="1" applyAlignment="1">
      <alignment horizontal="center" vertical="center" shrinkToFit="1"/>
    </xf>
    <xf numFmtId="166" fontId="61" fillId="2" borderId="0" xfId="8" applyNumberFormat="1" applyFont="1" applyFill="1" applyBorder="1" applyAlignment="1">
      <alignment horizontal="center" vertical="center" shrinkToFit="1"/>
    </xf>
    <xf numFmtId="0" fontId="56" fillId="0" borderId="0" xfId="0" applyFont="1" applyFill="1" applyBorder="1" applyAlignment="1">
      <alignment horizontal="center" vertical="top"/>
    </xf>
    <xf numFmtId="0" fontId="53" fillId="0" borderId="0" xfId="0" applyFont="1" applyFill="1" applyBorder="1" applyAlignment="1">
      <alignment vertical="center"/>
    </xf>
    <xf numFmtId="0" fontId="0" fillId="0" borderId="0" xfId="47" applyFont="1" applyFill="1" applyBorder="1"/>
    <xf numFmtId="166" fontId="58" fillId="0" borderId="0" xfId="0" applyNumberFormat="1" applyFont="1" applyFill="1" applyBorder="1" applyAlignment="1">
      <alignment horizontal="center" vertical="top"/>
    </xf>
    <xf numFmtId="0" fontId="24" fillId="0" borderId="20" xfId="8" applyFont="1" applyFill="1" applyBorder="1" applyAlignment="1">
      <alignment horizontal="center" vertical="center" shrinkToFit="1"/>
    </xf>
    <xf numFmtId="0" fontId="49" fillId="0" borderId="12" xfId="10" applyFont="1" applyFill="1" applyBorder="1" applyAlignment="1">
      <alignment horizontal="center" vertical="center"/>
    </xf>
    <xf numFmtId="166" fontId="30" fillId="0" borderId="12" xfId="12" applyNumberFormat="1" applyFont="1" applyFill="1" applyBorder="1" applyAlignment="1">
      <alignment horizontal="center" vertical="center"/>
    </xf>
    <xf numFmtId="0" fontId="31" fillId="0" borderId="12" xfId="13" applyFont="1" applyFill="1" applyBorder="1" applyAlignment="1">
      <alignment horizontal="center" vertical="center" shrinkToFit="1"/>
    </xf>
    <xf numFmtId="0" fontId="0" fillId="0" borderId="12" xfId="10" applyFont="1" applyFill="1" applyBorder="1" applyAlignment="1">
      <alignment horizontal="center" vertical="center"/>
    </xf>
    <xf numFmtId="0" fontId="50" fillId="0" borderId="12" xfId="14" applyFont="1" applyFill="1" applyBorder="1" applyAlignment="1">
      <alignment horizontal="center" vertical="center"/>
    </xf>
    <xf numFmtId="166" fontId="32" fillId="0" borderId="12" xfId="12" applyNumberFormat="1" applyFont="1" applyFill="1" applyBorder="1" applyAlignment="1">
      <alignment horizontal="center" vertical="center"/>
    </xf>
    <xf numFmtId="1" fontId="24" fillId="0" borderId="12" xfId="8" applyNumberFormat="1" applyFont="1" applyFill="1" applyBorder="1" applyAlignment="1">
      <alignment horizontal="center" vertical="center" shrinkToFit="1"/>
    </xf>
    <xf numFmtId="0" fontId="0" fillId="0" borderId="12" xfId="15" applyFont="1" applyFill="1" applyBorder="1" applyAlignment="1">
      <alignment horizontal="center" vertical="center"/>
    </xf>
    <xf numFmtId="0" fontId="26" fillId="0" borderId="12" xfId="12" applyFont="1" applyFill="1" applyBorder="1" applyAlignment="1">
      <alignment horizontal="center" vertical="center"/>
    </xf>
    <xf numFmtId="166" fontId="58" fillId="0" borderId="0" xfId="0" applyNumberFormat="1" applyFont="1" applyFill="1" applyAlignment="1">
      <alignment horizontal="center" vertical="top"/>
    </xf>
    <xf numFmtId="166" fontId="32" fillId="2" borderId="0" xfId="8" applyNumberFormat="1" applyFont="1" applyFill="1" applyBorder="1" applyAlignment="1">
      <alignment horizontal="center" vertical="center" shrinkToFit="1"/>
    </xf>
    <xf numFmtId="0" fontId="26" fillId="2" borderId="14" xfId="8" applyNumberFormat="1" applyFont="1" applyFill="1" applyBorder="1" applyAlignment="1">
      <alignment horizontal="center" vertical="center" shrinkToFit="1"/>
    </xf>
    <xf numFmtId="0" fontId="26" fillId="2" borderId="28" xfId="11" applyNumberFormat="1" applyFont="1" applyFill="1" applyBorder="1" applyAlignment="1">
      <alignment horizontal="center" vertical="center" shrinkToFit="1"/>
    </xf>
    <xf numFmtId="0" fontId="26" fillId="2" borderId="28" xfId="8" applyNumberFormat="1" applyFont="1" applyFill="1" applyBorder="1" applyAlignment="1">
      <alignment horizontal="center" vertical="center" shrinkToFit="1"/>
    </xf>
    <xf numFmtId="166" fontId="32" fillId="2" borderId="28" xfId="12" applyNumberFormat="1" applyFont="1" applyFill="1" applyBorder="1" applyAlignment="1">
      <alignment horizontal="center" vertical="center" shrinkToFit="1"/>
    </xf>
    <xf numFmtId="166" fontId="61" fillId="2" borderId="28" xfId="8" applyNumberFormat="1" applyFont="1" applyFill="1" applyBorder="1" applyAlignment="1">
      <alignment horizontal="center" vertical="center" shrinkToFit="1"/>
    </xf>
    <xf numFmtId="166" fontId="33" fillId="2" borderId="28" xfId="8" applyNumberFormat="1" applyFont="1" applyFill="1" applyBorder="1" applyAlignment="1">
      <alignment horizontal="center" vertical="center" shrinkToFit="1"/>
    </xf>
    <xf numFmtId="0" fontId="0" fillId="2" borderId="28" xfId="0" applyFill="1" applyBorder="1"/>
    <xf numFmtId="0" fontId="0" fillId="2" borderId="28" xfId="0" applyFill="1" applyBorder="1" applyAlignment="1">
      <alignment horizontal="center" vertical="center"/>
    </xf>
    <xf numFmtId="166" fontId="35" fillId="2" borderId="28" xfId="8" applyNumberFormat="1" applyFont="1" applyFill="1" applyBorder="1" applyAlignment="1">
      <alignment horizontal="center" vertical="center" shrinkToFit="1"/>
    </xf>
    <xf numFmtId="166" fontId="24" fillId="2" borderId="29" xfId="8" applyNumberFormat="1" applyFont="1" applyFill="1" applyBorder="1" applyAlignment="1">
      <alignment horizontal="center" vertical="center" shrinkToFit="1"/>
    </xf>
    <xf numFmtId="44" fontId="51" fillId="0" borderId="0" xfId="1" applyFont="1" applyFill="1" applyBorder="1" applyAlignment="1">
      <alignment horizontal="left" vertical="center"/>
    </xf>
    <xf numFmtId="0" fontId="18" fillId="0" borderId="0" xfId="5" applyNumberFormat="1" applyFont="1" applyFill="1" applyBorder="1" applyAlignment="1">
      <alignment horizontal="center" vertical="center" shrinkToFit="1"/>
    </xf>
    <xf numFmtId="165" fontId="19" fillId="0" borderId="1" xfId="5" applyNumberFormat="1" applyFont="1" applyFill="1" applyBorder="1" applyAlignment="1">
      <alignment horizontal="center" vertical="center" shrinkToFit="1"/>
    </xf>
    <xf numFmtId="0" fontId="23" fillId="0" borderId="19" xfId="7" applyFont="1" applyFill="1" applyBorder="1" applyAlignment="1">
      <alignment horizontal="center" vertical="center"/>
    </xf>
    <xf numFmtId="0" fontId="23" fillId="0" borderId="18" xfId="7" applyFont="1" applyFill="1" applyBorder="1" applyAlignment="1">
      <alignment horizontal="center" vertical="center"/>
    </xf>
    <xf numFmtId="44" fontId="51" fillId="0" borderId="0" xfId="1" applyFont="1" applyFill="1" applyBorder="1" applyAlignment="1">
      <alignment vertical="center"/>
    </xf>
    <xf numFmtId="0" fontId="14" fillId="0" borderId="0" xfId="5" applyNumberFormat="1" applyFont="1" applyFill="1" applyBorder="1" applyAlignment="1">
      <alignment horizontal="center" vertical="center" shrinkToFit="1"/>
    </xf>
    <xf numFmtId="165" fontId="19" fillId="0" borderId="0" xfId="5" applyNumberFormat="1" applyFont="1" applyFill="1" applyBorder="1" applyAlignment="1">
      <alignment horizontal="center" vertical="center" shrinkToFit="1"/>
    </xf>
    <xf numFmtId="0" fontId="23" fillId="0" borderId="17" xfId="7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0" borderId="1" xfId="5" applyNumberFormat="1" applyFont="1" applyFill="1" applyBorder="1" applyAlignment="1">
      <alignment horizontal="center" vertical="center" shrinkToFit="1"/>
    </xf>
    <xf numFmtId="0" fontId="70" fillId="0" borderId="0" xfId="5" applyNumberFormat="1" applyFont="1" applyFill="1" applyBorder="1" applyAlignment="1">
      <alignment horizontal="center" vertical="center" shrinkToFit="1"/>
    </xf>
    <xf numFmtId="165" fontId="71" fillId="0" borderId="1" xfId="5" applyNumberFormat="1" applyFont="1" applyFill="1" applyBorder="1" applyAlignment="1">
      <alignment horizontal="center" vertical="center" shrinkToFit="1"/>
    </xf>
  </cellXfs>
  <cellStyles count="49">
    <cellStyle name="_A201 21 28" xfId="8"/>
    <cellStyle name="Comma" xfId="48" builtinId="3"/>
    <cellStyle name="Comma 2" xfId="29"/>
    <cellStyle name="Currency" xfId="1" builtinId="4"/>
    <cellStyle name="Normal" xfId="0" builtinId="0"/>
    <cellStyle name="Normal 100 2" xfId="44"/>
    <cellStyle name="Normal 11" xfId="24"/>
    <cellStyle name="Normal 142" xfId="43"/>
    <cellStyle name="Normal 18" xfId="45"/>
    <cellStyle name="Normal 2" xfId="25"/>
    <cellStyle name="Normal 2 2" xfId="18"/>
    <cellStyle name="Normal 2 3" xfId="35"/>
    <cellStyle name="Normal 2 7" xfId="36"/>
    <cellStyle name="Normal 3" xfId="26"/>
    <cellStyle name="Normal 3 2" xfId="37"/>
    <cellStyle name="Normal 4" xfId="27"/>
    <cellStyle name="Normal 4 2" xfId="38"/>
    <cellStyle name="Normal 48" xfId="9"/>
    <cellStyle name="Normal 48 2" xfId="47"/>
    <cellStyle name="Normal 5" xfId="30"/>
    <cellStyle name="Normal 5 2" xfId="39"/>
    <cellStyle name="Normal 6" xfId="31"/>
    <cellStyle name="Normal 6 2" xfId="40"/>
    <cellStyle name="Normal 7" xfId="32"/>
    <cellStyle name="Normal 7 2" xfId="41"/>
    <cellStyle name="Normal 73" xfId="23"/>
    <cellStyle name="Normal 75" xfId="28"/>
    <cellStyle name="Normal 8" xfId="34"/>
    <cellStyle name="Normal 80" xfId="33"/>
    <cellStyle name="Normal 9" xfId="42"/>
    <cellStyle name="Normal_2012 年 Vinh Long Order list- 0601" xfId="14"/>
    <cellStyle name="Normal_A1 LEAN  5-25 _A2 01 8-29 2" xfId="13"/>
    <cellStyle name="Normal_A1 TONG   1-6" xfId="4"/>
    <cellStyle name="Normal_A1LEAN01" xfId="22"/>
    <cellStyle name="Normal_A2 01 2" xfId="15"/>
    <cellStyle name="Normal_A2 成  01  課_A201_A2  02  8-17 2" xfId="7"/>
    <cellStyle name="Normal_A2_B1~1 3-15" xfId="20"/>
    <cellStyle name="Normal_A201 2" xfId="2"/>
    <cellStyle name="Normal_Book1_A1LEAN~1 11-22_A1LEAN~1  12-22 (1)_a1 moi 2-23" xfId="46"/>
    <cellStyle name="Normal_LEAN A2 針車 --成型 06-08_a2 moi2-23" xfId="12"/>
    <cellStyle name="Normal_針車大排程08-25_10-1" xfId="21"/>
    <cellStyle name="Style 1" xfId="10"/>
    <cellStyle name="Style 1 2" xfId="11"/>
    <cellStyle name="一般_11月_A2生產 進度表－0905" xfId="17"/>
    <cellStyle name="一般_11月_A2生產 進度表－0905_10-1" xfId="19"/>
    <cellStyle name="一般_11月_A2生產 進度表－0905_A1 TONG   11-28_A1 TONG   12-20" xfId="16"/>
    <cellStyle name="一般_11月_A2生產 進度表－0905_TDGO 9-18_A13~5C~1 mai 2" xfId="3"/>
    <cellStyle name="一般_11月_A2生產 進度表－0905_TDGO 9-18_A13~5C~1 mai_A1 TONG   11-28_A1 TONG   12-20" xfId="5"/>
    <cellStyle name="一般_11月_A2生產 進度表－0905_TDGO 9-18_億春A1廠3~5月份CONVERSE生產進度表03-26" xfId="6"/>
  </cellStyles>
  <dxfs count="55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101600</xdr:colOff>
      <xdr:row>188</xdr:row>
      <xdr:rowOff>177800</xdr:rowOff>
    </xdr:from>
    <xdr:to>
      <xdr:col>32</xdr:col>
      <xdr:colOff>495300</xdr:colOff>
      <xdr:row>206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6913225" y="37877750"/>
          <a:ext cx="393700" cy="31283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187</xdr:row>
      <xdr:rowOff>88900</xdr:rowOff>
    </xdr:from>
    <xdr:to>
      <xdr:col>0</xdr:col>
      <xdr:colOff>393700</xdr:colOff>
      <xdr:row>204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7607875"/>
          <a:ext cx="393700" cy="311244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32</xdr:col>
      <xdr:colOff>76200</xdr:colOff>
      <xdr:row>132</xdr:row>
      <xdr:rowOff>0</xdr:rowOff>
    </xdr:from>
    <xdr:to>
      <xdr:col>32</xdr:col>
      <xdr:colOff>469900</xdr:colOff>
      <xdr:row>149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6887825" y="266319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393700</xdr:colOff>
      <xdr:row>31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5125700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32</xdr:col>
      <xdr:colOff>88900</xdr:colOff>
      <xdr:row>12</xdr:row>
      <xdr:rowOff>0</xdr:rowOff>
    </xdr:from>
    <xdr:to>
      <xdr:col>32</xdr:col>
      <xdr:colOff>482600</xdr:colOff>
      <xdr:row>29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6900525" y="147447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393700</xdr:colOff>
      <xdr:row>85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2181225"/>
          <a:ext cx="393700" cy="33600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32</xdr:col>
      <xdr:colOff>101600</xdr:colOff>
      <xdr:row>68</xdr:row>
      <xdr:rowOff>165100</xdr:rowOff>
    </xdr:from>
    <xdr:to>
      <xdr:col>32</xdr:col>
      <xdr:colOff>495300</xdr:colOff>
      <xdr:row>86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6913225" y="2346325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130</xdr:row>
      <xdr:rowOff>127000</xdr:rowOff>
    </xdr:from>
    <xdr:to>
      <xdr:col>0</xdr:col>
      <xdr:colOff>393700</xdr:colOff>
      <xdr:row>147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6368375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6</xdr:col>
      <xdr:colOff>111331</xdr:colOff>
      <xdr:row>70</xdr:row>
      <xdr:rowOff>185552</xdr:rowOff>
    </xdr:from>
    <xdr:to>
      <xdr:col>6</xdr:col>
      <xdr:colOff>325643</xdr:colOff>
      <xdr:row>71</xdr:row>
      <xdr:rowOff>168786</xdr:rowOff>
    </xdr:to>
    <xdr:sp macro="" textlink="">
      <xdr:nvSpPr>
        <xdr:cNvPr id="10" name="5-Point Star 9"/>
        <xdr:cNvSpPr/>
      </xdr:nvSpPr>
      <xdr:spPr>
        <a:xfrm>
          <a:off x="593766" y="2560617"/>
          <a:ext cx="214312" cy="18115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247403</xdr:colOff>
      <xdr:row>70</xdr:row>
      <xdr:rowOff>185552</xdr:rowOff>
    </xdr:from>
    <xdr:to>
      <xdr:col>6</xdr:col>
      <xdr:colOff>461715</xdr:colOff>
      <xdr:row>71</xdr:row>
      <xdr:rowOff>168786</xdr:rowOff>
    </xdr:to>
    <xdr:sp macro="" textlink="">
      <xdr:nvSpPr>
        <xdr:cNvPr id="11" name="5-Point Star 10"/>
        <xdr:cNvSpPr/>
      </xdr:nvSpPr>
      <xdr:spPr>
        <a:xfrm>
          <a:off x="729838" y="2560617"/>
          <a:ext cx="214312" cy="18115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57150</xdr:colOff>
      <xdr:row>145</xdr:row>
      <xdr:rowOff>19050</xdr:rowOff>
    </xdr:from>
    <xdr:to>
      <xdr:col>27</xdr:col>
      <xdr:colOff>271462</xdr:colOff>
      <xdr:row>146</xdr:row>
      <xdr:rowOff>2284</xdr:rowOff>
    </xdr:to>
    <xdr:sp macro="" textlink="">
      <xdr:nvSpPr>
        <xdr:cNvPr id="12" name="5-Point Star 11"/>
        <xdr:cNvSpPr/>
      </xdr:nvSpPr>
      <xdr:spPr>
        <a:xfrm>
          <a:off x="742950" y="28736925"/>
          <a:ext cx="214312" cy="183259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228600</xdr:colOff>
      <xdr:row>144</xdr:row>
      <xdr:rowOff>190500</xdr:rowOff>
    </xdr:from>
    <xdr:to>
      <xdr:col>27</xdr:col>
      <xdr:colOff>442912</xdr:colOff>
      <xdr:row>145</xdr:row>
      <xdr:rowOff>173734</xdr:rowOff>
    </xdr:to>
    <xdr:sp macro="" textlink="">
      <xdr:nvSpPr>
        <xdr:cNvPr id="13" name="5-Point Star 12"/>
        <xdr:cNvSpPr/>
      </xdr:nvSpPr>
      <xdr:spPr>
        <a:xfrm>
          <a:off x="914400" y="28708350"/>
          <a:ext cx="214312" cy="183259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596747</xdr:colOff>
      <xdr:row>211</xdr:row>
      <xdr:rowOff>68856</xdr:rowOff>
    </xdr:from>
    <xdr:to>
      <xdr:col>29</xdr:col>
      <xdr:colOff>539368</xdr:colOff>
      <xdr:row>214</xdr:row>
      <xdr:rowOff>137711</xdr:rowOff>
    </xdr:to>
    <xdr:cxnSp macro="">
      <xdr:nvCxnSpPr>
        <xdr:cNvPr id="15" name="Straight Arrow Connector 14"/>
        <xdr:cNvCxnSpPr/>
      </xdr:nvCxnSpPr>
      <xdr:spPr>
        <a:xfrm>
          <a:off x="15412139" y="41818193"/>
          <a:ext cx="550843" cy="6196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337265</xdr:colOff>
      <xdr:row>214</xdr:row>
      <xdr:rowOff>110718</xdr:rowOff>
    </xdr:from>
    <xdr:ext cx="2171493" cy="937629"/>
    <xdr:sp macro="" textlink="">
      <xdr:nvSpPr>
        <xdr:cNvPr id="16" name="Rectangle 15"/>
        <xdr:cNvSpPr/>
      </xdr:nvSpPr>
      <xdr:spPr>
        <a:xfrm>
          <a:off x="14544434" y="42410899"/>
          <a:ext cx="217149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lumMod val="7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REVISE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101600</xdr:colOff>
      <xdr:row>188</xdr:row>
      <xdr:rowOff>177800</xdr:rowOff>
    </xdr:from>
    <xdr:to>
      <xdr:col>32</xdr:col>
      <xdr:colOff>495300</xdr:colOff>
      <xdr:row>206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7275175" y="38363525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187</xdr:row>
      <xdr:rowOff>88900</xdr:rowOff>
    </xdr:from>
    <xdr:to>
      <xdr:col>0</xdr:col>
      <xdr:colOff>393700</xdr:colOff>
      <xdr:row>204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8074600"/>
          <a:ext cx="393700" cy="33315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32</xdr:col>
      <xdr:colOff>76200</xdr:colOff>
      <xdr:row>132</xdr:row>
      <xdr:rowOff>0</xdr:rowOff>
    </xdr:from>
    <xdr:to>
      <xdr:col>32</xdr:col>
      <xdr:colOff>469900</xdr:colOff>
      <xdr:row>149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7249775" y="27079575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393700</xdr:colOff>
      <xdr:row>31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5573375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32</xdr:col>
      <xdr:colOff>88900</xdr:colOff>
      <xdr:row>12</xdr:row>
      <xdr:rowOff>0</xdr:rowOff>
    </xdr:from>
    <xdr:to>
      <xdr:col>32</xdr:col>
      <xdr:colOff>482600</xdr:colOff>
      <xdr:row>29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7262475" y="15192375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393700</xdr:colOff>
      <xdr:row>85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2524125"/>
          <a:ext cx="393700" cy="33600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32</xdr:col>
      <xdr:colOff>101600</xdr:colOff>
      <xdr:row>68</xdr:row>
      <xdr:rowOff>165100</xdr:rowOff>
    </xdr:from>
    <xdr:to>
      <xdr:col>32</xdr:col>
      <xdr:colOff>495300</xdr:colOff>
      <xdr:row>86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7275175" y="2689225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130</xdr:row>
      <xdr:rowOff>127000</xdr:rowOff>
    </xdr:from>
    <xdr:to>
      <xdr:col>0</xdr:col>
      <xdr:colOff>393700</xdr:colOff>
      <xdr:row>147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6816050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8</xdr:col>
      <xdr:colOff>155348</xdr:colOff>
      <xdr:row>130</xdr:row>
      <xdr:rowOff>170089</xdr:rowOff>
    </xdr:from>
    <xdr:to>
      <xdr:col>8</xdr:col>
      <xdr:colOff>476817</xdr:colOff>
      <xdr:row>131</xdr:row>
      <xdr:rowOff>193902</xdr:rowOff>
    </xdr:to>
    <xdr:sp macro="" textlink="">
      <xdr:nvSpPr>
        <xdr:cNvPr id="11" name="Explosion 1 10"/>
        <xdr:cNvSpPr/>
      </xdr:nvSpPr>
      <xdr:spPr>
        <a:xfrm>
          <a:off x="3942669" y="28915178"/>
          <a:ext cx="321469" cy="22792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166687</xdr:colOff>
      <xdr:row>131</xdr:row>
      <xdr:rowOff>0</xdr:rowOff>
    </xdr:from>
    <xdr:to>
      <xdr:col>12</xdr:col>
      <xdr:colOff>488156</xdr:colOff>
      <xdr:row>132</xdr:row>
      <xdr:rowOff>23812</xdr:rowOff>
    </xdr:to>
    <xdr:sp macro="" textlink="">
      <xdr:nvSpPr>
        <xdr:cNvPr id="12" name="Explosion 1 11"/>
        <xdr:cNvSpPr/>
      </xdr:nvSpPr>
      <xdr:spPr>
        <a:xfrm>
          <a:off x="6403294" y="28949196"/>
          <a:ext cx="321469" cy="227920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109990</xdr:colOff>
      <xdr:row>145</xdr:row>
      <xdr:rowOff>11340</xdr:rowOff>
    </xdr:from>
    <xdr:to>
      <xdr:col>2</xdr:col>
      <xdr:colOff>431459</xdr:colOff>
      <xdr:row>146</xdr:row>
      <xdr:rowOff>35152</xdr:rowOff>
    </xdr:to>
    <xdr:sp macro="" textlink="">
      <xdr:nvSpPr>
        <xdr:cNvPr id="16" name="Explosion 1 15"/>
        <xdr:cNvSpPr/>
      </xdr:nvSpPr>
      <xdr:spPr>
        <a:xfrm>
          <a:off x="6072640" y="25738365"/>
          <a:ext cx="321469" cy="223837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166687</xdr:colOff>
      <xdr:row>173</xdr:row>
      <xdr:rowOff>0</xdr:rowOff>
    </xdr:from>
    <xdr:to>
      <xdr:col>3</xdr:col>
      <xdr:colOff>488156</xdr:colOff>
      <xdr:row>174</xdr:row>
      <xdr:rowOff>23812</xdr:rowOff>
    </xdr:to>
    <xdr:sp macro="" textlink="">
      <xdr:nvSpPr>
        <xdr:cNvPr id="13" name="Explosion 1 12"/>
        <xdr:cNvSpPr/>
      </xdr:nvSpPr>
      <xdr:spPr>
        <a:xfrm>
          <a:off x="16349662" y="34994850"/>
          <a:ext cx="321469" cy="233362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166687</xdr:colOff>
      <xdr:row>131</xdr:row>
      <xdr:rowOff>0</xdr:rowOff>
    </xdr:from>
    <xdr:to>
      <xdr:col>14</xdr:col>
      <xdr:colOff>488156</xdr:colOff>
      <xdr:row>132</xdr:row>
      <xdr:rowOff>23812</xdr:rowOff>
    </xdr:to>
    <xdr:sp macro="" textlink="">
      <xdr:nvSpPr>
        <xdr:cNvPr id="14" name="Explosion 1 13"/>
        <xdr:cNvSpPr/>
      </xdr:nvSpPr>
      <xdr:spPr>
        <a:xfrm>
          <a:off x="6221866" y="26139321"/>
          <a:ext cx="321469" cy="187098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101600</xdr:colOff>
      <xdr:row>189</xdr:row>
      <xdr:rowOff>177800</xdr:rowOff>
    </xdr:from>
    <xdr:to>
      <xdr:col>29</xdr:col>
      <xdr:colOff>495300</xdr:colOff>
      <xdr:row>207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6922750" y="37353875"/>
          <a:ext cx="393700" cy="33092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188</xdr:row>
      <xdr:rowOff>88900</xdr:rowOff>
    </xdr:from>
    <xdr:to>
      <xdr:col>0</xdr:col>
      <xdr:colOff>393700</xdr:colOff>
      <xdr:row>205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7064950"/>
          <a:ext cx="393700" cy="32838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29</xdr:col>
      <xdr:colOff>76200</xdr:colOff>
      <xdr:row>133</xdr:row>
      <xdr:rowOff>0</xdr:rowOff>
    </xdr:from>
    <xdr:to>
      <xdr:col>29</xdr:col>
      <xdr:colOff>469900</xdr:colOff>
      <xdr:row>150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6897350" y="26012775"/>
          <a:ext cx="393700" cy="344264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393700</xdr:colOff>
      <xdr:row>92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4611350"/>
          <a:ext cx="393700" cy="335374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29</xdr:col>
      <xdr:colOff>88900</xdr:colOff>
      <xdr:row>73</xdr:row>
      <xdr:rowOff>0</xdr:rowOff>
    </xdr:from>
    <xdr:to>
      <xdr:col>29</xdr:col>
      <xdr:colOff>482600</xdr:colOff>
      <xdr:row>90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6910050" y="14220825"/>
          <a:ext cx="393700" cy="33950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393700</xdr:colOff>
      <xdr:row>26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1857375"/>
          <a:ext cx="393700" cy="33219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29</xdr:col>
      <xdr:colOff>101600</xdr:colOff>
      <xdr:row>9</xdr:row>
      <xdr:rowOff>165100</xdr:rowOff>
    </xdr:from>
    <xdr:to>
      <xdr:col>29</xdr:col>
      <xdr:colOff>495300</xdr:colOff>
      <xdr:row>27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6922750" y="2022475"/>
          <a:ext cx="393700" cy="33188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131</xdr:row>
      <xdr:rowOff>127000</xdr:rowOff>
    </xdr:from>
    <xdr:to>
      <xdr:col>0</xdr:col>
      <xdr:colOff>393700</xdr:colOff>
      <xdr:row>148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5739725"/>
          <a:ext cx="393700" cy="34204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101600</xdr:colOff>
      <xdr:row>188</xdr:row>
      <xdr:rowOff>177800</xdr:rowOff>
    </xdr:from>
    <xdr:to>
      <xdr:col>32</xdr:col>
      <xdr:colOff>495300</xdr:colOff>
      <xdr:row>206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6713200" y="37268150"/>
          <a:ext cx="393700" cy="33092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187</xdr:row>
      <xdr:rowOff>88900</xdr:rowOff>
    </xdr:from>
    <xdr:to>
      <xdr:col>0</xdr:col>
      <xdr:colOff>393700</xdr:colOff>
      <xdr:row>204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6979225"/>
          <a:ext cx="393700" cy="32838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32</xdr:col>
      <xdr:colOff>76200</xdr:colOff>
      <xdr:row>132</xdr:row>
      <xdr:rowOff>0</xdr:rowOff>
    </xdr:from>
    <xdr:to>
      <xdr:col>32</xdr:col>
      <xdr:colOff>469900</xdr:colOff>
      <xdr:row>149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6687800" y="25927050"/>
          <a:ext cx="393700" cy="344264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393700</xdr:colOff>
      <xdr:row>91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4525625"/>
          <a:ext cx="393700" cy="335374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32</xdr:col>
      <xdr:colOff>88900</xdr:colOff>
      <xdr:row>72</xdr:row>
      <xdr:rowOff>0</xdr:rowOff>
    </xdr:from>
    <xdr:to>
      <xdr:col>32</xdr:col>
      <xdr:colOff>482600</xdr:colOff>
      <xdr:row>89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6700500" y="14135100"/>
          <a:ext cx="393700" cy="33950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393700</xdr:colOff>
      <xdr:row>25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1771650"/>
          <a:ext cx="393700" cy="33219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32</xdr:col>
      <xdr:colOff>101600</xdr:colOff>
      <xdr:row>8</xdr:row>
      <xdr:rowOff>165100</xdr:rowOff>
    </xdr:from>
    <xdr:to>
      <xdr:col>32</xdr:col>
      <xdr:colOff>495300</xdr:colOff>
      <xdr:row>26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6713200" y="1936750"/>
          <a:ext cx="393700" cy="33188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130</xdr:row>
      <xdr:rowOff>127000</xdr:rowOff>
    </xdr:from>
    <xdr:to>
      <xdr:col>0</xdr:col>
      <xdr:colOff>393700</xdr:colOff>
      <xdr:row>147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5654000"/>
          <a:ext cx="393700" cy="34204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1</xdr:col>
      <xdr:colOff>166687</xdr:colOff>
      <xdr:row>131</xdr:row>
      <xdr:rowOff>0</xdr:rowOff>
    </xdr:from>
    <xdr:to>
      <xdr:col>1</xdr:col>
      <xdr:colOff>345281</xdr:colOff>
      <xdr:row>131</xdr:row>
      <xdr:rowOff>190500</xdr:rowOff>
    </xdr:to>
    <xdr:sp macro="" textlink="">
      <xdr:nvSpPr>
        <xdr:cNvPr id="10" name="5-Point Star 9"/>
        <xdr:cNvSpPr/>
      </xdr:nvSpPr>
      <xdr:spPr>
        <a:xfrm>
          <a:off x="714375" y="24765000"/>
          <a:ext cx="178594" cy="190500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369093</xdr:colOff>
      <xdr:row>131</xdr:row>
      <xdr:rowOff>0</xdr:rowOff>
    </xdr:from>
    <xdr:to>
      <xdr:col>1</xdr:col>
      <xdr:colOff>547687</xdr:colOff>
      <xdr:row>131</xdr:row>
      <xdr:rowOff>190500</xdr:rowOff>
    </xdr:to>
    <xdr:sp macro="" textlink="">
      <xdr:nvSpPr>
        <xdr:cNvPr id="11" name="5-Point Star 10"/>
        <xdr:cNvSpPr/>
      </xdr:nvSpPr>
      <xdr:spPr>
        <a:xfrm>
          <a:off x="916781" y="24765000"/>
          <a:ext cx="178594" cy="190500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130969</xdr:colOff>
      <xdr:row>71</xdr:row>
      <xdr:rowOff>47625</xdr:rowOff>
    </xdr:from>
    <xdr:to>
      <xdr:col>30</xdr:col>
      <xdr:colOff>464344</xdr:colOff>
      <xdr:row>72</xdr:row>
      <xdr:rowOff>95251</xdr:rowOff>
    </xdr:to>
    <xdr:sp macro="" textlink="">
      <xdr:nvSpPr>
        <xdr:cNvPr id="12" name="Explosion 1 11"/>
        <xdr:cNvSpPr/>
      </xdr:nvSpPr>
      <xdr:spPr>
        <a:xfrm>
          <a:off x="15942469" y="13977938"/>
          <a:ext cx="333375" cy="214313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261938</xdr:colOff>
      <xdr:row>68</xdr:row>
      <xdr:rowOff>11906</xdr:rowOff>
    </xdr:from>
    <xdr:to>
      <xdr:col>21</xdr:col>
      <xdr:colOff>488157</xdr:colOff>
      <xdr:row>69</xdr:row>
      <xdr:rowOff>35718</xdr:rowOff>
    </xdr:to>
    <xdr:sp macro="" textlink="">
      <xdr:nvSpPr>
        <xdr:cNvPr id="13" name="Oval 12"/>
        <xdr:cNvSpPr/>
      </xdr:nvSpPr>
      <xdr:spPr>
        <a:xfrm>
          <a:off x="11215688" y="13442156"/>
          <a:ext cx="226219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101600</xdr:colOff>
      <xdr:row>188</xdr:row>
      <xdr:rowOff>177800</xdr:rowOff>
    </xdr:from>
    <xdr:to>
      <xdr:col>31</xdr:col>
      <xdr:colOff>495300</xdr:colOff>
      <xdr:row>206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8999200" y="38334950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187</xdr:row>
      <xdr:rowOff>88900</xdr:rowOff>
    </xdr:from>
    <xdr:to>
      <xdr:col>0</xdr:col>
      <xdr:colOff>393700</xdr:colOff>
      <xdr:row>204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8046025"/>
          <a:ext cx="393700" cy="33315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31</xdr:col>
      <xdr:colOff>76200</xdr:colOff>
      <xdr:row>132</xdr:row>
      <xdr:rowOff>0</xdr:rowOff>
    </xdr:from>
    <xdr:to>
      <xdr:col>31</xdr:col>
      <xdr:colOff>469900</xdr:colOff>
      <xdr:row>149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8973800" y="270510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393700</xdr:colOff>
      <xdr:row>91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5544800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31</xdr:col>
      <xdr:colOff>88900</xdr:colOff>
      <xdr:row>72</xdr:row>
      <xdr:rowOff>0</xdr:rowOff>
    </xdr:from>
    <xdr:to>
      <xdr:col>31</xdr:col>
      <xdr:colOff>482600</xdr:colOff>
      <xdr:row>89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8986500" y="151638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393700</xdr:colOff>
      <xdr:row>25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2495550"/>
          <a:ext cx="393700" cy="33600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31</xdr:col>
      <xdr:colOff>101600</xdr:colOff>
      <xdr:row>8</xdr:row>
      <xdr:rowOff>165100</xdr:rowOff>
    </xdr:from>
    <xdr:to>
      <xdr:col>31</xdr:col>
      <xdr:colOff>495300</xdr:colOff>
      <xdr:row>26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8999200" y="2660650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130</xdr:row>
      <xdr:rowOff>127000</xdr:rowOff>
    </xdr:from>
    <xdr:to>
      <xdr:col>0</xdr:col>
      <xdr:colOff>393700</xdr:colOff>
      <xdr:row>147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6787475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1</xdr:col>
      <xdr:colOff>163286</xdr:colOff>
      <xdr:row>71</xdr:row>
      <xdr:rowOff>81643</xdr:rowOff>
    </xdr:from>
    <xdr:to>
      <xdr:col>1</xdr:col>
      <xdr:colOff>503465</xdr:colOff>
      <xdr:row>73</xdr:row>
      <xdr:rowOff>13607</xdr:rowOff>
    </xdr:to>
    <xdr:sp macro="" textlink="">
      <xdr:nvSpPr>
        <xdr:cNvPr id="10" name="Explosion 1 9"/>
        <xdr:cNvSpPr/>
      </xdr:nvSpPr>
      <xdr:spPr>
        <a:xfrm>
          <a:off x="775607" y="14396357"/>
          <a:ext cx="340179" cy="312964"/>
        </a:xfrm>
        <a:prstGeom prst="irregularSeal1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101600</xdr:colOff>
      <xdr:row>188</xdr:row>
      <xdr:rowOff>177800</xdr:rowOff>
    </xdr:from>
    <xdr:to>
      <xdr:col>32</xdr:col>
      <xdr:colOff>495300</xdr:colOff>
      <xdr:row>206</xdr:row>
      <xdr:rowOff>48567</xdr:rowOff>
    </xdr:to>
    <xdr:sp macro="" textlink="">
      <xdr:nvSpPr>
        <xdr:cNvPr id="2" name="WordArt 52"/>
        <xdr:cNvSpPr>
          <a:spLocks noChangeArrowheads="1" noChangeShapeType="1" noTextEdit="1"/>
        </xdr:cNvSpPr>
      </xdr:nvSpPr>
      <xdr:spPr>
        <a:xfrm>
          <a:off x="19608800" y="38334950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0</xdr:col>
      <xdr:colOff>0</xdr:colOff>
      <xdr:row>187</xdr:row>
      <xdr:rowOff>88900</xdr:rowOff>
    </xdr:from>
    <xdr:to>
      <xdr:col>0</xdr:col>
      <xdr:colOff>393700</xdr:colOff>
      <xdr:row>204</xdr:row>
      <xdr:rowOff>124767</xdr:rowOff>
    </xdr:to>
    <xdr:sp macro="" textlink="">
      <xdr:nvSpPr>
        <xdr:cNvPr id="3" name="WordArt 52"/>
        <xdr:cNvSpPr>
          <a:spLocks noChangeArrowheads="1" noChangeShapeType="1" noTextEdit="1"/>
        </xdr:cNvSpPr>
      </xdr:nvSpPr>
      <xdr:spPr>
        <a:xfrm>
          <a:off x="0" y="38046025"/>
          <a:ext cx="393700" cy="33315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L4</a:t>
          </a:r>
        </a:p>
      </xdr:txBody>
    </xdr:sp>
    <xdr:clientData/>
  </xdr:twoCellAnchor>
  <xdr:twoCellAnchor>
    <xdr:from>
      <xdr:col>32</xdr:col>
      <xdr:colOff>76200</xdr:colOff>
      <xdr:row>132</xdr:row>
      <xdr:rowOff>0</xdr:rowOff>
    </xdr:from>
    <xdr:to>
      <xdr:col>32</xdr:col>
      <xdr:colOff>469900</xdr:colOff>
      <xdr:row>149</xdr:row>
      <xdr:rowOff>61267</xdr:rowOff>
    </xdr:to>
    <xdr:sp macro="" textlink="">
      <xdr:nvSpPr>
        <xdr:cNvPr id="4" name="WordArt 52"/>
        <xdr:cNvSpPr>
          <a:spLocks noChangeArrowheads="1" noChangeShapeType="1" noTextEdit="1"/>
        </xdr:cNvSpPr>
      </xdr:nvSpPr>
      <xdr:spPr>
        <a:xfrm>
          <a:off x="19583400" y="270510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393700</xdr:colOff>
      <xdr:row>91</xdr:row>
      <xdr:rowOff>48567</xdr:rowOff>
    </xdr:to>
    <xdr:sp macro="" textlink="">
      <xdr:nvSpPr>
        <xdr:cNvPr id="5" name="WordArt 52"/>
        <xdr:cNvSpPr>
          <a:spLocks noChangeArrowheads="1" noChangeShapeType="1" noTextEdit="1"/>
        </xdr:cNvSpPr>
      </xdr:nvSpPr>
      <xdr:spPr>
        <a:xfrm>
          <a:off x="0" y="15544800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32</xdr:col>
      <xdr:colOff>88900</xdr:colOff>
      <xdr:row>72</xdr:row>
      <xdr:rowOff>0</xdr:rowOff>
    </xdr:from>
    <xdr:to>
      <xdr:col>32</xdr:col>
      <xdr:colOff>482600</xdr:colOff>
      <xdr:row>89</xdr:row>
      <xdr:rowOff>61267</xdr:rowOff>
    </xdr:to>
    <xdr:sp macro="" textlink="">
      <xdr:nvSpPr>
        <xdr:cNvPr id="6" name="WordArt 52"/>
        <xdr:cNvSpPr>
          <a:spLocks noChangeArrowheads="1" noChangeShapeType="1" noTextEdit="1"/>
        </xdr:cNvSpPr>
      </xdr:nvSpPr>
      <xdr:spPr>
        <a:xfrm>
          <a:off x="19596100" y="15163800"/>
          <a:ext cx="393700" cy="333786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L2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393700</xdr:colOff>
      <xdr:row>25</xdr:row>
      <xdr:rowOff>73967</xdr:rowOff>
    </xdr:to>
    <xdr:sp macro="" textlink="">
      <xdr:nvSpPr>
        <xdr:cNvPr id="7" name="WordArt 52"/>
        <xdr:cNvSpPr>
          <a:spLocks noChangeArrowheads="1" noChangeShapeType="1" noTextEdit="1"/>
        </xdr:cNvSpPr>
      </xdr:nvSpPr>
      <xdr:spPr>
        <a:xfrm>
          <a:off x="0" y="2495550"/>
          <a:ext cx="393700" cy="33600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32</xdr:col>
      <xdr:colOff>101600</xdr:colOff>
      <xdr:row>8</xdr:row>
      <xdr:rowOff>165100</xdr:rowOff>
    </xdr:from>
    <xdr:to>
      <xdr:col>32</xdr:col>
      <xdr:colOff>495300</xdr:colOff>
      <xdr:row>26</xdr:row>
      <xdr:rowOff>35867</xdr:rowOff>
    </xdr:to>
    <xdr:sp macro="" textlink="">
      <xdr:nvSpPr>
        <xdr:cNvPr id="8" name="WordArt 52"/>
        <xdr:cNvSpPr>
          <a:spLocks noChangeArrowheads="1" noChangeShapeType="1" noTextEdit="1"/>
        </xdr:cNvSpPr>
      </xdr:nvSpPr>
      <xdr:spPr>
        <a:xfrm>
          <a:off x="19608800" y="2660650"/>
          <a:ext cx="393700" cy="335691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L1</a:t>
          </a:r>
        </a:p>
      </xdr:txBody>
    </xdr:sp>
    <xdr:clientData/>
  </xdr:twoCellAnchor>
  <xdr:twoCellAnchor>
    <xdr:from>
      <xdr:col>0</xdr:col>
      <xdr:colOff>0</xdr:colOff>
      <xdr:row>130</xdr:row>
      <xdr:rowOff>127000</xdr:rowOff>
    </xdr:from>
    <xdr:to>
      <xdr:col>0</xdr:col>
      <xdr:colOff>393700</xdr:colOff>
      <xdr:row>147</xdr:row>
      <xdr:rowOff>175567</xdr:rowOff>
    </xdr:to>
    <xdr:sp macro="" textlink="">
      <xdr:nvSpPr>
        <xdr:cNvPr id="9" name="WordArt 52"/>
        <xdr:cNvSpPr>
          <a:spLocks noChangeArrowheads="1" noChangeShapeType="1" noTextEdit="1"/>
        </xdr:cNvSpPr>
      </xdr:nvSpPr>
      <xdr:spPr>
        <a:xfrm>
          <a:off x="0" y="26787475"/>
          <a:ext cx="393700" cy="333469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</a:ln>
              <a:solidFill>
                <a:srgbClr val="00FF00"/>
              </a:solidFill>
              <a:effectLst/>
              <a:latin typeface="Arial Black" panose="020B0A04020102020204"/>
            </a:rPr>
            <a:t>L3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&#26448;&#26009;&#37197;&#22871;&#34920;20181030-TWV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Desktop/VAT%20TU/Copy%20of%20&#26448;&#26009;&#37197;&#22871;&#34920;20181218-TWVNTHA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Desktop/ODERLIST/PHAN/2016~2018&#25509;&#21333;SKU%23%202018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Desktop/VAT%20TU/Copy%20of%20&#26448;&#26009;&#37197;&#22871;&#34920;20181231-TWVNTHA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A1LEAN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A1LEAN%20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A1LEAN%20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A1%20LEAN%2021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1LEAN0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1LEAN%200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44108/Local%20Settings/Temporary%20Internet%20Files/Content.Outlook/A7XEZV44/A1LEAN~1%20(16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1LEAN%200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1%20LEAN%202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2018-03"/>
      <sheetName val="2017-09 "/>
      <sheetName val="2017-10"/>
      <sheetName val="2017-11"/>
      <sheetName val="2017-12"/>
      <sheetName val="2018-01"/>
      <sheetName val="2018-02"/>
      <sheetName val="2018-04"/>
      <sheetName val="2018-05"/>
      <sheetName val="2017-07(凉鞋&amp;運動鞋)  "/>
      <sheetName val="2017-08(凉鞋&amp;運動鞋)    "/>
      <sheetName val="2017-09(凉鞋&amp;運動鞋)   (2)"/>
      <sheetName val="2017-11(凉鞋&amp;運動鞋)   (2)"/>
      <sheetName val="2018-06"/>
      <sheetName val="2018-07"/>
      <sheetName val="2018-08"/>
      <sheetName val="2018-01(凉鞋&amp;運動鞋)"/>
      <sheetName val="2018-02(凉鞋&amp;運動鞋)"/>
      <sheetName val="2018-09"/>
      <sheetName val="2018-03(凉鞋&amp;運動鞋)"/>
      <sheetName val="2017-11越南內銷訂單（拖鞋） "/>
      <sheetName val="2018-04(凉鞋&amp;運動鞋)"/>
      <sheetName val="2018-05(凉鞋&amp;運動鞋)"/>
      <sheetName val="2018-11"/>
      <sheetName val="2018-06(凉鞋&amp;運動鞋)"/>
      <sheetName val="2018-07(凉鞋&amp;運動鞋)"/>
      <sheetName val="2018-08 (拖鞋+凉鞋&amp;運動鞋)"/>
      <sheetName val="2018-09(凉鞋&amp;運動鞋)"/>
      <sheetName val="2018-10(凉鞋&amp;運動鞋)"/>
      <sheetName val="2018-11(凉鞋&amp;運動鞋)"/>
      <sheetName val="2018-12(凉鞋&amp;運動鞋)"/>
      <sheetName val="2019-01(凉鞋&amp;運動鞋)"/>
      <sheetName val="2019-02(凉鞋&amp;運動鞋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RY#</v>
          </cell>
          <cell r="B1" t="str">
            <v>Buy別</v>
          </cell>
          <cell r="C1" t="str">
            <v>Main PO</v>
          </cell>
          <cell r="D1" t="str">
            <v>SKU#</v>
          </cell>
          <cell r="E1">
            <v>4361676</v>
          </cell>
          <cell r="F1" t="str">
            <v>GAC Date</v>
          </cell>
          <cell r="G1" t="str">
            <v>10/30面部配套時間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 t="str">
            <v>QTY</v>
          </cell>
          <cell r="F2">
            <v>0</v>
          </cell>
          <cell r="G2">
            <v>0</v>
          </cell>
        </row>
        <row r="3">
          <cell r="A3" t="str">
            <v>Y1811-0587</v>
          </cell>
          <cell r="B3">
            <v>201808</v>
          </cell>
          <cell r="C3" t="str">
            <v>0100166303</v>
          </cell>
          <cell r="D3" t="str">
            <v>M9696</v>
          </cell>
          <cell r="E3">
            <v>804</v>
          </cell>
          <cell r="F3">
            <v>43419</v>
          </cell>
          <cell r="G3" t="str">
            <v>OK</v>
          </cell>
        </row>
        <row r="4">
          <cell r="A4" t="str">
            <v>Y1811-0672</v>
          </cell>
          <cell r="B4">
            <v>201808</v>
          </cell>
          <cell r="C4" t="str">
            <v>0100168665</v>
          </cell>
          <cell r="D4" t="str">
            <v>M9696C</v>
          </cell>
          <cell r="E4">
            <v>120</v>
          </cell>
          <cell r="F4">
            <v>43430</v>
          </cell>
          <cell r="G4" t="str">
            <v>OK</v>
          </cell>
        </row>
        <row r="5">
          <cell r="A5" t="str">
            <v>Y1811-0684</v>
          </cell>
          <cell r="B5">
            <v>201808</v>
          </cell>
          <cell r="C5" t="str">
            <v>0100168836</v>
          </cell>
          <cell r="D5" t="str">
            <v>M9696C</v>
          </cell>
          <cell r="E5">
            <v>120</v>
          </cell>
          <cell r="F5">
            <v>43430</v>
          </cell>
          <cell r="G5" t="str">
            <v>OK</v>
          </cell>
        </row>
        <row r="6">
          <cell r="A6" t="str">
            <v>Y1811-0683</v>
          </cell>
          <cell r="B6">
            <v>201808</v>
          </cell>
          <cell r="C6" t="str">
            <v>0100168835</v>
          </cell>
          <cell r="D6" t="str">
            <v>M9696C</v>
          </cell>
          <cell r="E6">
            <v>216</v>
          </cell>
          <cell r="F6">
            <v>43430</v>
          </cell>
          <cell r="G6" t="str">
            <v>OK</v>
          </cell>
        </row>
        <row r="7">
          <cell r="A7" t="str">
            <v>Y1811-0526</v>
          </cell>
          <cell r="B7">
            <v>201808</v>
          </cell>
          <cell r="C7" t="str">
            <v>0100166137</v>
          </cell>
          <cell r="D7" t="str">
            <v>3J254</v>
          </cell>
          <cell r="E7">
            <v>1956</v>
          </cell>
          <cell r="F7">
            <v>43432</v>
          </cell>
          <cell r="G7" t="str">
            <v>OK</v>
          </cell>
        </row>
        <row r="8">
          <cell r="A8" t="str">
            <v>Y1811-0534</v>
          </cell>
          <cell r="B8">
            <v>201808</v>
          </cell>
          <cell r="C8" t="str">
            <v>0100166232</v>
          </cell>
          <cell r="D8" t="str">
            <v>163195C</v>
          </cell>
          <cell r="E8">
            <v>372</v>
          </cell>
          <cell r="F8">
            <v>43429</v>
          </cell>
          <cell r="G8" t="str">
            <v>OK</v>
          </cell>
        </row>
        <row r="9">
          <cell r="A9" t="str">
            <v>Y1811-0535</v>
          </cell>
          <cell r="B9">
            <v>201808</v>
          </cell>
          <cell r="C9" t="str">
            <v>0100166235</v>
          </cell>
          <cell r="D9" t="str">
            <v>563429C</v>
          </cell>
          <cell r="E9">
            <v>756</v>
          </cell>
          <cell r="F9">
            <v>43419</v>
          </cell>
          <cell r="G9" t="str">
            <v>OK</v>
          </cell>
        </row>
        <row r="10">
          <cell r="A10" t="str">
            <v>Y1811-0536</v>
          </cell>
          <cell r="B10">
            <v>201808</v>
          </cell>
          <cell r="C10" t="str">
            <v>0100166236</v>
          </cell>
          <cell r="D10">
            <v>88865</v>
          </cell>
          <cell r="E10">
            <v>1012</v>
          </cell>
          <cell r="F10">
            <v>43419</v>
          </cell>
          <cell r="G10" t="str">
            <v>OK</v>
          </cell>
        </row>
        <row r="11">
          <cell r="A11" t="str">
            <v>Y1811-0538</v>
          </cell>
          <cell r="B11">
            <v>201808</v>
          </cell>
          <cell r="C11" t="str">
            <v>0100166238</v>
          </cell>
          <cell r="D11">
            <v>88871</v>
          </cell>
          <cell r="E11">
            <v>2136</v>
          </cell>
          <cell r="F11">
            <v>43419</v>
          </cell>
          <cell r="G11" t="str">
            <v>OK</v>
          </cell>
        </row>
        <row r="12">
          <cell r="A12" t="str">
            <v>Y1811-0539</v>
          </cell>
          <cell r="B12">
            <v>201808</v>
          </cell>
          <cell r="C12" t="str">
            <v>0100166239</v>
          </cell>
          <cell r="D12">
            <v>88871</v>
          </cell>
          <cell r="E12">
            <v>2640</v>
          </cell>
          <cell r="F12">
            <v>43419</v>
          </cell>
          <cell r="G12" t="str">
            <v>OK</v>
          </cell>
        </row>
        <row r="13">
          <cell r="A13" t="str">
            <v>Y1811-0551</v>
          </cell>
          <cell r="B13">
            <v>201808</v>
          </cell>
          <cell r="C13" t="str">
            <v>0100166256</v>
          </cell>
          <cell r="D13">
            <v>81229</v>
          </cell>
          <cell r="E13">
            <v>636</v>
          </cell>
          <cell r="F13">
            <v>43426</v>
          </cell>
          <cell r="G13" t="str">
            <v>OK</v>
          </cell>
        </row>
        <row r="14">
          <cell r="A14" t="str">
            <v>Y1811-0552</v>
          </cell>
          <cell r="B14">
            <v>201808</v>
          </cell>
          <cell r="C14" t="str">
            <v>0100166257</v>
          </cell>
          <cell r="D14">
            <v>81229</v>
          </cell>
          <cell r="E14">
            <v>516</v>
          </cell>
          <cell r="F14">
            <v>43426</v>
          </cell>
          <cell r="G14" t="str">
            <v>OK</v>
          </cell>
        </row>
        <row r="15">
          <cell r="A15" t="str">
            <v>Y1811-0555</v>
          </cell>
          <cell r="B15">
            <v>201808</v>
          </cell>
          <cell r="C15" t="str">
            <v>0100166262</v>
          </cell>
          <cell r="D15" t="str">
            <v>3J235</v>
          </cell>
          <cell r="E15">
            <v>420</v>
          </cell>
          <cell r="F15">
            <v>43419</v>
          </cell>
          <cell r="G15" t="str">
            <v>OK</v>
          </cell>
        </row>
        <row r="16">
          <cell r="A16" t="str">
            <v>Y1811-0556</v>
          </cell>
          <cell r="B16">
            <v>201808</v>
          </cell>
          <cell r="C16" t="str">
            <v>0100166263</v>
          </cell>
          <cell r="D16" t="str">
            <v>3J235</v>
          </cell>
          <cell r="E16">
            <v>360</v>
          </cell>
          <cell r="F16">
            <v>43422</v>
          </cell>
          <cell r="G16" t="str">
            <v>OK</v>
          </cell>
        </row>
        <row r="17">
          <cell r="A17" t="str">
            <v>Y1811-0557</v>
          </cell>
          <cell r="B17">
            <v>201808</v>
          </cell>
          <cell r="C17" t="str">
            <v>0100166264</v>
          </cell>
          <cell r="D17" t="str">
            <v>3J235</v>
          </cell>
          <cell r="E17">
            <v>10092</v>
          </cell>
          <cell r="F17">
            <v>43428</v>
          </cell>
          <cell r="G17" t="str">
            <v>OK</v>
          </cell>
        </row>
        <row r="18">
          <cell r="A18" t="str">
            <v>Y1811-0560</v>
          </cell>
          <cell r="B18">
            <v>201808</v>
          </cell>
          <cell r="C18" t="str">
            <v>0100166269</v>
          </cell>
          <cell r="D18" t="str">
            <v>563429C</v>
          </cell>
          <cell r="E18">
            <v>756</v>
          </cell>
          <cell r="F18">
            <v>43429</v>
          </cell>
          <cell r="G18" t="str">
            <v>OK</v>
          </cell>
        </row>
        <row r="19">
          <cell r="A19" t="str">
            <v>Y1811-0565</v>
          </cell>
          <cell r="B19">
            <v>201808</v>
          </cell>
          <cell r="C19" t="str">
            <v>0100166275</v>
          </cell>
          <cell r="D19" t="str">
            <v>663656F</v>
          </cell>
          <cell r="E19">
            <v>3996</v>
          </cell>
          <cell r="F19">
            <v>43429</v>
          </cell>
          <cell r="G19" t="str">
            <v>OK</v>
          </cell>
        </row>
        <row r="20">
          <cell r="A20" t="str">
            <v>Y1811-0567</v>
          </cell>
          <cell r="B20">
            <v>201808</v>
          </cell>
          <cell r="C20" t="str">
            <v>0100166277</v>
          </cell>
          <cell r="D20">
            <v>81229</v>
          </cell>
          <cell r="E20">
            <v>3816</v>
          </cell>
          <cell r="F20">
            <v>43434</v>
          </cell>
          <cell r="G20" t="str">
            <v>OK</v>
          </cell>
        </row>
        <row r="21">
          <cell r="A21" t="str">
            <v>Y1811-0568</v>
          </cell>
          <cell r="B21">
            <v>201808</v>
          </cell>
          <cell r="C21" t="str">
            <v>0100166278</v>
          </cell>
          <cell r="D21">
            <v>88865</v>
          </cell>
          <cell r="E21">
            <v>1200</v>
          </cell>
          <cell r="F21">
            <v>43429</v>
          </cell>
          <cell r="G21" t="str">
            <v>OK</v>
          </cell>
        </row>
        <row r="22">
          <cell r="A22" t="str">
            <v>Y1811-0573</v>
          </cell>
          <cell r="B22">
            <v>201808</v>
          </cell>
          <cell r="C22" t="str">
            <v>0100166289</v>
          </cell>
          <cell r="D22" t="str">
            <v>W9160</v>
          </cell>
          <cell r="E22">
            <v>804</v>
          </cell>
          <cell r="F22">
            <v>43423</v>
          </cell>
          <cell r="G22" t="str">
            <v>OK</v>
          </cell>
        </row>
        <row r="23">
          <cell r="A23" t="str">
            <v>Y1811-0583</v>
          </cell>
          <cell r="B23">
            <v>201808</v>
          </cell>
          <cell r="C23" t="str">
            <v>0100166299</v>
          </cell>
          <cell r="D23" t="str">
            <v>3J235</v>
          </cell>
          <cell r="E23">
            <v>600</v>
          </cell>
          <cell r="F23">
            <v>43419</v>
          </cell>
          <cell r="G23" t="str">
            <v>OK</v>
          </cell>
        </row>
        <row r="24">
          <cell r="A24" t="str">
            <v>Y1811-0593</v>
          </cell>
          <cell r="B24">
            <v>201808</v>
          </cell>
          <cell r="C24" t="str">
            <v>0100166309</v>
          </cell>
          <cell r="D24" t="str">
            <v>3J235</v>
          </cell>
          <cell r="E24">
            <v>1848</v>
          </cell>
          <cell r="F24">
            <v>43433</v>
          </cell>
          <cell r="G24" t="str">
            <v>OK</v>
          </cell>
        </row>
        <row r="25">
          <cell r="A25" t="str">
            <v>Y1811-0594</v>
          </cell>
          <cell r="B25">
            <v>201808</v>
          </cell>
          <cell r="C25" t="str">
            <v>0100166310</v>
          </cell>
          <cell r="D25" t="str">
            <v>3J235</v>
          </cell>
          <cell r="E25">
            <v>1860</v>
          </cell>
          <cell r="F25">
            <v>43433</v>
          </cell>
          <cell r="G25" t="str">
            <v>OK</v>
          </cell>
        </row>
        <row r="26">
          <cell r="A26" t="str">
            <v>Y1811-0599</v>
          </cell>
          <cell r="B26">
            <v>201808</v>
          </cell>
          <cell r="C26" t="str">
            <v>0100166315</v>
          </cell>
          <cell r="D26" t="str">
            <v>563429C</v>
          </cell>
          <cell r="E26">
            <v>2025</v>
          </cell>
          <cell r="F26">
            <v>43429</v>
          </cell>
          <cell r="G26" t="str">
            <v>OK</v>
          </cell>
        </row>
        <row r="27">
          <cell r="A27" t="str">
            <v>Y1811-0600</v>
          </cell>
          <cell r="B27">
            <v>201808</v>
          </cell>
          <cell r="C27" t="str">
            <v>0100166316</v>
          </cell>
          <cell r="D27" t="str">
            <v>563429C</v>
          </cell>
          <cell r="E27">
            <v>576</v>
          </cell>
          <cell r="F27">
            <v>43429</v>
          </cell>
          <cell r="G27" t="str">
            <v>OK</v>
          </cell>
        </row>
        <row r="28">
          <cell r="A28" t="str">
            <v>Y1811-0637</v>
          </cell>
          <cell r="B28">
            <v>201808</v>
          </cell>
          <cell r="C28" t="str">
            <v>0100168246</v>
          </cell>
          <cell r="D28" t="str">
            <v>163198C</v>
          </cell>
          <cell r="E28">
            <v>120</v>
          </cell>
          <cell r="F28">
            <v>43430</v>
          </cell>
          <cell r="G28" t="str">
            <v>OK</v>
          </cell>
        </row>
        <row r="29">
          <cell r="A29" t="str">
            <v>Y1811-0649</v>
          </cell>
          <cell r="B29">
            <v>201808</v>
          </cell>
          <cell r="C29" t="str">
            <v>0100168262</v>
          </cell>
          <cell r="D29" t="str">
            <v>W9160</v>
          </cell>
          <cell r="E29">
            <v>996</v>
          </cell>
          <cell r="F29">
            <v>43417</v>
          </cell>
          <cell r="G29" t="str">
            <v>OK</v>
          </cell>
        </row>
        <row r="30">
          <cell r="A30" t="str">
            <v>Y1811-0664</v>
          </cell>
          <cell r="B30">
            <v>201808</v>
          </cell>
          <cell r="C30" t="str">
            <v>0100168408</v>
          </cell>
          <cell r="D30" t="str">
            <v>663656C</v>
          </cell>
          <cell r="E30">
            <v>216</v>
          </cell>
          <cell r="F30">
            <v>43430</v>
          </cell>
          <cell r="G30" t="str">
            <v>OK</v>
          </cell>
        </row>
        <row r="31">
          <cell r="A31" t="str">
            <v>Y1811-0665</v>
          </cell>
          <cell r="B31">
            <v>201808</v>
          </cell>
          <cell r="C31" t="str">
            <v>0100168409</v>
          </cell>
          <cell r="D31" t="str">
            <v>763527C</v>
          </cell>
          <cell r="E31">
            <v>288</v>
          </cell>
          <cell r="F31">
            <v>43430</v>
          </cell>
          <cell r="G31" t="str">
            <v>OK</v>
          </cell>
        </row>
        <row r="32">
          <cell r="A32" t="str">
            <v>Y1811-0728</v>
          </cell>
          <cell r="B32">
            <v>201808</v>
          </cell>
          <cell r="C32" t="str">
            <v>4600062686</v>
          </cell>
          <cell r="D32" t="str">
            <v>7J235C</v>
          </cell>
          <cell r="E32">
            <v>1800</v>
          </cell>
          <cell r="F32">
            <v>43408</v>
          </cell>
          <cell r="G32" t="str">
            <v>OK</v>
          </cell>
        </row>
        <row r="33">
          <cell r="A33" t="str">
            <v>Y1811-0477</v>
          </cell>
          <cell r="B33">
            <v>201808</v>
          </cell>
          <cell r="C33" t="str">
            <v>0100166030</v>
          </cell>
          <cell r="D33" t="str">
            <v>155066C</v>
          </cell>
          <cell r="E33">
            <v>276</v>
          </cell>
          <cell r="F33">
            <v>43420</v>
          </cell>
          <cell r="G33" t="str">
            <v>OK</v>
          </cell>
        </row>
        <row r="34">
          <cell r="A34" t="str">
            <v>Y1811-0487</v>
          </cell>
          <cell r="B34">
            <v>201808</v>
          </cell>
          <cell r="C34" t="str">
            <v>0100166046</v>
          </cell>
          <cell r="D34" t="str">
            <v>663657C</v>
          </cell>
          <cell r="E34">
            <v>132</v>
          </cell>
          <cell r="F34">
            <v>43429</v>
          </cell>
          <cell r="G34" t="str">
            <v>OK</v>
          </cell>
        </row>
        <row r="35">
          <cell r="A35" t="str">
            <v>Y1811-0497</v>
          </cell>
          <cell r="B35">
            <v>201808</v>
          </cell>
          <cell r="C35" t="str">
            <v>0100166070</v>
          </cell>
          <cell r="D35" t="str">
            <v>163186C</v>
          </cell>
          <cell r="E35">
            <v>180</v>
          </cell>
          <cell r="F35">
            <v>43430</v>
          </cell>
          <cell r="G35" t="str">
            <v>OK</v>
          </cell>
        </row>
        <row r="36">
          <cell r="A36" t="str">
            <v>Y1811-0499</v>
          </cell>
          <cell r="B36">
            <v>201808</v>
          </cell>
          <cell r="C36" t="str">
            <v>0100166072</v>
          </cell>
          <cell r="D36" t="str">
            <v>163187C</v>
          </cell>
          <cell r="E36">
            <v>252</v>
          </cell>
          <cell r="F36">
            <v>43430</v>
          </cell>
          <cell r="G36" t="str">
            <v>OK</v>
          </cell>
        </row>
        <row r="37">
          <cell r="A37" t="str">
            <v>Y1811-0500</v>
          </cell>
          <cell r="B37">
            <v>201808</v>
          </cell>
          <cell r="C37" t="str">
            <v>0100166073</v>
          </cell>
          <cell r="D37" t="str">
            <v>163186C</v>
          </cell>
          <cell r="E37">
            <v>120</v>
          </cell>
          <cell r="F37">
            <v>43430</v>
          </cell>
          <cell r="G37" t="str">
            <v>OK</v>
          </cell>
        </row>
        <row r="38">
          <cell r="A38" t="str">
            <v>Y1811-0501</v>
          </cell>
          <cell r="B38">
            <v>201808</v>
          </cell>
          <cell r="C38" t="str">
            <v>0100166074</v>
          </cell>
          <cell r="D38" t="str">
            <v>163187C</v>
          </cell>
          <cell r="E38">
            <v>192</v>
          </cell>
          <cell r="F38">
            <v>43430</v>
          </cell>
          <cell r="G38" t="str">
            <v>OK</v>
          </cell>
        </row>
        <row r="39">
          <cell r="A39" t="str">
            <v>Y1811-0503</v>
          </cell>
          <cell r="B39">
            <v>201808</v>
          </cell>
          <cell r="C39" t="str">
            <v>0100166076</v>
          </cell>
          <cell r="D39" t="str">
            <v>163199C</v>
          </cell>
          <cell r="E39">
            <v>600</v>
          </cell>
          <cell r="F39">
            <v>43430</v>
          </cell>
          <cell r="G39" t="str">
            <v>OK</v>
          </cell>
        </row>
        <row r="40">
          <cell r="A40" t="str">
            <v>Y1811-0504</v>
          </cell>
          <cell r="B40">
            <v>201808</v>
          </cell>
          <cell r="C40" t="str">
            <v>0100166077</v>
          </cell>
          <cell r="D40" t="str">
            <v>144150C</v>
          </cell>
          <cell r="E40">
            <v>396</v>
          </cell>
          <cell r="F40">
            <v>43430</v>
          </cell>
          <cell r="G40" t="str">
            <v>OK</v>
          </cell>
        </row>
        <row r="41">
          <cell r="A41" t="str">
            <v>Y1811-0505</v>
          </cell>
          <cell r="B41">
            <v>201808</v>
          </cell>
          <cell r="C41" t="str">
            <v>0100166078</v>
          </cell>
          <cell r="D41" t="str">
            <v>144150C</v>
          </cell>
          <cell r="E41">
            <v>828</v>
          </cell>
          <cell r="F41">
            <v>43430</v>
          </cell>
          <cell r="G41" t="str">
            <v>OK</v>
          </cell>
        </row>
        <row r="42">
          <cell r="A42" t="str">
            <v>Y1811-0507</v>
          </cell>
          <cell r="B42">
            <v>201808</v>
          </cell>
          <cell r="C42" t="str">
            <v>0100166080</v>
          </cell>
          <cell r="D42" t="str">
            <v>163186C</v>
          </cell>
          <cell r="E42">
            <v>168</v>
          </cell>
          <cell r="F42">
            <v>43430</v>
          </cell>
          <cell r="G42" t="str">
            <v>OK</v>
          </cell>
        </row>
        <row r="43">
          <cell r="A43" t="str">
            <v>Y1811-0508</v>
          </cell>
          <cell r="B43">
            <v>201808</v>
          </cell>
          <cell r="C43" t="str">
            <v>0100166081</v>
          </cell>
          <cell r="D43" t="str">
            <v>163186C</v>
          </cell>
          <cell r="E43">
            <v>288</v>
          </cell>
          <cell r="F43">
            <v>43430</v>
          </cell>
          <cell r="G43" t="str">
            <v>OK</v>
          </cell>
        </row>
        <row r="44">
          <cell r="A44" t="str">
            <v>Y1811-0511</v>
          </cell>
          <cell r="B44">
            <v>201808</v>
          </cell>
          <cell r="C44" t="str">
            <v>0100166084</v>
          </cell>
          <cell r="D44" t="str">
            <v>155065C</v>
          </cell>
          <cell r="E44">
            <v>720</v>
          </cell>
          <cell r="F44">
            <v>43430</v>
          </cell>
          <cell r="G44" t="str">
            <v>OK</v>
          </cell>
        </row>
        <row r="45">
          <cell r="A45" t="str">
            <v>Y1811-0512</v>
          </cell>
          <cell r="B45">
            <v>201808</v>
          </cell>
          <cell r="C45" t="str">
            <v>0100166085</v>
          </cell>
          <cell r="D45" t="str">
            <v>144148C</v>
          </cell>
          <cell r="E45">
            <v>288</v>
          </cell>
          <cell r="F45">
            <v>43430</v>
          </cell>
          <cell r="G45" t="str">
            <v>OK</v>
          </cell>
        </row>
        <row r="46">
          <cell r="A46" t="str">
            <v>Y1811-0513</v>
          </cell>
          <cell r="B46">
            <v>201808</v>
          </cell>
          <cell r="C46" t="str">
            <v>0100166086</v>
          </cell>
          <cell r="D46" t="str">
            <v>155065C</v>
          </cell>
          <cell r="E46">
            <v>492</v>
          </cell>
          <cell r="F46">
            <v>43430</v>
          </cell>
          <cell r="G46" t="str">
            <v>OK</v>
          </cell>
        </row>
        <row r="47">
          <cell r="A47" t="str">
            <v>Y1811-0523</v>
          </cell>
          <cell r="B47">
            <v>201808</v>
          </cell>
          <cell r="C47" t="str">
            <v>0100166122</v>
          </cell>
          <cell r="D47" t="str">
            <v>361818C</v>
          </cell>
          <cell r="E47">
            <v>2532</v>
          </cell>
          <cell r="F47">
            <v>43432</v>
          </cell>
          <cell r="G47" t="str">
            <v>OK</v>
          </cell>
        </row>
        <row r="48">
          <cell r="A48" t="str">
            <v>Y1811-0524</v>
          </cell>
          <cell r="B48">
            <v>201808</v>
          </cell>
          <cell r="C48" t="str">
            <v>0100166130</v>
          </cell>
          <cell r="D48" t="str">
            <v>636930C</v>
          </cell>
          <cell r="E48">
            <v>5628</v>
          </cell>
          <cell r="F48">
            <v>43432</v>
          </cell>
          <cell r="G48" t="str">
            <v>OK</v>
          </cell>
        </row>
        <row r="49">
          <cell r="A49" t="str">
            <v>Y1811-0530</v>
          </cell>
          <cell r="B49">
            <v>201808</v>
          </cell>
          <cell r="C49" t="str">
            <v>0100166160</v>
          </cell>
          <cell r="D49" t="str">
            <v>663655C</v>
          </cell>
          <cell r="E49">
            <v>9096</v>
          </cell>
          <cell r="F49">
            <v>43432</v>
          </cell>
          <cell r="G49" t="str">
            <v>OK</v>
          </cell>
        </row>
        <row r="50">
          <cell r="A50" t="str">
            <v>Y1811-0566</v>
          </cell>
          <cell r="B50">
            <v>201808</v>
          </cell>
          <cell r="C50" t="str">
            <v>0100166276</v>
          </cell>
          <cell r="D50" t="str">
            <v>663657F</v>
          </cell>
          <cell r="E50">
            <v>1608</v>
          </cell>
          <cell r="F50">
            <v>43429</v>
          </cell>
          <cell r="G50" t="str">
            <v>OK</v>
          </cell>
        </row>
        <row r="51">
          <cell r="A51" t="str">
            <v>Y1811-0578</v>
          </cell>
          <cell r="B51">
            <v>201808</v>
          </cell>
          <cell r="C51" t="str">
            <v>0100166294</v>
          </cell>
          <cell r="D51" t="str">
            <v>107469F</v>
          </cell>
          <cell r="E51">
            <v>6000</v>
          </cell>
          <cell r="F51">
            <v>43429</v>
          </cell>
          <cell r="G51" t="str">
            <v>OK</v>
          </cell>
        </row>
        <row r="52">
          <cell r="A52" t="str">
            <v>Y1811-0602</v>
          </cell>
          <cell r="B52">
            <v>201808</v>
          </cell>
          <cell r="C52" t="str">
            <v>0100167892</v>
          </cell>
          <cell r="D52" t="str">
            <v>163187C</v>
          </cell>
          <cell r="E52">
            <v>180</v>
          </cell>
          <cell r="F52">
            <v>43430</v>
          </cell>
          <cell r="G52" t="str">
            <v>OK</v>
          </cell>
        </row>
        <row r="53">
          <cell r="A53" t="str">
            <v>Y1811-0603</v>
          </cell>
          <cell r="B53">
            <v>201808</v>
          </cell>
          <cell r="C53" t="str">
            <v>0100167893</v>
          </cell>
          <cell r="D53" t="str">
            <v>163187C</v>
          </cell>
          <cell r="E53">
            <v>180</v>
          </cell>
          <cell r="F53">
            <v>43430</v>
          </cell>
          <cell r="G53" t="str">
            <v>OK</v>
          </cell>
        </row>
        <row r="54">
          <cell r="A54" t="str">
            <v>Y1811-0605</v>
          </cell>
          <cell r="B54">
            <v>201808</v>
          </cell>
          <cell r="C54" t="str">
            <v>0100167895</v>
          </cell>
          <cell r="D54" t="str">
            <v>163201C</v>
          </cell>
          <cell r="E54">
            <v>288</v>
          </cell>
          <cell r="F54">
            <v>43430</v>
          </cell>
          <cell r="G54" t="str">
            <v>OK</v>
          </cell>
        </row>
        <row r="55">
          <cell r="A55" t="str">
            <v>Y1811-0606</v>
          </cell>
          <cell r="B55">
            <v>201808</v>
          </cell>
          <cell r="C55" t="str">
            <v>0100167896</v>
          </cell>
          <cell r="D55" t="str">
            <v>163187C</v>
          </cell>
          <cell r="E55">
            <v>804</v>
          </cell>
          <cell r="F55">
            <v>43430</v>
          </cell>
          <cell r="G55" t="str">
            <v>OK</v>
          </cell>
        </row>
        <row r="56">
          <cell r="A56" t="str">
            <v>Y1811-0609</v>
          </cell>
          <cell r="B56">
            <v>201808</v>
          </cell>
          <cell r="C56" t="str">
            <v>0100167899</v>
          </cell>
          <cell r="D56" t="str">
            <v>159786C</v>
          </cell>
          <cell r="E56">
            <v>720</v>
          </cell>
          <cell r="F56">
            <v>43430</v>
          </cell>
          <cell r="G56" t="str">
            <v>OK</v>
          </cell>
        </row>
        <row r="57">
          <cell r="A57" t="str">
            <v>Y1811-0610</v>
          </cell>
          <cell r="B57">
            <v>201808</v>
          </cell>
          <cell r="C57" t="str">
            <v>0100167900</v>
          </cell>
          <cell r="D57" t="str">
            <v>144150C</v>
          </cell>
          <cell r="E57">
            <v>720</v>
          </cell>
          <cell r="F57">
            <v>43430</v>
          </cell>
          <cell r="G57" t="str">
            <v>OK</v>
          </cell>
        </row>
        <row r="58">
          <cell r="A58" t="str">
            <v>Y1811-0611</v>
          </cell>
          <cell r="B58">
            <v>201808</v>
          </cell>
          <cell r="C58" t="str">
            <v>0100167901</v>
          </cell>
          <cell r="D58" t="str">
            <v>155066C</v>
          </cell>
          <cell r="E58">
            <v>1008</v>
          </cell>
          <cell r="F58">
            <v>43430</v>
          </cell>
          <cell r="G58" t="str">
            <v>OK</v>
          </cell>
        </row>
        <row r="59">
          <cell r="A59" t="str">
            <v>Y1811-0619</v>
          </cell>
          <cell r="B59">
            <v>201808</v>
          </cell>
          <cell r="C59" t="str">
            <v>0100168108</v>
          </cell>
          <cell r="D59" t="str">
            <v>163188C</v>
          </cell>
          <cell r="E59">
            <v>132</v>
          </cell>
          <cell r="F59">
            <v>43430</v>
          </cell>
          <cell r="G59" t="str">
            <v>OK</v>
          </cell>
        </row>
        <row r="60">
          <cell r="A60" t="str">
            <v>Y1811-0622</v>
          </cell>
          <cell r="B60">
            <v>201808</v>
          </cell>
          <cell r="C60" t="str">
            <v>0100168111</v>
          </cell>
          <cell r="D60" t="str">
            <v>163204C</v>
          </cell>
          <cell r="E60">
            <v>384</v>
          </cell>
          <cell r="F60">
            <v>43430</v>
          </cell>
          <cell r="G60" t="str">
            <v>OK</v>
          </cell>
        </row>
        <row r="61">
          <cell r="A61" t="str">
            <v>Y1811-0627</v>
          </cell>
          <cell r="B61">
            <v>201808</v>
          </cell>
          <cell r="C61" t="str">
            <v>0100168116</v>
          </cell>
          <cell r="D61" t="str">
            <v>163188C</v>
          </cell>
          <cell r="E61">
            <v>252</v>
          </cell>
          <cell r="F61">
            <v>43430</v>
          </cell>
          <cell r="G61" t="str">
            <v>OK</v>
          </cell>
        </row>
        <row r="62">
          <cell r="A62" t="str">
            <v>Y1811-0633</v>
          </cell>
          <cell r="B62">
            <v>201808</v>
          </cell>
          <cell r="C62" t="str">
            <v>0100168122</v>
          </cell>
          <cell r="D62" t="str">
            <v>161603C</v>
          </cell>
          <cell r="E62">
            <v>720</v>
          </cell>
          <cell r="F62">
            <v>43430</v>
          </cell>
          <cell r="G62" t="str">
            <v>OK</v>
          </cell>
        </row>
        <row r="63">
          <cell r="A63" t="str">
            <v>Y1811-0634</v>
          </cell>
          <cell r="B63">
            <v>201808</v>
          </cell>
          <cell r="C63" t="str">
            <v>0100168123</v>
          </cell>
          <cell r="D63" t="str">
            <v>144151C</v>
          </cell>
          <cell r="E63">
            <v>252</v>
          </cell>
          <cell r="F63">
            <v>43430</v>
          </cell>
          <cell r="G63" t="str">
            <v>OK</v>
          </cell>
        </row>
        <row r="64">
          <cell r="A64" t="str">
            <v>Y1811-0645</v>
          </cell>
          <cell r="B64">
            <v>201808</v>
          </cell>
          <cell r="C64" t="str">
            <v>0100168254</v>
          </cell>
          <cell r="D64" t="str">
            <v>363710C</v>
          </cell>
          <cell r="E64">
            <v>204</v>
          </cell>
          <cell r="F64">
            <v>43430</v>
          </cell>
          <cell r="G64" t="str">
            <v>OK</v>
          </cell>
        </row>
        <row r="65">
          <cell r="A65" t="str">
            <v>Y1811-0648</v>
          </cell>
          <cell r="B65">
            <v>201808</v>
          </cell>
          <cell r="C65" t="str">
            <v>0100168257</v>
          </cell>
          <cell r="D65" t="str">
            <v>663655C</v>
          </cell>
          <cell r="E65">
            <v>216</v>
          </cell>
          <cell r="F65">
            <v>43430</v>
          </cell>
          <cell r="G65" t="str">
            <v>OK</v>
          </cell>
        </row>
        <row r="66">
          <cell r="A66" t="str">
            <v>Y1811-0650</v>
          </cell>
          <cell r="B66">
            <v>201808</v>
          </cell>
          <cell r="C66" t="str">
            <v>0100168337</v>
          </cell>
          <cell r="D66" t="str">
            <v>155064C</v>
          </cell>
          <cell r="E66">
            <v>3192</v>
          </cell>
          <cell r="F66">
            <v>43432</v>
          </cell>
          <cell r="G66" t="str">
            <v>OK</v>
          </cell>
        </row>
        <row r="67">
          <cell r="A67" t="str">
            <v>Y1811-0653</v>
          </cell>
          <cell r="B67">
            <v>201808</v>
          </cell>
          <cell r="C67" t="str">
            <v>0100168397</v>
          </cell>
          <cell r="D67" t="str">
            <v>663655C</v>
          </cell>
          <cell r="E67">
            <v>168</v>
          </cell>
          <cell r="F67">
            <v>43430</v>
          </cell>
          <cell r="G67" t="str">
            <v>OK</v>
          </cell>
        </row>
        <row r="68">
          <cell r="A68" t="str">
            <v>Y1811-0654</v>
          </cell>
          <cell r="B68">
            <v>201808</v>
          </cell>
          <cell r="C68" t="str">
            <v>0100168398</v>
          </cell>
          <cell r="D68" t="str">
            <v>663657C</v>
          </cell>
          <cell r="E68">
            <v>168</v>
          </cell>
          <cell r="F68">
            <v>43430</v>
          </cell>
          <cell r="G68" t="str">
            <v>OK</v>
          </cell>
        </row>
        <row r="69">
          <cell r="A69" t="str">
            <v>Y1811-0667</v>
          </cell>
          <cell r="B69">
            <v>201808</v>
          </cell>
          <cell r="C69" t="str">
            <v>0100168411</v>
          </cell>
          <cell r="D69" t="str">
            <v>763529C</v>
          </cell>
          <cell r="E69">
            <v>372</v>
          </cell>
          <cell r="F69">
            <v>43430</v>
          </cell>
          <cell r="G69" t="str">
            <v>OK</v>
          </cell>
        </row>
        <row r="70">
          <cell r="A70" t="str">
            <v>Y1811-0675</v>
          </cell>
          <cell r="B70">
            <v>201808</v>
          </cell>
          <cell r="C70" t="str">
            <v>0100168762</v>
          </cell>
          <cell r="D70" t="str">
            <v>663655C</v>
          </cell>
          <cell r="E70">
            <v>240</v>
          </cell>
          <cell r="F70">
            <v>43430</v>
          </cell>
          <cell r="G70" t="str">
            <v>OK</v>
          </cell>
        </row>
        <row r="71">
          <cell r="A71" t="str">
            <v>Y1811-0676</v>
          </cell>
          <cell r="B71">
            <v>201808</v>
          </cell>
          <cell r="C71" t="str">
            <v>0100168763</v>
          </cell>
          <cell r="D71" t="str">
            <v>663656C</v>
          </cell>
          <cell r="E71">
            <v>204</v>
          </cell>
          <cell r="F71">
            <v>43430</v>
          </cell>
          <cell r="G71" t="str">
            <v>OK</v>
          </cell>
        </row>
        <row r="72">
          <cell r="A72" t="str">
            <v>Y1811-0680</v>
          </cell>
          <cell r="B72">
            <v>201808</v>
          </cell>
          <cell r="C72" t="str">
            <v>0100168832</v>
          </cell>
          <cell r="D72" t="str">
            <v>663657C</v>
          </cell>
          <cell r="E72">
            <v>120</v>
          </cell>
          <cell r="F72">
            <v>43430</v>
          </cell>
          <cell r="G72" t="str">
            <v>OK</v>
          </cell>
        </row>
        <row r="73">
          <cell r="A73" t="str">
            <v>Y1811-0694</v>
          </cell>
          <cell r="B73">
            <v>201808</v>
          </cell>
          <cell r="C73" t="str">
            <v>4600061949</v>
          </cell>
          <cell r="D73" t="str">
            <v>159786C</v>
          </cell>
          <cell r="E73">
            <v>684</v>
          </cell>
          <cell r="F73">
            <v>43432</v>
          </cell>
          <cell r="G73" t="str">
            <v>OK</v>
          </cell>
        </row>
        <row r="74">
          <cell r="A74" t="str">
            <v>Y1811-0703</v>
          </cell>
          <cell r="B74">
            <v>201808</v>
          </cell>
          <cell r="C74" t="str">
            <v>4600061987</v>
          </cell>
          <cell r="D74" t="str">
            <v>663655C</v>
          </cell>
          <cell r="E74">
            <v>240</v>
          </cell>
          <cell r="F74">
            <v>43428</v>
          </cell>
          <cell r="G74" t="str">
            <v>OK</v>
          </cell>
        </row>
        <row r="75">
          <cell r="A75" t="str">
            <v>Y1811-0704</v>
          </cell>
          <cell r="B75">
            <v>201808</v>
          </cell>
          <cell r="C75" t="str">
            <v>4600061988</v>
          </cell>
          <cell r="D75" t="str">
            <v>663655C</v>
          </cell>
          <cell r="E75">
            <v>240</v>
          </cell>
          <cell r="F75">
            <v>43428</v>
          </cell>
          <cell r="G75" t="str">
            <v>OK</v>
          </cell>
        </row>
        <row r="76">
          <cell r="A76" t="str">
            <v>Y1811-0705</v>
          </cell>
          <cell r="B76">
            <v>201808</v>
          </cell>
          <cell r="C76" t="str">
            <v>4600061989</v>
          </cell>
          <cell r="D76" t="str">
            <v>663657C</v>
          </cell>
          <cell r="E76">
            <v>396</v>
          </cell>
          <cell r="F76">
            <v>43428</v>
          </cell>
          <cell r="G76" t="str">
            <v>OK</v>
          </cell>
        </row>
        <row r="77">
          <cell r="A77" t="str">
            <v>Y1811-0710</v>
          </cell>
          <cell r="B77">
            <v>201808</v>
          </cell>
          <cell r="C77" t="str">
            <v>4600062001</v>
          </cell>
          <cell r="D77" t="str">
            <v>144151C</v>
          </cell>
          <cell r="E77">
            <v>972</v>
          </cell>
          <cell r="F77">
            <v>43432</v>
          </cell>
          <cell r="G77" t="str">
            <v>OK</v>
          </cell>
        </row>
        <row r="78">
          <cell r="A78" t="str">
            <v>Y1811-0712</v>
          </cell>
          <cell r="B78">
            <v>201808</v>
          </cell>
          <cell r="C78" t="str">
            <v>4600062003</v>
          </cell>
          <cell r="D78" t="str">
            <v>144150C</v>
          </cell>
          <cell r="E78">
            <v>828</v>
          </cell>
          <cell r="F78">
            <v>43432</v>
          </cell>
          <cell r="G78" t="str">
            <v>OK</v>
          </cell>
        </row>
        <row r="79">
          <cell r="A79" t="str">
            <v>Y1811-0713</v>
          </cell>
          <cell r="B79">
            <v>201808</v>
          </cell>
          <cell r="C79" t="str">
            <v>4600062004</v>
          </cell>
          <cell r="D79" t="str">
            <v>144148C</v>
          </cell>
          <cell r="E79">
            <v>372</v>
          </cell>
          <cell r="F79">
            <v>43432</v>
          </cell>
          <cell r="G79" t="str">
            <v>OK</v>
          </cell>
        </row>
        <row r="80">
          <cell r="A80" t="str">
            <v>Y1811-0714</v>
          </cell>
          <cell r="B80">
            <v>201808</v>
          </cell>
          <cell r="C80" t="str">
            <v>4600062005</v>
          </cell>
          <cell r="D80" t="str">
            <v>144145C</v>
          </cell>
          <cell r="E80">
            <v>360</v>
          </cell>
          <cell r="F80">
            <v>43432</v>
          </cell>
          <cell r="G80" t="str">
            <v>OK</v>
          </cell>
        </row>
        <row r="81">
          <cell r="A81" t="str">
            <v>Y1811-0715</v>
          </cell>
          <cell r="B81">
            <v>201808</v>
          </cell>
          <cell r="C81" t="str">
            <v>4600062006</v>
          </cell>
          <cell r="D81" t="str">
            <v>144151C</v>
          </cell>
          <cell r="E81">
            <v>360</v>
          </cell>
          <cell r="F81">
            <v>43432</v>
          </cell>
          <cell r="G81" t="str">
            <v>OK</v>
          </cell>
        </row>
        <row r="82">
          <cell r="A82" t="str">
            <v>Y1811-0716</v>
          </cell>
          <cell r="B82">
            <v>201808</v>
          </cell>
          <cell r="C82" t="str">
            <v>4600062007</v>
          </cell>
          <cell r="D82" t="str">
            <v>161602C</v>
          </cell>
          <cell r="E82">
            <v>360</v>
          </cell>
          <cell r="F82">
            <v>43429</v>
          </cell>
          <cell r="G82" t="str">
            <v>OK</v>
          </cell>
        </row>
        <row r="83">
          <cell r="A83" t="str">
            <v>Y1811-0717</v>
          </cell>
          <cell r="B83">
            <v>201808</v>
          </cell>
          <cell r="C83" t="str">
            <v>4600062008</v>
          </cell>
          <cell r="D83" t="str">
            <v>163188C</v>
          </cell>
          <cell r="E83">
            <v>360</v>
          </cell>
          <cell r="F83">
            <v>43429</v>
          </cell>
          <cell r="G83" t="str">
            <v>OK</v>
          </cell>
        </row>
        <row r="84">
          <cell r="A84" t="str">
            <v>Y1811-0718</v>
          </cell>
          <cell r="B84">
            <v>201808</v>
          </cell>
          <cell r="C84" t="str">
            <v>4600062009</v>
          </cell>
          <cell r="D84" t="str">
            <v>163187C</v>
          </cell>
          <cell r="E84">
            <v>600</v>
          </cell>
          <cell r="F84">
            <v>43429</v>
          </cell>
          <cell r="G84" t="str">
            <v>OK</v>
          </cell>
        </row>
        <row r="85">
          <cell r="A85" t="str">
            <v>Y1811-0720</v>
          </cell>
          <cell r="B85">
            <v>201808</v>
          </cell>
          <cell r="C85" t="str">
            <v>4600062011</v>
          </cell>
          <cell r="D85" t="str">
            <v>163202C</v>
          </cell>
          <cell r="E85">
            <v>360</v>
          </cell>
          <cell r="F85">
            <v>43429</v>
          </cell>
          <cell r="G85" t="str">
            <v>OK</v>
          </cell>
        </row>
        <row r="86">
          <cell r="A86" t="str">
            <v>Y1811-0722</v>
          </cell>
          <cell r="B86">
            <v>201808</v>
          </cell>
          <cell r="C86" t="str">
            <v>4600062013</v>
          </cell>
          <cell r="D86" t="str">
            <v>163201C</v>
          </cell>
          <cell r="E86">
            <v>360</v>
          </cell>
          <cell r="F86">
            <v>43429</v>
          </cell>
          <cell r="G86" t="str">
            <v>OK</v>
          </cell>
        </row>
        <row r="87">
          <cell r="A87" t="str">
            <v>Y1811-0723</v>
          </cell>
          <cell r="B87">
            <v>201808</v>
          </cell>
          <cell r="C87" t="str">
            <v>4600062014</v>
          </cell>
          <cell r="D87" t="str">
            <v>144150C</v>
          </cell>
          <cell r="E87">
            <v>360</v>
          </cell>
          <cell r="F87">
            <v>43432</v>
          </cell>
          <cell r="G87" t="str">
            <v>OK</v>
          </cell>
        </row>
        <row r="88">
          <cell r="A88" t="str">
            <v>Y1811-0724</v>
          </cell>
          <cell r="B88">
            <v>201808</v>
          </cell>
          <cell r="C88" t="str">
            <v>4600062015</v>
          </cell>
          <cell r="D88" t="str">
            <v>159792C</v>
          </cell>
          <cell r="E88">
            <v>360</v>
          </cell>
          <cell r="F88">
            <v>43432</v>
          </cell>
          <cell r="G88" t="str">
            <v>OK</v>
          </cell>
        </row>
        <row r="89">
          <cell r="A89" t="str">
            <v>Y1811-0725</v>
          </cell>
          <cell r="B89">
            <v>201808</v>
          </cell>
          <cell r="C89" t="str">
            <v>4600062016</v>
          </cell>
          <cell r="D89" t="str">
            <v>161603C</v>
          </cell>
          <cell r="E89">
            <v>360</v>
          </cell>
          <cell r="F89">
            <v>43429</v>
          </cell>
          <cell r="G89" t="str">
            <v>OK</v>
          </cell>
        </row>
        <row r="90">
          <cell r="A90" t="str">
            <v>Y1811-0726</v>
          </cell>
          <cell r="B90">
            <v>201808</v>
          </cell>
          <cell r="C90" t="str">
            <v>4600062017</v>
          </cell>
          <cell r="D90" t="str">
            <v>163186C</v>
          </cell>
          <cell r="E90">
            <v>504</v>
          </cell>
          <cell r="F90">
            <v>43429</v>
          </cell>
          <cell r="G90" t="str">
            <v>OK</v>
          </cell>
        </row>
        <row r="91">
          <cell r="A91" t="str">
            <v>Y1811-0537</v>
          </cell>
          <cell r="B91">
            <v>201808</v>
          </cell>
          <cell r="C91" t="str">
            <v>0100166237</v>
          </cell>
          <cell r="D91" t="str">
            <v>363710F</v>
          </cell>
          <cell r="E91">
            <v>1872</v>
          </cell>
          <cell r="F91">
            <v>43429</v>
          </cell>
          <cell r="G91" t="str">
            <v>OK</v>
          </cell>
        </row>
        <row r="92">
          <cell r="A92" t="str">
            <v>Y1811-0719</v>
          </cell>
          <cell r="B92">
            <v>201808</v>
          </cell>
          <cell r="C92" t="str">
            <v>4600062010</v>
          </cell>
          <cell r="D92" t="str">
            <v>163200C</v>
          </cell>
          <cell r="E92">
            <v>360</v>
          </cell>
          <cell r="F92">
            <v>43429</v>
          </cell>
          <cell r="G92" t="str">
            <v>OK</v>
          </cell>
        </row>
        <row r="93">
          <cell r="A93" t="str">
            <v>Y1811-0495</v>
          </cell>
          <cell r="B93">
            <v>201808</v>
          </cell>
          <cell r="C93" t="str">
            <v>0100166062</v>
          </cell>
          <cell r="D93" t="str">
            <v>158434C</v>
          </cell>
          <cell r="E93">
            <v>4224</v>
          </cell>
          <cell r="F93">
            <v>43425</v>
          </cell>
          <cell r="G93" t="str">
            <v>OK</v>
          </cell>
        </row>
        <row r="94">
          <cell r="A94" t="str">
            <v>Y1811-0014</v>
          </cell>
          <cell r="B94">
            <v>201808</v>
          </cell>
          <cell r="C94" t="str">
            <v>0100166069</v>
          </cell>
          <cell r="D94" t="str">
            <v>164473C</v>
          </cell>
          <cell r="E94">
            <v>8952</v>
          </cell>
          <cell r="F94">
            <v>43405</v>
          </cell>
          <cell r="G94" t="str">
            <v>OK</v>
          </cell>
        </row>
        <row r="95">
          <cell r="A95" t="str">
            <v>Y1811-0016</v>
          </cell>
          <cell r="B95">
            <v>201808</v>
          </cell>
          <cell r="C95" t="str">
            <v>0100166226</v>
          </cell>
          <cell r="D95" t="str">
            <v>164473C</v>
          </cell>
          <cell r="E95">
            <v>324</v>
          </cell>
          <cell r="F95">
            <v>43405</v>
          </cell>
          <cell r="G95" t="str">
            <v>OK</v>
          </cell>
        </row>
        <row r="96">
          <cell r="A96" t="str">
            <v>Y1811-0015</v>
          </cell>
          <cell r="B96">
            <v>201808</v>
          </cell>
          <cell r="C96" t="str">
            <v>0100166230</v>
          </cell>
          <cell r="D96" t="str">
            <v>164473C</v>
          </cell>
          <cell r="E96">
            <v>420</v>
          </cell>
          <cell r="F96">
            <v>43405</v>
          </cell>
          <cell r="G96" t="str">
            <v>OK</v>
          </cell>
        </row>
        <row r="97">
          <cell r="A97" t="str">
            <v>Y1811-0695</v>
          </cell>
          <cell r="B97">
            <v>201808</v>
          </cell>
          <cell r="C97" t="str">
            <v>4600061950</v>
          </cell>
          <cell r="D97" t="str">
            <v>158369C</v>
          </cell>
          <cell r="E97">
            <v>1800</v>
          </cell>
          <cell r="F97">
            <v>43428</v>
          </cell>
          <cell r="G97" t="str">
            <v>OK</v>
          </cell>
        </row>
        <row r="98">
          <cell r="A98" t="str">
            <v>Y1811-0697</v>
          </cell>
          <cell r="B98">
            <v>201808</v>
          </cell>
          <cell r="C98" t="str">
            <v>4600061952</v>
          </cell>
          <cell r="D98" t="str">
            <v>158369C</v>
          </cell>
          <cell r="E98">
            <v>240</v>
          </cell>
          <cell r="F98">
            <v>43428</v>
          </cell>
          <cell r="G98" t="str">
            <v>OK</v>
          </cell>
        </row>
        <row r="99">
          <cell r="A99" t="str">
            <v>Y1811-0711</v>
          </cell>
          <cell r="B99">
            <v>201808</v>
          </cell>
          <cell r="C99" t="str">
            <v>4600062002</v>
          </cell>
          <cell r="D99" t="str">
            <v>158369C</v>
          </cell>
          <cell r="E99">
            <v>360</v>
          </cell>
          <cell r="F99">
            <v>43432</v>
          </cell>
          <cell r="G99" t="str">
            <v>OK</v>
          </cell>
        </row>
        <row r="100">
          <cell r="A100" t="str">
            <v>Y1811-0480</v>
          </cell>
          <cell r="B100">
            <v>201808</v>
          </cell>
          <cell r="C100" t="str">
            <v>0100166035</v>
          </cell>
          <cell r="D100" t="str">
            <v>763528C</v>
          </cell>
          <cell r="E100">
            <v>1944</v>
          </cell>
          <cell r="F100">
            <v>43420</v>
          </cell>
          <cell r="G100" t="str">
            <v>OK</v>
          </cell>
        </row>
        <row r="101">
          <cell r="A101" t="str">
            <v>Y1811-0506</v>
          </cell>
          <cell r="B101">
            <v>201808</v>
          </cell>
          <cell r="C101" t="str">
            <v>0100166079</v>
          </cell>
          <cell r="D101" t="str">
            <v>663600C</v>
          </cell>
          <cell r="E101">
            <v>420</v>
          </cell>
          <cell r="F101">
            <v>43430</v>
          </cell>
          <cell r="G101" t="str">
            <v>OK</v>
          </cell>
        </row>
        <row r="102">
          <cell r="A102" t="str">
            <v>Y1811-0527</v>
          </cell>
          <cell r="B102">
            <v>201808</v>
          </cell>
          <cell r="C102" t="str">
            <v>0100166138</v>
          </cell>
          <cell r="D102" t="str">
            <v>763528C</v>
          </cell>
          <cell r="E102">
            <v>5748</v>
          </cell>
          <cell r="F102">
            <v>43432</v>
          </cell>
          <cell r="G102" t="str">
            <v>OK</v>
          </cell>
        </row>
        <row r="103">
          <cell r="A103" t="str">
            <v>Y1811-0528</v>
          </cell>
          <cell r="B103">
            <v>201808</v>
          </cell>
          <cell r="C103" t="str">
            <v>0100166141</v>
          </cell>
          <cell r="D103" t="str">
            <v>663600C</v>
          </cell>
          <cell r="E103">
            <v>8988</v>
          </cell>
          <cell r="F103">
            <v>43432</v>
          </cell>
          <cell r="G103" t="str">
            <v>OK</v>
          </cell>
        </row>
        <row r="104">
          <cell r="A104" t="str">
            <v>Y1811-0608</v>
          </cell>
          <cell r="B104">
            <v>201808</v>
          </cell>
          <cell r="C104" t="str">
            <v>0100167898</v>
          </cell>
          <cell r="D104" t="str">
            <v>663600C</v>
          </cell>
          <cell r="E104">
            <v>744</v>
          </cell>
          <cell r="F104">
            <v>43430</v>
          </cell>
          <cell r="G104" t="str">
            <v>OK</v>
          </cell>
        </row>
        <row r="105">
          <cell r="A105" t="str">
            <v>Y1811-0666</v>
          </cell>
          <cell r="B105">
            <v>201808</v>
          </cell>
          <cell r="C105" t="str">
            <v>0100168410</v>
          </cell>
          <cell r="D105" t="str">
            <v>763528C</v>
          </cell>
          <cell r="E105">
            <v>948</v>
          </cell>
          <cell r="F105">
            <v>43430</v>
          </cell>
          <cell r="G105" t="str">
            <v>OK</v>
          </cell>
        </row>
        <row r="106">
          <cell r="A106" t="str">
            <v>Y1811-0481</v>
          </cell>
          <cell r="B106">
            <v>201808</v>
          </cell>
          <cell r="C106" t="str">
            <v>0100166037</v>
          </cell>
          <cell r="D106" t="str">
            <v>763564C</v>
          </cell>
          <cell r="E106">
            <v>1080</v>
          </cell>
          <cell r="F106">
            <v>43429</v>
          </cell>
          <cell r="G106" t="str">
            <v>OK</v>
          </cell>
        </row>
        <row r="107">
          <cell r="A107" t="str">
            <v>Y1811-0486</v>
          </cell>
          <cell r="B107">
            <v>201808</v>
          </cell>
          <cell r="C107" t="str">
            <v>0100166045</v>
          </cell>
          <cell r="D107" t="str">
            <v>663654C</v>
          </cell>
          <cell r="E107">
            <v>456</v>
          </cell>
          <cell r="F107">
            <v>43424</v>
          </cell>
          <cell r="G107" t="str">
            <v>OK</v>
          </cell>
        </row>
        <row r="108">
          <cell r="A108" t="str">
            <v>Y1811-0493</v>
          </cell>
          <cell r="B108">
            <v>201808</v>
          </cell>
          <cell r="C108" t="str">
            <v>0100166060</v>
          </cell>
          <cell r="D108" t="str">
            <v>663653C</v>
          </cell>
          <cell r="E108">
            <v>912</v>
          </cell>
          <cell r="F108">
            <v>43424</v>
          </cell>
          <cell r="G108" t="str">
            <v>OK</v>
          </cell>
        </row>
        <row r="109">
          <cell r="A109" t="str">
            <v>Y1810-1046</v>
          </cell>
          <cell r="B109">
            <v>201808</v>
          </cell>
          <cell r="C109" t="str">
            <v>0100166252</v>
          </cell>
          <cell r="D109" t="str">
            <v>663653C</v>
          </cell>
          <cell r="E109">
            <v>1692</v>
          </cell>
          <cell r="F109">
            <v>43433</v>
          </cell>
          <cell r="G109" t="str">
            <v>OK</v>
          </cell>
        </row>
        <row r="110">
          <cell r="A110" t="str">
            <v>Y1811-0549</v>
          </cell>
          <cell r="B110">
            <v>201808</v>
          </cell>
          <cell r="C110" t="str">
            <v>0100166253</v>
          </cell>
          <cell r="D110" t="str">
            <v>663654C</v>
          </cell>
          <cell r="E110">
            <v>600</v>
          </cell>
          <cell r="F110">
            <v>43422</v>
          </cell>
          <cell r="G110" t="str">
            <v>OK</v>
          </cell>
        </row>
        <row r="111">
          <cell r="A111" t="str">
            <v>Y1811-0550</v>
          </cell>
          <cell r="B111">
            <v>201808</v>
          </cell>
          <cell r="C111" t="str">
            <v>0100166254</v>
          </cell>
          <cell r="D111" t="str">
            <v>663654C</v>
          </cell>
          <cell r="E111">
            <v>396</v>
          </cell>
          <cell r="F111">
            <v>43429</v>
          </cell>
          <cell r="G111" t="str">
            <v>OK</v>
          </cell>
        </row>
        <row r="112">
          <cell r="A112" t="str">
            <v>Y1811-0564</v>
          </cell>
          <cell r="B112">
            <v>201808</v>
          </cell>
          <cell r="C112" t="str">
            <v>0100166274</v>
          </cell>
          <cell r="D112" t="str">
            <v>663653C</v>
          </cell>
          <cell r="E112">
            <v>636</v>
          </cell>
          <cell r="F112">
            <v>43422</v>
          </cell>
          <cell r="G112" t="str">
            <v>OK</v>
          </cell>
        </row>
        <row r="113">
          <cell r="A113" t="str">
            <v>Y1811-0572</v>
          </cell>
          <cell r="B113">
            <v>201808</v>
          </cell>
          <cell r="C113" t="str">
            <v>0100166288</v>
          </cell>
          <cell r="D113" t="str">
            <v>663653C</v>
          </cell>
          <cell r="E113">
            <v>1800</v>
          </cell>
          <cell r="F113">
            <v>43419</v>
          </cell>
          <cell r="G113" t="str">
            <v>OK</v>
          </cell>
        </row>
        <row r="114">
          <cell r="A114" t="str">
            <v>Y1811-0614</v>
          </cell>
          <cell r="B114">
            <v>201808</v>
          </cell>
          <cell r="C114" t="str">
            <v>0100167913</v>
          </cell>
          <cell r="D114" t="str">
            <v>663653C</v>
          </cell>
          <cell r="E114">
            <v>810</v>
          </cell>
          <cell r="F114">
            <v>43419</v>
          </cell>
          <cell r="G114" t="str">
            <v>OK</v>
          </cell>
        </row>
        <row r="115">
          <cell r="A115" t="str">
            <v>Y1811-0636</v>
          </cell>
          <cell r="B115">
            <v>201808</v>
          </cell>
          <cell r="C115" t="str">
            <v>0100168132</v>
          </cell>
          <cell r="D115" t="str">
            <v>663653C</v>
          </cell>
          <cell r="E115">
            <v>384</v>
          </cell>
          <cell r="F115">
            <v>43419</v>
          </cell>
          <cell r="G115" t="str">
            <v>OK</v>
          </cell>
        </row>
        <row r="116">
          <cell r="A116" t="str">
            <v>Y1811-0498</v>
          </cell>
          <cell r="B116">
            <v>201808</v>
          </cell>
          <cell r="C116" t="str">
            <v>0100166071</v>
          </cell>
          <cell r="D116" t="str">
            <v>163194C</v>
          </cell>
          <cell r="E116">
            <v>336</v>
          </cell>
          <cell r="F116">
            <v>43430</v>
          </cell>
          <cell r="G116" t="str">
            <v>OK</v>
          </cell>
        </row>
        <row r="117">
          <cell r="A117" t="str">
            <v>Y1811-0615</v>
          </cell>
          <cell r="B117">
            <v>201808</v>
          </cell>
          <cell r="C117" t="str">
            <v>0100168104</v>
          </cell>
          <cell r="D117" t="str">
            <v>163198C</v>
          </cell>
          <cell r="E117">
            <v>252</v>
          </cell>
          <cell r="F117">
            <v>43430</v>
          </cell>
          <cell r="G117" t="str">
            <v>OK</v>
          </cell>
        </row>
        <row r="118">
          <cell r="A118" t="str">
            <v>Y1811-0729</v>
          </cell>
          <cell r="B118">
            <v>201808</v>
          </cell>
          <cell r="C118" t="str">
            <v>4600062687</v>
          </cell>
          <cell r="D118" t="str">
            <v>3J256C</v>
          </cell>
          <cell r="E118">
            <v>396</v>
          </cell>
          <cell r="F118">
            <v>43408</v>
          </cell>
          <cell r="G118" t="str">
            <v>OK</v>
          </cell>
        </row>
        <row r="119">
          <cell r="A119" t="str">
            <v>Y1811-0730</v>
          </cell>
          <cell r="B119">
            <v>201808</v>
          </cell>
          <cell r="C119" t="str">
            <v>4600062688</v>
          </cell>
          <cell r="D119" t="str">
            <v>7J235C</v>
          </cell>
          <cell r="E119">
            <v>528</v>
          </cell>
          <cell r="F119">
            <v>43408</v>
          </cell>
          <cell r="G119" t="str">
            <v>OK</v>
          </cell>
        </row>
        <row r="120">
          <cell r="A120" t="str">
            <v>Y1811-0731</v>
          </cell>
          <cell r="B120">
            <v>201808</v>
          </cell>
          <cell r="C120" t="str">
            <v>4600062689</v>
          </cell>
          <cell r="D120" t="str">
            <v>3J235C</v>
          </cell>
          <cell r="E120">
            <v>720</v>
          </cell>
          <cell r="F120">
            <v>43408</v>
          </cell>
          <cell r="G120" t="str">
            <v>OK</v>
          </cell>
        </row>
        <row r="121">
          <cell r="A121" t="str">
            <v>Y1811-0546</v>
          </cell>
          <cell r="B121">
            <v>201808</v>
          </cell>
          <cell r="C121" t="str">
            <v>0100166247</v>
          </cell>
          <cell r="D121" t="str">
            <v>763564F</v>
          </cell>
          <cell r="E121">
            <v>420</v>
          </cell>
          <cell r="F121">
            <v>43429</v>
          </cell>
          <cell r="G121" t="str">
            <v>OK</v>
          </cell>
        </row>
        <row r="122">
          <cell r="A122" t="str">
            <v>Y1811-0547</v>
          </cell>
          <cell r="B122">
            <v>201808</v>
          </cell>
          <cell r="C122" t="str">
            <v>0100166248</v>
          </cell>
          <cell r="D122" t="str">
            <v>763564F</v>
          </cell>
          <cell r="E122">
            <v>480</v>
          </cell>
          <cell r="F122">
            <v>43429</v>
          </cell>
          <cell r="G122" t="str">
            <v>OK</v>
          </cell>
        </row>
        <row r="123">
          <cell r="A123" t="str">
            <v>Y1811-0571</v>
          </cell>
          <cell r="B123">
            <v>201808</v>
          </cell>
          <cell r="C123" t="str">
            <v>0100166283</v>
          </cell>
          <cell r="D123" t="str">
            <v>763564F</v>
          </cell>
          <cell r="E123">
            <v>495</v>
          </cell>
          <cell r="F123">
            <v>43433</v>
          </cell>
          <cell r="G123" t="str">
            <v>OK</v>
          </cell>
        </row>
        <row r="124">
          <cell r="A124" t="str">
            <v>Y1811-0681</v>
          </cell>
          <cell r="B124">
            <v>201808</v>
          </cell>
          <cell r="C124" t="str">
            <v>0100168833</v>
          </cell>
          <cell r="D124" t="str">
            <v>763565C</v>
          </cell>
          <cell r="E124">
            <v>180</v>
          </cell>
          <cell r="F124">
            <v>43430</v>
          </cell>
          <cell r="G124" t="str">
            <v>OK</v>
          </cell>
        </row>
        <row r="125">
          <cell r="A125" t="str">
            <v>Y1811-0484</v>
          </cell>
          <cell r="B125">
            <v>201808</v>
          </cell>
          <cell r="C125" t="str">
            <v>0100166042</v>
          </cell>
          <cell r="D125" t="str">
            <v>663608C</v>
          </cell>
          <cell r="E125">
            <v>360</v>
          </cell>
          <cell r="F125">
            <v>43424</v>
          </cell>
          <cell r="G125" t="str">
            <v>OK</v>
          </cell>
        </row>
        <row r="126">
          <cell r="A126" t="str">
            <v>Y1811-0540</v>
          </cell>
          <cell r="B126">
            <v>201808</v>
          </cell>
          <cell r="C126" t="str">
            <v>0100166240</v>
          </cell>
          <cell r="D126">
            <v>88875</v>
          </cell>
          <cell r="E126">
            <v>648</v>
          </cell>
          <cell r="F126">
            <v>43419</v>
          </cell>
          <cell r="G126" t="str">
            <v>OK</v>
          </cell>
        </row>
        <row r="127">
          <cell r="A127" t="str">
            <v>Y1811-0541</v>
          </cell>
          <cell r="B127">
            <v>201808</v>
          </cell>
          <cell r="C127" t="str">
            <v>0100166241</v>
          </cell>
          <cell r="D127">
            <v>88875</v>
          </cell>
          <cell r="E127">
            <v>636</v>
          </cell>
          <cell r="F127">
            <v>43419</v>
          </cell>
          <cell r="G127" t="str">
            <v>OK</v>
          </cell>
        </row>
        <row r="128">
          <cell r="A128" t="str">
            <v>Y1811-0542</v>
          </cell>
          <cell r="B128">
            <v>201808</v>
          </cell>
          <cell r="C128" t="str">
            <v>0100166242</v>
          </cell>
          <cell r="D128" t="str">
            <v>8J231</v>
          </cell>
          <cell r="E128">
            <v>936</v>
          </cell>
          <cell r="F128">
            <v>43419</v>
          </cell>
          <cell r="G128" t="str">
            <v>OK</v>
          </cell>
        </row>
        <row r="129">
          <cell r="A129" t="str">
            <v>Y1811-0562</v>
          </cell>
          <cell r="B129">
            <v>201808</v>
          </cell>
          <cell r="C129" t="str">
            <v>0100166271</v>
          </cell>
          <cell r="D129" t="str">
            <v>663608C</v>
          </cell>
          <cell r="E129">
            <v>2544</v>
          </cell>
          <cell r="F129">
            <v>43429</v>
          </cell>
          <cell r="G129" t="str">
            <v>OK</v>
          </cell>
        </row>
        <row r="130">
          <cell r="A130" t="str">
            <v>Y1811-0569</v>
          </cell>
          <cell r="B130">
            <v>201808</v>
          </cell>
          <cell r="C130" t="str">
            <v>0100166279</v>
          </cell>
          <cell r="D130" t="str">
            <v>8J231</v>
          </cell>
          <cell r="E130">
            <v>3840</v>
          </cell>
          <cell r="F130">
            <v>43419</v>
          </cell>
          <cell r="G130" t="str">
            <v>OK</v>
          </cell>
        </row>
        <row r="131">
          <cell r="A131" t="str">
            <v>Y1811-0570</v>
          </cell>
          <cell r="B131">
            <v>201808</v>
          </cell>
          <cell r="C131" t="str">
            <v>0100166280</v>
          </cell>
          <cell r="D131">
            <v>88871</v>
          </cell>
          <cell r="E131">
            <v>744</v>
          </cell>
          <cell r="F131">
            <v>43429</v>
          </cell>
          <cell r="G131" t="str">
            <v>OK</v>
          </cell>
        </row>
        <row r="132">
          <cell r="A132" t="str">
            <v>Y1811-0604</v>
          </cell>
          <cell r="B132">
            <v>201808</v>
          </cell>
          <cell r="C132" t="str">
            <v>0100167894</v>
          </cell>
          <cell r="D132">
            <v>88871</v>
          </cell>
          <cell r="E132">
            <v>168</v>
          </cell>
          <cell r="F132">
            <v>43430</v>
          </cell>
          <cell r="G132" t="str">
            <v>OK</v>
          </cell>
        </row>
        <row r="133">
          <cell r="A133" t="str">
            <v>Y1811-0689</v>
          </cell>
          <cell r="B133">
            <v>201808</v>
          </cell>
          <cell r="C133" t="str">
            <v>4600061944</v>
          </cell>
          <cell r="D133" t="str">
            <v>663608C</v>
          </cell>
          <cell r="E133">
            <v>1776</v>
          </cell>
          <cell r="F133">
            <v>43432</v>
          </cell>
          <cell r="G133" t="str">
            <v>OK</v>
          </cell>
        </row>
        <row r="134">
          <cell r="A134" t="str">
            <v>Y1811-0693</v>
          </cell>
          <cell r="B134">
            <v>201808</v>
          </cell>
          <cell r="C134" t="str">
            <v>4600061948</v>
          </cell>
          <cell r="D134" t="str">
            <v>8J231</v>
          </cell>
          <cell r="E134">
            <v>696</v>
          </cell>
          <cell r="F134">
            <v>43428</v>
          </cell>
          <cell r="G134" t="str">
            <v>OK</v>
          </cell>
        </row>
        <row r="135">
          <cell r="A135" t="str">
            <v>Y1811-0696</v>
          </cell>
          <cell r="B135">
            <v>201808</v>
          </cell>
          <cell r="C135" t="str">
            <v>4600061951</v>
          </cell>
          <cell r="D135" t="str">
            <v>8J231</v>
          </cell>
          <cell r="E135">
            <v>240</v>
          </cell>
          <cell r="F135">
            <v>43428</v>
          </cell>
          <cell r="G135" t="str">
            <v>OK</v>
          </cell>
        </row>
        <row r="136">
          <cell r="A136" t="str">
            <v>Y1811-0707</v>
          </cell>
          <cell r="B136">
            <v>201808</v>
          </cell>
          <cell r="C136" t="str">
            <v>4600061996</v>
          </cell>
          <cell r="D136">
            <v>88871</v>
          </cell>
          <cell r="E136">
            <v>132</v>
          </cell>
          <cell r="F136">
            <v>43434</v>
          </cell>
          <cell r="G136" t="str">
            <v>OK</v>
          </cell>
        </row>
        <row r="137">
          <cell r="A137" t="str">
            <v>Y1810-1038</v>
          </cell>
          <cell r="B137">
            <v>201808</v>
          </cell>
          <cell r="C137" t="str">
            <v>0100166036</v>
          </cell>
          <cell r="D137" t="str">
            <v>763530C</v>
          </cell>
          <cell r="E137">
            <v>1152</v>
          </cell>
          <cell r="F137">
            <v>43429</v>
          </cell>
          <cell r="G137" t="str">
            <v>OK</v>
          </cell>
        </row>
        <row r="138">
          <cell r="A138" t="str">
            <v>Y1810-1039</v>
          </cell>
          <cell r="B138">
            <v>201808</v>
          </cell>
          <cell r="C138" t="str">
            <v>0100166038</v>
          </cell>
          <cell r="D138" t="str">
            <v>663602C</v>
          </cell>
          <cell r="E138">
            <v>624</v>
          </cell>
          <cell r="F138">
            <v>43433</v>
          </cell>
          <cell r="G138" t="str">
            <v>OK</v>
          </cell>
        </row>
        <row r="139">
          <cell r="A139" t="str">
            <v>Y1810-1045</v>
          </cell>
          <cell r="B139">
            <v>201808</v>
          </cell>
          <cell r="C139" t="str">
            <v>0100166243</v>
          </cell>
          <cell r="D139" t="str">
            <v>763530F</v>
          </cell>
          <cell r="E139">
            <v>660</v>
          </cell>
          <cell r="F139">
            <v>43429</v>
          </cell>
          <cell r="G139" t="str">
            <v>OK</v>
          </cell>
        </row>
        <row r="140">
          <cell r="A140" t="str">
            <v>Y1811-0543</v>
          </cell>
          <cell r="B140">
            <v>201808</v>
          </cell>
          <cell r="C140" t="str">
            <v>0100166244</v>
          </cell>
          <cell r="D140" t="str">
            <v>663602C</v>
          </cell>
          <cell r="E140">
            <v>432</v>
          </cell>
          <cell r="F140">
            <v>43433</v>
          </cell>
          <cell r="G140" t="str">
            <v>OK</v>
          </cell>
        </row>
        <row r="141">
          <cell r="A141" t="str">
            <v>Y1811-0544</v>
          </cell>
          <cell r="B141">
            <v>201808</v>
          </cell>
          <cell r="C141" t="str">
            <v>0100166245</v>
          </cell>
          <cell r="D141" t="str">
            <v>663602C</v>
          </cell>
          <cell r="E141">
            <v>456</v>
          </cell>
          <cell r="F141">
            <v>43429</v>
          </cell>
          <cell r="G141" t="str">
            <v>OK</v>
          </cell>
        </row>
        <row r="142">
          <cell r="A142" t="str">
            <v>Y1811-0510</v>
          </cell>
          <cell r="B142">
            <v>201808</v>
          </cell>
          <cell r="C142" t="str">
            <v>0100166083</v>
          </cell>
          <cell r="D142" t="str">
            <v>663599C</v>
          </cell>
          <cell r="E142">
            <v>156</v>
          </cell>
          <cell r="F142">
            <v>43430</v>
          </cell>
          <cell r="G142" t="str">
            <v>OK</v>
          </cell>
        </row>
        <row r="143">
          <cell r="A143" t="str">
            <v>Y1811-0561</v>
          </cell>
          <cell r="B143">
            <v>201808</v>
          </cell>
          <cell r="C143" t="str">
            <v>0100166270</v>
          </cell>
          <cell r="D143" t="str">
            <v>163377C</v>
          </cell>
          <cell r="E143">
            <v>540</v>
          </cell>
          <cell r="F143">
            <v>43429</v>
          </cell>
          <cell r="G143" t="str">
            <v>OK</v>
          </cell>
        </row>
        <row r="144">
          <cell r="A144" t="str">
            <v>Y1811-0702</v>
          </cell>
          <cell r="B144">
            <v>201808</v>
          </cell>
          <cell r="C144" t="str">
            <v>4600061986</v>
          </cell>
          <cell r="D144" t="str">
            <v>163314C</v>
          </cell>
          <cell r="E144">
            <v>288</v>
          </cell>
          <cell r="F144">
            <v>43428</v>
          </cell>
          <cell r="G144" t="str">
            <v>OK</v>
          </cell>
        </row>
        <row r="145">
          <cell r="A145" t="str">
            <v>Y1811-0492</v>
          </cell>
          <cell r="B145">
            <v>201808</v>
          </cell>
          <cell r="C145" t="str">
            <v>0100166056</v>
          </cell>
          <cell r="D145" t="str">
            <v>663601C</v>
          </cell>
          <cell r="E145">
            <v>756</v>
          </cell>
          <cell r="F145">
            <v>43420</v>
          </cell>
          <cell r="G145" t="str">
            <v>OK</v>
          </cell>
        </row>
        <row r="146">
          <cell r="A146" t="str">
            <v>Y1811-0529</v>
          </cell>
          <cell r="B146">
            <v>201808</v>
          </cell>
          <cell r="C146" t="str">
            <v>0100166147</v>
          </cell>
          <cell r="D146" t="str">
            <v>663601C</v>
          </cell>
          <cell r="E146">
            <v>5844</v>
          </cell>
          <cell r="F146">
            <v>43432</v>
          </cell>
          <cell r="G146" t="str">
            <v>OK</v>
          </cell>
        </row>
        <row r="147">
          <cell r="A147" t="str">
            <v>Y1811-0563</v>
          </cell>
          <cell r="B147">
            <v>201808</v>
          </cell>
          <cell r="C147" t="str">
            <v>0100166273</v>
          </cell>
          <cell r="D147" t="str">
            <v>763566F</v>
          </cell>
          <cell r="E147">
            <v>1800</v>
          </cell>
          <cell r="F147">
            <v>43429</v>
          </cell>
          <cell r="G147" t="str">
            <v>OK</v>
          </cell>
        </row>
        <row r="148">
          <cell r="A148" t="str">
            <v>Y1811-0632</v>
          </cell>
          <cell r="B148">
            <v>201808</v>
          </cell>
          <cell r="C148" t="str">
            <v>0100168121</v>
          </cell>
          <cell r="D148" t="str">
            <v>663601C</v>
          </cell>
          <cell r="E148">
            <v>588</v>
          </cell>
          <cell r="F148">
            <v>43430</v>
          </cell>
          <cell r="G148" t="str">
            <v>OK</v>
          </cell>
        </row>
        <row r="149">
          <cell r="A149" t="str">
            <v>Y1811-0698</v>
          </cell>
          <cell r="B149">
            <v>201808</v>
          </cell>
          <cell r="C149" t="str">
            <v>4600061956</v>
          </cell>
          <cell r="D149" t="str">
            <v>163314C</v>
          </cell>
          <cell r="E149">
            <v>180</v>
          </cell>
          <cell r="F149">
            <v>43428</v>
          </cell>
          <cell r="G149" t="str">
            <v>OK</v>
          </cell>
        </row>
        <row r="150">
          <cell r="A150" t="str">
            <v>Y1811-0682</v>
          </cell>
          <cell r="B150">
            <v>201808</v>
          </cell>
          <cell r="C150" t="str">
            <v>0100168834</v>
          </cell>
          <cell r="D150" t="str">
            <v>763566C</v>
          </cell>
          <cell r="E150">
            <v>192</v>
          </cell>
          <cell r="F150">
            <v>43430</v>
          </cell>
          <cell r="G150" t="str">
            <v>OK</v>
          </cell>
        </row>
        <row r="151">
          <cell r="A151" t="str">
            <v>Y1811-0478</v>
          </cell>
          <cell r="B151">
            <v>201808</v>
          </cell>
          <cell r="C151" t="str">
            <v>0100166033</v>
          </cell>
          <cell r="D151" t="str">
            <v>163316C</v>
          </cell>
          <cell r="E151">
            <v>696</v>
          </cell>
          <cell r="F151">
            <v>43429</v>
          </cell>
          <cell r="G151" t="str">
            <v>OK</v>
          </cell>
        </row>
        <row r="152">
          <cell r="A152" t="str">
            <v>Y1811-0558</v>
          </cell>
          <cell r="B152">
            <v>201808</v>
          </cell>
          <cell r="C152" t="str">
            <v>0100166266</v>
          </cell>
          <cell r="D152" t="str">
            <v>163316C</v>
          </cell>
          <cell r="E152">
            <v>168</v>
          </cell>
          <cell r="F152">
            <v>43429</v>
          </cell>
          <cell r="G152" t="str">
            <v>OK</v>
          </cell>
        </row>
        <row r="153">
          <cell r="A153" t="str">
            <v>Y1811-0607</v>
          </cell>
          <cell r="B153">
            <v>201808</v>
          </cell>
          <cell r="C153" t="str">
            <v>0100167897</v>
          </cell>
          <cell r="D153" t="str">
            <v>163368C</v>
          </cell>
          <cell r="E153">
            <v>336</v>
          </cell>
          <cell r="F153">
            <v>43430</v>
          </cell>
          <cell r="G153" t="str">
            <v>OK</v>
          </cell>
        </row>
        <row r="154">
          <cell r="A154" t="str">
            <v>Y1811-0686</v>
          </cell>
          <cell r="B154">
            <v>201808</v>
          </cell>
          <cell r="C154" t="str">
            <v>0100169006</v>
          </cell>
          <cell r="D154" t="str">
            <v>163368C</v>
          </cell>
          <cell r="E154">
            <v>144</v>
          </cell>
          <cell r="F154">
            <v>43422</v>
          </cell>
          <cell r="G154" t="str">
            <v>OK</v>
          </cell>
        </row>
        <row r="155">
          <cell r="A155" t="str">
            <v>Y1811-0701</v>
          </cell>
          <cell r="B155">
            <v>201808</v>
          </cell>
          <cell r="C155" t="str">
            <v>4600061985</v>
          </cell>
          <cell r="D155" t="str">
            <v>163316C</v>
          </cell>
          <cell r="E155">
            <v>288</v>
          </cell>
          <cell r="F155">
            <v>43428</v>
          </cell>
          <cell r="G155" t="str">
            <v>OK</v>
          </cell>
        </row>
        <row r="156">
          <cell r="A156" t="str">
            <v>Y1811-0721</v>
          </cell>
          <cell r="B156">
            <v>201808</v>
          </cell>
          <cell r="C156" t="str">
            <v>4600062012</v>
          </cell>
          <cell r="D156" t="str">
            <v>163368C</v>
          </cell>
          <cell r="E156">
            <v>252</v>
          </cell>
          <cell r="F156">
            <v>43428</v>
          </cell>
          <cell r="G156" t="str">
            <v>OK</v>
          </cell>
        </row>
        <row r="157">
          <cell r="A157" t="str">
            <v>Y1811-0688</v>
          </cell>
          <cell r="B157">
            <v>201808</v>
          </cell>
          <cell r="C157" t="str">
            <v>0100169008</v>
          </cell>
          <cell r="D157" t="str">
            <v>751878C</v>
          </cell>
          <cell r="E157">
            <v>288</v>
          </cell>
          <cell r="F157">
            <v>43430</v>
          </cell>
          <cell r="G157" t="str">
            <v>OK</v>
          </cell>
        </row>
        <row r="158">
          <cell r="A158" t="str">
            <v>Y1811-0699</v>
          </cell>
          <cell r="B158">
            <v>201808</v>
          </cell>
          <cell r="C158" t="str">
            <v>4600061957</v>
          </cell>
          <cell r="D158" t="str">
            <v>163316C</v>
          </cell>
          <cell r="E158">
            <v>744</v>
          </cell>
          <cell r="F158">
            <v>43428</v>
          </cell>
          <cell r="G158" t="str">
            <v>OK</v>
          </cell>
        </row>
        <row r="159">
          <cell r="A159" t="str">
            <v>Y1811-0485</v>
          </cell>
          <cell r="B159">
            <v>201808</v>
          </cell>
          <cell r="C159" t="str">
            <v>0100166044</v>
          </cell>
          <cell r="D159" t="str">
            <v>163369C</v>
          </cell>
          <cell r="E159">
            <v>648</v>
          </cell>
          <cell r="F159">
            <v>43429</v>
          </cell>
          <cell r="G159" t="str">
            <v>OK</v>
          </cell>
        </row>
        <row r="160">
          <cell r="A160" t="str">
            <v>Y1811-0491</v>
          </cell>
          <cell r="B160">
            <v>201808</v>
          </cell>
          <cell r="C160" t="str">
            <v>0100166054</v>
          </cell>
          <cell r="D160" t="str">
            <v>264476F</v>
          </cell>
          <cell r="E160">
            <v>1428</v>
          </cell>
          <cell r="F160">
            <v>43420</v>
          </cell>
          <cell r="G160" t="str">
            <v>OK</v>
          </cell>
        </row>
        <row r="161">
          <cell r="A161" t="str">
            <v>Y1811-0496</v>
          </cell>
          <cell r="B161">
            <v>201808</v>
          </cell>
          <cell r="C161" t="str">
            <v>0100166063</v>
          </cell>
          <cell r="D161" t="str">
            <v>863997C</v>
          </cell>
          <cell r="E161">
            <v>372</v>
          </cell>
          <cell r="F161">
            <v>43429</v>
          </cell>
          <cell r="G161" t="str">
            <v>OK</v>
          </cell>
        </row>
        <row r="162">
          <cell r="A162" t="str">
            <v>Y1811-0509</v>
          </cell>
          <cell r="B162">
            <v>201808</v>
          </cell>
          <cell r="C162" t="str">
            <v>0100166082</v>
          </cell>
          <cell r="D162">
            <v>88875</v>
          </cell>
          <cell r="E162">
            <v>384</v>
          </cell>
          <cell r="F162">
            <v>43430</v>
          </cell>
          <cell r="G162" t="str">
            <v>OK</v>
          </cell>
        </row>
        <row r="163">
          <cell r="A163" t="str">
            <v>Y1811-0522</v>
          </cell>
          <cell r="B163">
            <v>201808</v>
          </cell>
          <cell r="C163" t="str">
            <v>0100166107</v>
          </cell>
          <cell r="D163" t="str">
            <v>861020C</v>
          </cell>
          <cell r="E163">
            <v>1932</v>
          </cell>
          <cell r="F163">
            <v>43432</v>
          </cell>
          <cell r="G163" t="str">
            <v>OK</v>
          </cell>
        </row>
        <row r="164">
          <cell r="A164" t="str">
            <v>Y1811-0531</v>
          </cell>
          <cell r="B164">
            <v>201808</v>
          </cell>
          <cell r="C164" t="str">
            <v>0100166225</v>
          </cell>
          <cell r="D164" t="str">
            <v>863997C</v>
          </cell>
          <cell r="E164">
            <v>132</v>
          </cell>
          <cell r="F164">
            <v>43432</v>
          </cell>
          <cell r="G164" t="str">
            <v>OK</v>
          </cell>
        </row>
        <row r="165">
          <cell r="A165" t="str">
            <v>Y1811-0532</v>
          </cell>
          <cell r="B165">
            <v>201808</v>
          </cell>
          <cell r="C165" t="str">
            <v>0100166228</v>
          </cell>
          <cell r="D165" t="str">
            <v>863997C</v>
          </cell>
          <cell r="E165">
            <v>300</v>
          </cell>
          <cell r="F165">
            <v>43428</v>
          </cell>
          <cell r="G165" t="str">
            <v>OK</v>
          </cell>
        </row>
        <row r="166">
          <cell r="A166" t="str">
            <v>Y1811-0548</v>
          </cell>
          <cell r="B166">
            <v>201808</v>
          </cell>
          <cell r="C166" t="str">
            <v>0100166251</v>
          </cell>
          <cell r="D166" t="str">
            <v>163369C</v>
          </cell>
          <cell r="E166">
            <v>534</v>
          </cell>
          <cell r="F166">
            <v>43429</v>
          </cell>
          <cell r="G166" t="str">
            <v>OK</v>
          </cell>
        </row>
        <row r="167">
          <cell r="A167" t="str">
            <v>Y1811-0621</v>
          </cell>
          <cell r="B167">
            <v>201808</v>
          </cell>
          <cell r="C167" t="str">
            <v>0100168110</v>
          </cell>
          <cell r="D167">
            <v>88877</v>
          </cell>
          <cell r="E167">
            <v>720</v>
          </cell>
          <cell r="F167">
            <v>43430</v>
          </cell>
          <cell r="G167" t="str">
            <v>OK</v>
          </cell>
        </row>
        <row r="168">
          <cell r="A168" t="str">
            <v>Y1811-0641</v>
          </cell>
          <cell r="B168">
            <v>201808</v>
          </cell>
          <cell r="C168" t="str">
            <v>0100168250</v>
          </cell>
          <cell r="D168" t="str">
            <v>163377C</v>
          </cell>
          <cell r="E168">
            <v>144</v>
          </cell>
          <cell r="F168">
            <v>43430</v>
          </cell>
          <cell r="G168" t="str">
            <v>OK</v>
          </cell>
        </row>
        <row r="169">
          <cell r="A169" t="str">
            <v>Y1811-0652</v>
          </cell>
          <cell r="B169">
            <v>201808</v>
          </cell>
          <cell r="C169" t="str">
            <v>0100168342</v>
          </cell>
          <cell r="D169">
            <v>88877</v>
          </cell>
          <cell r="E169">
            <v>6384</v>
          </cell>
          <cell r="F169">
            <v>43432</v>
          </cell>
          <cell r="G169" t="str">
            <v>OK</v>
          </cell>
        </row>
        <row r="170">
          <cell r="A170" t="str">
            <v>Y1811-0656</v>
          </cell>
          <cell r="B170">
            <v>201808</v>
          </cell>
          <cell r="C170" t="str">
            <v>0100168400</v>
          </cell>
          <cell r="D170" t="str">
            <v>163368C</v>
          </cell>
          <cell r="E170">
            <v>288</v>
          </cell>
          <cell r="F170">
            <v>43430</v>
          </cell>
          <cell r="G170" t="str">
            <v>OK</v>
          </cell>
        </row>
        <row r="171">
          <cell r="A171" t="str">
            <v>Y1811-0657</v>
          </cell>
          <cell r="B171">
            <v>201808</v>
          </cell>
          <cell r="C171" t="str">
            <v>0100168401</v>
          </cell>
          <cell r="D171" t="str">
            <v>163369C</v>
          </cell>
          <cell r="E171">
            <v>252</v>
          </cell>
          <cell r="F171">
            <v>43430</v>
          </cell>
          <cell r="G171" t="str">
            <v>OK</v>
          </cell>
        </row>
        <row r="172">
          <cell r="A172" t="str">
            <v>Y1811-0674</v>
          </cell>
          <cell r="B172">
            <v>201808</v>
          </cell>
          <cell r="C172" t="str">
            <v>0100168667</v>
          </cell>
          <cell r="D172" t="str">
            <v>163377C</v>
          </cell>
          <cell r="E172">
            <v>288</v>
          </cell>
          <cell r="F172">
            <v>43430</v>
          </cell>
          <cell r="G172" t="str">
            <v>OK</v>
          </cell>
        </row>
        <row r="173">
          <cell r="A173" t="str">
            <v>Y1811-0685</v>
          </cell>
          <cell r="B173">
            <v>201808</v>
          </cell>
          <cell r="C173" t="str">
            <v>0100169005</v>
          </cell>
          <cell r="D173" t="str">
            <v>163369C</v>
          </cell>
          <cell r="E173">
            <v>120</v>
          </cell>
          <cell r="F173">
            <v>43430</v>
          </cell>
          <cell r="G173" t="str">
            <v>OK</v>
          </cell>
        </row>
        <row r="174">
          <cell r="A174" t="str">
            <v>Y1811-0690</v>
          </cell>
          <cell r="B174">
            <v>201808</v>
          </cell>
          <cell r="C174" t="str">
            <v>4600061945</v>
          </cell>
          <cell r="D174">
            <v>88865</v>
          </cell>
          <cell r="E174">
            <v>672</v>
          </cell>
          <cell r="F174">
            <v>43428</v>
          </cell>
          <cell r="G174" t="str">
            <v>OK</v>
          </cell>
        </row>
        <row r="175">
          <cell r="A175" t="str">
            <v>Y1811-0691</v>
          </cell>
          <cell r="B175">
            <v>201808</v>
          </cell>
          <cell r="C175" t="str">
            <v>4600061946</v>
          </cell>
          <cell r="D175">
            <v>88871</v>
          </cell>
          <cell r="E175">
            <v>708</v>
          </cell>
          <cell r="F175">
            <v>43428</v>
          </cell>
          <cell r="G175" t="str">
            <v>OK</v>
          </cell>
        </row>
        <row r="176">
          <cell r="A176" t="str">
            <v>Y1811-0692</v>
          </cell>
          <cell r="B176">
            <v>201808</v>
          </cell>
          <cell r="C176" t="str">
            <v>4600061947</v>
          </cell>
          <cell r="D176">
            <v>88877</v>
          </cell>
          <cell r="E176">
            <v>1992</v>
          </cell>
          <cell r="F176">
            <v>43428</v>
          </cell>
          <cell r="G176" t="str">
            <v>OK</v>
          </cell>
        </row>
        <row r="177">
          <cell r="A177" t="str">
            <v>Y1811-0706</v>
          </cell>
          <cell r="B177">
            <v>201808</v>
          </cell>
          <cell r="C177" t="str">
            <v>4600061995</v>
          </cell>
          <cell r="D177">
            <v>88865</v>
          </cell>
          <cell r="E177">
            <v>492</v>
          </cell>
          <cell r="F177">
            <v>43434</v>
          </cell>
          <cell r="G177" t="str">
            <v>OK</v>
          </cell>
        </row>
        <row r="178">
          <cell r="A178" t="str">
            <v>Y1811-0708</v>
          </cell>
          <cell r="B178">
            <v>201808</v>
          </cell>
          <cell r="C178" t="str">
            <v>4600061997</v>
          </cell>
          <cell r="D178">
            <v>88875</v>
          </cell>
          <cell r="E178">
            <v>264</v>
          </cell>
          <cell r="F178">
            <v>43434</v>
          </cell>
          <cell r="G178" t="str">
            <v>OK</v>
          </cell>
        </row>
        <row r="179">
          <cell r="A179" t="str">
            <v>Y1811-0709</v>
          </cell>
          <cell r="B179">
            <v>201808</v>
          </cell>
          <cell r="C179" t="str">
            <v>4600061998</v>
          </cell>
          <cell r="D179">
            <v>88877</v>
          </cell>
          <cell r="E179">
            <v>372</v>
          </cell>
          <cell r="F179">
            <v>43434</v>
          </cell>
          <cell r="G179" t="str">
            <v>OK</v>
          </cell>
        </row>
        <row r="180">
          <cell r="A180" t="str">
            <v>Y1811-0687</v>
          </cell>
          <cell r="B180">
            <v>201808</v>
          </cell>
          <cell r="C180" t="str">
            <v>0100169007</v>
          </cell>
          <cell r="D180" t="str">
            <v>651830C</v>
          </cell>
          <cell r="E180">
            <v>288</v>
          </cell>
          <cell r="F180">
            <v>43430</v>
          </cell>
          <cell r="G180" t="str">
            <v>OK</v>
          </cell>
        </row>
        <row r="181">
          <cell r="A181" t="str">
            <v>Y1811-0482</v>
          </cell>
          <cell r="B181">
            <v>201808</v>
          </cell>
          <cell r="C181" t="str">
            <v>0100166040</v>
          </cell>
          <cell r="D181" t="str">
            <v>663603C</v>
          </cell>
          <cell r="E181">
            <v>924</v>
          </cell>
          <cell r="F181">
            <v>43433</v>
          </cell>
          <cell r="G181" t="str">
            <v>OK</v>
          </cell>
        </row>
        <row r="182">
          <cell r="A182" t="str">
            <v>Y1811-0483</v>
          </cell>
          <cell r="B182">
            <v>201808</v>
          </cell>
          <cell r="C182" t="str">
            <v>0100166041</v>
          </cell>
          <cell r="D182" t="str">
            <v>663604C</v>
          </cell>
          <cell r="E182">
            <v>1692</v>
          </cell>
          <cell r="F182">
            <v>43424</v>
          </cell>
          <cell r="G182" t="str">
            <v>OK</v>
          </cell>
        </row>
        <row r="183">
          <cell r="A183" t="str">
            <v>Y1811-0545</v>
          </cell>
          <cell r="B183">
            <v>201808</v>
          </cell>
          <cell r="C183" t="str">
            <v>0100166246</v>
          </cell>
          <cell r="D183" t="str">
            <v>663604C</v>
          </cell>
          <cell r="E183">
            <v>360</v>
          </cell>
          <cell r="F183">
            <v>43422</v>
          </cell>
          <cell r="G183" t="str">
            <v>OK</v>
          </cell>
        </row>
        <row r="184">
          <cell r="A184" t="str">
            <v>Y1811-0559</v>
          </cell>
          <cell r="B184">
            <v>201808</v>
          </cell>
          <cell r="C184" t="str">
            <v>0100166268</v>
          </cell>
          <cell r="D184" t="str">
            <v>663604C</v>
          </cell>
          <cell r="E184">
            <v>456</v>
          </cell>
          <cell r="F184">
            <v>43429</v>
          </cell>
          <cell r="G184" t="str">
            <v>OK</v>
          </cell>
        </row>
        <row r="185">
          <cell r="A185" t="str">
            <v>Y1811-0668</v>
          </cell>
          <cell r="B185">
            <v>201808</v>
          </cell>
          <cell r="C185" t="str">
            <v>0100168661</v>
          </cell>
          <cell r="D185" t="str">
            <v>163368C</v>
          </cell>
          <cell r="E185">
            <v>336</v>
          </cell>
          <cell r="F185">
            <v>43430</v>
          </cell>
          <cell r="G185" t="str">
            <v>OK</v>
          </cell>
        </row>
        <row r="186">
          <cell r="A186" t="str">
            <v>Y1811-0669</v>
          </cell>
          <cell r="B186">
            <v>201808</v>
          </cell>
          <cell r="C186" t="str">
            <v>0100168662</v>
          </cell>
          <cell r="D186" t="str">
            <v>163369C</v>
          </cell>
          <cell r="E186">
            <v>528</v>
          </cell>
          <cell r="F186">
            <v>43430</v>
          </cell>
          <cell r="G186" t="str">
            <v>OK</v>
          </cell>
        </row>
        <row r="187">
          <cell r="A187" t="str">
            <v>Y1811-0479</v>
          </cell>
          <cell r="B187">
            <v>201808</v>
          </cell>
          <cell r="C187" t="str">
            <v>0100166034</v>
          </cell>
          <cell r="D187" t="str">
            <v>163317C</v>
          </cell>
          <cell r="E187">
            <v>576</v>
          </cell>
          <cell r="F187">
            <v>43429</v>
          </cell>
          <cell r="G187" t="str">
            <v>OK</v>
          </cell>
        </row>
        <row r="188">
          <cell r="A188" t="str">
            <v>Y1811-0502</v>
          </cell>
          <cell r="B188">
            <v>201808</v>
          </cell>
          <cell r="C188" t="str">
            <v>0100166075</v>
          </cell>
          <cell r="D188">
            <v>88865</v>
          </cell>
          <cell r="E188">
            <v>324</v>
          </cell>
          <cell r="F188">
            <v>43430</v>
          </cell>
          <cell r="G188" t="str">
            <v>OK</v>
          </cell>
        </row>
        <row r="189">
          <cell r="A189" t="str">
            <v>Y1811-0651</v>
          </cell>
          <cell r="B189">
            <v>201808</v>
          </cell>
          <cell r="C189" t="str">
            <v>0100168339</v>
          </cell>
          <cell r="D189">
            <v>88865</v>
          </cell>
          <cell r="E189">
            <v>3216</v>
          </cell>
          <cell r="F189">
            <v>43432</v>
          </cell>
          <cell r="G189" t="str">
            <v>OK</v>
          </cell>
        </row>
        <row r="190">
          <cell r="A190" t="str">
            <v>Y1811-0727</v>
          </cell>
          <cell r="B190">
            <v>201808</v>
          </cell>
          <cell r="C190" t="str">
            <v>4600062018</v>
          </cell>
          <cell r="D190" t="str">
            <v>163269C</v>
          </cell>
          <cell r="E190">
            <v>360</v>
          </cell>
          <cell r="F190">
            <v>43432</v>
          </cell>
          <cell r="G190" t="str">
            <v>OK</v>
          </cell>
        </row>
        <row r="191">
          <cell r="A191" t="str">
            <v>Y1811-0734</v>
          </cell>
          <cell r="B191">
            <v>201809</v>
          </cell>
          <cell r="C191" t="str">
            <v>0100169630</v>
          </cell>
          <cell r="D191" t="str">
            <v>7J234C</v>
          </cell>
          <cell r="E191">
            <v>360</v>
          </cell>
          <cell r="F191">
            <v>43431</v>
          </cell>
          <cell r="G191" t="str">
            <v>11/06</v>
          </cell>
        </row>
        <row r="192">
          <cell r="A192" t="str">
            <v>Y1811-0735</v>
          </cell>
          <cell r="B192">
            <v>201809</v>
          </cell>
          <cell r="C192" t="str">
            <v>0100169631</v>
          </cell>
          <cell r="D192" t="str">
            <v>7J253C</v>
          </cell>
          <cell r="E192">
            <v>360</v>
          </cell>
          <cell r="F192">
            <v>43431</v>
          </cell>
          <cell r="G192" t="str">
            <v>OK</v>
          </cell>
        </row>
        <row r="193">
          <cell r="A193" t="str">
            <v>Y1811-0736</v>
          </cell>
          <cell r="B193">
            <v>201809</v>
          </cell>
          <cell r="C193" t="str">
            <v>0100169632</v>
          </cell>
          <cell r="D193" t="str">
            <v>7J256C</v>
          </cell>
          <cell r="E193">
            <v>672</v>
          </cell>
          <cell r="F193">
            <v>43431</v>
          </cell>
          <cell r="G193" t="str">
            <v>OK</v>
          </cell>
        </row>
        <row r="194">
          <cell r="A194" t="str">
            <v>Y1811-0737</v>
          </cell>
          <cell r="B194">
            <v>201809</v>
          </cell>
          <cell r="C194" t="str">
            <v>0100169634</v>
          </cell>
          <cell r="D194" t="str">
            <v>M9160C</v>
          </cell>
          <cell r="E194">
            <v>648</v>
          </cell>
          <cell r="F194">
            <v>43431</v>
          </cell>
          <cell r="G194" t="str">
            <v>OK</v>
          </cell>
        </row>
        <row r="195">
          <cell r="A195" t="str">
            <v>Y1811-0738</v>
          </cell>
          <cell r="B195">
            <v>201809</v>
          </cell>
          <cell r="C195" t="str">
            <v>0100169636</v>
          </cell>
          <cell r="D195" t="str">
            <v>M9166C</v>
          </cell>
          <cell r="E195">
            <v>408</v>
          </cell>
          <cell r="F195">
            <v>43431</v>
          </cell>
          <cell r="G195" t="str">
            <v>OK</v>
          </cell>
        </row>
        <row r="196">
          <cell r="A196" t="str">
            <v>Y1811-0739</v>
          </cell>
          <cell r="B196">
            <v>201809</v>
          </cell>
          <cell r="C196" t="str">
            <v>0100169638</v>
          </cell>
          <cell r="D196" t="str">
            <v>M3310C</v>
          </cell>
          <cell r="E196">
            <v>1020</v>
          </cell>
          <cell r="F196">
            <v>43431</v>
          </cell>
          <cell r="G196" t="str">
            <v>OK</v>
          </cell>
        </row>
        <row r="197">
          <cell r="A197" t="str">
            <v>Y1811-0740</v>
          </cell>
          <cell r="B197">
            <v>201809</v>
          </cell>
          <cell r="C197" t="str">
            <v>0100169641</v>
          </cell>
          <cell r="D197" t="str">
            <v>M7652C</v>
          </cell>
          <cell r="E197">
            <v>384</v>
          </cell>
          <cell r="F197">
            <v>43431</v>
          </cell>
          <cell r="G197" t="str">
            <v>OK</v>
          </cell>
        </row>
        <row r="198">
          <cell r="A198" t="str">
            <v>Y1811-0741</v>
          </cell>
          <cell r="B198">
            <v>201809</v>
          </cell>
          <cell r="C198" t="str">
            <v>0100169753</v>
          </cell>
          <cell r="D198" t="str">
            <v>M3310C</v>
          </cell>
          <cell r="E198">
            <v>444</v>
          </cell>
          <cell r="F198">
            <v>43422</v>
          </cell>
          <cell r="G198" t="str">
            <v>OK</v>
          </cell>
        </row>
        <row r="199">
          <cell r="A199" t="str">
            <v>Y1811-0742</v>
          </cell>
          <cell r="B199">
            <v>201809</v>
          </cell>
          <cell r="C199" t="str">
            <v>0100169760</v>
          </cell>
          <cell r="D199" t="str">
            <v>314786F</v>
          </cell>
          <cell r="E199">
            <v>396</v>
          </cell>
          <cell r="F199">
            <v>43426</v>
          </cell>
          <cell r="G199" t="str">
            <v>OK</v>
          </cell>
        </row>
        <row r="200">
          <cell r="A200" t="str">
            <v>Y1811-0743</v>
          </cell>
          <cell r="B200">
            <v>201809</v>
          </cell>
          <cell r="C200" t="str">
            <v>0100169761</v>
          </cell>
          <cell r="D200" t="str">
            <v>314786F</v>
          </cell>
          <cell r="E200">
            <v>996</v>
          </cell>
          <cell r="F200">
            <v>43428</v>
          </cell>
          <cell r="G200" t="str">
            <v>OK</v>
          </cell>
        </row>
        <row r="201">
          <cell r="A201" t="str">
            <v>Y1811-0744</v>
          </cell>
          <cell r="B201">
            <v>201809</v>
          </cell>
          <cell r="C201" t="str">
            <v>0100169762</v>
          </cell>
          <cell r="D201" t="str">
            <v>3J232</v>
          </cell>
          <cell r="E201">
            <v>1248</v>
          </cell>
          <cell r="F201">
            <v>43426</v>
          </cell>
          <cell r="G201" t="str">
            <v>OK</v>
          </cell>
        </row>
        <row r="202">
          <cell r="A202" t="str">
            <v>Y1811-0745</v>
          </cell>
          <cell r="B202">
            <v>201809</v>
          </cell>
          <cell r="C202" t="str">
            <v>0100169763</v>
          </cell>
          <cell r="D202" t="str">
            <v>3J232</v>
          </cell>
          <cell r="E202">
            <v>384</v>
          </cell>
          <cell r="F202">
            <v>43429</v>
          </cell>
          <cell r="G202" t="str">
            <v>OK</v>
          </cell>
        </row>
        <row r="203">
          <cell r="A203" t="str">
            <v>Y1811-0746</v>
          </cell>
          <cell r="B203">
            <v>201809</v>
          </cell>
          <cell r="C203" t="str">
            <v>0100169766</v>
          </cell>
          <cell r="D203" t="str">
            <v>7S121</v>
          </cell>
          <cell r="E203">
            <v>408</v>
          </cell>
          <cell r="F203">
            <v>43426</v>
          </cell>
          <cell r="G203" t="str">
            <v>OK</v>
          </cell>
        </row>
        <row r="204">
          <cell r="A204" t="str">
            <v>Y1811-0222</v>
          </cell>
          <cell r="B204">
            <v>201807</v>
          </cell>
          <cell r="C204" t="str">
            <v>0100160979</v>
          </cell>
          <cell r="D204" t="str">
            <v>363766C</v>
          </cell>
          <cell r="E204">
            <v>180</v>
          </cell>
          <cell r="F204">
            <v>43432</v>
          </cell>
          <cell r="G204" t="str">
            <v>OK</v>
          </cell>
        </row>
        <row r="205">
          <cell r="A205" t="str">
            <v>Y1811-0245</v>
          </cell>
          <cell r="B205">
            <v>201807</v>
          </cell>
          <cell r="C205" t="str">
            <v>0100161006</v>
          </cell>
          <cell r="D205" t="str">
            <v>363766C</v>
          </cell>
          <cell r="E205">
            <v>300</v>
          </cell>
          <cell r="F205">
            <v>43429</v>
          </cell>
          <cell r="G205" t="str">
            <v>OK</v>
          </cell>
        </row>
        <row r="206">
          <cell r="A206" t="str">
            <v>Y1811-0262</v>
          </cell>
          <cell r="B206">
            <v>201807</v>
          </cell>
          <cell r="C206" t="str">
            <v>0100161025</v>
          </cell>
          <cell r="D206" t="str">
            <v>363766C</v>
          </cell>
          <cell r="E206">
            <v>216</v>
          </cell>
          <cell r="F206">
            <v>43428</v>
          </cell>
          <cell r="G206" t="str">
            <v>OK</v>
          </cell>
        </row>
        <row r="207">
          <cell r="A207" t="str">
            <v>Y1811-0050</v>
          </cell>
          <cell r="B207">
            <v>201807</v>
          </cell>
          <cell r="C207" t="str">
            <v>0100160722</v>
          </cell>
          <cell r="D207" t="str">
            <v>363766C</v>
          </cell>
          <cell r="E207">
            <v>2928</v>
          </cell>
          <cell r="F207">
            <v>43414</v>
          </cell>
          <cell r="G207" t="str">
            <v>OK</v>
          </cell>
        </row>
        <row r="208">
          <cell r="A208" t="str">
            <v>Y1811-0612</v>
          </cell>
          <cell r="B208">
            <v>201808</v>
          </cell>
          <cell r="C208" t="str">
            <v>0100167902</v>
          </cell>
          <cell r="D208" t="str">
            <v>M9696C</v>
          </cell>
          <cell r="E208">
            <v>444</v>
          </cell>
          <cell r="F208">
            <v>43427</v>
          </cell>
          <cell r="G208" t="str">
            <v>OK</v>
          </cell>
        </row>
        <row r="209">
          <cell r="A209" t="str">
            <v>Y1811-0671</v>
          </cell>
          <cell r="B209">
            <v>201808</v>
          </cell>
          <cell r="C209" t="str">
            <v>0100168664</v>
          </cell>
          <cell r="D209" t="str">
            <v>M9622C</v>
          </cell>
          <cell r="E209">
            <v>8160</v>
          </cell>
          <cell r="F209">
            <v>43430</v>
          </cell>
          <cell r="G209" t="str">
            <v>OK</v>
          </cell>
        </row>
        <row r="210">
          <cell r="A210" t="str">
            <v>Y1811-0037</v>
          </cell>
          <cell r="B210">
            <v>201807</v>
          </cell>
          <cell r="C210" t="str">
            <v>0100160709</v>
          </cell>
          <cell r="D210" t="str">
            <v>159747C</v>
          </cell>
          <cell r="E210">
            <v>4884</v>
          </cell>
          <cell r="F210">
            <v>43425</v>
          </cell>
          <cell r="G210" t="str">
            <v>OK</v>
          </cell>
        </row>
        <row r="211">
          <cell r="A211" t="str">
            <v>Y1812-0003</v>
          </cell>
          <cell r="B211">
            <v>201807</v>
          </cell>
          <cell r="C211" t="str">
            <v>0100160676</v>
          </cell>
          <cell r="D211" t="str">
            <v>163368C</v>
          </cell>
          <cell r="E211">
            <v>456</v>
          </cell>
          <cell r="F211">
            <v>43433</v>
          </cell>
          <cell r="G211" t="str">
            <v>OK</v>
          </cell>
        </row>
        <row r="212">
          <cell r="A212" t="str">
            <v>Y1901-0002</v>
          </cell>
          <cell r="B212">
            <v>201807</v>
          </cell>
          <cell r="C212" t="str">
            <v>0100160680</v>
          </cell>
          <cell r="D212" t="str">
            <v>163368C</v>
          </cell>
          <cell r="E212">
            <v>372</v>
          </cell>
          <cell r="F212">
            <v>43433</v>
          </cell>
          <cell r="G212" t="str">
            <v>OK</v>
          </cell>
        </row>
        <row r="213">
          <cell r="A213" t="str">
            <v>Y1812-0004</v>
          </cell>
          <cell r="B213">
            <v>201807</v>
          </cell>
          <cell r="C213" t="str">
            <v>0100160682</v>
          </cell>
          <cell r="D213" t="str">
            <v>163370C</v>
          </cell>
          <cell r="E213">
            <v>420</v>
          </cell>
          <cell r="F213">
            <v>43433</v>
          </cell>
          <cell r="G213" t="str">
            <v>OK</v>
          </cell>
        </row>
        <row r="214">
          <cell r="A214" t="str">
            <v>Y1811-0027</v>
          </cell>
          <cell r="B214">
            <v>201807</v>
          </cell>
          <cell r="C214" t="str">
            <v>0100160683</v>
          </cell>
          <cell r="D214" t="str">
            <v>163376C</v>
          </cell>
          <cell r="E214">
            <v>540</v>
          </cell>
          <cell r="F214">
            <v>43420</v>
          </cell>
          <cell r="G214" t="str">
            <v>OK</v>
          </cell>
        </row>
        <row r="215">
          <cell r="A215" t="str">
            <v>Y1811-0028</v>
          </cell>
          <cell r="B215">
            <v>201807</v>
          </cell>
          <cell r="C215" t="str">
            <v>0100160685</v>
          </cell>
          <cell r="D215" t="str">
            <v>163377C</v>
          </cell>
          <cell r="E215">
            <v>600</v>
          </cell>
          <cell r="F215">
            <v>43420</v>
          </cell>
          <cell r="G215" t="str">
            <v>OK</v>
          </cell>
        </row>
        <row r="216">
          <cell r="A216" t="str">
            <v>Y1811-0029</v>
          </cell>
          <cell r="B216">
            <v>201807</v>
          </cell>
          <cell r="C216" t="str">
            <v>0100160687</v>
          </cell>
          <cell r="D216" t="str">
            <v>163378C</v>
          </cell>
          <cell r="E216">
            <v>444</v>
          </cell>
          <cell r="F216">
            <v>43420</v>
          </cell>
          <cell r="G216" t="str">
            <v>OK</v>
          </cell>
        </row>
        <row r="217">
          <cell r="A217" t="str">
            <v>Y1811-0030</v>
          </cell>
          <cell r="B217">
            <v>201807</v>
          </cell>
          <cell r="C217" t="str">
            <v>0100160689</v>
          </cell>
          <cell r="D217" t="str">
            <v>163380C</v>
          </cell>
          <cell r="E217">
            <v>648</v>
          </cell>
          <cell r="F217">
            <v>43420</v>
          </cell>
          <cell r="G217" t="str">
            <v>OK</v>
          </cell>
        </row>
        <row r="218">
          <cell r="A218" t="str">
            <v>Y1811-0042</v>
          </cell>
          <cell r="B218">
            <v>201807</v>
          </cell>
          <cell r="C218" t="str">
            <v>0100160714</v>
          </cell>
          <cell r="D218" t="str">
            <v>159814C</v>
          </cell>
          <cell r="E218">
            <v>3264</v>
          </cell>
          <cell r="F218">
            <v>43425</v>
          </cell>
          <cell r="G218" t="str">
            <v>OK</v>
          </cell>
        </row>
        <row r="219">
          <cell r="A219" t="str">
            <v>Y1811-0043</v>
          </cell>
          <cell r="B219">
            <v>201807</v>
          </cell>
          <cell r="C219" t="str">
            <v>0100160715</v>
          </cell>
          <cell r="D219" t="str">
            <v>159815C</v>
          </cell>
          <cell r="E219">
            <v>3888</v>
          </cell>
          <cell r="F219">
            <v>43425</v>
          </cell>
          <cell r="G219" t="str">
            <v>OK</v>
          </cell>
        </row>
        <row r="220">
          <cell r="A220" t="str">
            <v>Y1811-0044</v>
          </cell>
          <cell r="B220">
            <v>201807</v>
          </cell>
          <cell r="C220" t="str">
            <v>0100160716</v>
          </cell>
          <cell r="D220" t="str">
            <v>159816C</v>
          </cell>
          <cell r="E220">
            <v>3840</v>
          </cell>
          <cell r="F220">
            <v>43425</v>
          </cell>
          <cell r="G220" t="str">
            <v>OK</v>
          </cell>
        </row>
        <row r="221">
          <cell r="A221" t="str">
            <v>Y1811-0045</v>
          </cell>
          <cell r="B221">
            <v>201807</v>
          </cell>
          <cell r="C221" t="str">
            <v>0100160717</v>
          </cell>
          <cell r="D221" t="str">
            <v>660971C</v>
          </cell>
          <cell r="E221">
            <v>444</v>
          </cell>
          <cell r="F221">
            <v>43425</v>
          </cell>
          <cell r="G221" t="str">
            <v>OK</v>
          </cell>
        </row>
        <row r="222">
          <cell r="A222" t="str">
            <v>Y1811-0046</v>
          </cell>
          <cell r="B222">
            <v>201807</v>
          </cell>
          <cell r="C222" t="str">
            <v>0100160718</v>
          </cell>
          <cell r="D222" t="str">
            <v>363689C</v>
          </cell>
          <cell r="E222">
            <v>1560</v>
          </cell>
          <cell r="F222">
            <v>43414</v>
          </cell>
          <cell r="G222" t="str">
            <v>OK</v>
          </cell>
        </row>
        <row r="223">
          <cell r="A223" t="str">
            <v>Y1811-0047</v>
          </cell>
          <cell r="B223">
            <v>201807</v>
          </cell>
          <cell r="C223" t="str">
            <v>0100160719</v>
          </cell>
          <cell r="D223" t="str">
            <v>363690C</v>
          </cell>
          <cell r="E223">
            <v>1176</v>
          </cell>
          <cell r="F223">
            <v>43414</v>
          </cell>
          <cell r="G223" t="str">
            <v>OK</v>
          </cell>
        </row>
        <row r="224">
          <cell r="A224" t="str">
            <v>Y1811-0048</v>
          </cell>
          <cell r="B224">
            <v>201807</v>
          </cell>
          <cell r="C224" t="str">
            <v>0100160720</v>
          </cell>
          <cell r="D224" t="str">
            <v>363691C</v>
          </cell>
          <cell r="E224">
            <v>1140</v>
          </cell>
          <cell r="F224">
            <v>43414</v>
          </cell>
          <cell r="G224" t="str">
            <v>OK</v>
          </cell>
        </row>
        <row r="225">
          <cell r="A225" t="str">
            <v>Y1811-0052</v>
          </cell>
          <cell r="B225">
            <v>201807</v>
          </cell>
          <cell r="C225" t="str">
            <v>0100160725</v>
          </cell>
          <cell r="D225" t="str">
            <v>763518C</v>
          </cell>
          <cell r="E225">
            <v>1248</v>
          </cell>
          <cell r="F225">
            <v>43414</v>
          </cell>
          <cell r="G225" t="str">
            <v>OK</v>
          </cell>
        </row>
        <row r="226">
          <cell r="A226" t="str">
            <v>Y1811-0053</v>
          </cell>
          <cell r="B226">
            <v>201807</v>
          </cell>
          <cell r="C226" t="str">
            <v>0100160726</v>
          </cell>
          <cell r="D226" t="str">
            <v>763519C</v>
          </cell>
          <cell r="E226">
            <v>1644</v>
          </cell>
          <cell r="F226">
            <v>43414</v>
          </cell>
          <cell r="G226" t="str">
            <v>OK</v>
          </cell>
        </row>
        <row r="227">
          <cell r="A227" t="str">
            <v>Y1811-0057</v>
          </cell>
          <cell r="B227">
            <v>201807</v>
          </cell>
          <cell r="C227" t="str">
            <v>0100160730</v>
          </cell>
          <cell r="D227" t="str">
            <v>663588C</v>
          </cell>
          <cell r="E227">
            <v>768</v>
          </cell>
          <cell r="F227">
            <v>43414</v>
          </cell>
          <cell r="G227" t="str">
            <v>OK</v>
          </cell>
        </row>
        <row r="228">
          <cell r="A228" t="str">
            <v>Y1811-0058</v>
          </cell>
          <cell r="B228">
            <v>201807</v>
          </cell>
          <cell r="C228" t="str">
            <v>0100160731</v>
          </cell>
          <cell r="D228" t="str">
            <v>663589C</v>
          </cell>
          <cell r="E228">
            <v>1080</v>
          </cell>
          <cell r="F228">
            <v>43414</v>
          </cell>
          <cell r="G228" t="str">
            <v>OK</v>
          </cell>
        </row>
        <row r="229">
          <cell r="A229" t="str">
            <v>Y1811-0062</v>
          </cell>
          <cell r="B229">
            <v>201807</v>
          </cell>
          <cell r="C229" t="str">
            <v>0100160735</v>
          </cell>
          <cell r="D229" t="str">
            <v>159492C</v>
          </cell>
          <cell r="E229">
            <v>3672</v>
          </cell>
          <cell r="F229">
            <v>43425</v>
          </cell>
          <cell r="G229" t="str">
            <v>OK</v>
          </cell>
        </row>
        <row r="230">
          <cell r="A230" t="str">
            <v>Y1811-0063</v>
          </cell>
          <cell r="B230">
            <v>201807</v>
          </cell>
          <cell r="C230" t="str">
            <v>0100160736</v>
          </cell>
          <cell r="D230" t="str">
            <v>763520C</v>
          </cell>
          <cell r="E230">
            <v>1680</v>
          </cell>
          <cell r="F230">
            <v>43414</v>
          </cell>
          <cell r="G230" t="str">
            <v>OK</v>
          </cell>
        </row>
        <row r="231">
          <cell r="A231" t="str">
            <v>Y1811-0064</v>
          </cell>
          <cell r="B231">
            <v>201807</v>
          </cell>
          <cell r="C231" t="str">
            <v>0100160737</v>
          </cell>
          <cell r="D231" t="str">
            <v>763521C</v>
          </cell>
          <cell r="E231">
            <v>852</v>
          </cell>
          <cell r="F231">
            <v>43414</v>
          </cell>
          <cell r="G231" t="str">
            <v>OK</v>
          </cell>
        </row>
        <row r="232">
          <cell r="A232" t="str">
            <v>Y1811-0067</v>
          </cell>
          <cell r="B232">
            <v>201807</v>
          </cell>
          <cell r="C232" t="str">
            <v>0100160740</v>
          </cell>
          <cell r="D232" t="str">
            <v>161577C</v>
          </cell>
          <cell r="E232">
            <v>1944</v>
          </cell>
          <cell r="F232">
            <v>43420</v>
          </cell>
          <cell r="G232" t="str">
            <v>OK</v>
          </cell>
        </row>
        <row r="233">
          <cell r="A233" t="str">
            <v>Y1812-0007</v>
          </cell>
          <cell r="B233">
            <v>201807</v>
          </cell>
          <cell r="C233" t="str">
            <v>0100160742</v>
          </cell>
          <cell r="D233" t="str">
            <v>163368C</v>
          </cell>
          <cell r="E233">
            <v>372</v>
          </cell>
          <cell r="F233">
            <v>43433</v>
          </cell>
          <cell r="G233" t="str">
            <v>OK</v>
          </cell>
        </row>
        <row r="234">
          <cell r="A234" t="str">
            <v>Y1812-0008</v>
          </cell>
          <cell r="B234">
            <v>201807</v>
          </cell>
          <cell r="C234" t="str">
            <v>0100160743</v>
          </cell>
          <cell r="D234" t="str">
            <v>163369C</v>
          </cell>
          <cell r="E234">
            <v>324</v>
          </cell>
          <cell r="F234">
            <v>43433</v>
          </cell>
          <cell r="G234" t="str">
            <v>OK</v>
          </cell>
        </row>
        <row r="235">
          <cell r="A235" t="str">
            <v>Y1811-0069</v>
          </cell>
          <cell r="B235">
            <v>201807</v>
          </cell>
          <cell r="C235" t="str">
            <v>0100160747</v>
          </cell>
          <cell r="D235" t="str">
            <v>163385C</v>
          </cell>
          <cell r="E235">
            <v>5124</v>
          </cell>
          <cell r="F235">
            <v>43414</v>
          </cell>
          <cell r="G235" t="str">
            <v>OK</v>
          </cell>
        </row>
        <row r="236">
          <cell r="A236" t="str">
            <v>Y1811-0070</v>
          </cell>
          <cell r="B236">
            <v>201807</v>
          </cell>
          <cell r="C236" t="str">
            <v>0100160748</v>
          </cell>
          <cell r="D236" t="str">
            <v>163757C</v>
          </cell>
          <cell r="E236">
            <v>3540</v>
          </cell>
          <cell r="F236">
            <v>43415</v>
          </cell>
          <cell r="G236" t="str">
            <v>OK</v>
          </cell>
        </row>
        <row r="237">
          <cell r="A237" t="str">
            <v>Y1811-0071</v>
          </cell>
          <cell r="B237">
            <v>201807</v>
          </cell>
          <cell r="C237" t="str">
            <v>0100160749</v>
          </cell>
          <cell r="D237" t="str">
            <v>163758C</v>
          </cell>
          <cell r="E237">
            <v>4068</v>
          </cell>
          <cell r="F237">
            <v>43415</v>
          </cell>
          <cell r="G237" t="str">
            <v>OK</v>
          </cell>
        </row>
        <row r="238">
          <cell r="A238" t="str">
            <v>Y1811-0072</v>
          </cell>
          <cell r="B238">
            <v>201807</v>
          </cell>
          <cell r="C238" t="str">
            <v>0100160750</v>
          </cell>
          <cell r="D238" t="str">
            <v>164525C</v>
          </cell>
          <cell r="E238">
            <v>12108</v>
          </cell>
          <cell r="F238">
            <v>43418</v>
          </cell>
          <cell r="G238" t="str">
            <v>OK</v>
          </cell>
        </row>
        <row r="239">
          <cell r="A239" t="str">
            <v>Y1811-0073</v>
          </cell>
          <cell r="B239">
            <v>201807</v>
          </cell>
          <cell r="C239" t="str">
            <v>0100160751</v>
          </cell>
          <cell r="D239" t="str">
            <v>163189C</v>
          </cell>
          <cell r="E239">
            <v>2340</v>
          </cell>
          <cell r="F239">
            <v>43414</v>
          </cell>
          <cell r="G239" t="str">
            <v>OK</v>
          </cell>
        </row>
        <row r="240">
          <cell r="A240" t="str">
            <v>Y1811-0074</v>
          </cell>
          <cell r="B240">
            <v>201807</v>
          </cell>
          <cell r="C240" t="str">
            <v>0100160752</v>
          </cell>
          <cell r="D240" t="str">
            <v>163192C</v>
          </cell>
          <cell r="E240">
            <v>1764</v>
          </cell>
          <cell r="F240">
            <v>43413</v>
          </cell>
          <cell r="G240" t="str">
            <v>OK</v>
          </cell>
        </row>
        <row r="241">
          <cell r="A241" t="str">
            <v>Y1811-0075</v>
          </cell>
          <cell r="B241">
            <v>201807</v>
          </cell>
          <cell r="C241" t="str">
            <v>0100160753</v>
          </cell>
          <cell r="D241" t="str">
            <v>163193C</v>
          </cell>
          <cell r="E241">
            <v>7536</v>
          </cell>
          <cell r="F241">
            <v>43412</v>
          </cell>
          <cell r="G241" t="str">
            <v>OK</v>
          </cell>
        </row>
        <row r="242">
          <cell r="A242" t="str">
            <v>Y1811-0080</v>
          </cell>
          <cell r="B242">
            <v>201807</v>
          </cell>
          <cell r="C242" t="str">
            <v>0100160758</v>
          </cell>
          <cell r="D242" t="str">
            <v>163245C</v>
          </cell>
          <cell r="E242">
            <v>7728</v>
          </cell>
          <cell r="F242">
            <v>43412</v>
          </cell>
          <cell r="G242" t="str">
            <v>OK</v>
          </cell>
        </row>
        <row r="243">
          <cell r="A243" t="str">
            <v>Y1811-0081</v>
          </cell>
          <cell r="B243">
            <v>201807</v>
          </cell>
          <cell r="C243" t="str">
            <v>0100160759</v>
          </cell>
          <cell r="D243" t="str">
            <v>163246C</v>
          </cell>
          <cell r="E243">
            <v>6384</v>
          </cell>
          <cell r="F243">
            <v>43412</v>
          </cell>
          <cell r="G243" t="str">
            <v>OK</v>
          </cell>
        </row>
        <row r="244">
          <cell r="A244" t="str">
            <v>Y1811-0082</v>
          </cell>
          <cell r="B244">
            <v>201807</v>
          </cell>
          <cell r="C244" t="str">
            <v>0100160760</v>
          </cell>
          <cell r="D244" t="str">
            <v>163248C</v>
          </cell>
          <cell r="E244">
            <v>3216</v>
          </cell>
          <cell r="F244">
            <v>43414</v>
          </cell>
          <cell r="G244" t="str">
            <v>OK</v>
          </cell>
        </row>
        <row r="245">
          <cell r="A245" t="str">
            <v>Y1811-0083</v>
          </cell>
          <cell r="B245">
            <v>201807</v>
          </cell>
          <cell r="C245" t="str">
            <v>0100160761</v>
          </cell>
          <cell r="D245" t="str">
            <v>163268C</v>
          </cell>
          <cell r="E245">
            <v>12768</v>
          </cell>
          <cell r="F245">
            <v>43415</v>
          </cell>
          <cell r="G245" t="str">
            <v>OK</v>
          </cell>
        </row>
        <row r="246">
          <cell r="A246" t="str">
            <v>Y1811-0084</v>
          </cell>
          <cell r="B246">
            <v>201807</v>
          </cell>
          <cell r="C246" t="str">
            <v>0100160762</v>
          </cell>
          <cell r="D246" t="str">
            <v>163269C</v>
          </cell>
          <cell r="E246">
            <v>5532</v>
          </cell>
          <cell r="F246">
            <v>43415</v>
          </cell>
          <cell r="G246" t="str">
            <v>OK</v>
          </cell>
        </row>
        <row r="247">
          <cell r="A247" t="str">
            <v>Y1811-0085</v>
          </cell>
          <cell r="B247">
            <v>201807</v>
          </cell>
          <cell r="C247" t="str">
            <v>0100160763</v>
          </cell>
          <cell r="D247" t="str">
            <v>163270C</v>
          </cell>
          <cell r="E247">
            <v>3816</v>
          </cell>
          <cell r="F247">
            <v>43415</v>
          </cell>
          <cell r="G247" t="str">
            <v>OK</v>
          </cell>
        </row>
        <row r="248">
          <cell r="A248" t="str">
            <v>Y1811-0086</v>
          </cell>
          <cell r="B248">
            <v>201807</v>
          </cell>
          <cell r="C248" t="str">
            <v>0100160764</v>
          </cell>
          <cell r="D248" t="str">
            <v>164534C</v>
          </cell>
          <cell r="E248">
            <v>1901</v>
          </cell>
          <cell r="F248">
            <v>43422</v>
          </cell>
          <cell r="G248" t="str">
            <v>OK</v>
          </cell>
        </row>
        <row r="249">
          <cell r="A249" t="str">
            <v>Y1811-0087</v>
          </cell>
          <cell r="B249">
            <v>201807</v>
          </cell>
          <cell r="C249" t="str">
            <v>0100160765</v>
          </cell>
          <cell r="D249" t="str">
            <v>559838C</v>
          </cell>
          <cell r="E249">
            <v>1020</v>
          </cell>
          <cell r="F249">
            <v>43425</v>
          </cell>
          <cell r="G249" t="str">
            <v>OK</v>
          </cell>
        </row>
        <row r="250">
          <cell r="A250" t="str">
            <v>Y1811-0088</v>
          </cell>
          <cell r="B250">
            <v>201807</v>
          </cell>
          <cell r="C250" t="str">
            <v>0100160797</v>
          </cell>
          <cell r="D250" t="str">
            <v>158369C</v>
          </cell>
          <cell r="E250">
            <v>594</v>
          </cell>
          <cell r="F250">
            <v>43416</v>
          </cell>
          <cell r="G250" t="str">
            <v>OK</v>
          </cell>
        </row>
        <row r="251">
          <cell r="A251" t="str">
            <v>Y1811-0089</v>
          </cell>
          <cell r="B251">
            <v>201807</v>
          </cell>
          <cell r="C251" t="str">
            <v>0100160805</v>
          </cell>
          <cell r="D251" t="str">
            <v>158371C</v>
          </cell>
          <cell r="E251">
            <v>228</v>
          </cell>
          <cell r="F251">
            <v>43411</v>
          </cell>
          <cell r="G251" t="str">
            <v>OK</v>
          </cell>
        </row>
        <row r="252">
          <cell r="A252" t="str">
            <v>Y1811-0092</v>
          </cell>
          <cell r="B252">
            <v>201807</v>
          </cell>
          <cell r="C252" t="str">
            <v>0100160811</v>
          </cell>
          <cell r="D252" t="str">
            <v>563431C</v>
          </cell>
          <cell r="E252">
            <v>1296</v>
          </cell>
          <cell r="F252">
            <v>43416</v>
          </cell>
          <cell r="G252" t="str">
            <v>OK</v>
          </cell>
        </row>
        <row r="253">
          <cell r="A253" t="str">
            <v>Y1811-0093</v>
          </cell>
          <cell r="B253">
            <v>201807</v>
          </cell>
          <cell r="C253" t="str">
            <v>0100160812</v>
          </cell>
          <cell r="D253" t="str">
            <v>563432C</v>
          </cell>
          <cell r="E253">
            <v>288</v>
          </cell>
          <cell r="F253">
            <v>43418</v>
          </cell>
          <cell r="G253" t="str">
            <v>OK</v>
          </cell>
        </row>
        <row r="254">
          <cell r="A254" t="str">
            <v>Y1811-0095</v>
          </cell>
          <cell r="B254">
            <v>201807</v>
          </cell>
          <cell r="C254" t="str">
            <v>0100160821</v>
          </cell>
          <cell r="D254" t="str">
            <v>163189C</v>
          </cell>
          <cell r="E254">
            <v>2256</v>
          </cell>
          <cell r="F254">
            <v>43411</v>
          </cell>
          <cell r="G254" t="str">
            <v>OK</v>
          </cell>
        </row>
        <row r="255">
          <cell r="A255" t="str">
            <v>Y1811-0096</v>
          </cell>
          <cell r="B255">
            <v>201807</v>
          </cell>
          <cell r="C255" t="str">
            <v>0100160822</v>
          </cell>
          <cell r="D255" t="str">
            <v>363689C</v>
          </cell>
          <cell r="E255">
            <v>552</v>
          </cell>
          <cell r="F255">
            <v>43418</v>
          </cell>
          <cell r="G255" t="str">
            <v>OK</v>
          </cell>
        </row>
        <row r="256">
          <cell r="A256" t="str">
            <v>Y1811-0097</v>
          </cell>
          <cell r="B256">
            <v>201807</v>
          </cell>
          <cell r="C256" t="str">
            <v>0100160823</v>
          </cell>
          <cell r="D256" t="str">
            <v>163190C</v>
          </cell>
          <cell r="E256">
            <v>168</v>
          </cell>
          <cell r="F256">
            <v>43420</v>
          </cell>
          <cell r="G256" t="str">
            <v>OK</v>
          </cell>
        </row>
        <row r="257">
          <cell r="A257" t="str">
            <v>Y1811-0098</v>
          </cell>
          <cell r="B257">
            <v>201807</v>
          </cell>
          <cell r="C257" t="str">
            <v>0100160824</v>
          </cell>
          <cell r="D257" t="str">
            <v>363690C</v>
          </cell>
          <cell r="E257">
            <v>552</v>
          </cell>
          <cell r="F257">
            <v>43417</v>
          </cell>
          <cell r="G257" t="str">
            <v>OK</v>
          </cell>
        </row>
        <row r="258">
          <cell r="A258" t="str">
            <v>Y1811-0099</v>
          </cell>
          <cell r="B258">
            <v>201807</v>
          </cell>
          <cell r="C258" t="str">
            <v>0100160825</v>
          </cell>
          <cell r="D258" t="str">
            <v>163192C</v>
          </cell>
          <cell r="E258">
            <v>1584</v>
          </cell>
          <cell r="F258">
            <v>43411</v>
          </cell>
          <cell r="G258" t="str">
            <v>OK</v>
          </cell>
        </row>
        <row r="259">
          <cell r="A259" t="str">
            <v>Y1811-0100</v>
          </cell>
          <cell r="B259">
            <v>201807</v>
          </cell>
          <cell r="C259" t="str">
            <v>0100160826</v>
          </cell>
          <cell r="D259" t="str">
            <v>363691C</v>
          </cell>
          <cell r="E259">
            <v>1188</v>
          </cell>
          <cell r="F259">
            <v>43417</v>
          </cell>
          <cell r="G259" t="str">
            <v>OK</v>
          </cell>
        </row>
        <row r="260">
          <cell r="A260" t="str">
            <v>Y1811-0102</v>
          </cell>
          <cell r="B260">
            <v>201807</v>
          </cell>
          <cell r="C260" t="str">
            <v>0100160829</v>
          </cell>
          <cell r="D260" t="str">
            <v>163193C</v>
          </cell>
          <cell r="E260">
            <v>2424</v>
          </cell>
          <cell r="F260">
            <v>43411</v>
          </cell>
          <cell r="G260" t="str">
            <v>OK</v>
          </cell>
        </row>
        <row r="261">
          <cell r="A261" t="str">
            <v>Y1811-0103</v>
          </cell>
          <cell r="B261">
            <v>201807</v>
          </cell>
          <cell r="C261" t="str">
            <v>0100160831</v>
          </cell>
          <cell r="D261" t="str">
            <v>161599C</v>
          </cell>
          <cell r="E261">
            <v>216</v>
          </cell>
          <cell r="F261">
            <v>43416</v>
          </cell>
          <cell r="G261" t="str">
            <v>OK</v>
          </cell>
        </row>
        <row r="262">
          <cell r="A262" t="str">
            <v>Y1811-0108</v>
          </cell>
          <cell r="B262">
            <v>201807</v>
          </cell>
          <cell r="C262" t="str">
            <v>0100160842</v>
          </cell>
          <cell r="D262" t="str">
            <v>763518C</v>
          </cell>
          <cell r="E262">
            <v>468</v>
          </cell>
          <cell r="F262">
            <v>43411</v>
          </cell>
          <cell r="G262" t="str">
            <v>OK</v>
          </cell>
        </row>
        <row r="263">
          <cell r="A263" t="str">
            <v>Y1811-0109</v>
          </cell>
          <cell r="B263">
            <v>201807</v>
          </cell>
          <cell r="C263" t="str">
            <v>0100160843</v>
          </cell>
          <cell r="D263" t="str">
            <v>763519C</v>
          </cell>
          <cell r="E263">
            <v>432</v>
          </cell>
          <cell r="F263">
            <v>43411</v>
          </cell>
          <cell r="G263" t="str">
            <v>OK</v>
          </cell>
        </row>
        <row r="264">
          <cell r="A264" t="str">
            <v>Y1811-0110</v>
          </cell>
          <cell r="B264">
            <v>201807</v>
          </cell>
          <cell r="C264" t="str">
            <v>0100160844</v>
          </cell>
          <cell r="D264" t="str">
            <v>763520C</v>
          </cell>
          <cell r="E264">
            <v>948</v>
          </cell>
          <cell r="F264">
            <v>43417</v>
          </cell>
          <cell r="G264" t="str">
            <v>OK</v>
          </cell>
        </row>
        <row r="265">
          <cell r="A265" t="str">
            <v>Y1811-0111</v>
          </cell>
          <cell r="B265">
            <v>201807</v>
          </cell>
          <cell r="C265" t="str">
            <v>0100160845</v>
          </cell>
          <cell r="D265" t="str">
            <v>763521C</v>
          </cell>
          <cell r="E265">
            <v>1116</v>
          </cell>
          <cell r="F265">
            <v>43411</v>
          </cell>
          <cell r="G265" t="str">
            <v>OK</v>
          </cell>
        </row>
        <row r="266">
          <cell r="A266" t="str">
            <v>Y1811-0113</v>
          </cell>
          <cell r="B266">
            <v>201807</v>
          </cell>
          <cell r="C266" t="str">
            <v>0100160848</v>
          </cell>
          <cell r="D266" t="str">
            <v>763527C</v>
          </cell>
          <cell r="E266">
            <v>5400</v>
          </cell>
          <cell r="F266">
            <v>43413</v>
          </cell>
          <cell r="G266" t="str">
            <v>OK</v>
          </cell>
        </row>
        <row r="267">
          <cell r="A267" t="str">
            <v>Y1811-0116</v>
          </cell>
          <cell r="B267">
            <v>201807</v>
          </cell>
          <cell r="C267" t="str">
            <v>0100160854</v>
          </cell>
          <cell r="D267" t="str">
            <v>763532C</v>
          </cell>
          <cell r="E267">
            <v>2220</v>
          </cell>
          <cell r="F267">
            <v>43416</v>
          </cell>
          <cell r="G267" t="str">
            <v>OK</v>
          </cell>
        </row>
        <row r="268">
          <cell r="A268" t="str">
            <v>Y1811-0121</v>
          </cell>
          <cell r="B268">
            <v>201807</v>
          </cell>
          <cell r="C268" t="str">
            <v>0100160860</v>
          </cell>
          <cell r="D268" t="str">
            <v>163245C</v>
          </cell>
          <cell r="E268">
            <v>3420</v>
          </cell>
          <cell r="F268">
            <v>43406</v>
          </cell>
          <cell r="G268" t="str">
            <v>OK</v>
          </cell>
        </row>
        <row r="269">
          <cell r="A269" t="str">
            <v>Y1811-0122</v>
          </cell>
          <cell r="B269">
            <v>201807</v>
          </cell>
          <cell r="C269" t="str">
            <v>0100160861</v>
          </cell>
          <cell r="D269" t="str">
            <v>163246C</v>
          </cell>
          <cell r="E269">
            <v>2916</v>
          </cell>
          <cell r="F269">
            <v>43411</v>
          </cell>
          <cell r="G269" t="str">
            <v>OK</v>
          </cell>
        </row>
        <row r="270">
          <cell r="A270" t="str">
            <v>Y1811-0123</v>
          </cell>
          <cell r="B270">
            <v>201807</v>
          </cell>
          <cell r="C270" t="str">
            <v>0100160862</v>
          </cell>
          <cell r="D270" t="str">
            <v>163247C</v>
          </cell>
          <cell r="E270">
            <v>1284</v>
          </cell>
          <cell r="F270">
            <v>43411</v>
          </cell>
          <cell r="G270" t="str">
            <v>OK</v>
          </cell>
        </row>
        <row r="271">
          <cell r="A271" t="str">
            <v>Y1811-0124</v>
          </cell>
          <cell r="B271">
            <v>201807</v>
          </cell>
          <cell r="C271" t="str">
            <v>0100160863</v>
          </cell>
          <cell r="D271" t="str">
            <v>163248C</v>
          </cell>
          <cell r="E271">
            <v>2304</v>
          </cell>
          <cell r="F271">
            <v>43406</v>
          </cell>
          <cell r="G271" t="str">
            <v>OK</v>
          </cell>
        </row>
        <row r="272">
          <cell r="A272" t="str">
            <v>Y1811-0125</v>
          </cell>
          <cell r="B272">
            <v>201807</v>
          </cell>
          <cell r="C272" t="str">
            <v>0100160864</v>
          </cell>
          <cell r="D272" t="str">
            <v>163249C</v>
          </cell>
          <cell r="E272">
            <v>2424</v>
          </cell>
          <cell r="F272">
            <v>43406</v>
          </cell>
          <cell r="G272" t="str">
            <v>OK</v>
          </cell>
        </row>
        <row r="273">
          <cell r="A273" t="str">
            <v>Y1811-0126</v>
          </cell>
          <cell r="B273">
            <v>201807</v>
          </cell>
          <cell r="C273" t="str">
            <v>0100160865</v>
          </cell>
          <cell r="D273" t="str">
            <v>663588C</v>
          </cell>
          <cell r="E273">
            <v>1404</v>
          </cell>
          <cell r="F273">
            <v>43411</v>
          </cell>
          <cell r="G273" t="str">
            <v>OK</v>
          </cell>
        </row>
        <row r="274">
          <cell r="A274" t="str">
            <v>Y1811-0127</v>
          </cell>
          <cell r="B274">
            <v>201807</v>
          </cell>
          <cell r="C274" t="str">
            <v>0100160866</v>
          </cell>
          <cell r="D274" t="str">
            <v>663589C</v>
          </cell>
          <cell r="E274">
            <v>924</v>
          </cell>
          <cell r="F274">
            <v>43411</v>
          </cell>
          <cell r="G274" t="str">
            <v>OK</v>
          </cell>
        </row>
        <row r="275">
          <cell r="A275" t="str">
            <v>Y1811-0128</v>
          </cell>
          <cell r="B275">
            <v>201807</v>
          </cell>
          <cell r="C275" t="str">
            <v>0100160867</v>
          </cell>
          <cell r="D275" t="str">
            <v>663590C</v>
          </cell>
          <cell r="E275">
            <v>1524</v>
          </cell>
          <cell r="F275">
            <v>43411</v>
          </cell>
          <cell r="G275" t="str">
            <v>OK</v>
          </cell>
        </row>
        <row r="276">
          <cell r="A276" t="str">
            <v>Y1811-0129</v>
          </cell>
          <cell r="B276">
            <v>201807</v>
          </cell>
          <cell r="C276" t="str">
            <v>0100160873</v>
          </cell>
          <cell r="D276" t="str">
            <v>663605C</v>
          </cell>
          <cell r="E276">
            <v>4716</v>
          </cell>
          <cell r="F276">
            <v>43416</v>
          </cell>
          <cell r="G276" t="str">
            <v>OK</v>
          </cell>
        </row>
        <row r="277">
          <cell r="A277" t="str">
            <v>Y1811-0130</v>
          </cell>
          <cell r="B277">
            <v>201807</v>
          </cell>
          <cell r="C277" t="str">
            <v>0100160877</v>
          </cell>
          <cell r="D277" t="str">
            <v>663608C</v>
          </cell>
          <cell r="E277">
            <v>6600</v>
          </cell>
          <cell r="F277">
            <v>43416</v>
          </cell>
          <cell r="G277" t="str">
            <v>OK</v>
          </cell>
        </row>
        <row r="278">
          <cell r="A278" t="str">
            <v>Y1811-0131</v>
          </cell>
          <cell r="B278">
            <v>201807</v>
          </cell>
          <cell r="C278" t="str">
            <v>0100160883</v>
          </cell>
          <cell r="D278" t="str">
            <v>163373C</v>
          </cell>
          <cell r="E278">
            <v>1056</v>
          </cell>
          <cell r="F278">
            <v>43416</v>
          </cell>
          <cell r="G278" t="str">
            <v>OK</v>
          </cell>
        </row>
        <row r="279">
          <cell r="A279" t="str">
            <v>Y1811-0132</v>
          </cell>
          <cell r="B279">
            <v>201807</v>
          </cell>
          <cell r="C279" t="str">
            <v>0100160884</v>
          </cell>
          <cell r="D279" t="str">
            <v>163374C</v>
          </cell>
          <cell r="E279">
            <v>1350</v>
          </cell>
          <cell r="F279">
            <v>43416</v>
          </cell>
          <cell r="G279" t="str">
            <v>OK</v>
          </cell>
        </row>
        <row r="280">
          <cell r="A280" t="str">
            <v>Y1811-0133</v>
          </cell>
          <cell r="B280">
            <v>201807</v>
          </cell>
          <cell r="C280" t="str">
            <v>0100160885</v>
          </cell>
          <cell r="D280" t="str">
            <v>163376C</v>
          </cell>
          <cell r="E280">
            <v>1434</v>
          </cell>
          <cell r="F280">
            <v>43406</v>
          </cell>
          <cell r="G280" t="str">
            <v>OK</v>
          </cell>
        </row>
        <row r="281">
          <cell r="A281" t="str">
            <v>Y1811-0134</v>
          </cell>
          <cell r="B281">
            <v>201807</v>
          </cell>
          <cell r="C281" t="str">
            <v>0100160886</v>
          </cell>
          <cell r="D281" t="str">
            <v>163377C</v>
          </cell>
          <cell r="E281">
            <v>2154</v>
          </cell>
          <cell r="F281">
            <v>43416</v>
          </cell>
          <cell r="G281" t="str">
            <v>OK</v>
          </cell>
        </row>
        <row r="282">
          <cell r="A282" t="str">
            <v>Y1811-0135</v>
          </cell>
          <cell r="B282">
            <v>201807</v>
          </cell>
          <cell r="C282" t="str">
            <v>0100160887</v>
          </cell>
          <cell r="D282" t="str">
            <v>163378C</v>
          </cell>
          <cell r="E282">
            <v>276</v>
          </cell>
          <cell r="F282">
            <v>43406</v>
          </cell>
          <cell r="G282" t="str">
            <v>OK</v>
          </cell>
        </row>
        <row r="283">
          <cell r="A283" t="str">
            <v>Y1811-0136</v>
          </cell>
          <cell r="B283">
            <v>201807</v>
          </cell>
          <cell r="C283" t="str">
            <v>0100160888</v>
          </cell>
          <cell r="D283" t="str">
            <v>163380C</v>
          </cell>
          <cell r="E283">
            <v>1482</v>
          </cell>
          <cell r="F283">
            <v>43416</v>
          </cell>
          <cell r="G283" t="str">
            <v>OK</v>
          </cell>
        </row>
        <row r="284">
          <cell r="A284" t="str">
            <v>Y1811-0137</v>
          </cell>
          <cell r="B284">
            <v>201807</v>
          </cell>
          <cell r="C284" t="str">
            <v>0100160889</v>
          </cell>
          <cell r="D284" t="str">
            <v>163385C</v>
          </cell>
          <cell r="E284">
            <v>258</v>
          </cell>
          <cell r="F284">
            <v>43413</v>
          </cell>
          <cell r="G284" t="str">
            <v>OK</v>
          </cell>
        </row>
        <row r="285">
          <cell r="A285" t="str">
            <v>Y1811-0138</v>
          </cell>
          <cell r="B285">
            <v>201807</v>
          </cell>
          <cell r="C285" t="str">
            <v>0100160890</v>
          </cell>
          <cell r="D285" t="str">
            <v>163386C</v>
          </cell>
          <cell r="E285">
            <v>1494</v>
          </cell>
          <cell r="F285">
            <v>43416</v>
          </cell>
          <cell r="G285" t="str">
            <v>OK</v>
          </cell>
        </row>
        <row r="286">
          <cell r="A286" t="str">
            <v>Y1811-0144</v>
          </cell>
          <cell r="B286">
            <v>201807</v>
          </cell>
          <cell r="C286" t="str">
            <v>0100160901</v>
          </cell>
          <cell r="D286" t="str">
            <v>144148C</v>
          </cell>
          <cell r="E286">
            <v>828</v>
          </cell>
          <cell r="F286">
            <v>43418</v>
          </cell>
          <cell r="G286" t="str">
            <v>OK</v>
          </cell>
        </row>
        <row r="287">
          <cell r="A287" t="str">
            <v>Y1811-0146</v>
          </cell>
          <cell r="B287">
            <v>201807</v>
          </cell>
          <cell r="C287" t="str">
            <v>0100160903</v>
          </cell>
          <cell r="D287" t="str">
            <v>144151C</v>
          </cell>
          <cell r="E287">
            <v>708</v>
          </cell>
          <cell r="F287">
            <v>43418</v>
          </cell>
          <cell r="G287" t="str">
            <v>OK</v>
          </cell>
        </row>
        <row r="288">
          <cell r="A288" t="str">
            <v>Y1811-0156</v>
          </cell>
          <cell r="B288">
            <v>201807</v>
          </cell>
          <cell r="C288" t="str">
            <v>0100160913</v>
          </cell>
          <cell r="D288" t="str">
            <v>163193C</v>
          </cell>
          <cell r="E288">
            <v>444</v>
          </cell>
          <cell r="F288">
            <v>43418</v>
          </cell>
          <cell r="G288" t="str">
            <v>OK</v>
          </cell>
        </row>
        <row r="289">
          <cell r="A289" t="str">
            <v>Y1811-0162</v>
          </cell>
          <cell r="B289">
            <v>201807</v>
          </cell>
          <cell r="C289" t="str">
            <v>0100160919</v>
          </cell>
          <cell r="D289" t="str">
            <v>144151C</v>
          </cell>
          <cell r="E289">
            <v>1212</v>
          </cell>
          <cell r="F289">
            <v>43418</v>
          </cell>
          <cell r="G289" t="str">
            <v>OK</v>
          </cell>
        </row>
        <row r="290">
          <cell r="A290" t="str">
            <v>Y1811-0163</v>
          </cell>
          <cell r="B290">
            <v>201807</v>
          </cell>
          <cell r="C290" t="str">
            <v>0100160920</v>
          </cell>
          <cell r="D290" t="str">
            <v>144148C</v>
          </cell>
          <cell r="E290">
            <v>1212</v>
          </cell>
          <cell r="F290">
            <v>43418</v>
          </cell>
          <cell r="G290" t="str">
            <v>OK</v>
          </cell>
        </row>
        <row r="291">
          <cell r="A291" t="str">
            <v>Y1811-0166</v>
          </cell>
          <cell r="B291">
            <v>201807</v>
          </cell>
          <cell r="C291" t="str">
            <v>0100160923</v>
          </cell>
          <cell r="D291" t="str">
            <v>163189C</v>
          </cell>
          <cell r="E291">
            <v>204</v>
          </cell>
          <cell r="F291">
            <v>43413</v>
          </cell>
          <cell r="G291" t="str">
            <v>OK</v>
          </cell>
        </row>
        <row r="292">
          <cell r="A292" t="str">
            <v>Y1811-0170</v>
          </cell>
          <cell r="B292">
            <v>201807</v>
          </cell>
          <cell r="C292" t="str">
            <v>0100160927</v>
          </cell>
          <cell r="D292" t="str">
            <v>158369C</v>
          </cell>
          <cell r="E292">
            <v>2100</v>
          </cell>
          <cell r="F292">
            <v>43417</v>
          </cell>
          <cell r="G292" t="str">
            <v>OK</v>
          </cell>
        </row>
        <row r="293">
          <cell r="A293" t="str">
            <v>Y1811-0180</v>
          </cell>
          <cell r="B293">
            <v>201807</v>
          </cell>
          <cell r="C293" t="str">
            <v>0100160937</v>
          </cell>
          <cell r="D293" t="str">
            <v>163247C</v>
          </cell>
          <cell r="E293">
            <v>240</v>
          </cell>
          <cell r="F293">
            <v>43418</v>
          </cell>
          <cell r="G293" t="str">
            <v>OK</v>
          </cell>
        </row>
        <row r="294">
          <cell r="A294" t="str">
            <v>Y1811-0181</v>
          </cell>
          <cell r="B294">
            <v>201807</v>
          </cell>
          <cell r="C294" t="str">
            <v>0100160938</v>
          </cell>
          <cell r="D294" t="str">
            <v>163249C</v>
          </cell>
          <cell r="E294">
            <v>240</v>
          </cell>
          <cell r="F294">
            <v>43418</v>
          </cell>
          <cell r="G294" t="str">
            <v>OK</v>
          </cell>
        </row>
        <row r="295">
          <cell r="A295" t="str">
            <v>Y1811-0182</v>
          </cell>
          <cell r="B295">
            <v>201807</v>
          </cell>
          <cell r="C295" t="str">
            <v>0100160939</v>
          </cell>
          <cell r="D295" t="str">
            <v>163247C</v>
          </cell>
          <cell r="E295">
            <v>240</v>
          </cell>
          <cell r="F295">
            <v>43418</v>
          </cell>
          <cell r="G295" t="str">
            <v>OK</v>
          </cell>
        </row>
        <row r="296">
          <cell r="A296" t="str">
            <v>Y1811-0183</v>
          </cell>
          <cell r="B296">
            <v>201807</v>
          </cell>
          <cell r="C296" t="str">
            <v>0100160940</v>
          </cell>
          <cell r="D296" t="str">
            <v>163249C</v>
          </cell>
          <cell r="E296">
            <v>240</v>
          </cell>
          <cell r="F296">
            <v>43418</v>
          </cell>
          <cell r="G296" t="str">
            <v>OK</v>
          </cell>
        </row>
        <row r="297">
          <cell r="A297" t="str">
            <v>Y1811-0185</v>
          </cell>
          <cell r="B297">
            <v>201807</v>
          </cell>
          <cell r="C297" t="str">
            <v>0100160942</v>
          </cell>
          <cell r="D297" t="str">
            <v>163386C</v>
          </cell>
          <cell r="E297">
            <v>360</v>
          </cell>
          <cell r="F297">
            <v>43418</v>
          </cell>
          <cell r="G297" t="str">
            <v>OK</v>
          </cell>
        </row>
        <row r="298">
          <cell r="A298" t="str">
            <v>Y1811-0188</v>
          </cell>
          <cell r="B298">
            <v>201807</v>
          </cell>
          <cell r="C298" t="str">
            <v>0100160945</v>
          </cell>
          <cell r="D298" t="str">
            <v>163189C</v>
          </cell>
          <cell r="E298">
            <v>336</v>
          </cell>
          <cell r="F298">
            <v>43418</v>
          </cell>
          <cell r="G298" t="str">
            <v>OK</v>
          </cell>
        </row>
        <row r="299">
          <cell r="A299" t="str">
            <v>Y1811-0189</v>
          </cell>
          <cell r="B299">
            <v>201807</v>
          </cell>
          <cell r="C299" t="str">
            <v>0100160946</v>
          </cell>
          <cell r="D299" t="str">
            <v>163245C</v>
          </cell>
          <cell r="E299">
            <v>336</v>
          </cell>
          <cell r="F299">
            <v>43418</v>
          </cell>
          <cell r="G299" t="str">
            <v>OK</v>
          </cell>
        </row>
        <row r="300">
          <cell r="A300" t="str">
            <v>Y1811-0190</v>
          </cell>
          <cell r="B300">
            <v>201807</v>
          </cell>
          <cell r="C300" t="str">
            <v>0100160947</v>
          </cell>
          <cell r="D300" t="str">
            <v>163248C</v>
          </cell>
          <cell r="E300">
            <v>336</v>
          </cell>
          <cell r="F300">
            <v>43418</v>
          </cell>
          <cell r="G300" t="str">
            <v>OK</v>
          </cell>
        </row>
        <row r="301">
          <cell r="A301" t="str">
            <v>Y1811-0191</v>
          </cell>
          <cell r="B301">
            <v>201807</v>
          </cell>
          <cell r="C301" t="str">
            <v>0100160948</v>
          </cell>
          <cell r="D301" t="str">
            <v>158369C</v>
          </cell>
          <cell r="E301">
            <v>468</v>
          </cell>
          <cell r="F301">
            <v>43432</v>
          </cell>
          <cell r="G301" t="str">
            <v>OK</v>
          </cell>
        </row>
        <row r="302">
          <cell r="A302" t="str">
            <v>Y1811-0192</v>
          </cell>
          <cell r="B302">
            <v>201807</v>
          </cell>
          <cell r="C302" t="str">
            <v>0100160949</v>
          </cell>
          <cell r="D302" t="str">
            <v>763518C</v>
          </cell>
          <cell r="E302">
            <v>132</v>
          </cell>
          <cell r="F302">
            <v>43432</v>
          </cell>
          <cell r="G302" t="str">
            <v>OK</v>
          </cell>
        </row>
        <row r="303">
          <cell r="A303" t="str">
            <v>Y1811-0193</v>
          </cell>
          <cell r="B303">
            <v>201807</v>
          </cell>
          <cell r="C303" t="str">
            <v>0100160950</v>
          </cell>
          <cell r="D303" t="str">
            <v>763519C</v>
          </cell>
          <cell r="E303">
            <v>132</v>
          </cell>
          <cell r="F303">
            <v>43432</v>
          </cell>
          <cell r="G303" t="str">
            <v>OK</v>
          </cell>
        </row>
        <row r="304">
          <cell r="A304" t="str">
            <v>Y1811-0194</v>
          </cell>
          <cell r="B304">
            <v>201807</v>
          </cell>
          <cell r="C304" t="str">
            <v>0100160951</v>
          </cell>
          <cell r="D304" t="str">
            <v>763520C</v>
          </cell>
          <cell r="E304">
            <v>168</v>
          </cell>
          <cell r="F304">
            <v>43432</v>
          </cell>
          <cell r="G304" t="str">
            <v>OK</v>
          </cell>
        </row>
        <row r="305">
          <cell r="A305" t="str">
            <v>Y1811-0195</v>
          </cell>
          <cell r="B305">
            <v>201807</v>
          </cell>
          <cell r="C305" t="str">
            <v>0100160952</v>
          </cell>
          <cell r="D305" t="str">
            <v>163245C</v>
          </cell>
          <cell r="E305">
            <v>360</v>
          </cell>
          <cell r="F305">
            <v>43432</v>
          </cell>
          <cell r="G305" t="str">
            <v>OK</v>
          </cell>
        </row>
        <row r="306">
          <cell r="A306" t="str">
            <v>Y1811-0196</v>
          </cell>
          <cell r="B306">
            <v>201807</v>
          </cell>
          <cell r="C306" t="str">
            <v>0100160953</v>
          </cell>
          <cell r="D306" t="str">
            <v>163246C</v>
          </cell>
          <cell r="E306">
            <v>300</v>
          </cell>
          <cell r="F306">
            <v>43432</v>
          </cell>
          <cell r="G306" t="str">
            <v>OK</v>
          </cell>
        </row>
        <row r="307">
          <cell r="A307" t="str">
            <v>Y1811-0197</v>
          </cell>
          <cell r="B307">
            <v>201807</v>
          </cell>
          <cell r="C307" t="str">
            <v>0100160954</v>
          </cell>
          <cell r="D307" t="str">
            <v>163248C</v>
          </cell>
          <cell r="E307">
            <v>264</v>
          </cell>
          <cell r="F307">
            <v>43432</v>
          </cell>
          <cell r="G307" t="str">
            <v>OK</v>
          </cell>
        </row>
        <row r="308">
          <cell r="A308" t="str">
            <v>Y1811-0198</v>
          </cell>
          <cell r="B308">
            <v>201807</v>
          </cell>
          <cell r="C308" t="str">
            <v>0100160955</v>
          </cell>
          <cell r="D308" t="str">
            <v>163249C</v>
          </cell>
          <cell r="E308">
            <v>420</v>
          </cell>
          <cell r="F308">
            <v>43432</v>
          </cell>
          <cell r="G308" t="str">
            <v>OK</v>
          </cell>
        </row>
        <row r="309">
          <cell r="A309" t="str">
            <v>Y1811-0199</v>
          </cell>
          <cell r="B309">
            <v>201807</v>
          </cell>
          <cell r="C309" t="str">
            <v>0100160956</v>
          </cell>
          <cell r="D309" t="str">
            <v>163757C</v>
          </cell>
          <cell r="E309">
            <v>600</v>
          </cell>
          <cell r="F309">
            <v>43432</v>
          </cell>
          <cell r="G309" t="str">
            <v>OK</v>
          </cell>
        </row>
        <row r="310">
          <cell r="A310" t="str">
            <v>Y1811-0200</v>
          </cell>
          <cell r="B310">
            <v>201807</v>
          </cell>
          <cell r="C310" t="str">
            <v>0100160957</v>
          </cell>
          <cell r="D310" t="str">
            <v>163758C</v>
          </cell>
          <cell r="E310">
            <v>696</v>
          </cell>
          <cell r="F310">
            <v>43432</v>
          </cell>
          <cell r="G310" t="str">
            <v>OK</v>
          </cell>
        </row>
        <row r="311">
          <cell r="A311" t="str">
            <v>Y1811-0201</v>
          </cell>
          <cell r="B311">
            <v>201807</v>
          </cell>
          <cell r="C311" t="str">
            <v>0100160958</v>
          </cell>
          <cell r="D311" t="str">
            <v>163189C</v>
          </cell>
          <cell r="E311">
            <v>132</v>
          </cell>
          <cell r="F311">
            <v>43432</v>
          </cell>
          <cell r="G311" t="str">
            <v>OK</v>
          </cell>
        </row>
        <row r="312">
          <cell r="A312" t="str">
            <v>Y1811-0202</v>
          </cell>
          <cell r="B312">
            <v>201807</v>
          </cell>
          <cell r="C312" t="str">
            <v>0100160959</v>
          </cell>
          <cell r="D312" t="str">
            <v>163193C</v>
          </cell>
          <cell r="E312">
            <v>144</v>
          </cell>
          <cell r="F312">
            <v>43432</v>
          </cell>
          <cell r="G312" t="str">
            <v>OK</v>
          </cell>
        </row>
        <row r="313">
          <cell r="A313" t="str">
            <v>Y1811-0207</v>
          </cell>
          <cell r="B313">
            <v>201807</v>
          </cell>
          <cell r="C313" t="str">
            <v>0100160964</v>
          </cell>
          <cell r="D313" t="str">
            <v>163268C</v>
          </cell>
          <cell r="E313">
            <v>612</v>
          </cell>
          <cell r="F313">
            <v>43432</v>
          </cell>
          <cell r="G313" t="str">
            <v>OK</v>
          </cell>
        </row>
        <row r="314">
          <cell r="A314" t="str">
            <v>Y1811-0208</v>
          </cell>
          <cell r="B314">
            <v>201807</v>
          </cell>
          <cell r="C314" t="str">
            <v>0100160965</v>
          </cell>
          <cell r="D314" t="str">
            <v>163269C</v>
          </cell>
          <cell r="E314">
            <v>588</v>
          </cell>
          <cell r="F314">
            <v>43432</v>
          </cell>
          <cell r="G314" t="str">
            <v>OK</v>
          </cell>
        </row>
        <row r="315">
          <cell r="A315" t="str">
            <v>Y1811-0209</v>
          </cell>
          <cell r="B315">
            <v>201807</v>
          </cell>
          <cell r="C315" t="str">
            <v>0100160966</v>
          </cell>
          <cell r="D315" t="str">
            <v>163270C</v>
          </cell>
          <cell r="E315">
            <v>696</v>
          </cell>
          <cell r="F315">
            <v>43432</v>
          </cell>
          <cell r="G315" t="str">
            <v>OK</v>
          </cell>
        </row>
        <row r="316">
          <cell r="A316" t="str">
            <v>Y1811-0210</v>
          </cell>
          <cell r="B316">
            <v>201807</v>
          </cell>
          <cell r="C316" t="str">
            <v>0100160967</v>
          </cell>
          <cell r="D316" t="str">
            <v>763768C</v>
          </cell>
          <cell r="E316">
            <v>228</v>
          </cell>
          <cell r="F316">
            <v>43432</v>
          </cell>
          <cell r="G316" t="str">
            <v>OK</v>
          </cell>
        </row>
        <row r="317">
          <cell r="A317" t="str">
            <v>Y1811-0211</v>
          </cell>
          <cell r="B317">
            <v>201807</v>
          </cell>
          <cell r="C317" t="str">
            <v>0100160968</v>
          </cell>
          <cell r="D317" t="str">
            <v>763769C</v>
          </cell>
          <cell r="E317">
            <v>264</v>
          </cell>
          <cell r="F317">
            <v>43432</v>
          </cell>
          <cell r="G317" t="str">
            <v>OK</v>
          </cell>
        </row>
        <row r="318">
          <cell r="A318" t="str">
            <v>Y1811-0212</v>
          </cell>
          <cell r="B318">
            <v>201807</v>
          </cell>
          <cell r="C318" t="str">
            <v>0100160969</v>
          </cell>
          <cell r="D318" t="str">
            <v>763770C</v>
          </cell>
          <cell r="E318">
            <v>264</v>
          </cell>
          <cell r="F318">
            <v>43432</v>
          </cell>
          <cell r="G318" t="str">
            <v>OK</v>
          </cell>
        </row>
        <row r="319">
          <cell r="A319" t="str">
            <v>Y1811-0213</v>
          </cell>
          <cell r="B319">
            <v>201807</v>
          </cell>
          <cell r="C319" t="str">
            <v>0100160970</v>
          </cell>
          <cell r="D319" t="str">
            <v>163385C</v>
          </cell>
          <cell r="E319">
            <v>168</v>
          </cell>
          <cell r="F319">
            <v>43432</v>
          </cell>
          <cell r="G319" t="str">
            <v>OK</v>
          </cell>
        </row>
        <row r="320">
          <cell r="A320" t="str">
            <v>Y1811-0214</v>
          </cell>
          <cell r="B320">
            <v>201807</v>
          </cell>
          <cell r="C320" t="str">
            <v>0100160971</v>
          </cell>
          <cell r="D320" t="str">
            <v>161577C</v>
          </cell>
          <cell r="E320">
            <v>276</v>
          </cell>
          <cell r="F320">
            <v>43432</v>
          </cell>
          <cell r="G320" t="str">
            <v>OK</v>
          </cell>
        </row>
        <row r="321">
          <cell r="A321" t="str">
            <v>Y1811-0218</v>
          </cell>
          <cell r="B321">
            <v>201807</v>
          </cell>
          <cell r="C321" t="str">
            <v>0100160975</v>
          </cell>
          <cell r="D321" t="str">
            <v>363689C</v>
          </cell>
          <cell r="E321">
            <v>144</v>
          </cell>
          <cell r="F321">
            <v>43432</v>
          </cell>
          <cell r="G321" t="str">
            <v>OK</v>
          </cell>
        </row>
        <row r="322">
          <cell r="A322" t="str">
            <v>Y1811-0219</v>
          </cell>
          <cell r="B322">
            <v>201807</v>
          </cell>
          <cell r="C322" t="str">
            <v>0100160976</v>
          </cell>
          <cell r="D322" t="str">
            <v>363690C</v>
          </cell>
          <cell r="E322">
            <v>144</v>
          </cell>
          <cell r="F322">
            <v>43432</v>
          </cell>
          <cell r="G322" t="str">
            <v>OK</v>
          </cell>
        </row>
        <row r="323">
          <cell r="A323" t="str">
            <v>Y1811-0220</v>
          </cell>
          <cell r="B323">
            <v>201807</v>
          </cell>
          <cell r="C323" t="str">
            <v>0100160977</v>
          </cell>
          <cell r="D323" t="str">
            <v>363691C</v>
          </cell>
          <cell r="E323">
            <v>144</v>
          </cell>
          <cell r="F323">
            <v>43432</v>
          </cell>
          <cell r="G323" t="str">
            <v>OK</v>
          </cell>
        </row>
        <row r="324">
          <cell r="A324" t="str">
            <v>Y1811-0221</v>
          </cell>
          <cell r="B324">
            <v>201807</v>
          </cell>
          <cell r="C324" t="str">
            <v>0100160978</v>
          </cell>
          <cell r="D324" t="str">
            <v>363765C</v>
          </cell>
          <cell r="E324">
            <v>240</v>
          </cell>
          <cell r="F324">
            <v>43432</v>
          </cell>
          <cell r="G324" t="str">
            <v>OK</v>
          </cell>
        </row>
        <row r="325">
          <cell r="A325" t="str">
            <v>Y1901-0003</v>
          </cell>
          <cell r="B325">
            <v>201807</v>
          </cell>
          <cell r="C325" t="str">
            <v>0100160981</v>
          </cell>
          <cell r="D325" t="str">
            <v>163373C</v>
          </cell>
          <cell r="E325">
            <v>384</v>
          </cell>
          <cell r="F325">
            <v>43433</v>
          </cell>
          <cell r="G325" t="str">
            <v>OK</v>
          </cell>
        </row>
        <row r="326">
          <cell r="A326" t="str">
            <v>Y1901-0004</v>
          </cell>
          <cell r="B326">
            <v>201807</v>
          </cell>
          <cell r="C326" t="str">
            <v>0100160982</v>
          </cell>
          <cell r="D326" t="str">
            <v>163374C</v>
          </cell>
          <cell r="E326">
            <v>468</v>
          </cell>
          <cell r="F326">
            <v>43433</v>
          </cell>
          <cell r="G326" t="str">
            <v>OK</v>
          </cell>
        </row>
        <row r="327">
          <cell r="A327" t="str">
            <v>Y1811-0224</v>
          </cell>
          <cell r="B327">
            <v>201807</v>
          </cell>
          <cell r="C327" t="str">
            <v>0100160983</v>
          </cell>
          <cell r="D327" t="str">
            <v>164534C</v>
          </cell>
          <cell r="E327">
            <v>600</v>
          </cell>
          <cell r="F327">
            <v>43429</v>
          </cell>
          <cell r="G327" t="str">
            <v>OK</v>
          </cell>
        </row>
        <row r="328">
          <cell r="A328" t="str">
            <v>Y1811-0225</v>
          </cell>
          <cell r="B328">
            <v>201807</v>
          </cell>
          <cell r="C328" t="str">
            <v>0100160984</v>
          </cell>
          <cell r="D328" t="str">
            <v>158369C</v>
          </cell>
          <cell r="E328">
            <v>744</v>
          </cell>
          <cell r="F328">
            <v>43429</v>
          </cell>
          <cell r="G328" t="str">
            <v>OK</v>
          </cell>
        </row>
        <row r="329">
          <cell r="A329" t="str">
            <v>Y1811-0226</v>
          </cell>
          <cell r="B329">
            <v>201807</v>
          </cell>
          <cell r="C329" t="str">
            <v>0100160986</v>
          </cell>
          <cell r="D329" t="str">
            <v>158427C</v>
          </cell>
          <cell r="E329">
            <v>204</v>
          </cell>
          <cell r="F329">
            <v>43429</v>
          </cell>
          <cell r="G329" t="str">
            <v>OK</v>
          </cell>
        </row>
        <row r="330">
          <cell r="A330" t="str">
            <v>Y1811-0227</v>
          </cell>
          <cell r="B330">
            <v>201807</v>
          </cell>
          <cell r="C330" t="str">
            <v>0100160987</v>
          </cell>
          <cell r="D330" t="str">
            <v>163189C</v>
          </cell>
          <cell r="E330">
            <v>324</v>
          </cell>
          <cell r="F330">
            <v>43429</v>
          </cell>
          <cell r="G330" t="str">
            <v>OK</v>
          </cell>
        </row>
        <row r="331">
          <cell r="A331" t="str">
            <v>Y1811-0228</v>
          </cell>
          <cell r="B331">
            <v>201807</v>
          </cell>
          <cell r="C331" t="str">
            <v>0100160988</v>
          </cell>
          <cell r="D331" t="str">
            <v>163192C</v>
          </cell>
          <cell r="E331">
            <v>276</v>
          </cell>
          <cell r="F331">
            <v>43429</v>
          </cell>
          <cell r="G331" t="str">
            <v>OK</v>
          </cell>
        </row>
        <row r="332">
          <cell r="A332" t="str">
            <v>Y1811-0229</v>
          </cell>
          <cell r="B332">
            <v>201807</v>
          </cell>
          <cell r="C332" t="str">
            <v>0100160989</v>
          </cell>
          <cell r="D332" t="str">
            <v>163193C</v>
          </cell>
          <cell r="E332">
            <v>120</v>
          </cell>
          <cell r="F332">
            <v>43429</v>
          </cell>
          <cell r="G332" t="str">
            <v>OK</v>
          </cell>
        </row>
        <row r="333">
          <cell r="A333" t="str">
            <v>Y1811-0230</v>
          </cell>
          <cell r="B333">
            <v>201807</v>
          </cell>
          <cell r="C333" t="str">
            <v>0100160990</v>
          </cell>
          <cell r="D333" t="str">
            <v>163245C</v>
          </cell>
          <cell r="E333">
            <v>1692</v>
          </cell>
          <cell r="F333">
            <v>43429</v>
          </cell>
          <cell r="G333" t="str">
            <v>OK</v>
          </cell>
        </row>
        <row r="334">
          <cell r="A334" t="str">
            <v>Y1811-0231</v>
          </cell>
          <cell r="B334">
            <v>201807</v>
          </cell>
          <cell r="C334" t="str">
            <v>0100160991</v>
          </cell>
          <cell r="D334" t="str">
            <v>163246C</v>
          </cell>
          <cell r="E334">
            <v>720</v>
          </cell>
          <cell r="F334">
            <v>43429</v>
          </cell>
          <cell r="G334" t="str">
            <v>OK</v>
          </cell>
        </row>
        <row r="335">
          <cell r="A335" t="str">
            <v>Y1811-0232</v>
          </cell>
          <cell r="B335">
            <v>201807</v>
          </cell>
          <cell r="C335" t="str">
            <v>0100160992</v>
          </cell>
          <cell r="D335" t="str">
            <v>163249C</v>
          </cell>
          <cell r="E335">
            <v>1020</v>
          </cell>
          <cell r="F335">
            <v>43429</v>
          </cell>
          <cell r="G335" t="str">
            <v>OK</v>
          </cell>
        </row>
        <row r="336">
          <cell r="A336" t="str">
            <v>Y1811-0233</v>
          </cell>
          <cell r="B336">
            <v>201807</v>
          </cell>
          <cell r="C336" t="str">
            <v>0100160993</v>
          </cell>
          <cell r="D336" t="str">
            <v>164525C</v>
          </cell>
          <cell r="E336">
            <v>492</v>
          </cell>
          <cell r="F336">
            <v>43429</v>
          </cell>
          <cell r="G336" t="str">
            <v>OK</v>
          </cell>
        </row>
        <row r="337">
          <cell r="A337" t="str">
            <v>Y1811-0234</v>
          </cell>
          <cell r="B337">
            <v>201807</v>
          </cell>
          <cell r="C337" t="str">
            <v>0100160994</v>
          </cell>
          <cell r="D337" t="str">
            <v>163268C</v>
          </cell>
          <cell r="E337">
            <v>588</v>
          </cell>
          <cell r="F337">
            <v>43429</v>
          </cell>
          <cell r="G337" t="str">
            <v>OK</v>
          </cell>
        </row>
        <row r="338">
          <cell r="A338" t="str">
            <v>Y1811-0235</v>
          </cell>
          <cell r="B338">
            <v>201807</v>
          </cell>
          <cell r="C338" t="str">
            <v>0100160995</v>
          </cell>
          <cell r="D338" t="str">
            <v>163343C</v>
          </cell>
          <cell r="E338">
            <v>732</v>
          </cell>
          <cell r="F338">
            <v>43429</v>
          </cell>
          <cell r="G338" t="str">
            <v>OK</v>
          </cell>
        </row>
        <row r="339">
          <cell r="A339" t="str">
            <v>Y1811-0236</v>
          </cell>
          <cell r="B339">
            <v>201807</v>
          </cell>
          <cell r="C339" t="str">
            <v>0100160996</v>
          </cell>
          <cell r="D339" t="str">
            <v>163344C</v>
          </cell>
          <cell r="E339">
            <v>300</v>
          </cell>
          <cell r="F339">
            <v>43429</v>
          </cell>
          <cell r="G339" t="str">
            <v>OK</v>
          </cell>
        </row>
        <row r="340">
          <cell r="A340" t="str">
            <v>Y1811-0237</v>
          </cell>
          <cell r="B340">
            <v>201807</v>
          </cell>
          <cell r="C340" t="str">
            <v>0100160997</v>
          </cell>
          <cell r="D340" t="str">
            <v>163345C</v>
          </cell>
          <cell r="E340">
            <v>576</v>
          </cell>
          <cell r="F340">
            <v>43429</v>
          </cell>
          <cell r="G340" t="str">
            <v>OK</v>
          </cell>
        </row>
        <row r="341">
          <cell r="A341" t="str">
            <v>Y1811-0238</v>
          </cell>
          <cell r="B341">
            <v>201807</v>
          </cell>
          <cell r="C341" t="str">
            <v>0100160998</v>
          </cell>
          <cell r="D341" t="str">
            <v>163346C</v>
          </cell>
          <cell r="E341">
            <v>804</v>
          </cell>
          <cell r="F341">
            <v>43429</v>
          </cell>
          <cell r="G341" t="str">
            <v>OK</v>
          </cell>
        </row>
        <row r="342">
          <cell r="A342" t="str">
            <v>Y1901-0005</v>
          </cell>
          <cell r="B342">
            <v>201807</v>
          </cell>
          <cell r="C342" t="str">
            <v>0100160999</v>
          </cell>
          <cell r="D342" t="str">
            <v>563425C</v>
          </cell>
          <cell r="E342">
            <v>120</v>
          </cell>
          <cell r="F342">
            <v>43432</v>
          </cell>
          <cell r="G342" t="str">
            <v>OK</v>
          </cell>
        </row>
        <row r="343">
          <cell r="A343" t="str">
            <v>Y1811-0239</v>
          </cell>
          <cell r="B343">
            <v>201807</v>
          </cell>
          <cell r="C343" t="str">
            <v>0100161000</v>
          </cell>
          <cell r="D343" t="str">
            <v>163269C</v>
          </cell>
          <cell r="E343">
            <v>540</v>
          </cell>
          <cell r="F343">
            <v>43429</v>
          </cell>
          <cell r="G343" t="str">
            <v>OK</v>
          </cell>
        </row>
        <row r="344">
          <cell r="A344" t="str">
            <v>Y1811-0240</v>
          </cell>
          <cell r="B344">
            <v>201807</v>
          </cell>
          <cell r="C344" t="str">
            <v>0100161001</v>
          </cell>
          <cell r="D344" t="str">
            <v>163270C</v>
          </cell>
          <cell r="E344">
            <v>540</v>
          </cell>
          <cell r="F344">
            <v>43429</v>
          </cell>
          <cell r="G344" t="str">
            <v>OK</v>
          </cell>
        </row>
        <row r="345">
          <cell r="A345" t="str">
            <v>Y1811-0241</v>
          </cell>
          <cell r="B345">
            <v>201807</v>
          </cell>
          <cell r="C345" t="str">
            <v>0100161002</v>
          </cell>
          <cell r="D345" t="str">
            <v>763518C</v>
          </cell>
          <cell r="E345">
            <v>132</v>
          </cell>
          <cell r="F345">
            <v>43429</v>
          </cell>
          <cell r="G345" t="str">
            <v>OK</v>
          </cell>
        </row>
        <row r="346">
          <cell r="A346" t="str">
            <v>Y1811-0242</v>
          </cell>
          <cell r="B346">
            <v>201807</v>
          </cell>
          <cell r="C346" t="str">
            <v>0100161003</v>
          </cell>
          <cell r="D346" t="str">
            <v>763519C</v>
          </cell>
          <cell r="E346">
            <v>132</v>
          </cell>
          <cell r="F346">
            <v>43429</v>
          </cell>
          <cell r="G346" t="str">
            <v>OK</v>
          </cell>
        </row>
        <row r="347">
          <cell r="A347" t="str">
            <v>Y1811-0243</v>
          </cell>
          <cell r="B347">
            <v>201807</v>
          </cell>
          <cell r="C347" t="str">
            <v>0100161004</v>
          </cell>
          <cell r="D347" t="str">
            <v>763520C</v>
          </cell>
          <cell r="E347">
            <v>132</v>
          </cell>
          <cell r="F347">
            <v>43429</v>
          </cell>
          <cell r="G347" t="str">
            <v>OK</v>
          </cell>
        </row>
        <row r="348">
          <cell r="A348" t="str">
            <v>Y1811-0244</v>
          </cell>
          <cell r="B348">
            <v>201807</v>
          </cell>
          <cell r="C348" t="str">
            <v>0100161005</v>
          </cell>
          <cell r="D348" t="str">
            <v>363765C</v>
          </cell>
          <cell r="E348">
            <v>804</v>
          </cell>
          <cell r="F348">
            <v>43429</v>
          </cell>
          <cell r="G348" t="str">
            <v>OK</v>
          </cell>
        </row>
        <row r="349">
          <cell r="A349" t="str">
            <v>Y1811-0247</v>
          </cell>
          <cell r="B349">
            <v>201807</v>
          </cell>
          <cell r="C349" t="str">
            <v>0100161008</v>
          </cell>
          <cell r="D349" t="str">
            <v>161577C</v>
          </cell>
          <cell r="E349">
            <v>480</v>
          </cell>
          <cell r="F349">
            <v>43429</v>
          </cell>
          <cell r="G349" t="str">
            <v>OK</v>
          </cell>
        </row>
        <row r="350">
          <cell r="A350" t="str">
            <v>Y1811-0248</v>
          </cell>
          <cell r="B350">
            <v>201807</v>
          </cell>
          <cell r="C350" t="str">
            <v>0100161009</v>
          </cell>
          <cell r="D350" t="str">
            <v>763768C</v>
          </cell>
          <cell r="E350">
            <v>684</v>
          </cell>
          <cell r="F350">
            <v>43429</v>
          </cell>
          <cell r="G350" t="str">
            <v>OK</v>
          </cell>
        </row>
        <row r="351">
          <cell r="A351" t="str">
            <v>Y1811-0249</v>
          </cell>
          <cell r="B351">
            <v>201807</v>
          </cell>
          <cell r="C351" t="str">
            <v>0100161010</v>
          </cell>
          <cell r="D351" t="str">
            <v>763769C</v>
          </cell>
          <cell r="E351">
            <v>336</v>
          </cell>
          <cell r="F351">
            <v>43429</v>
          </cell>
          <cell r="G351" t="str">
            <v>OK</v>
          </cell>
        </row>
        <row r="352">
          <cell r="A352" t="str">
            <v>Y1901-0006</v>
          </cell>
          <cell r="B352">
            <v>201807</v>
          </cell>
          <cell r="C352" t="str">
            <v>0100161012</v>
          </cell>
          <cell r="D352" t="str">
            <v>163373C</v>
          </cell>
          <cell r="E352">
            <v>204</v>
          </cell>
          <cell r="F352">
            <v>43433</v>
          </cell>
          <cell r="G352" t="str">
            <v>OK</v>
          </cell>
        </row>
        <row r="353">
          <cell r="A353" t="str">
            <v>Y1901-0007</v>
          </cell>
          <cell r="B353">
            <v>201807</v>
          </cell>
          <cell r="C353" t="str">
            <v>0100161013</v>
          </cell>
          <cell r="D353" t="str">
            <v>163374C</v>
          </cell>
          <cell r="E353">
            <v>276</v>
          </cell>
          <cell r="F353">
            <v>43432</v>
          </cell>
          <cell r="G353" t="str">
            <v>OK</v>
          </cell>
        </row>
        <row r="354">
          <cell r="A354" t="str">
            <v>Y1811-0251</v>
          </cell>
          <cell r="B354">
            <v>201807</v>
          </cell>
          <cell r="C354" t="str">
            <v>0100161014</v>
          </cell>
          <cell r="D354" t="str">
            <v>163385C</v>
          </cell>
          <cell r="E354">
            <v>2952</v>
          </cell>
          <cell r="F354">
            <v>43429</v>
          </cell>
          <cell r="G354" t="str">
            <v>OK</v>
          </cell>
        </row>
        <row r="355">
          <cell r="A355" t="str">
            <v>Y1811-0252</v>
          </cell>
          <cell r="B355">
            <v>201807</v>
          </cell>
          <cell r="C355" t="str">
            <v>0100161015</v>
          </cell>
          <cell r="D355" t="str">
            <v>163757C</v>
          </cell>
          <cell r="E355">
            <v>288</v>
          </cell>
          <cell r="F355">
            <v>43429</v>
          </cell>
          <cell r="G355" t="str">
            <v>OK</v>
          </cell>
        </row>
        <row r="356">
          <cell r="A356" t="str">
            <v>Y1811-0253</v>
          </cell>
          <cell r="B356">
            <v>201807</v>
          </cell>
          <cell r="C356" t="str">
            <v>0100161016</v>
          </cell>
          <cell r="D356" t="str">
            <v>163758C</v>
          </cell>
          <cell r="E356">
            <v>192</v>
          </cell>
          <cell r="F356">
            <v>43429</v>
          </cell>
          <cell r="G356" t="str">
            <v>OK</v>
          </cell>
        </row>
        <row r="357">
          <cell r="A357" t="str">
            <v>Y1811-0254</v>
          </cell>
          <cell r="B357">
            <v>201807</v>
          </cell>
          <cell r="C357" t="str">
            <v>0100161017</v>
          </cell>
          <cell r="D357" t="str">
            <v>161608C</v>
          </cell>
          <cell r="E357">
            <v>228</v>
          </cell>
          <cell r="F357">
            <v>43429</v>
          </cell>
          <cell r="G357" t="str">
            <v>OK</v>
          </cell>
        </row>
        <row r="358">
          <cell r="A358" t="str">
            <v>Y1811-0256</v>
          </cell>
          <cell r="B358">
            <v>201807</v>
          </cell>
          <cell r="C358" t="str">
            <v>0100161019</v>
          </cell>
          <cell r="D358" t="str">
            <v>164534C</v>
          </cell>
          <cell r="E358">
            <v>132</v>
          </cell>
          <cell r="F358">
            <v>43426</v>
          </cell>
          <cell r="G358" t="str">
            <v>OK</v>
          </cell>
        </row>
        <row r="359">
          <cell r="A359" t="str">
            <v>Y1811-0259</v>
          </cell>
          <cell r="B359">
            <v>201807</v>
          </cell>
          <cell r="C359" t="str">
            <v>0100161022</v>
          </cell>
          <cell r="D359" t="str">
            <v>158427C</v>
          </cell>
          <cell r="E359">
            <v>300</v>
          </cell>
          <cell r="F359">
            <v>43428</v>
          </cell>
          <cell r="G359" t="str">
            <v>OK</v>
          </cell>
        </row>
        <row r="360">
          <cell r="A360" t="str">
            <v>Y1811-0260</v>
          </cell>
          <cell r="B360">
            <v>201807</v>
          </cell>
          <cell r="C360" t="str">
            <v>0100161023</v>
          </cell>
          <cell r="D360" t="str">
            <v>159816C</v>
          </cell>
          <cell r="E360">
            <v>192</v>
          </cell>
          <cell r="F360">
            <v>43428</v>
          </cell>
          <cell r="G360" t="str">
            <v>OK</v>
          </cell>
        </row>
        <row r="361">
          <cell r="A361" t="str">
            <v>Y1811-0261</v>
          </cell>
          <cell r="B361">
            <v>201807</v>
          </cell>
          <cell r="C361" t="str">
            <v>0100161024</v>
          </cell>
          <cell r="D361" t="str">
            <v>363765C</v>
          </cell>
          <cell r="E361">
            <v>360</v>
          </cell>
          <cell r="F361">
            <v>43428</v>
          </cell>
          <cell r="G361" t="str">
            <v>OK</v>
          </cell>
        </row>
        <row r="362">
          <cell r="A362" t="str">
            <v>Y1901-0008</v>
          </cell>
          <cell r="B362">
            <v>201807</v>
          </cell>
          <cell r="C362" t="str">
            <v>0100161027</v>
          </cell>
          <cell r="D362" t="str">
            <v>563425C</v>
          </cell>
          <cell r="E362">
            <v>444</v>
          </cell>
          <cell r="F362">
            <v>43433</v>
          </cell>
          <cell r="G362" t="str">
            <v>OK</v>
          </cell>
        </row>
        <row r="363">
          <cell r="A363" t="str">
            <v>Y1811-0265</v>
          </cell>
          <cell r="B363">
            <v>201807</v>
          </cell>
          <cell r="C363" t="str">
            <v>0100161029</v>
          </cell>
          <cell r="D363" t="str">
            <v>763768C</v>
          </cell>
          <cell r="E363">
            <v>384</v>
          </cell>
          <cell r="F363">
            <v>43428</v>
          </cell>
          <cell r="G363" t="str">
            <v>OK</v>
          </cell>
        </row>
        <row r="364">
          <cell r="A364" t="str">
            <v>Y1811-0266</v>
          </cell>
          <cell r="B364">
            <v>201807</v>
          </cell>
          <cell r="C364" t="str">
            <v>0100161030</v>
          </cell>
          <cell r="D364" t="str">
            <v>763769C</v>
          </cell>
          <cell r="E364">
            <v>228</v>
          </cell>
          <cell r="F364">
            <v>43428</v>
          </cell>
          <cell r="G364" t="str">
            <v>OK</v>
          </cell>
        </row>
        <row r="365">
          <cell r="A365" t="str">
            <v>Y1811-0271</v>
          </cell>
          <cell r="B365">
            <v>201807</v>
          </cell>
          <cell r="C365" t="str">
            <v>0100161035</v>
          </cell>
          <cell r="D365" t="str">
            <v>163245C</v>
          </cell>
          <cell r="E365">
            <v>1056</v>
          </cell>
          <cell r="F365">
            <v>43428</v>
          </cell>
          <cell r="G365" t="str">
            <v>OK</v>
          </cell>
        </row>
        <row r="366">
          <cell r="A366" t="str">
            <v>Y1811-0272</v>
          </cell>
          <cell r="B366">
            <v>201807</v>
          </cell>
          <cell r="C366" t="str">
            <v>0100161036</v>
          </cell>
          <cell r="D366" t="str">
            <v>163246C</v>
          </cell>
          <cell r="E366">
            <v>504</v>
          </cell>
          <cell r="F366">
            <v>43428</v>
          </cell>
          <cell r="G366" t="str">
            <v>OK</v>
          </cell>
        </row>
        <row r="367">
          <cell r="A367" t="str">
            <v>Y1811-0273</v>
          </cell>
          <cell r="B367">
            <v>201807</v>
          </cell>
          <cell r="C367" t="str">
            <v>0100161037</v>
          </cell>
          <cell r="D367" t="str">
            <v>163249C</v>
          </cell>
          <cell r="E367">
            <v>852</v>
          </cell>
          <cell r="F367">
            <v>43428</v>
          </cell>
          <cell r="G367" t="str">
            <v>OK</v>
          </cell>
        </row>
        <row r="368">
          <cell r="A368" t="str">
            <v>Y1811-0274</v>
          </cell>
          <cell r="B368">
            <v>201807</v>
          </cell>
          <cell r="C368" t="str">
            <v>0100161039</v>
          </cell>
          <cell r="D368" t="str">
            <v>161608C</v>
          </cell>
          <cell r="E368">
            <v>420</v>
          </cell>
          <cell r="F368">
            <v>43428</v>
          </cell>
          <cell r="G368" t="str">
            <v>OK</v>
          </cell>
        </row>
        <row r="369">
          <cell r="A369" t="str">
            <v>Y1811-0275</v>
          </cell>
          <cell r="B369">
            <v>201807</v>
          </cell>
          <cell r="C369" t="str">
            <v>0100161040</v>
          </cell>
          <cell r="D369" t="str">
            <v>164534C</v>
          </cell>
          <cell r="E369">
            <v>200</v>
          </cell>
          <cell r="F369">
            <v>43423</v>
          </cell>
          <cell r="G369" t="str">
            <v>OK</v>
          </cell>
        </row>
        <row r="370">
          <cell r="A370" t="str">
            <v>Y1811-0276</v>
          </cell>
          <cell r="B370">
            <v>201807</v>
          </cell>
          <cell r="C370" t="str">
            <v>0100161041</v>
          </cell>
          <cell r="D370" t="str">
            <v>164525C</v>
          </cell>
          <cell r="E370">
            <v>684</v>
          </cell>
          <cell r="F370">
            <v>43428</v>
          </cell>
          <cell r="G370" t="str">
            <v>OK</v>
          </cell>
        </row>
        <row r="371">
          <cell r="A371" t="str">
            <v>Y1811-0277</v>
          </cell>
          <cell r="B371">
            <v>201807</v>
          </cell>
          <cell r="C371" t="str">
            <v>0100161042</v>
          </cell>
          <cell r="D371" t="str">
            <v>163269C</v>
          </cell>
          <cell r="E371">
            <v>708</v>
          </cell>
          <cell r="F371">
            <v>43428</v>
          </cell>
          <cell r="G371" t="str">
            <v>OK</v>
          </cell>
        </row>
        <row r="372">
          <cell r="A372" t="str">
            <v>Y1811-0278</v>
          </cell>
          <cell r="B372">
            <v>201807</v>
          </cell>
          <cell r="C372" t="str">
            <v>0100161043</v>
          </cell>
          <cell r="D372" t="str">
            <v>163270C</v>
          </cell>
          <cell r="E372">
            <v>696</v>
          </cell>
          <cell r="F372">
            <v>43428</v>
          </cell>
          <cell r="G372" t="str">
            <v>OK</v>
          </cell>
        </row>
        <row r="373">
          <cell r="A373" t="str">
            <v>Y1811-0279</v>
          </cell>
          <cell r="B373">
            <v>201807</v>
          </cell>
          <cell r="C373" t="str">
            <v>0100161044</v>
          </cell>
          <cell r="D373" t="str">
            <v>163268C</v>
          </cell>
          <cell r="E373">
            <v>1200</v>
          </cell>
          <cell r="F373">
            <v>43428</v>
          </cell>
          <cell r="G373" t="str">
            <v>OK</v>
          </cell>
        </row>
        <row r="374">
          <cell r="A374" t="str">
            <v>Y1811-0284</v>
          </cell>
          <cell r="B374">
            <v>201807</v>
          </cell>
          <cell r="C374" t="str">
            <v>0100161120</v>
          </cell>
          <cell r="D374" t="str">
            <v>163368C</v>
          </cell>
          <cell r="E374">
            <v>1290</v>
          </cell>
          <cell r="F374">
            <v>43429</v>
          </cell>
          <cell r="G374" t="str">
            <v>OK</v>
          </cell>
        </row>
        <row r="375">
          <cell r="A375" t="str">
            <v>Y1811-0285</v>
          </cell>
          <cell r="B375">
            <v>201807</v>
          </cell>
          <cell r="C375" t="str">
            <v>0100161122</v>
          </cell>
          <cell r="D375" t="str">
            <v>163370C</v>
          </cell>
          <cell r="E375">
            <v>678</v>
          </cell>
          <cell r="F375">
            <v>43429</v>
          </cell>
          <cell r="G375" t="str">
            <v>OK</v>
          </cell>
        </row>
        <row r="376">
          <cell r="A376" t="str">
            <v>Y1811-0291</v>
          </cell>
          <cell r="B376">
            <v>201807</v>
          </cell>
          <cell r="C376" t="str">
            <v>0100163064</v>
          </cell>
          <cell r="D376" t="str">
            <v>158369C</v>
          </cell>
          <cell r="E376">
            <v>13608</v>
          </cell>
          <cell r="F376">
            <v>43412</v>
          </cell>
          <cell r="G376" t="str">
            <v>OK</v>
          </cell>
        </row>
        <row r="377">
          <cell r="A377" t="str">
            <v>Y1811-0293</v>
          </cell>
          <cell r="B377">
            <v>201807</v>
          </cell>
          <cell r="C377" t="str">
            <v>0100163095</v>
          </cell>
          <cell r="D377" t="str">
            <v>163192C</v>
          </cell>
          <cell r="E377">
            <v>204</v>
          </cell>
          <cell r="F377">
            <v>43413</v>
          </cell>
          <cell r="G377" t="str">
            <v>OK</v>
          </cell>
        </row>
        <row r="378">
          <cell r="A378" t="str">
            <v>Y1811-0294</v>
          </cell>
          <cell r="B378">
            <v>201807</v>
          </cell>
          <cell r="C378" t="str">
            <v>0100163096</v>
          </cell>
          <cell r="D378" t="str">
            <v>158371C</v>
          </cell>
          <cell r="E378">
            <v>480</v>
          </cell>
          <cell r="F378">
            <v>43417</v>
          </cell>
          <cell r="G378" t="str">
            <v>OK</v>
          </cell>
        </row>
        <row r="379">
          <cell r="A379" t="str">
            <v>Y1811-0302</v>
          </cell>
          <cell r="B379">
            <v>201807</v>
          </cell>
          <cell r="C379" t="str">
            <v>0100163254</v>
          </cell>
          <cell r="D379" t="str">
            <v>158369C</v>
          </cell>
          <cell r="E379">
            <v>13440</v>
          </cell>
          <cell r="F379">
            <v>43412</v>
          </cell>
          <cell r="G379" t="str">
            <v>OK</v>
          </cell>
        </row>
        <row r="380">
          <cell r="A380" t="str">
            <v>Y1811-0306</v>
          </cell>
          <cell r="B380">
            <v>201807</v>
          </cell>
          <cell r="C380" t="str">
            <v>0100163304</v>
          </cell>
          <cell r="D380" t="str">
            <v>163245C</v>
          </cell>
          <cell r="E380">
            <v>180</v>
          </cell>
          <cell r="F380">
            <v>43413</v>
          </cell>
          <cell r="G380" t="str">
            <v>OK</v>
          </cell>
        </row>
        <row r="381">
          <cell r="A381" t="str">
            <v>Y1811-0307</v>
          </cell>
          <cell r="B381">
            <v>201807</v>
          </cell>
          <cell r="C381" t="str">
            <v>0100163305</v>
          </cell>
          <cell r="D381" t="str">
            <v>163247C</v>
          </cell>
          <cell r="E381">
            <v>120</v>
          </cell>
          <cell r="F381">
            <v>43413</v>
          </cell>
          <cell r="G381" t="str">
            <v>OK</v>
          </cell>
        </row>
        <row r="382">
          <cell r="A382" t="str">
            <v>Y1811-0308</v>
          </cell>
          <cell r="B382">
            <v>201807</v>
          </cell>
          <cell r="C382" t="str">
            <v>0100163306</v>
          </cell>
          <cell r="D382" t="str">
            <v>162950C</v>
          </cell>
          <cell r="E382">
            <v>156</v>
          </cell>
          <cell r="F382">
            <v>43417</v>
          </cell>
          <cell r="G382" t="str">
            <v>OK</v>
          </cell>
        </row>
        <row r="383">
          <cell r="A383" t="str">
            <v>Y1811-0309</v>
          </cell>
          <cell r="B383">
            <v>201807</v>
          </cell>
          <cell r="C383" t="str">
            <v>0100163307</v>
          </cell>
          <cell r="D383" t="str">
            <v>163189C</v>
          </cell>
          <cell r="E383">
            <v>408</v>
          </cell>
          <cell r="F383">
            <v>43417</v>
          </cell>
          <cell r="G383" t="str">
            <v>OK</v>
          </cell>
        </row>
        <row r="384">
          <cell r="A384" t="str">
            <v>Y1811-0310</v>
          </cell>
          <cell r="B384">
            <v>201807</v>
          </cell>
          <cell r="C384" t="str">
            <v>0100163308</v>
          </cell>
          <cell r="D384" t="str">
            <v>161577C</v>
          </cell>
          <cell r="E384">
            <v>636</v>
          </cell>
          <cell r="F384">
            <v>43417</v>
          </cell>
          <cell r="G384" t="str">
            <v>OK</v>
          </cell>
        </row>
        <row r="385">
          <cell r="A385" t="str">
            <v>Y1811-0319</v>
          </cell>
          <cell r="B385">
            <v>201807</v>
          </cell>
          <cell r="C385" t="str">
            <v>0100163536</v>
          </cell>
          <cell r="D385" t="str">
            <v>163249C</v>
          </cell>
          <cell r="E385">
            <v>120</v>
          </cell>
          <cell r="F385">
            <v>43413</v>
          </cell>
          <cell r="G385" t="str">
            <v>OK</v>
          </cell>
        </row>
        <row r="386">
          <cell r="A386" t="str">
            <v>Y1811-0320</v>
          </cell>
          <cell r="B386">
            <v>201807</v>
          </cell>
          <cell r="C386" t="str">
            <v>0100163537</v>
          </cell>
          <cell r="D386" t="str">
            <v>163190C</v>
          </cell>
          <cell r="E386">
            <v>204</v>
          </cell>
          <cell r="F386">
            <v>43417</v>
          </cell>
          <cell r="G386" t="str">
            <v>OK</v>
          </cell>
        </row>
        <row r="387">
          <cell r="A387" t="str">
            <v>Y1811-0321</v>
          </cell>
          <cell r="B387">
            <v>201807</v>
          </cell>
          <cell r="C387" t="str">
            <v>0100163538</v>
          </cell>
          <cell r="D387" t="str">
            <v>163192C</v>
          </cell>
          <cell r="E387">
            <v>432</v>
          </cell>
          <cell r="F387">
            <v>43417</v>
          </cell>
          <cell r="G387" t="str">
            <v>OK</v>
          </cell>
        </row>
        <row r="388">
          <cell r="A388" t="str">
            <v>Y1811-0322</v>
          </cell>
          <cell r="B388">
            <v>201807</v>
          </cell>
          <cell r="C388" t="str">
            <v>0100163539</v>
          </cell>
          <cell r="D388" t="str">
            <v>163193C</v>
          </cell>
          <cell r="E388">
            <v>120</v>
          </cell>
          <cell r="F388">
            <v>43417</v>
          </cell>
          <cell r="G388" t="str">
            <v>OK</v>
          </cell>
        </row>
        <row r="389">
          <cell r="A389" t="str">
            <v>Y1811-0327</v>
          </cell>
          <cell r="B389">
            <v>201807</v>
          </cell>
          <cell r="C389" t="str">
            <v>0100163710</v>
          </cell>
          <cell r="D389" t="str">
            <v>163269C</v>
          </cell>
          <cell r="E389">
            <v>312</v>
          </cell>
          <cell r="F389">
            <v>43417</v>
          </cell>
          <cell r="G389" t="str">
            <v>OK</v>
          </cell>
        </row>
        <row r="390">
          <cell r="A390" t="str">
            <v>Y1811-0328</v>
          </cell>
          <cell r="B390">
            <v>201807</v>
          </cell>
          <cell r="C390" t="str">
            <v>0100163711</v>
          </cell>
          <cell r="D390" t="str">
            <v>163270C</v>
          </cell>
          <cell r="E390">
            <v>324</v>
          </cell>
          <cell r="F390">
            <v>43417</v>
          </cell>
          <cell r="G390" t="str">
            <v>OK</v>
          </cell>
        </row>
        <row r="391">
          <cell r="A391" t="str">
            <v>Y1811-0336</v>
          </cell>
          <cell r="B391">
            <v>201807</v>
          </cell>
          <cell r="C391" t="str">
            <v>0100164015</v>
          </cell>
          <cell r="D391" t="str">
            <v>163243C</v>
          </cell>
          <cell r="E391">
            <v>228</v>
          </cell>
          <cell r="F391">
            <v>43417</v>
          </cell>
          <cell r="G391" t="str">
            <v>OK</v>
          </cell>
        </row>
        <row r="392">
          <cell r="A392" t="str">
            <v>Y1811-0337</v>
          </cell>
          <cell r="B392">
            <v>201807</v>
          </cell>
          <cell r="C392" t="str">
            <v>0100164042</v>
          </cell>
          <cell r="D392" t="str">
            <v>163245C</v>
          </cell>
          <cell r="E392">
            <v>1188</v>
          </cell>
          <cell r="F392">
            <v>43417</v>
          </cell>
          <cell r="G392" t="str">
            <v>OK</v>
          </cell>
        </row>
        <row r="393">
          <cell r="A393" t="str">
            <v>Y1811-0338</v>
          </cell>
          <cell r="B393">
            <v>201807</v>
          </cell>
          <cell r="C393" t="str">
            <v>0100164066</v>
          </cell>
          <cell r="D393" t="str">
            <v>163246C</v>
          </cell>
          <cell r="E393">
            <v>1416</v>
          </cell>
          <cell r="F393">
            <v>43417</v>
          </cell>
          <cell r="G393" t="str">
            <v>OK</v>
          </cell>
        </row>
        <row r="394">
          <cell r="A394" t="str">
            <v>Y1811-0339</v>
          </cell>
          <cell r="B394">
            <v>201807</v>
          </cell>
          <cell r="C394" t="str">
            <v>0100164087</v>
          </cell>
          <cell r="D394" t="str">
            <v>163247C</v>
          </cell>
          <cell r="E394">
            <v>840</v>
          </cell>
          <cell r="F394">
            <v>43417</v>
          </cell>
          <cell r="G394" t="str">
            <v>OK</v>
          </cell>
        </row>
        <row r="395">
          <cell r="A395" t="str">
            <v>Y1811-0340</v>
          </cell>
          <cell r="B395">
            <v>201807</v>
          </cell>
          <cell r="C395" t="str">
            <v>0100164128</v>
          </cell>
          <cell r="D395" t="str">
            <v>163249C</v>
          </cell>
          <cell r="E395">
            <v>432</v>
          </cell>
          <cell r="F395">
            <v>43417</v>
          </cell>
          <cell r="G395" t="str">
            <v>OK</v>
          </cell>
        </row>
        <row r="396">
          <cell r="A396" t="str">
            <v>Y1811-0341</v>
          </cell>
          <cell r="B396">
            <v>201807</v>
          </cell>
          <cell r="C396" t="str">
            <v>0100164207</v>
          </cell>
          <cell r="D396" t="str">
            <v>163376C</v>
          </cell>
          <cell r="E396">
            <v>408</v>
          </cell>
          <cell r="F396">
            <v>43417</v>
          </cell>
          <cell r="G396" t="str">
            <v>OK</v>
          </cell>
        </row>
        <row r="397">
          <cell r="A397" t="str">
            <v>Y1811-0342</v>
          </cell>
          <cell r="B397">
            <v>201807</v>
          </cell>
          <cell r="C397" t="str">
            <v>0100164219</v>
          </cell>
          <cell r="D397" t="str">
            <v>163377C</v>
          </cell>
          <cell r="E397">
            <v>288</v>
          </cell>
          <cell r="F397">
            <v>43417</v>
          </cell>
          <cell r="G397" t="str">
            <v>OK</v>
          </cell>
        </row>
        <row r="398">
          <cell r="A398" t="str">
            <v>Y1811-0343</v>
          </cell>
          <cell r="B398">
            <v>201807</v>
          </cell>
          <cell r="C398" t="str">
            <v>0100164220</v>
          </cell>
          <cell r="D398" t="str">
            <v>163385C</v>
          </cell>
          <cell r="E398">
            <v>480</v>
          </cell>
          <cell r="F398">
            <v>43417</v>
          </cell>
          <cell r="G398" t="str">
            <v>OK</v>
          </cell>
        </row>
        <row r="399">
          <cell r="A399" t="str">
            <v>Y1811-0344</v>
          </cell>
          <cell r="B399">
            <v>201807</v>
          </cell>
          <cell r="C399" t="str">
            <v>0100164231</v>
          </cell>
          <cell r="D399" t="str">
            <v>163378C</v>
          </cell>
          <cell r="E399">
            <v>180</v>
          </cell>
          <cell r="F399">
            <v>43417</v>
          </cell>
          <cell r="G399" t="str">
            <v>OK</v>
          </cell>
        </row>
        <row r="400">
          <cell r="A400" t="str">
            <v>Y1811-0345</v>
          </cell>
          <cell r="B400">
            <v>201807</v>
          </cell>
          <cell r="C400" t="str">
            <v>0100164232</v>
          </cell>
          <cell r="D400" t="str">
            <v>363690C</v>
          </cell>
          <cell r="E400">
            <v>192</v>
          </cell>
          <cell r="F400">
            <v>43417</v>
          </cell>
          <cell r="G400" t="str">
            <v>OK</v>
          </cell>
        </row>
        <row r="401">
          <cell r="A401" t="str">
            <v>Y1811-0346</v>
          </cell>
          <cell r="B401">
            <v>201807</v>
          </cell>
          <cell r="C401" t="str">
            <v>0100164241</v>
          </cell>
          <cell r="D401" t="str">
            <v>163380C</v>
          </cell>
          <cell r="E401">
            <v>744</v>
          </cell>
          <cell r="F401">
            <v>43417</v>
          </cell>
          <cell r="G401" t="str">
            <v>OK</v>
          </cell>
        </row>
        <row r="402">
          <cell r="A402" t="str">
            <v>Y1811-0347</v>
          </cell>
          <cell r="B402">
            <v>201807</v>
          </cell>
          <cell r="C402" t="str">
            <v>0100164242</v>
          </cell>
          <cell r="D402" t="str">
            <v>363691C</v>
          </cell>
          <cell r="E402">
            <v>216</v>
          </cell>
          <cell r="F402">
            <v>43417</v>
          </cell>
          <cell r="G402" t="str">
            <v>OK</v>
          </cell>
        </row>
        <row r="403">
          <cell r="A403" t="str">
            <v>Y1811-0350</v>
          </cell>
          <cell r="B403">
            <v>201807</v>
          </cell>
          <cell r="C403" t="str">
            <v>0100164392</v>
          </cell>
          <cell r="D403" t="str">
            <v>663588C</v>
          </cell>
          <cell r="E403">
            <v>348</v>
          </cell>
          <cell r="F403">
            <v>43417</v>
          </cell>
          <cell r="G403" t="str">
            <v>OK</v>
          </cell>
        </row>
        <row r="404">
          <cell r="A404" t="str">
            <v>Y1811-0351</v>
          </cell>
          <cell r="B404">
            <v>201807</v>
          </cell>
          <cell r="C404" t="str">
            <v>0100164393</v>
          </cell>
          <cell r="D404" t="str">
            <v>663589C</v>
          </cell>
          <cell r="E404">
            <v>264</v>
          </cell>
          <cell r="F404">
            <v>43417</v>
          </cell>
          <cell r="G404" t="str">
            <v>OK</v>
          </cell>
        </row>
        <row r="405">
          <cell r="A405" t="str">
            <v>Y1811-0352</v>
          </cell>
          <cell r="B405">
            <v>201807</v>
          </cell>
          <cell r="C405" t="str">
            <v>0100164425</v>
          </cell>
          <cell r="D405" t="str">
            <v>663590C</v>
          </cell>
          <cell r="E405">
            <v>396</v>
          </cell>
          <cell r="F405">
            <v>43417</v>
          </cell>
          <cell r="G405" t="str">
            <v>OK</v>
          </cell>
        </row>
        <row r="406">
          <cell r="A406" t="str">
            <v>Y1811-0353</v>
          </cell>
          <cell r="B406">
            <v>201807</v>
          </cell>
          <cell r="C406" t="str">
            <v>0100164426</v>
          </cell>
          <cell r="D406" t="str">
            <v>663605C</v>
          </cell>
          <cell r="E406">
            <v>180</v>
          </cell>
          <cell r="F406">
            <v>43417</v>
          </cell>
          <cell r="G406" t="str">
            <v>OK</v>
          </cell>
        </row>
        <row r="407">
          <cell r="A407" t="str">
            <v>Y1811-0354</v>
          </cell>
          <cell r="B407">
            <v>201807</v>
          </cell>
          <cell r="C407" t="str">
            <v>0100164427</v>
          </cell>
          <cell r="D407" t="str">
            <v>663608C</v>
          </cell>
          <cell r="E407">
            <v>156</v>
          </cell>
          <cell r="F407">
            <v>43417</v>
          </cell>
          <cell r="G407" t="str">
            <v>OK</v>
          </cell>
        </row>
        <row r="408">
          <cell r="A408" t="str">
            <v>Y1810-0664</v>
          </cell>
          <cell r="B408">
            <v>201807</v>
          </cell>
          <cell r="C408" t="str">
            <v>4600059403</v>
          </cell>
          <cell r="D408" t="str">
            <v>163270C</v>
          </cell>
          <cell r="E408">
            <v>840</v>
          </cell>
          <cell r="F408">
            <v>43405</v>
          </cell>
          <cell r="G408" t="str">
            <v>OK</v>
          </cell>
        </row>
        <row r="409">
          <cell r="A409" t="str">
            <v>Y1810-0671</v>
          </cell>
          <cell r="B409">
            <v>201807</v>
          </cell>
          <cell r="C409" t="str">
            <v>4600059410</v>
          </cell>
          <cell r="D409" t="str">
            <v>163246C</v>
          </cell>
          <cell r="E409">
            <v>996</v>
          </cell>
          <cell r="F409">
            <v>43405</v>
          </cell>
          <cell r="G409" t="str">
            <v>OK</v>
          </cell>
        </row>
        <row r="410">
          <cell r="A410" t="str">
            <v>Y1810-0672</v>
          </cell>
          <cell r="B410">
            <v>201807</v>
          </cell>
          <cell r="C410" t="str">
            <v>4600059411</v>
          </cell>
          <cell r="D410" t="str">
            <v>163249C</v>
          </cell>
          <cell r="E410">
            <v>864</v>
          </cell>
          <cell r="F410">
            <v>43405</v>
          </cell>
          <cell r="G410" t="str">
            <v>OK</v>
          </cell>
        </row>
        <row r="411">
          <cell r="A411" t="str">
            <v>Y1810-0673</v>
          </cell>
          <cell r="B411">
            <v>201807</v>
          </cell>
          <cell r="C411" t="str">
            <v>4600059412</v>
          </cell>
          <cell r="D411" t="str">
            <v>164525C</v>
          </cell>
          <cell r="E411">
            <v>972</v>
          </cell>
          <cell r="F411">
            <v>43405</v>
          </cell>
          <cell r="G411" t="str">
            <v>OK</v>
          </cell>
        </row>
        <row r="412">
          <cell r="A412" t="str">
            <v>Y1811-0358</v>
          </cell>
          <cell r="B412">
            <v>201807</v>
          </cell>
          <cell r="C412" t="str">
            <v>4600059414</v>
          </cell>
          <cell r="D412" t="str">
            <v>763532C</v>
          </cell>
          <cell r="E412">
            <v>1008</v>
          </cell>
          <cell r="F412">
            <v>43405</v>
          </cell>
          <cell r="G412" t="str">
            <v>OK</v>
          </cell>
        </row>
        <row r="413">
          <cell r="A413" t="str">
            <v>Y1810-0675</v>
          </cell>
          <cell r="B413">
            <v>201807</v>
          </cell>
          <cell r="C413" t="str">
            <v>4600059416</v>
          </cell>
          <cell r="D413" t="str">
            <v>162950C</v>
          </cell>
          <cell r="E413">
            <v>1140</v>
          </cell>
          <cell r="F413">
            <v>43405</v>
          </cell>
          <cell r="G413" t="str">
            <v>OK</v>
          </cell>
        </row>
        <row r="414">
          <cell r="A414" t="str">
            <v>Y1810-0676</v>
          </cell>
          <cell r="B414">
            <v>201807</v>
          </cell>
          <cell r="C414" t="str">
            <v>4600059418</v>
          </cell>
          <cell r="D414" t="str">
            <v>163247C</v>
          </cell>
          <cell r="E414">
            <v>888</v>
          </cell>
          <cell r="F414">
            <v>43405</v>
          </cell>
          <cell r="G414" t="str">
            <v>OK</v>
          </cell>
        </row>
        <row r="415">
          <cell r="A415" t="str">
            <v>Y1810-0680</v>
          </cell>
          <cell r="B415">
            <v>201807</v>
          </cell>
          <cell r="C415" t="str">
            <v>4600059423</v>
          </cell>
          <cell r="D415" t="str">
            <v>163268C</v>
          </cell>
          <cell r="E415">
            <v>792</v>
          </cell>
          <cell r="F415">
            <v>43405</v>
          </cell>
          <cell r="G415" t="str">
            <v>OK</v>
          </cell>
        </row>
        <row r="416">
          <cell r="A416" t="str">
            <v>Y1810-0684</v>
          </cell>
          <cell r="B416">
            <v>201807</v>
          </cell>
          <cell r="C416" t="str">
            <v>4600059433</v>
          </cell>
          <cell r="D416" t="str">
            <v>164534C</v>
          </cell>
          <cell r="E416">
            <v>108</v>
          </cell>
          <cell r="F416">
            <v>43412</v>
          </cell>
          <cell r="G416" t="str">
            <v>OK</v>
          </cell>
        </row>
        <row r="417">
          <cell r="A417" t="str">
            <v>Y1810-0693</v>
          </cell>
          <cell r="B417">
            <v>201807</v>
          </cell>
          <cell r="C417" t="str">
            <v>4600059447</v>
          </cell>
          <cell r="D417" t="str">
            <v>164534C</v>
          </cell>
          <cell r="E417">
            <v>12</v>
          </cell>
          <cell r="F417">
            <v>43412</v>
          </cell>
          <cell r="G417" t="str">
            <v>OK</v>
          </cell>
        </row>
        <row r="418">
          <cell r="A418" t="str">
            <v>Y1811-0407</v>
          </cell>
          <cell r="B418">
            <v>201807</v>
          </cell>
          <cell r="C418" t="str">
            <v>4600059789</v>
          </cell>
          <cell r="D418" t="str">
            <v>563429C</v>
          </cell>
          <cell r="E418">
            <v>864</v>
          </cell>
          <cell r="F418">
            <v>43409</v>
          </cell>
          <cell r="G418" t="str">
            <v>OK</v>
          </cell>
        </row>
        <row r="419">
          <cell r="A419" t="str">
            <v>Y1811-0408</v>
          </cell>
          <cell r="B419">
            <v>201807</v>
          </cell>
          <cell r="C419" t="str">
            <v>4600059791</v>
          </cell>
          <cell r="D419" t="str">
            <v>563430C</v>
          </cell>
          <cell r="E419">
            <v>1152</v>
          </cell>
          <cell r="F419">
            <v>43409</v>
          </cell>
          <cell r="G419" t="str">
            <v>OK</v>
          </cell>
        </row>
        <row r="420">
          <cell r="A420" t="str">
            <v>Y1811-0409</v>
          </cell>
          <cell r="B420">
            <v>201807</v>
          </cell>
          <cell r="C420" t="str">
            <v>4600059795</v>
          </cell>
          <cell r="D420" t="str">
            <v>563425C</v>
          </cell>
          <cell r="E420">
            <v>120</v>
          </cell>
          <cell r="F420">
            <v>43409</v>
          </cell>
          <cell r="G420" t="str">
            <v>OK</v>
          </cell>
        </row>
        <row r="421">
          <cell r="A421" t="str">
            <v>Y1811-0410</v>
          </cell>
          <cell r="B421">
            <v>201807</v>
          </cell>
          <cell r="C421" t="str">
            <v>4600059811</v>
          </cell>
          <cell r="D421" t="str">
            <v>563428C</v>
          </cell>
          <cell r="E421">
            <v>1440</v>
          </cell>
          <cell r="F421">
            <v>43409</v>
          </cell>
          <cell r="G421" t="str">
            <v>OK</v>
          </cell>
        </row>
        <row r="422">
          <cell r="A422" t="str">
            <v>Y1811-0416</v>
          </cell>
          <cell r="B422">
            <v>201807</v>
          </cell>
          <cell r="C422" t="str">
            <v>4600059844</v>
          </cell>
          <cell r="D422" t="str">
            <v>163368C</v>
          </cell>
          <cell r="E422">
            <v>360</v>
          </cell>
          <cell r="F422">
            <v>43409</v>
          </cell>
          <cell r="G422" t="str">
            <v>OK</v>
          </cell>
        </row>
        <row r="423">
          <cell r="A423" t="str">
            <v>Y1811-0417</v>
          </cell>
          <cell r="B423">
            <v>201807</v>
          </cell>
          <cell r="C423" t="str">
            <v>4600059845</v>
          </cell>
          <cell r="D423" t="str">
            <v>163369C</v>
          </cell>
          <cell r="E423">
            <v>180</v>
          </cell>
          <cell r="F423">
            <v>43409</v>
          </cell>
          <cell r="G423" t="str">
            <v>OK</v>
          </cell>
        </row>
        <row r="424">
          <cell r="A424" t="str">
            <v>Y1811-0426</v>
          </cell>
          <cell r="B424">
            <v>201807</v>
          </cell>
          <cell r="C424" t="str">
            <v>4600059896</v>
          </cell>
          <cell r="D424" t="str">
            <v>163246C</v>
          </cell>
          <cell r="E424">
            <v>708</v>
          </cell>
          <cell r="F424">
            <v>43434</v>
          </cell>
          <cell r="G424" t="str">
            <v>OK</v>
          </cell>
        </row>
        <row r="425">
          <cell r="A425" t="str">
            <v>Y1811-0427</v>
          </cell>
          <cell r="B425">
            <v>201807</v>
          </cell>
          <cell r="C425" t="str">
            <v>4600059897</v>
          </cell>
          <cell r="D425" t="str">
            <v>163247C</v>
          </cell>
          <cell r="E425">
            <v>792</v>
          </cell>
          <cell r="F425">
            <v>43434</v>
          </cell>
          <cell r="G425" t="str">
            <v>OK</v>
          </cell>
        </row>
        <row r="426">
          <cell r="A426" t="str">
            <v>Y1811-0428</v>
          </cell>
          <cell r="B426">
            <v>201807</v>
          </cell>
          <cell r="C426" t="str">
            <v>4600059898</v>
          </cell>
          <cell r="D426" t="str">
            <v>163248C</v>
          </cell>
          <cell r="E426">
            <v>576</v>
          </cell>
          <cell r="F426">
            <v>43434</v>
          </cell>
          <cell r="G426" t="str">
            <v>OK</v>
          </cell>
        </row>
        <row r="427">
          <cell r="A427" t="str">
            <v>Y1811-0429</v>
          </cell>
          <cell r="B427">
            <v>201807</v>
          </cell>
          <cell r="C427" t="str">
            <v>4600059899</v>
          </cell>
          <cell r="D427" t="str">
            <v>163249C</v>
          </cell>
          <cell r="E427">
            <v>528</v>
          </cell>
          <cell r="F427">
            <v>43434</v>
          </cell>
          <cell r="G427" t="str">
            <v>OK</v>
          </cell>
        </row>
        <row r="428">
          <cell r="A428" t="str">
            <v>Y1811-0436</v>
          </cell>
          <cell r="B428">
            <v>201807</v>
          </cell>
          <cell r="C428" t="str">
            <v>4600059909</v>
          </cell>
          <cell r="D428" t="str">
            <v>163245C</v>
          </cell>
          <cell r="E428">
            <v>720</v>
          </cell>
          <cell r="F428">
            <v>43434</v>
          </cell>
          <cell r="G428" t="str">
            <v>OK</v>
          </cell>
        </row>
        <row r="429">
          <cell r="A429" t="str">
            <v>Y1811-0444</v>
          </cell>
          <cell r="B429">
            <v>201807</v>
          </cell>
          <cell r="C429" t="str">
            <v>4600059976</v>
          </cell>
          <cell r="D429" t="str">
            <v>163377C</v>
          </cell>
          <cell r="E429">
            <v>120</v>
          </cell>
          <cell r="F429">
            <v>43405</v>
          </cell>
          <cell r="G429" t="str">
            <v>OK</v>
          </cell>
        </row>
        <row r="430">
          <cell r="A430" t="str">
            <v>Y1811-0445</v>
          </cell>
          <cell r="B430">
            <v>201807</v>
          </cell>
          <cell r="C430" t="str">
            <v>4600059977</v>
          </cell>
          <cell r="D430" t="str">
            <v>163380C</v>
          </cell>
          <cell r="E430">
            <v>144</v>
          </cell>
          <cell r="F430">
            <v>43405</v>
          </cell>
          <cell r="G430" t="str">
            <v>OK</v>
          </cell>
        </row>
        <row r="431">
          <cell r="A431" t="str">
            <v>Y1811-0446</v>
          </cell>
          <cell r="B431">
            <v>201807</v>
          </cell>
          <cell r="C431" t="str">
            <v>4600059978</v>
          </cell>
          <cell r="D431" t="str">
            <v>563428C</v>
          </cell>
          <cell r="E431">
            <v>240</v>
          </cell>
          <cell r="F431">
            <v>43405</v>
          </cell>
          <cell r="G431" t="str">
            <v>OK</v>
          </cell>
        </row>
        <row r="432">
          <cell r="A432" t="str">
            <v>Y1811-0447</v>
          </cell>
          <cell r="B432">
            <v>201807</v>
          </cell>
          <cell r="C432" t="str">
            <v>4600059979</v>
          </cell>
          <cell r="D432" t="str">
            <v>563429C</v>
          </cell>
          <cell r="E432">
            <v>240</v>
          </cell>
          <cell r="F432">
            <v>43405</v>
          </cell>
          <cell r="G432" t="str">
            <v>OK</v>
          </cell>
        </row>
        <row r="433">
          <cell r="A433" t="str">
            <v>Y1811-0448</v>
          </cell>
          <cell r="B433">
            <v>201807</v>
          </cell>
          <cell r="C433" t="str">
            <v>4600059980</v>
          </cell>
          <cell r="D433" t="str">
            <v>563430C</v>
          </cell>
          <cell r="E433">
            <v>204</v>
          </cell>
          <cell r="F433">
            <v>43405</v>
          </cell>
          <cell r="G433" t="str">
            <v>OK</v>
          </cell>
        </row>
        <row r="434">
          <cell r="A434" t="str">
            <v>Y1811-0449</v>
          </cell>
          <cell r="B434">
            <v>201807</v>
          </cell>
          <cell r="C434" t="str">
            <v>4600059981</v>
          </cell>
          <cell r="D434" t="str">
            <v>563431C</v>
          </cell>
          <cell r="E434">
            <v>132</v>
          </cell>
          <cell r="F434">
            <v>43405</v>
          </cell>
          <cell r="G434" t="str">
            <v>OK</v>
          </cell>
        </row>
        <row r="435">
          <cell r="A435" t="str">
            <v>Y1811-0450</v>
          </cell>
          <cell r="B435">
            <v>201807</v>
          </cell>
          <cell r="C435" t="str">
            <v>4600059982</v>
          </cell>
          <cell r="D435" t="str">
            <v>563432C</v>
          </cell>
          <cell r="E435">
            <v>240</v>
          </cell>
          <cell r="F435">
            <v>43405</v>
          </cell>
          <cell r="G435" t="str">
            <v>OK</v>
          </cell>
        </row>
        <row r="436">
          <cell r="A436" t="str">
            <v>Y1811-0451</v>
          </cell>
          <cell r="B436">
            <v>201807</v>
          </cell>
          <cell r="C436" t="str">
            <v>4600059983</v>
          </cell>
          <cell r="D436" t="str">
            <v>563433C</v>
          </cell>
          <cell r="E436">
            <v>252</v>
          </cell>
          <cell r="F436">
            <v>43405</v>
          </cell>
          <cell r="G436" t="str">
            <v>OK</v>
          </cell>
        </row>
        <row r="437">
          <cell r="A437" t="str">
            <v>Y1811-0452</v>
          </cell>
          <cell r="B437">
            <v>201807</v>
          </cell>
          <cell r="C437" t="str">
            <v>4600059984</v>
          </cell>
          <cell r="D437" t="str">
            <v>161603C</v>
          </cell>
          <cell r="E437">
            <v>144</v>
          </cell>
          <cell r="F437">
            <v>43405</v>
          </cell>
          <cell r="G437" t="str">
            <v>OK</v>
          </cell>
        </row>
        <row r="438">
          <cell r="A438" t="str">
            <v>Y1811-0454</v>
          </cell>
          <cell r="B438">
            <v>201807</v>
          </cell>
          <cell r="C438" t="str">
            <v>4600059986</v>
          </cell>
          <cell r="D438" t="str">
            <v>163190C</v>
          </cell>
          <cell r="E438">
            <v>120</v>
          </cell>
          <cell r="F438">
            <v>43405</v>
          </cell>
          <cell r="G438" t="str">
            <v>OK</v>
          </cell>
        </row>
        <row r="439">
          <cell r="A439" t="str">
            <v>Y1811-0455</v>
          </cell>
          <cell r="B439">
            <v>201807</v>
          </cell>
          <cell r="C439" t="str">
            <v>4600059987</v>
          </cell>
          <cell r="D439" t="str">
            <v>163200C</v>
          </cell>
          <cell r="E439">
            <v>144</v>
          </cell>
          <cell r="F439">
            <v>43405</v>
          </cell>
          <cell r="G439" t="str">
            <v>OK</v>
          </cell>
        </row>
        <row r="440">
          <cell r="A440" t="str">
            <v>Y1811-0458</v>
          </cell>
          <cell r="B440">
            <v>201807</v>
          </cell>
          <cell r="C440" t="str">
            <v>4600059990</v>
          </cell>
          <cell r="D440" t="str">
            <v>163249C</v>
          </cell>
          <cell r="E440">
            <v>120</v>
          </cell>
          <cell r="F440">
            <v>43405</v>
          </cell>
          <cell r="G440" t="str">
            <v>OK</v>
          </cell>
        </row>
        <row r="441">
          <cell r="A441" t="str">
            <v>Y1811-0459</v>
          </cell>
          <cell r="B441">
            <v>201807</v>
          </cell>
          <cell r="C441" t="str">
            <v>4600059991</v>
          </cell>
          <cell r="D441" t="str">
            <v>163247C</v>
          </cell>
          <cell r="E441">
            <v>120</v>
          </cell>
          <cell r="F441">
            <v>43405</v>
          </cell>
          <cell r="G441" t="str">
            <v>OK</v>
          </cell>
        </row>
        <row r="442">
          <cell r="A442" t="str">
            <v>Y1811-0460</v>
          </cell>
          <cell r="B442">
            <v>201807</v>
          </cell>
          <cell r="C442" t="str">
            <v>4600059992</v>
          </cell>
          <cell r="D442" t="str">
            <v>163245C</v>
          </cell>
          <cell r="E442">
            <v>120</v>
          </cell>
          <cell r="F442">
            <v>43405</v>
          </cell>
          <cell r="G442" t="str">
            <v>OK</v>
          </cell>
        </row>
        <row r="443">
          <cell r="A443" t="str">
            <v>Y1811-0461</v>
          </cell>
          <cell r="B443">
            <v>201807</v>
          </cell>
          <cell r="C443" t="str">
            <v>4600059993</v>
          </cell>
          <cell r="D443" t="str">
            <v>163246C</v>
          </cell>
          <cell r="E443">
            <v>120</v>
          </cell>
          <cell r="F443">
            <v>43405</v>
          </cell>
          <cell r="G443" t="str">
            <v>OK</v>
          </cell>
        </row>
        <row r="444">
          <cell r="A444" t="str">
            <v>Y1811-0462</v>
          </cell>
          <cell r="B444">
            <v>201807</v>
          </cell>
          <cell r="C444" t="str">
            <v>4600059994</v>
          </cell>
          <cell r="D444" t="str">
            <v>163192C</v>
          </cell>
          <cell r="E444">
            <v>132</v>
          </cell>
          <cell r="F444">
            <v>43405</v>
          </cell>
          <cell r="G444" t="str">
            <v>OK</v>
          </cell>
        </row>
        <row r="445">
          <cell r="A445" t="str">
            <v>Y1811-0465</v>
          </cell>
          <cell r="B445">
            <v>201807</v>
          </cell>
          <cell r="C445" t="str">
            <v>4600059997</v>
          </cell>
          <cell r="D445" t="str">
            <v>163199C</v>
          </cell>
          <cell r="E445">
            <v>336</v>
          </cell>
          <cell r="F445">
            <v>43405</v>
          </cell>
          <cell r="G445" t="str">
            <v>OK</v>
          </cell>
        </row>
        <row r="446">
          <cell r="A446" t="str">
            <v>Y1811-0017</v>
          </cell>
          <cell r="B446">
            <v>201807</v>
          </cell>
          <cell r="C446" t="str">
            <v>0100160647</v>
          </cell>
          <cell r="D446" t="str">
            <v>144148C</v>
          </cell>
          <cell r="E446">
            <v>564</v>
          </cell>
          <cell r="F446">
            <v>43420</v>
          </cell>
          <cell r="G446" t="str">
            <v>OK</v>
          </cell>
        </row>
        <row r="447">
          <cell r="A447" t="str">
            <v>Y1811-0018</v>
          </cell>
          <cell r="B447">
            <v>201807</v>
          </cell>
          <cell r="C447" t="str">
            <v>0100160649</v>
          </cell>
          <cell r="D447" t="str">
            <v>144150C</v>
          </cell>
          <cell r="E447">
            <v>540</v>
          </cell>
          <cell r="F447">
            <v>43420</v>
          </cell>
          <cell r="G447" t="str">
            <v>OK</v>
          </cell>
        </row>
        <row r="448">
          <cell r="A448" t="str">
            <v>Y1811-0020</v>
          </cell>
          <cell r="B448">
            <v>201807</v>
          </cell>
          <cell r="C448" t="str">
            <v>0100160651</v>
          </cell>
          <cell r="D448" t="str">
            <v>163202C</v>
          </cell>
          <cell r="E448">
            <v>1476</v>
          </cell>
          <cell r="F448">
            <v>43420</v>
          </cell>
          <cell r="G448" t="str">
            <v>OK</v>
          </cell>
        </row>
        <row r="449">
          <cell r="A449" t="str">
            <v>Y1811-0021</v>
          </cell>
          <cell r="B449">
            <v>201807</v>
          </cell>
          <cell r="C449" t="str">
            <v>0100160652</v>
          </cell>
          <cell r="D449" t="str">
            <v>163203C</v>
          </cell>
          <cell r="E449">
            <v>612</v>
          </cell>
          <cell r="F449">
            <v>43420</v>
          </cell>
          <cell r="G449" t="str">
            <v>OK</v>
          </cell>
        </row>
        <row r="450">
          <cell r="A450" t="str">
            <v>Y1811-0024</v>
          </cell>
          <cell r="B450">
            <v>201807</v>
          </cell>
          <cell r="C450" t="str">
            <v>0100160662</v>
          </cell>
          <cell r="D450" t="str">
            <v>563430C</v>
          </cell>
          <cell r="E450">
            <v>120</v>
          </cell>
          <cell r="F450">
            <v>43420</v>
          </cell>
          <cell r="G450" t="str">
            <v>OK</v>
          </cell>
        </row>
        <row r="451">
          <cell r="A451" t="str">
            <v>Y1811-0025</v>
          </cell>
          <cell r="B451">
            <v>201807</v>
          </cell>
          <cell r="C451" t="str">
            <v>0100160671</v>
          </cell>
          <cell r="D451" t="str">
            <v>663600C</v>
          </cell>
          <cell r="E451">
            <v>1020</v>
          </cell>
          <cell r="F451">
            <v>43420</v>
          </cell>
          <cell r="G451" t="str">
            <v>OK</v>
          </cell>
        </row>
        <row r="452">
          <cell r="A452" t="str">
            <v>Y1811-0026</v>
          </cell>
          <cell r="B452">
            <v>201807</v>
          </cell>
          <cell r="C452" t="str">
            <v>0100160678</v>
          </cell>
          <cell r="D452" t="str">
            <v>663607C</v>
          </cell>
          <cell r="E452">
            <v>852</v>
          </cell>
          <cell r="F452">
            <v>43420</v>
          </cell>
          <cell r="G452" t="str">
            <v>OK</v>
          </cell>
        </row>
        <row r="453">
          <cell r="A453" t="str">
            <v>Y1811-0031</v>
          </cell>
          <cell r="B453">
            <v>201807</v>
          </cell>
          <cell r="C453" t="str">
            <v>0100160691</v>
          </cell>
          <cell r="D453" t="str">
            <v>663653C</v>
          </cell>
          <cell r="E453">
            <v>1140</v>
          </cell>
          <cell r="F453">
            <v>43420</v>
          </cell>
          <cell r="G453" t="str">
            <v>OK</v>
          </cell>
        </row>
        <row r="454">
          <cell r="A454" t="str">
            <v>Y1811-0035</v>
          </cell>
          <cell r="B454">
            <v>201807</v>
          </cell>
          <cell r="C454" t="str">
            <v>0100160707</v>
          </cell>
          <cell r="D454" t="str">
            <v>559863C</v>
          </cell>
          <cell r="E454">
            <v>3024</v>
          </cell>
          <cell r="F454">
            <v>43425</v>
          </cell>
          <cell r="G454" t="str">
            <v>OK</v>
          </cell>
        </row>
        <row r="455">
          <cell r="A455" t="str">
            <v>Y1811-0036</v>
          </cell>
          <cell r="B455">
            <v>201807</v>
          </cell>
          <cell r="C455" t="str">
            <v>0100160708</v>
          </cell>
          <cell r="D455" t="str">
            <v>559864C</v>
          </cell>
          <cell r="E455">
            <v>1020</v>
          </cell>
          <cell r="F455">
            <v>43425</v>
          </cell>
          <cell r="G455" t="str">
            <v>OK</v>
          </cell>
        </row>
        <row r="456">
          <cell r="A456" t="str">
            <v>Y1811-0038</v>
          </cell>
          <cell r="B456">
            <v>201807</v>
          </cell>
          <cell r="C456" t="str">
            <v>0100160710</v>
          </cell>
          <cell r="D456" t="str">
            <v>158427C</v>
          </cell>
          <cell r="E456">
            <v>1332</v>
          </cell>
          <cell r="F456">
            <v>43414</v>
          </cell>
          <cell r="G456" t="str">
            <v>OK</v>
          </cell>
        </row>
        <row r="457">
          <cell r="A457" t="str">
            <v>Y1811-0039</v>
          </cell>
          <cell r="B457">
            <v>201807</v>
          </cell>
          <cell r="C457" t="str">
            <v>0100160711</v>
          </cell>
          <cell r="D457" t="str">
            <v>763768C</v>
          </cell>
          <cell r="E457">
            <v>3492</v>
          </cell>
          <cell r="F457">
            <v>43414</v>
          </cell>
          <cell r="G457" t="str">
            <v>OK</v>
          </cell>
        </row>
        <row r="458">
          <cell r="A458" t="str">
            <v>Y1811-0040</v>
          </cell>
          <cell r="B458">
            <v>201807</v>
          </cell>
          <cell r="C458" t="str">
            <v>0100160712</v>
          </cell>
          <cell r="D458" t="str">
            <v>763769C</v>
          </cell>
          <cell r="E458">
            <v>5256</v>
          </cell>
          <cell r="F458">
            <v>43414</v>
          </cell>
          <cell r="G458" t="str">
            <v>OK</v>
          </cell>
        </row>
        <row r="459">
          <cell r="A459" t="str">
            <v>Y1811-0041</v>
          </cell>
          <cell r="B459">
            <v>201807</v>
          </cell>
          <cell r="C459" t="str">
            <v>0100160713</v>
          </cell>
          <cell r="D459" t="str">
            <v>763770C</v>
          </cell>
          <cell r="E459">
            <v>6384</v>
          </cell>
          <cell r="F459">
            <v>43414</v>
          </cell>
          <cell r="G459" t="str">
            <v>OK</v>
          </cell>
        </row>
        <row r="460">
          <cell r="A460" t="str">
            <v>Y1811-0049</v>
          </cell>
          <cell r="B460">
            <v>201807</v>
          </cell>
          <cell r="C460" t="str">
            <v>0100160721</v>
          </cell>
          <cell r="D460" t="str">
            <v>363765C</v>
          </cell>
          <cell r="E460">
            <v>4332</v>
          </cell>
          <cell r="F460">
            <v>43412</v>
          </cell>
          <cell r="G460" t="str">
            <v>OK</v>
          </cell>
        </row>
        <row r="461">
          <cell r="A461" t="str">
            <v>Y1811-0051</v>
          </cell>
          <cell r="B461">
            <v>201807</v>
          </cell>
          <cell r="C461" t="str">
            <v>0100160723</v>
          </cell>
          <cell r="D461" t="str">
            <v>363767C</v>
          </cell>
          <cell r="E461">
            <v>5688</v>
          </cell>
          <cell r="F461">
            <v>43412</v>
          </cell>
          <cell r="G461" t="str">
            <v>OK</v>
          </cell>
        </row>
        <row r="462">
          <cell r="A462" t="str">
            <v>Y1811-0059</v>
          </cell>
          <cell r="B462">
            <v>201807</v>
          </cell>
          <cell r="C462" t="str">
            <v>0100160732</v>
          </cell>
          <cell r="D462" t="str">
            <v>663605C</v>
          </cell>
          <cell r="E462">
            <v>1692</v>
          </cell>
          <cell r="F462">
            <v>43412</v>
          </cell>
          <cell r="G462" t="str">
            <v>OK</v>
          </cell>
        </row>
        <row r="463">
          <cell r="A463" t="str">
            <v>Y1811-0060</v>
          </cell>
          <cell r="B463">
            <v>201807</v>
          </cell>
          <cell r="C463" t="str">
            <v>0100160733</v>
          </cell>
          <cell r="D463" t="str">
            <v>663608C</v>
          </cell>
          <cell r="E463">
            <v>4512</v>
          </cell>
          <cell r="F463">
            <v>43412</v>
          </cell>
          <cell r="G463" t="str">
            <v>OK</v>
          </cell>
        </row>
        <row r="464">
          <cell r="A464" t="str">
            <v>Y1811-0065</v>
          </cell>
          <cell r="B464">
            <v>201807</v>
          </cell>
          <cell r="C464" t="str">
            <v>0100160738</v>
          </cell>
          <cell r="D464" t="str">
            <v>763531C</v>
          </cell>
          <cell r="E464">
            <v>1884</v>
          </cell>
          <cell r="F464">
            <v>43414</v>
          </cell>
          <cell r="G464" t="str">
            <v>OK</v>
          </cell>
        </row>
        <row r="465">
          <cell r="A465" t="str">
            <v>Y1811-0066</v>
          </cell>
          <cell r="B465">
            <v>201807</v>
          </cell>
          <cell r="C465" t="str">
            <v>0100160739</v>
          </cell>
          <cell r="D465" t="str">
            <v>763532C</v>
          </cell>
          <cell r="E465">
            <v>1416</v>
          </cell>
          <cell r="F465">
            <v>43414</v>
          </cell>
          <cell r="G465" t="str">
            <v>OK</v>
          </cell>
        </row>
        <row r="466">
          <cell r="A466" t="str">
            <v>Y1811-0068</v>
          </cell>
          <cell r="B466">
            <v>201807</v>
          </cell>
          <cell r="C466" t="str">
            <v>0100160741</v>
          </cell>
          <cell r="D466" t="str">
            <v>161608C</v>
          </cell>
          <cell r="E466">
            <v>1332</v>
          </cell>
          <cell r="F466">
            <v>43412</v>
          </cell>
          <cell r="G466" t="str">
            <v>OK</v>
          </cell>
        </row>
        <row r="467">
          <cell r="A467" t="str">
            <v>Y1811-0090</v>
          </cell>
          <cell r="B467">
            <v>201807</v>
          </cell>
          <cell r="C467" t="str">
            <v>0100160806</v>
          </cell>
          <cell r="D467" t="str">
            <v>162579C</v>
          </cell>
          <cell r="E467">
            <v>492</v>
          </cell>
          <cell r="F467">
            <v>43416</v>
          </cell>
          <cell r="G467" t="str">
            <v>OK</v>
          </cell>
        </row>
        <row r="468">
          <cell r="A468" t="str">
            <v>Y1811-0091</v>
          </cell>
          <cell r="B468">
            <v>201807</v>
          </cell>
          <cell r="C468" t="str">
            <v>0100160808</v>
          </cell>
          <cell r="D468" t="str">
            <v>162580C</v>
          </cell>
          <cell r="E468">
            <v>888</v>
          </cell>
          <cell r="F468">
            <v>43426</v>
          </cell>
          <cell r="G468" t="str">
            <v>OK</v>
          </cell>
        </row>
        <row r="469">
          <cell r="A469" t="str">
            <v>Y1811-0104</v>
          </cell>
          <cell r="B469">
            <v>201807</v>
          </cell>
          <cell r="C469" t="str">
            <v>0100160838</v>
          </cell>
          <cell r="D469" t="str">
            <v>163203C</v>
          </cell>
          <cell r="E469">
            <v>1224</v>
          </cell>
          <cell r="F469">
            <v>43416</v>
          </cell>
          <cell r="G469" t="str">
            <v>OK</v>
          </cell>
        </row>
        <row r="470">
          <cell r="A470" t="str">
            <v>Y1811-0105</v>
          </cell>
          <cell r="B470">
            <v>201807</v>
          </cell>
          <cell r="C470" t="str">
            <v>0100160839</v>
          </cell>
          <cell r="D470" t="str">
            <v>163204C</v>
          </cell>
          <cell r="E470">
            <v>288</v>
          </cell>
          <cell r="F470">
            <v>43416</v>
          </cell>
          <cell r="G470" t="str">
            <v>OK</v>
          </cell>
        </row>
        <row r="471">
          <cell r="A471" t="str">
            <v>Y1811-0106</v>
          </cell>
          <cell r="B471">
            <v>201807</v>
          </cell>
          <cell r="C471" t="str">
            <v>0100160840</v>
          </cell>
          <cell r="D471" t="str">
            <v>363710C</v>
          </cell>
          <cell r="E471">
            <v>2100</v>
          </cell>
          <cell r="F471">
            <v>43419</v>
          </cell>
          <cell r="G471" t="str">
            <v>OK</v>
          </cell>
        </row>
        <row r="472">
          <cell r="A472" t="str">
            <v>Y1811-0107</v>
          </cell>
          <cell r="B472">
            <v>201807</v>
          </cell>
          <cell r="C472" t="str">
            <v>0100160841</v>
          </cell>
          <cell r="D472" t="str">
            <v>363711C</v>
          </cell>
          <cell r="E472">
            <v>648</v>
          </cell>
          <cell r="F472">
            <v>43426</v>
          </cell>
          <cell r="G472" t="str">
            <v>OK</v>
          </cell>
        </row>
        <row r="473">
          <cell r="A473" t="str">
            <v>Y1811-0115</v>
          </cell>
          <cell r="B473">
            <v>201807</v>
          </cell>
          <cell r="C473" t="str">
            <v>0100160853</v>
          </cell>
          <cell r="D473" t="str">
            <v>763531C</v>
          </cell>
          <cell r="E473">
            <v>3504</v>
          </cell>
          <cell r="F473">
            <v>43416</v>
          </cell>
          <cell r="G473" t="str">
            <v>OK</v>
          </cell>
        </row>
        <row r="474">
          <cell r="A474" t="str">
            <v>Y1811-0145</v>
          </cell>
          <cell r="B474">
            <v>201807</v>
          </cell>
          <cell r="C474" t="str">
            <v>0100160902</v>
          </cell>
          <cell r="D474" t="str">
            <v>363710C</v>
          </cell>
          <cell r="E474">
            <v>600</v>
          </cell>
          <cell r="F474">
            <v>43418</v>
          </cell>
          <cell r="G474" t="str">
            <v>OK</v>
          </cell>
        </row>
        <row r="475">
          <cell r="A475" t="str">
            <v>Y1811-0147</v>
          </cell>
          <cell r="B475">
            <v>201807</v>
          </cell>
          <cell r="C475" t="str">
            <v>0100160904</v>
          </cell>
          <cell r="D475" t="str">
            <v>363711C</v>
          </cell>
          <cell r="E475">
            <v>396</v>
          </cell>
          <cell r="F475">
            <v>43418</v>
          </cell>
          <cell r="G475" t="str">
            <v>OK</v>
          </cell>
        </row>
        <row r="476">
          <cell r="A476" t="str">
            <v>Y1811-0148</v>
          </cell>
          <cell r="B476">
            <v>201807</v>
          </cell>
          <cell r="C476" t="str">
            <v>0100160905</v>
          </cell>
          <cell r="D476" t="str">
            <v>163203C</v>
          </cell>
          <cell r="E476">
            <v>708</v>
          </cell>
          <cell r="F476">
            <v>43418</v>
          </cell>
          <cell r="G476" t="str">
            <v>OK</v>
          </cell>
        </row>
        <row r="477">
          <cell r="A477" t="str">
            <v>Y1811-0150</v>
          </cell>
          <cell r="B477">
            <v>201807</v>
          </cell>
          <cell r="C477" t="str">
            <v>0100160907</v>
          </cell>
          <cell r="D477" t="str">
            <v>563433C</v>
          </cell>
          <cell r="E477">
            <v>648</v>
          </cell>
          <cell r="F477">
            <v>43418</v>
          </cell>
          <cell r="G477" t="str">
            <v>OK</v>
          </cell>
        </row>
        <row r="478">
          <cell r="A478" t="str">
            <v>Y1811-0151</v>
          </cell>
          <cell r="B478">
            <v>201807</v>
          </cell>
          <cell r="C478" t="str">
            <v>0100160908</v>
          </cell>
          <cell r="D478" t="str">
            <v>563431C</v>
          </cell>
          <cell r="E478">
            <v>624</v>
          </cell>
          <cell r="F478">
            <v>43418</v>
          </cell>
          <cell r="G478" t="str">
            <v>OK</v>
          </cell>
        </row>
        <row r="479">
          <cell r="A479" t="str">
            <v>Y1811-0152</v>
          </cell>
          <cell r="B479">
            <v>201807</v>
          </cell>
          <cell r="C479" t="str">
            <v>0100160909</v>
          </cell>
          <cell r="D479" t="str">
            <v>163199C</v>
          </cell>
          <cell r="E479">
            <v>936</v>
          </cell>
          <cell r="F479">
            <v>43418</v>
          </cell>
          <cell r="G479" t="str">
            <v>OK</v>
          </cell>
        </row>
        <row r="480">
          <cell r="A480" t="str">
            <v>Y1811-0160</v>
          </cell>
          <cell r="B480">
            <v>201807</v>
          </cell>
          <cell r="C480" t="str">
            <v>0100160917</v>
          </cell>
          <cell r="D480" t="str">
            <v>636930C</v>
          </cell>
          <cell r="E480">
            <v>1344</v>
          </cell>
          <cell r="F480">
            <v>43418</v>
          </cell>
          <cell r="G480" t="str">
            <v>OK</v>
          </cell>
        </row>
        <row r="481">
          <cell r="A481" t="str">
            <v>Y1811-0161</v>
          </cell>
          <cell r="B481">
            <v>201807</v>
          </cell>
          <cell r="C481" t="str">
            <v>0100160918</v>
          </cell>
          <cell r="D481" t="str">
            <v>636930C</v>
          </cell>
          <cell r="E481">
            <v>996</v>
          </cell>
          <cell r="F481">
            <v>43418</v>
          </cell>
          <cell r="G481" t="str">
            <v>OK</v>
          </cell>
        </row>
        <row r="482">
          <cell r="A482" t="str">
            <v>Y1811-0174</v>
          </cell>
          <cell r="B482">
            <v>201807</v>
          </cell>
          <cell r="C482" t="str">
            <v>0100160931</v>
          </cell>
          <cell r="D482" t="str">
            <v>636930C</v>
          </cell>
          <cell r="E482">
            <v>300</v>
          </cell>
          <cell r="F482">
            <v>43418</v>
          </cell>
          <cell r="G482" t="str">
            <v>OK</v>
          </cell>
        </row>
        <row r="483">
          <cell r="A483" t="str">
            <v>Y1811-0184</v>
          </cell>
          <cell r="B483">
            <v>201807</v>
          </cell>
          <cell r="C483" t="str">
            <v>0100160941</v>
          </cell>
          <cell r="D483" t="str">
            <v>163199C</v>
          </cell>
          <cell r="E483">
            <v>684</v>
          </cell>
          <cell r="F483">
            <v>43418</v>
          </cell>
          <cell r="G483" t="str">
            <v>OK</v>
          </cell>
        </row>
        <row r="484">
          <cell r="A484" t="str">
            <v>Y1811-0223</v>
          </cell>
          <cell r="B484">
            <v>201807</v>
          </cell>
          <cell r="C484" t="str">
            <v>0100160980</v>
          </cell>
          <cell r="D484" t="str">
            <v>363767C</v>
          </cell>
          <cell r="E484">
            <v>300</v>
          </cell>
          <cell r="F484">
            <v>43432</v>
          </cell>
          <cell r="G484" t="str">
            <v>OK</v>
          </cell>
        </row>
        <row r="485">
          <cell r="A485" t="str">
            <v>Y1811-0246</v>
          </cell>
          <cell r="B485">
            <v>201807</v>
          </cell>
          <cell r="C485" t="str">
            <v>0100161007</v>
          </cell>
          <cell r="D485" t="str">
            <v>363767C</v>
          </cell>
          <cell r="E485">
            <v>1116</v>
          </cell>
          <cell r="F485">
            <v>43429</v>
          </cell>
          <cell r="G485" t="str">
            <v>OK</v>
          </cell>
        </row>
        <row r="486">
          <cell r="A486" t="str">
            <v>Y1811-0250</v>
          </cell>
          <cell r="B486">
            <v>201807</v>
          </cell>
          <cell r="C486" t="str">
            <v>0100161011</v>
          </cell>
          <cell r="D486" t="str">
            <v>763770C</v>
          </cell>
          <cell r="E486">
            <v>1020</v>
          </cell>
          <cell r="F486">
            <v>43429</v>
          </cell>
          <cell r="G486" t="str">
            <v>OK</v>
          </cell>
        </row>
        <row r="487">
          <cell r="A487" t="str">
            <v>Y1811-0264</v>
          </cell>
          <cell r="B487">
            <v>201807</v>
          </cell>
          <cell r="C487" t="str">
            <v>0100161028</v>
          </cell>
          <cell r="D487" t="str">
            <v>363767C</v>
          </cell>
          <cell r="E487">
            <v>372</v>
          </cell>
          <cell r="F487">
            <v>43428</v>
          </cell>
          <cell r="G487" t="str">
            <v>OK</v>
          </cell>
        </row>
        <row r="488">
          <cell r="A488" t="str">
            <v>Y1811-0267</v>
          </cell>
          <cell r="B488">
            <v>201807</v>
          </cell>
          <cell r="C488" t="str">
            <v>0100161031</v>
          </cell>
          <cell r="D488" t="str">
            <v>763770C</v>
          </cell>
          <cell r="E488">
            <v>396</v>
          </cell>
          <cell r="F488">
            <v>43428</v>
          </cell>
          <cell r="G488" t="str">
            <v>OK</v>
          </cell>
        </row>
        <row r="489">
          <cell r="A489" t="str">
            <v>Y1811-0280</v>
          </cell>
          <cell r="B489">
            <v>201807</v>
          </cell>
          <cell r="C489" t="str">
            <v>0100161068</v>
          </cell>
          <cell r="D489" t="str">
            <v>361818F</v>
          </cell>
          <cell r="E489">
            <v>1620</v>
          </cell>
          <cell r="F489">
            <v>43429</v>
          </cell>
          <cell r="G489" t="str">
            <v>OK</v>
          </cell>
        </row>
        <row r="490">
          <cell r="A490" t="str">
            <v>Y1811-0281</v>
          </cell>
          <cell r="B490">
            <v>201807</v>
          </cell>
          <cell r="C490" t="str">
            <v>0100161082</v>
          </cell>
          <cell r="D490" t="str">
            <v>563431C</v>
          </cell>
          <cell r="E490">
            <v>684</v>
          </cell>
          <cell r="F490">
            <v>43429</v>
          </cell>
          <cell r="G490" t="str">
            <v>OK</v>
          </cell>
        </row>
        <row r="491">
          <cell r="A491" t="str">
            <v>Y1811-0283</v>
          </cell>
          <cell r="B491">
            <v>201807</v>
          </cell>
          <cell r="C491" t="str">
            <v>0100161111</v>
          </cell>
          <cell r="D491" t="str">
            <v>663606C</v>
          </cell>
          <cell r="E491">
            <v>396</v>
          </cell>
          <cell r="F491">
            <v>43429</v>
          </cell>
          <cell r="G491" t="str">
            <v>OK</v>
          </cell>
        </row>
        <row r="492">
          <cell r="A492" t="str">
            <v>Y1812-0017</v>
          </cell>
          <cell r="B492">
            <v>201807</v>
          </cell>
          <cell r="C492" t="str">
            <v>0100161112</v>
          </cell>
          <cell r="D492" t="str">
            <v>663606C</v>
          </cell>
          <cell r="E492">
            <v>396</v>
          </cell>
          <cell r="F492">
            <v>43433</v>
          </cell>
          <cell r="G492" t="str">
            <v>OK</v>
          </cell>
        </row>
        <row r="493">
          <cell r="A493" t="str">
            <v>Y1811-0289</v>
          </cell>
          <cell r="B493">
            <v>201807</v>
          </cell>
          <cell r="C493" t="str">
            <v>0100161151</v>
          </cell>
          <cell r="D493" t="str">
            <v>107469F</v>
          </cell>
          <cell r="E493">
            <v>3000</v>
          </cell>
          <cell r="F493">
            <v>43419</v>
          </cell>
          <cell r="G493" t="str">
            <v>OK</v>
          </cell>
        </row>
        <row r="494">
          <cell r="A494" t="str">
            <v>Y1811-0290</v>
          </cell>
          <cell r="B494">
            <v>201807</v>
          </cell>
          <cell r="C494" t="str">
            <v>0100161159</v>
          </cell>
          <cell r="D494" t="str">
            <v>663606C</v>
          </cell>
          <cell r="E494">
            <v>2820</v>
          </cell>
          <cell r="F494">
            <v>43433</v>
          </cell>
          <cell r="G494" t="str">
            <v>OK</v>
          </cell>
        </row>
        <row r="495">
          <cell r="A495" t="str">
            <v>Y1811-0359</v>
          </cell>
          <cell r="B495">
            <v>201807</v>
          </cell>
          <cell r="C495" t="str">
            <v>4600059422</v>
          </cell>
          <cell r="D495" t="str">
            <v>163199C</v>
          </cell>
          <cell r="E495">
            <v>1224</v>
          </cell>
          <cell r="F495">
            <v>43405</v>
          </cell>
          <cell r="G495" t="str">
            <v>OK</v>
          </cell>
        </row>
        <row r="496">
          <cell r="A496" t="str">
            <v>Y1811-0360</v>
          </cell>
          <cell r="B496">
            <v>201807</v>
          </cell>
          <cell r="C496" t="str">
            <v>4600059424</v>
          </cell>
          <cell r="D496" t="str">
            <v>163201C</v>
          </cell>
          <cell r="E496">
            <v>1968</v>
          </cell>
          <cell r="F496">
            <v>43405</v>
          </cell>
          <cell r="G496" t="str">
            <v>OK</v>
          </cell>
        </row>
        <row r="497">
          <cell r="A497" t="str">
            <v>Y1810-0687</v>
          </cell>
          <cell r="B497">
            <v>201807</v>
          </cell>
          <cell r="C497" t="str">
            <v>4600059437</v>
          </cell>
          <cell r="D497" t="str">
            <v>163199C</v>
          </cell>
          <cell r="E497">
            <v>504</v>
          </cell>
          <cell r="F497">
            <v>43405</v>
          </cell>
          <cell r="G497" t="str">
            <v>OK</v>
          </cell>
        </row>
        <row r="498">
          <cell r="A498" t="str">
            <v>Y1810-0688</v>
          </cell>
          <cell r="B498">
            <v>201807</v>
          </cell>
          <cell r="C498" t="str">
            <v>4600059438</v>
          </cell>
          <cell r="D498" t="str">
            <v>163201C</v>
          </cell>
          <cell r="E498">
            <v>276</v>
          </cell>
          <cell r="F498">
            <v>43405</v>
          </cell>
          <cell r="G498" t="str">
            <v>OK</v>
          </cell>
        </row>
        <row r="499">
          <cell r="A499" t="str">
            <v>Y1811-0361</v>
          </cell>
          <cell r="B499">
            <v>201807</v>
          </cell>
          <cell r="C499" t="str">
            <v>4600059441</v>
          </cell>
          <cell r="D499" t="str">
            <v>163203C</v>
          </cell>
          <cell r="E499">
            <v>276</v>
          </cell>
          <cell r="F499">
            <v>43434</v>
          </cell>
          <cell r="G499" t="str">
            <v>OK</v>
          </cell>
        </row>
        <row r="500">
          <cell r="A500" t="str">
            <v>Y1811-0362</v>
          </cell>
          <cell r="B500">
            <v>201807</v>
          </cell>
          <cell r="C500" t="str">
            <v>4600059442</v>
          </cell>
          <cell r="D500" t="str">
            <v>162579C</v>
          </cell>
          <cell r="E500">
            <v>168</v>
          </cell>
          <cell r="F500">
            <v>43434</v>
          </cell>
          <cell r="G500" t="str">
            <v>OK</v>
          </cell>
        </row>
        <row r="501">
          <cell r="A501" t="str">
            <v>Y1811-0363</v>
          </cell>
          <cell r="B501">
            <v>201807</v>
          </cell>
          <cell r="C501" t="str">
            <v>4600059443</v>
          </cell>
          <cell r="D501" t="str">
            <v>162580C</v>
          </cell>
          <cell r="E501">
            <v>240</v>
          </cell>
          <cell r="F501">
            <v>43434</v>
          </cell>
          <cell r="G501" t="str">
            <v>OK</v>
          </cell>
        </row>
        <row r="502">
          <cell r="A502" t="str">
            <v>Y1811-0395</v>
          </cell>
          <cell r="B502">
            <v>201807</v>
          </cell>
          <cell r="C502" t="str">
            <v>4600059732</v>
          </cell>
          <cell r="D502" t="str">
            <v>155066C</v>
          </cell>
          <cell r="E502">
            <v>2568</v>
          </cell>
          <cell r="F502">
            <v>43405</v>
          </cell>
          <cell r="G502" t="str">
            <v>OK</v>
          </cell>
        </row>
        <row r="503">
          <cell r="A503" t="str">
            <v>Y1811-0399</v>
          </cell>
          <cell r="B503">
            <v>201807</v>
          </cell>
          <cell r="C503" t="str">
            <v>4600059747</v>
          </cell>
          <cell r="D503" t="str">
            <v>155066C</v>
          </cell>
          <cell r="E503">
            <v>3528</v>
          </cell>
          <cell r="F503">
            <v>43405</v>
          </cell>
          <cell r="G503" t="str">
            <v>OK</v>
          </cell>
        </row>
        <row r="504">
          <cell r="A504" t="str">
            <v>Y1811-0400</v>
          </cell>
          <cell r="B504">
            <v>201807</v>
          </cell>
          <cell r="C504" t="str">
            <v>4600059750</v>
          </cell>
          <cell r="D504" t="str">
            <v>155065C</v>
          </cell>
          <cell r="E504">
            <v>3528</v>
          </cell>
          <cell r="F504">
            <v>43405</v>
          </cell>
          <cell r="G504" t="str">
            <v>OK</v>
          </cell>
        </row>
        <row r="505">
          <cell r="A505" t="str">
            <v>Y1811-0404</v>
          </cell>
          <cell r="B505">
            <v>201807</v>
          </cell>
          <cell r="C505" t="str">
            <v>4600059763</v>
          </cell>
          <cell r="D505" t="str">
            <v>155064C</v>
          </cell>
          <cell r="E505">
            <v>3588</v>
          </cell>
          <cell r="F505">
            <v>43405</v>
          </cell>
          <cell r="G505" t="str">
            <v>OK</v>
          </cell>
        </row>
        <row r="506">
          <cell r="A506" t="str">
            <v>Y1811-0405</v>
          </cell>
          <cell r="B506">
            <v>201807</v>
          </cell>
          <cell r="C506" t="str">
            <v>4600059781</v>
          </cell>
          <cell r="D506" t="str">
            <v>155064C</v>
          </cell>
          <cell r="E506">
            <v>2568</v>
          </cell>
          <cell r="F506">
            <v>43405</v>
          </cell>
          <cell r="G506" t="str">
            <v>OK</v>
          </cell>
        </row>
        <row r="507">
          <cell r="A507" t="str">
            <v>Y1811-0411</v>
          </cell>
          <cell r="B507">
            <v>201807</v>
          </cell>
          <cell r="C507" t="str">
            <v>4600059824</v>
          </cell>
          <cell r="D507" t="str">
            <v>163199C</v>
          </cell>
          <cell r="E507">
            <v>360</v>
          </cell>
          <cell r="F507">
            <v>43409</v>
          </cell>
          <cell r="G507" t="str">
            <v>OK</v>
          </cell>
        </row>
        <row r="508">
          <cell r="A508" t="str">
            <v>Y1811-0412</v>
          </cell>
          <cell r="B508">
            <v>201807</v>
          </cell>
          <cell r="C508" t="str">
            <v>4600059828</v>
          </cell>
          <cell r="D508" t="str">
            <v>163186C</v>
          </cell>
          <cell r="E508">
            <v>144</v>
          </cell>
          <cell r="F508">
            <v>43409</v>
          </cell>
          <cell r="G508" t="str">
            <v>OK</v>
          </cell>
        </row>
        <row r="509">
          <cell r="A509" t="str">
            <v>Y1811-0413</v>
          </cell>
          <cell r="B509">
            <v>201807</v>
          </cell>
          <cell r="C509" t="str">
            <v>4600059829</v>
          </cell>
          <cell r="D509" t="str">
            <v>163187C</v>
          </cell>
          <cell r="E509">
            <v>144</v>
          </cell>
          <cell r="F509">
            <v>43409</v>
          </cell>
          <cell r="G509" t="str">
            <v>OK</v>
          </cell>
        </row>
        <row r="510">
          <cell r="A510" t="str">
            <v>Y1811-0414</v>
          </cell>
          <cell r="B510">
            <v>201807</v>
          </cell>
          <cell r="C510" t="str">
            <v>4600059830</v>
          </cell>
          <cell r="D510" t="str">
            <v>663656C</v>
          </cell>
          <cell r="E510">
            <v>288</v>
          </cell>
          <cell r="F510">
            <v>43409</v>
          </cell>
          <cell r="G510" t="str">
            <v>OK</v>
          </cell>
        </row>
        <row r="511">
          <cell r="A511" t="str">
            <v>Y1811-0415</v>
          </cell>
          <cell r="B511">
            <v>201807</v>
          </cell>
          <cell r="C511" t="str">
            <v>4600059832</v>
          </cell>
          <cell r="D511" t="str">
            <v>163188C</v>
          </cell>
          <cell r="E511">
            <v>144</v>
          </cell>
          <cell r="F511">
            <v>43409</v>
          </cell>
          <cell r="G511" t="str">
            <v>OK</v>
          </cell>
        </row>
        <row r="512">
          <cell r="A512" t="str">
            <v>Y1811-0418</v>
          </cell>
          <cell r="B512">
            <v>201807</v>
          </cell>
          <cell r="C512" t="str">
            <v>4600059846</v>
          </cell>
          <cell r="D512" t="str">
            <v>155065C</v>
          </cell>
          <cell r="E512">
            <v>720</v>
          </cell>
          <cell r="F512">
            <v>43409</v>
          </cell>
          <cell r="G512" t="str">
            <v>OK</v>
          </cell>
        </row>
        <row r="513">
          <cell r="A513" t="str">
            <v>Y1811-0419</v>
          </cell>
          <cell r="B513">
            <v>201807</v>
          </cell>
          <cell r="C513" t="str">
            <v>4600059847</v>
          </cell>
          <cell r="D513" t="str">
            <v>159792C</v>
          </cell>
          <cell r="E513">
            <v>432</v>
          </cell>
          <cell r="F513">
            <v>43409</v>
          </cell>
          <cell r="G513" t="str">
            <v>OK</v>
          </cell>
        </row>
        <row r="514">
          <cell r="A514" t="str">
            <v>Y1811-0438</v>
          </cell>
          <cell r="B514">
            <v>201807</v>
          </cell>
          <cell r="C514" t="str">
            <v>4600059916</v>
          </cell>
          <cell r="D514" t="str">
            <v>163202C</v>
          </cell>
          <cell r="E514">
            <v>1296</v>
          </cell>
          <cell r="F514">
            <v>43434</v>
          </cell>
          <cell r="G514" t="str">
            <v>OK</v>
          </cell>
        </row>
        <row r="515">
          <cell r="A515" t="str">
            <v>Y1811-0439</v>
          </cell>
          <cell r="B515">
            <v>201807</v>
          </cell>
          <cell r="C515" t="str">
            <v>4600059917</v>
          </cell>
          <cell r="D515" t="str">
            <v>163203C</v>
          </cell>
          <cell r="E515">
            <v>1728</v>
          </cell>
          <cell r="F515">
            <v>43434</v>
          </cell>
          <cell r="G515" t="str">
            <v>OK</v>
          </cell>
        </row>
        <row r="516">
          <cell r="A516" t="str">
            <v>Y1811-0440</v>
          </cell>
          <cell r="B516">
            <v>201807</v>
          </cell>
          <cell r="C516" t="str">
            <v>4600059918</v>
          </cell>
          <cell r="D516" t="str">
            <v>163204C</v>
          </cell>
          <cell r="E516">
            <v>828</v>
          </cell>
          <cell r="F516">
            <v>43434</v>
          </cell>
          <cell r="G516" t="str">
            <v>OK</v>
          </cell>
        </row>
        <row r="517">
          <cell r="A517" t="str">
            <v>Y1811-0453</v>
          </cell>
          <cell r="B517">
            <v>201807</v>
          </cell>
          <cell r="C517" t="str">
            <v>4600059985</v>
          </cell>
          <cell r="D517" t="str">
            <v>162579C</v>
          </cell>
          <cell r="E517">
            <v>144</v>
          </cell>
          <cell r="F517">
            <v>43405</v>
          </cell>
          <cell r="G517" t="str">
            <v>OK</v>
          </cell>
        </row>
        <row r="518">
          <cell r="A518" t="str">
            <v>Y1811-0456</v>
          </cell>
          <cell r="B518">
            <v>201807</v>
          </cell>
          <cell r="C518" t="str">
            <v>4600059988</v>
          </cell>
          <cell r="D518" t="str">
            <v>163202C</v>
          </cell>
          <cell r="E518">
            <v>336</v>
          </cell>
          <cell r="F518">
            <v>43405</v>
          </cell>
          <cell r="G518" t="str">
            <v>OK</v>
          </cell>
        </row>
        <row r="519">
          <cell r="A519" t="str">
            <v>Y1811-0457</v>
          </cell>
          <cell r="B519">
            <v>201807</v>
          </cell>
          <cell r="C519" t="str">
            <v>4600059989</v>
          </cell>
          <cell r="D519" t="str">
            <v>159786C</v>
          </cell>
          <cell r="E519">
            <v>312</v>
          </cell>
          <cell r="F519">
            <v>43405</v>
          </cell>
          <cell r="G519" t="str">
            <v>OK</v>
          </cell>
        </row>
        <row r="520">
          <cell r="A520" t="str">
            <v>Y1811-0463</v>
          </cell>
          <cell r="B520">
            <v>201807</v>
          </cell>
          <cell r="C520" t="str">
            <v>4600059995</v>
          </cell>
          <cell r="D520" t="str">
            <v>163203C</v>
          </cell>
          <cell r="E520">
            <v>372</v>
          </cell>
          <cell r="F520">
            <v>43405</v>
          </cell>
          <cell r="G520" t="str">
            <v>OK</v>
          </cell>
        </row>
        <row r="521">
          <cell r="A521" t="str">
            <v>Y1811-0464</v>
          </cell>
          <cell r="B521">
            <v>201807</v>
          </cell>
          <cell r="C521" t="str">
            <v>4600059996</v>
          </cell>
          <cell r="D521" t="str">
            <v>163204C</v>
          </cell>
          <cell r="E521">
            <v>360</v>
          </cell>
          <cell r="F521">
            <v>43405</v>
          </cell>
          <cell r="G521" t="str">
            <v>OK</v>
          </cell>
        </row>
        <row r="522">
          <cell r="A522" t="str">
            <v>Y1811-0473</v>
          </cell>
          <cell r="B522">
            <v>201807</v>
          </cell>
          <cell r="C522" t="str">
            <v>1000002630</v>
          </cell>
          <cell r="D522" t="str">
            <v>163343C</v>
          </cell>
          <cell r="E522">
            <v>53</v>
          </cell>
          <cell r="F522">
            <v>43413</v>
          </cell>
          <cell r="G522" t="str">
            <v>OK</v>
          </cell>
        </row>
        <row r="523">
          <cell r="A523" t="str">
            <v>Y1811-0474</v>
          </cell>
          <cell r="B523">
            <v>201807</v>
          </cell>
          <cell r="C523" t="str">
            <v>1000002631</v>
          </cell>
          <cell r="D523" t="str">
            <v>163344C</v>
          </cell>
          <cell r="E523">
            <v>53</v>
          </cell>
          <cell r="F523">
            <v>43413</v>
          </cell>
          <cell r="G523" t="str">
            <v>OK</v>
          </cell>
        </row>
        <row r="524">
          <cell r="A524" t="str">
            <v>Y1811-0475</v>
          </cell>
          <cell r="B524">
            <v>201807</v>
          </cell>
          <cell r="C524" t="str">
            <v>1000002632</v>
          </cell>
          <cell r="D524" t="str">
            <v>163346C</v>
          </cell>
          <cell r="E524">
            <v>53</v>
          </cell>
          <cell r="F524">
            <v>43413</v>
          </cell>
          <cell r="G524" t="str">
            <v>OK</v>
          </cell>
        </row>
        <row r="525">
          <cell r="A525" t="str">
            <v>Y1811-0476</v>
          </cell>
          <cell r="B525">
            <v>201807</v>
          </cell>
          <cell r="C525" t="str">
            <v>1000002633</v>
          </cell>
          <cell r="D525" t="str">
            <v>163345C</v>
          </cell>
          <cell r="E525">
            <v>53</v>
          </cell>
          <cell r="F525">
            <v>43413</v>
          </cell>
          <cell r="G525" t="str">
            <v>OK</v>
          </cell>
        </row>
        <row r="526">
          <cell r="A526" t="str">
            <v>Y1810-0796</v>
          </cell>
          <cell r="B526">
            <v>201807</v>
          </cell>
          <cell r="C526" t="str">
            <v>4600059703</v>
          </cell>
          <cell r="D526" t="str">
            <v>164534C</v>
          </cell>
          <cell r="E526">
            <v>24</v>
          </cell>
          <cell r="F526">
            <v>43416</v>
          </cell>
          <cell r="G526" t="str">
            <v>OK</v>
          </cell>
        </row>
        <row r="527">
          <cell r="A527" t="str">
            <v>Y1811-0396</v>
          </cell>
          <cell r="B527">
            <v>201807</v>
          </cell>
          <cell r="C527" t="str">
            <v>4600059734</v>
          </cell>
          <cell r="D527" t="str">
            <v>158371C</v>
          </cell>
          <cell r="E527">
            <v>240</v>
          </cell>
          <cell r="F527">
            <v>43407</v>
          </cell>
          <cell r="G527" t="str">
            <v>OK</v>
          </cell>
        </row>
        <row r="528">
          <cell r="A528" t="str">
            <v>Y1811-0403</v>
          </cell>
          <cell r="B528">
            <v>201807</v>
          </cell>
          <cell r="C528" t="str">
            <v>4600059756</v>
          </cell>
          <cell r="D528" t="str">
            <v>563425C</v>
          </cell>
          <cell r="E528">
            <v>168</v>
          </cell>
          <cell r="F528">
            <v>43416</v>
          </cell>
          <cell r="G528" t="str">
            <v>OK</v>
          </cell>
        </row>
        <row r="529">
          <cell r="A529" t="str">
            <v>Y1811-0406</v>
          </cell>
          <cell r="B529">
            <v>201807</v>
          </cell>
          <cell r="C529" t="str">
            <v>4600059782</v>
          </cell>
          <cell r="D529" t="str">
            <v>161577C</v>
          </cell>
          <cell r="E529">
            <v>120</v>
          </cell>
          <cell r="F529">
            <v>43407</v>
          </cell>
          <cell r="G529" t="str">
            <v>OK</v>
          </cell>
        </row>
        <row r="530">
          <cell r="A530" t="str">
            <v>Y1811-0117</v>
          </cell>
          <cell r="B530">
            <v>201807</v>
          </cell>
          <cell r="C530" t="str">
            <v>0100160856</v>
          </cell>
          <cell r="D530">
            <v>715660</v>
          </cell>
          <cell r="E530">
            <v>2892</v>
          </cell>
          <cell r="F530">
            <v>43413</v>
          </cell>
          <cell r="G530" t="str">
            <v>OK</v>
          </cell>
        </row>
        <row r="531">
          <cell r="A531" t="str">
            <v>Y1811-0159</v>
          </cell>
          <cell r="B531">
            <v>201807</v>
          </cell>
          <cell r="C531" t="str">
            <v>0100160916</v>
          </cell>
          <cell r="D531">
            <v>715467</v>
          </cell>
          <cell r="E531">
            <v>408</v>
          </cell>
          <cell r="F531">
            <v>43418</v>
          </cell>
          <cell r="G531" t="str">
            <v>OK</v>
          </cell>
        </row>
        <row r="532">
          <cell r="A532" t="str">
            <v>Y1811-0391</v>
          </cell>
          <cell r="B532">
            <v>201807</v>
          </cell>
          <cell r="C532" t="str">
            <v>4600059688</v>
          </cell>
          <cell r="D532" t="str">
            <v>144150C</v>
          </cell>
          <cell r="E532">
            <v>1200</v>
          </cell>
          <cell r="F532">
            <v>43427</v>
          </cell>
          <cell r="G532" t="str">
            <v>OK</v>
          </cell>
        </row>
        <row r="533">
          <cell r="A533" t="str">
            <v>Y1811-0392</v>
          </cell>
          <cell r="B533">
            <v>201807</v>
          </cell>
          <cell r="C533" t="str">
            <v>4600059689</v>
          </cell>
          <cell r="D533" t="str">
            <v>144151C</v>
          </cell>
          <cell r="E533">
            <v>900</v>
          </cell>
          <cell r="F533">
            <v>43427</v>
          </cell>
          <cell r="G533" t="str">
            <v>OK</v>
          </cell>
        </row>
        <row r="534">
          <cell r="A534" t="str">
            <v>Y1811-0393</v>
          </cell>
          <cell r="B534">
            <v>201807</v>
          </cell>
          <cell r="C534" t="str">
            <v>4600059699</v>
          </cell>
          <cell r="D534" t="str">
            <v>363711C</v>
          </cell>
          <cell r="E534">
            <v>7404</v>
          </cell>
          <cell r="F534">
            <v>43428</v>
          </cell>
          <cell r="G534" t="str">
            <v>OK</v>
          </cell>
        </row>
        <row r="535">
          <cell r="A535" t="str">
            <v>Y1811-0394</v>
          </cell>
          <cell r="B535">
            <v>201807</v>
          </cell>
          <cell r="C535" t="str">
            <v>4600059719</v>
          </cell>
          <cell r="D535" t="str">
            <v>663656C</v>
          </cell>
          <cell r="E535">
            <v>17280</v>
          </cell>
          <cell r="F535">
            <v>43428</v>
          </cell>
          <cell r="G535" t="str">
            <v>OK</v>
          </cell>
        </row>
        <row r="536">
          <cell r="A536" t="str">
            <v>Y1811-0397</v>
          </cell>
          <cell r="B536">
            <v>201807</v>
          </cell>
          <cell r="C536" t="str">
            <v>4600059740</v>
          </cell>
          <cell r="D536" t="str">
            <v>163199C</v>
          </cell>
          <cell r="E536">
            <v>144</v>
          </cell>
          <cell r="F536">
            <v>43428</v>
          </cell>
          <cell r="G536" t="str">
            <v>OK</v>
          </cell>
        </row>
        <row r="537">
          <cell r="A537" t="str">
            <v>Y1811-0398</v>
          </cell>
          <cell r="B537">
            <v>201807</v>
          </cell>
          <cell r="C537" t="str">
            <v>4600059741</v>
          </cell>
          <cell r="D537" t="str">
            <v>163201C</v>
          </cell>
          <cell r="E537">
            <v>144</v>
          </cell>
          <cell r="F537">
            <v>43428</v>
          </cell>
          <cell r="G537" t="str">
            <v>OK</v>
          </cell>
        </row>
        <row r="538">
          <cell r="A538" t="str">
            <v>Y1811-0401</v>
          </cell>
          <cell r="B538">
            <v>201807</v>
          </cell>
          <cell r="C538" t="str">
            <v>4600059752</v>
          </cell>
          <cell r="D538" t="str">
            <v>363711C</v>
          </cell>
          <cell r="E538">
            <v>2652</v>
          </cell>
          <cell r="F538">
            <v>43428</v>
          </cell>
          <cell r="G538" t="str">
            <v>OK</v>
          </cell>
        </row>
        <row r="539">
          <cell r="A539" t="str">
            <v>Y1811-0402</v>
          </cell>
          <cell r="B539">
            <v>201807</v>
          </cell>
          <cell r="C539" t="str">
            <v>4600059754</v>
          </cell>
          <cell r="D539" t="str">
            <v>163200C</v>
          </cell>
          <cell r="E539">
            <v>144</v>
          </cell>
          <cell r="F539">
            <v>43428</v>
          </cell>
          <cell r="G539" t="str">
            <v>OK</v>
          </cell>
        </row>
        <row r="540">
          <cell r="A540" t="str">
            <v>Y1811-0470</v>
          </cell>
          <cell r="B540">
            <v>201807</v>
          </cell>
          <cell r="C540" t="str">
            <v>1000002616</v>
          </cell>
          <cell r="D540" t="str">
            <v>164534C</v>
          </cell>
          <cell r="E540">
            <v>170</v>
          </cell>
          <cell r="F540">
            <v>43412</v>
          </cell>
          <cell r="G540" t="str">
            <v>OK</v>
          </cell>
        </row>
        <row r="541">
          <cell r="A541" t="str">
            <v>Y1811-0168</v>
          </cell>
          <cell r="B541">
            <v>201807</v>
          </cell>
          <cell r="C541" t="str">
            <v>0100160925</v>
          </cell>
          <cell r="D541" t="str">
            <v>663600C</v>
          </cell>
          <cell r="E541">
            <v>846</v>
          </cell>
          <cell r="F541">
            <v>43418</v>
          </cell>
          <cell r="G541" t="str">
            <v>OK</v>
          </cell>
        </row>
        <row r="542">
          <cell r="A542" t="str">
            <v>Y1811-0169</v>
          </cell>
          <cell r="B542">
            <v>201807</v>
          </cell>
          <cell r="C542" t="str">
            <v>0100160926</v>
          </cell>
          <cell r="D542" t="str">
            <v>663601C</v>
          </cell>
          <cell r="E542">
            <v>702</v>
          </cell>
          <cell r="F542">
            <v>43418</v>
          </cell>
          <cell r="G542" t="str">
            <v>OK</v>
          </cell>
        </row>
        <row r="543">
          <cell r="A543" t="str">
            <v>Y1811-0171</v>
          </cell>
          <cell r="B543">
            <v>201807</v>
          </cell>
          <cell r="C543" t="str">
            <v>0100160928</v>
          </cell>
          <cell r="D543" t="str">
            <v>663600C</v>
          </cell>
          <cell r="E543">
            <v>846</v>
          </cell>
          <cell r="F543">
            <v>43418</v>
          </cell>
          <cell r="G543" t="str">
            <v>OK</v>
          </cell>
        </row>
        <row r="544">
          <cell r="A544" t="str">
            <v>Y1811-0172</v>
          </cell>
          <cell r="B544">
            <v>201807</v>
          </cell>
          <cell r="C544" t="str">
            <v>0100160929</v>
          </cell>
          <cell r="D544" t="str">
            <v>663601C</v>
          </cell>
          <cell r="E544">
            <v>360</v>
          </cell>
          <cell r="F544">
            <v>43418</v>
          </cell>
          <cell r="G544" t="str">
            <v>OK</v>
          </cell>
        </row>
        <row r="545">
          <cell r="A545" t="str">
            <v>Y1811-0325</v>
          </cell>
          <cell r="B545">
            <v>201807</v>
          </cell>
          <cell r="C545" t="str">
            <v>0100163542</v>
          </cell>
          <cell r="D545" t="str">
            <v>663599C</v>
          </cell>
          <cell r="E545">
            <v>408</v>
          </cell>
          <cell r="F545">
            <v>43418</v>
          </cell>
          <cell r="G545" t="str">
            <v>OK</v>
          </cell>
        </row>
        <row r="546">
          <cell r="A546" t="str">
            <v>Y1811-0326</v>
          </cell>
          <cell r="B546">
            <v>201807</v>
          </cell>
          <cell r="C546" t="str">
            <v>0100163543</v>
          </cell>
          <cell r="D546" t="str">
            <v>663600C</v>
          </cell>
          <cell r="E546">
            <v>1092</v>
          </cell>
          <cell r="F546">
            <v>43418</v>
          </cell>
          <cell r="G546" t="str">
            <v>OK</v>
          </cell>
        </row>
        <row r="547">
          <cell r="A547" t="str">
            <v>Y1811-0335</v>
          </cell>
          <cell r="B547">
            <v>201807</v>
          </cell>
          <cell r="C547" t="str">
            <v>0100163718</v>
          </cell>
          <cell r="D547" t="str">
            <v>663601C</v>
          </cell>
          <cell r="E547">
            <v>480</v>
          </cell>
          <cell r="F547">
            <v>43418</v>
          </cell>
          <cell r="G547" t="str">
            <v>OK</v>
          </cell>
        </row>
        <row r="548">
          <cell r="A548" t="str">
            <v>Y1811-0466</v>
          </cell>
          <cell r="B548">
            <v>201807</v>
          </cell>
          <cell r="C548" t="str">
            <v>0100164119</v>
          </cell>
          <cell r="D548" t="str">
            <v>763527C</v>
          </cell>
          <cell r="E548">
            <v>480</v>
          </cell>
          <cell r="F548">
            <v>43418</v>
          </cell>
          <cell r="G548" t="str">
            <v>OK</v>
          </cell>
        </row>
        <row r="549">
          <cell r="A549" t="str">
            <v>Y1811-0467</v>
          </cell>
          <cell r="B549">
            <v>201807</v>
          </cell>
          <cell r="C549" t="str">
            <v>0100164120</v>
          </cell>
          <cell r="D549" t="str">
            <v>763528C</v>
          </cell>
          <cell r="E549">
            <v>1932</v>
          </cell>
          <cell r="F549">
            <v>43418</v>
          </cell>
          <cell r="G549" t="str">
            <v>OK</v>
          </cell>
        </row>
        <row r="550">
          <cell r="A550" t="str">
            <v>Y1811-0468</v>
          </cell>
          <cell r="B550">
            <v>201807</v>
          </cell>
          <cell r="C550" t="str">
            <v>0100164121</v>
          </cell>
          <cell r="D550" t="str">
            <v>763529C</v>
          </cell>
          <cell r="E550">
            <v>1032</v>
          </cell>
          <cell r="F550">
            <v>43418</v>
          </cell>
          <cell r="G550" t="str">
            <v>OK</v>
          </cell>
        </row>
        <row r="551">
          <cell r="A551" t="str">
            <v>Y1811-0364</v>
          </cell>
          <cell r="B551">
            <v>201807</v>
          </cell>
          <cell r="C551" t="str">
            <v>4600059508</v>
          </cell>
          <cell r="D551" t="str">
            <v>163192C</v>
          </cell>
          <cell r="E551">
            <v>312</v>
          </cell>
          <cell r="F551">
            <v>43409</v>
          </cell>
          <cell r="G551" t="str">
            <v>OK</v>
          </cell>
        </row>
        <row r="552">
          <cell r="A552" t="str">
            <v>Y1811-0365</v>
          </cell>
          <cell r="B552">
            <v>201807</v>
          </cell>
          <cell r="C552" t="str">
            <v>4600059509</v>
          </cell>
          <cell r="D552" t="str">
            <v>163369C</v>
          </cell>
          <cell r="E552">
            <v>432</v>
          </cell>
          <cell r="F552">
            <v>43409</v>
          </cell>
          <cell r="G552" t="str">
            <v>OK</v>
          </cell>
        </row>
        <row r="553">
          <cell r="A553" t="str">
            <v>Y1811-0366</v>
          </cell>
          <cell r="B553">
            <v>201807</v>
          </cell>
          <cell r="C553" t="str">
            <v>4600059510</v>
          </cell>
          <cell r="D553" t="str">
            <v>163370C</v>
          </cell>
          <cell r="E553">
            <v>384</v>
          </cell>
          <cell r="F553">
            <v>43409</v>
          </cell>
          <cell r="G553" t="str">
            <v>OK</v>
          </cell>
        </row>
        <row r="554">
          <cell r="A554" t="str">
            <v>Y1811-0367</v>
          </cell>
          <cell r="B554">
            <v>201807</v>
          </cell>
          <cell r="C554" t="str">
            <v>4600059516</v>
          </cell>
          <cell r="D554" t="str">
            <v>163368C</v>
          </cell>
          <cell r="E554">
            <v>372</v>
          </cell>
          <cell r="F554">
            <v>43409</v>
          </cell>
          <cell r="G554" t="str">
            <v>OK</v>
          </cell>
        </row>
        <row r="555">
          <cell r="A555" t="str">
            <v>Y1811-0368</v>
          </cell>
          <cell r="B555">
            <v>201807</v>
          </cell>
          <cell r="C555" t="str">
            <v>4600059517</v>
          </cell>
          <cell r="D555" t="str">
            <v>163247C</v>
          </cell>
          <cell r="E555">
            <v>684</v>
          </cell>
          <cell r="F555">
            <v>43423</v>
          </cell>
          <cell r="G555" t="str">
            <v>OK</v>
          </cell>
        </row>
        <row r="556">
          <cell r="A556" t="str">
            <v>Y1811-0369</v>
          </cell>
          <cell r="B556">
            <v>201807</v>
          </cell>
          <cell r="C556" t="str">
            <v>4600059518</v>
          </cell>
          <cell r="D556" t="str">
            <v>361812C</v>
          </cell>
          <cell r="E556">
            <v>528</v>
          </cell>
          <cell r="F556">
            <v>43423</v>
          </cell>
          <cell r="G556" t="str">
            <v>OK</v>
          </cell>
        </row>
        <row r="557">
          <cell r="A557" t="str">
            <v>Y1811-0370</v>
          </cell>
          <cell r="B557">
            <v>201807</v>
          </cell>
          <cell r="C557" t="str">
            <v>4600059519</v>
          </cell>
          <cell r="D557" t="str">
            <v>363691C</v>
          </cell>
          <cell r="E557">
            <v>168</v>
          </cell>
          <cell r="F557">
            <v>43423</v>
          </cell>
          <cell r="G557" t="str">
            <v>OK</v>
          </cell>
        </row>
        <row r="558">
          <cell r="A558" t="str">
            <v>Y1811-0371</v>
          </cell>
          <cell r="B558">
            <v>201807</v>
          </cell>
          <cell r="C558" t="str">
            <v>4600059520</v>
          </cell>
          <cell r="D558" t="str">
            <v>163268C</v>
          </cell>
          <cell r="E558">
            <v>456</v>
          </cell>
          <cell r="F558">
            <v>43423</v>
          </cell>
          <cell r="G558" t="str">
            <v>OK</v>
          </cell>
        </row>
        <row r="559">
          <cell r="A559" t="str">
            <v>Y1811-0372</v>
          </cell>
          <cell r="B559">
            <v>201807</v>
          </cell>
          <cell r="C559" t="str">
            <v>4600059521</v>
          </cell>
          <cell r="D559" t="str">
            <v>163270C</v>
          </cell>
          <cell r="E559">
            <v>216</v>
          </cell>
          <cell r="F559">
            <v>43423</v>
          </cell>
          <cell r="G559" t="str">
            <v>OK</v>
          </cell>
        </row>
        <row r="560">
          <cell r="A560" t="str">
            <v>Y1811-0373</v>
          </cell>
          <cell r="B560">
            <v>201807</v>
          </cell>
          <cell r="C560" t="str">
            <v>4600059522</v>
          </cell>
          <cell r="D560" t="str">
            <v>164525C</v>
          </cell>
          <cell r="E560">
            <v>444</v>
          </cell>
          <cell r="F560">
            <v>43423</v>
          </cell>
          <cell r="G560" t="str">
            <v>OK</v>
          </cell>
        </row>
        <row r="561">
          <cell r="A561" t="str">
            <v>Y1811-0374</v>
          </cell>
          <cell r="B561">
            <v>201807</v>
          </cell>
          <cell r="C561" t="str">
            <v>4600059523</v>
          </cell>
          <cell r="D561" t="str">
            <v>163246C</v>
          </cell>
          <cell r="E561">
            <v>288</v>
          </cell>
          <cell r="F561">
            <v>43423</v>
          </cell>
          <cell r="G561" t="str">
            <v>OK</v>
          </cell>
        </row>
        <row r="562">
          <cell r="A562" t="str">
            <v>Y1811-0375</v>
          </cell>
          <cell r="B562">
            <v>201807</v>
          </cell>
          <cell r="C562" t="str">
            <v>4600059524</v>
          </cell>
          <cell r="D562" t="str">
            <v>163245C</v>
          </cell>
          <cell r="E562">
            <v>192</v>
          </cell>
          <cell r="F562">
            <v>43423</v>
          </cell>
          <cell r="G562" t="str">
            <v>OK</v>
          </cell>
        </row>
        <row r="563">
          <cell r="A563" t="str">
            <v>Y1811-0376</v>
          </cell>
          <cell r="B563">
            <v>201807</v>
          </cell>
          <cell r="C563" t="str">
            <v>4600059533</v>
          </cell>
          <cell r="D563" t="str">
            <v>163190C</v>
          </cell>
          <cell r="E563">
            <v>288</v>
          </cell>
          <cell r="F563">
            <v>43409</v>
          </cell>
          <cell r="G563" t="str">
            <v>OK</v>
          </cell>
        </row>
        <row r="564">
          <cell r="A564" t="str">
            <v>Y1811-0377</v>
          </cell>
          <cell r="B564">
            <v>201807</v>
          </cell>
          <cell r="C564" t="str">
            <v>4600059534</v>
          </cell>
          <cell r="D564" t="str">
            <v>163247C</v>
          </cell>
          <cell r="E564">
            <v>120</v>
          </cell>
          <cell r="F564">
            <v>43434</v>
          </cell>
          <cell r="G564" t="str">
            <v>OK</v>
          </cell>
        </row>
        <row r="565">
          <cell r="A565" t="str">
            <v>Y1811-0378</v>
          </cell>
          <cell r="B565">
            <v>201807</v>
          </cell>
          <cell r="C565" t="str">
            <v>4600059535</v>
          </cell>
          <cell r="D565" t="str">
            <v>563431C</v>
          </cell>
          <cell r="E565">
            <v>816</v>
          </cell>
          <cell r="F565">
            <v>43434</v>
          </cell>
          <cell r="G565" t="str">
            <v>OK</v>
          </cell>
        </row>
        <row r="566">
          <cell r="A566" t="str">
            <v>Y1811-0379</v>
          </cell>
          <cell r="B566">
            <v>201807</v>
          </cell>
          <cell r="C566" t="str">
            <v>4600059536</v>
          </cell>
          <cell r="D566" t="str">
            <v>163368C</v>
          </cell>
          <cell r="E566">
            <v>600</v>
          </cell>
          <cell r="F566">
            <v>43434</v>
          </cell>
          <cell r="G566" t="str">
            <v>OK</v>
          </cell>
        </row>
        <row r="567">
          <cell r="A567" t="str">
            <v>Y1811-0380</v>
          </cell>
          <cell r="B567">
            <v>201807</v>
          </cell>
          <cell r="C567" t="str">
            <v>4600059537</v>
          </cell>
          <cell r="D567" t="str">
            <v>563432C</v>
          </cell>
          <cell r="E567">
            <v>816</v>
          </cell>
          <cell r="F567">
            <v>43434</v>
          </cell>
          <cell r="G567" t="str">
            <v>OK</v>
          </cell>
        </row>
        <row r="568">
          <cell r="A568" t="str">
            <v>Y1811-0383</v>
          </cell>
          <cell r="B568">
            <v>201807</v>
          </cell>
          <cell r="C568" t="str">
            <v>4600059540</v>
          </cell>
          <cell r="D568" t="str">
            <v>155064C</v>
          </cell>
          <cell r="E568">
            <v>804</v>
          </cell>
          <cell r="F568">
            <v>43434</v>
          </cell>
          <cell r="G568" t="str">
            <v>OK</v>
          </cell>
        </row>
        <row r="569">
          <cell r="A569" t="str">
            <v>Y1811-0384</v>
          </cell>
          <cell r="B569">
            <v>201807</v>
          </cell>
          <cell r="C569" t="str">
            <v>4600059541</v>
          </cell>
          <cell r="D569" t="str">
            <v>159792C</v>
          </cell>
          <cell r="E569">
            <v>804</v>
          </cell>
          <cell r="F569">
            <v>43434</v>
          </cell>
          <cell r="G569" t="str">
            <v>OK</v>
          </cell>
        </row>
        <row r="570">
          <cell r="A570" t="str">
            <v>Y1811-0385</v>
          </cell>
          <cell r="B570">
            <v>201807</v>
          </cell>
          <cell r="C570" t="str">
            <v>4600059542</v>
          </cell>
          <cell r="D570" t="str">
            <v>163370C</v>
          </cell>
          <cell r="E570">
            <v>600</v>
          </cell>
          <cell r="F570">
            <v>43434</v>
          </cell>
          <cell r="G570" t="str">
            <v>OK</v>
          </cell>
        </row>
        <row r="571">
          <cell r="A571" t="str">
            <v>Y1811-0386</v>
          </cell>
          <cell r="B571">
            <v>201807</v>
          </cell>
          <cell r="C571" t="str">
            <v>4600059543</v>
          </cell>
          <cell r="D571" t="str">
            <v>163369C</v>
          </cell>
          <cell r="E571">
            <v>600</v>
          </cell>
          <cell r="F571">
            <v>43434</v>
          </cell>
          <cell r="G571" t="str">
            <v>OK</v>
          </cell>
        </row>
        <row r="572">
          <cell r="A572" t="str">
            <v>Y1811-0387</v>
          </cell>
          <cell r="B572">
            <v>201807</v>
          </cell>
          <cell r="C572" t="str">
            <v>4600059544</v>
          </cell>
          <cell r="D572" t="str">
            <v>161603C</v>
          </cell>
          <cell r="E572">
            <v>804</v>
          </cell>
          <cell r="F572">
            <v>43434</v>
          </cell>
          <cell r="G572" t="str">
            <v>OK</v>
          </cell>
        </row>
        <row r="573">
          <cell r="A573" t="str">
            <v>Y1811-0388</v>
          </cell>
          <cell r="B573">
            <v>201807</v>
          </cell>
          <cell r="C573" t="str">
            <v>4600059545</v>
          </cell>
          <cell r="D573" t="str">
            <v>163246C</v>
          </cell>
          <cell r="E573">
            <v>120</v>
          </cell>
          <cell r="F573">
            <v>43434</v>
          </cell>
          <cell r="G573" t="str">
            <v>OK</v>
          </cell>
        </row>
        <row r="574">
          <cell r="A574" t="str">
            <v>Y1811-0381</v>
          </cell>
          <cell r="B574">
            <v>201807</v>
          </cell>
          <cell r="C574" t="str">
            <v>4600059538</v>
          </cell>
          <cell r="D574" t="str">
            <v>163188C</v>
          </cell>
          <cell r="E574">
            <v>504</v>
          </cell>
          <cell r="F574">
            <v>43434</v>
          </cell>
          <cell r="G574" t="str">
            <v>OK</v>
          </cell>
        </row>
        <row r="575">
          <cell r="A575" t="str">
            <v>Y1811-0382</v>
          </cell>
          <cell r="B575">
            <v>201807</v>
          </cell>
          <cell r="C575" t="str">
            <v>4600059539</v>
          </cell>
          <cell r="D575" t="str">
            <v>163186C</v>
          </cell>
          <cell r="E575">
            <v>744</v>
          </cell>
          <cell r="F575">
            <v>43434</v>
          </cell>
          <cell r="G575" t="str">
            <v>OK</v>
          </cell>
        </row>
        <row r="576">
          <cell r="A576" t="str">
            <v>Y1811-0076</v>
          </cell>
          <cell r="B576">
            <v>201807</v>
          </cell>
          <cell r="C576" t="str">
            <v>0100160754</v>
          </cell>
          <cell r="D576" t="str">
            <v>163226C</v>
          </cell>
          <cell r="E576">
            <v>924</v>
          </cell>
          <cell r="F576">
            <v>43407</v>
          </cell>
          <cell r="G576" t="str">
            <v>OK</v>
          </cell>
        </row>
        <row r="577">
          <cell r="A577" t="str">
            <v>Y1811-0077</v>
          </cell>
          <cell r="B577">
            <v>201807</v>
          </cell>
          <cell r="C577" t="str">
            <v>0100160755</v>
          </cell>
          <cell r="D577" t="str">
            <v>163227C</v>
          </cell>
          <cell r="E577">
            <v>780</v>
          </cell>
          <cell r="F577">
            <v>43413</v>
          </cell>
          <cell r="G577" t="str">
            <v>OK</v>
          </cell>
        </row>
        <row r="578">
          <cell r="A578" t="str">
            <v>Y1811-0078</v>
          </cell>
          <cell r="B578">
            <v>201807</v>
          </cell>
          <cell r="C578" t="str">
            <v>0100160756</v>
          </cell>
          <cell r="D578" t="str">
            <v>163228C</v>
          </cell>
          <cell r="E578">
            <v>1128</v>
          </cell>
          <cell r="F578">
            <v>43418</v>
          </cell>
          <cell r="G578" t="str">
            <v>OK</v>
          </cell>
        </row>
        <row r="579">
          <cell r="A579" t="str">
            <v>Y1811-0079</v>
          </cell>
          <cell r="B579">
            <v>201807</v>
          </cell>
          <cell r="C579" t="str">
            <v>0100160757</v>
          </cell>
          <cell r="D579" t="str">
            <v>163229C</v>
          </cell>
          <cell r="E579">
            <v>1272</v>
          </cell>
          <cell r="F579">
            <v>43418</v>
          </cell>
          <cell r="G579" t="str">
            <v>OK</v>
          </cell>
        </row>
        <row r="580">
          <cell r="A580" t="str">
            <v>Y1811-0118</v>
          </cell>
          <cell r="B580">
            <v>201807</v>
          </cell>
          <cell r="C580" t="str">
            <v>0100160857</v>
          </cell>
          <cell r="D580" t="str">
            <v>163226C</v>
          </cell>
          <cell r="E580">
            <v>756</v>
          </cell>
          <cell r="F580">
            <v>43417</v>
          </cell>
          <cell r="G580" t="str">
            <v>OK</v>
          </cell>
        </row>
        <row r="581">
          <cell r="A581" t="str">
            <v>Y1811-0119</v>
          </cell>
          <cell r="B581">
            <v>201807</v>
          </cell>
          <cell r="C581" t="str">
            <v>0100160858</v>
          </cell>
          <cell r="D581" t="str">
            <v>163228C</v>
          </cell>
          <cell r="E581">
            <v>180</v>
          </cell>
          <cell r="F581">
            <v>43420</v>
          </cell>
          <cell r="G581" t="str">
            <v>OK</v>
          </cell>
        </row>
        <row r="582">
          <cell r="A582" t="str">
            <v>Y1811-0120</v>
          </cell>
          <cell r="B582">
            <v>201807</v>
          </cell>
          <cell r="C582" t="str">
            <v>0100160859</v>
          </cell>
          <cell r="D582" t="str">
            <v>163229C</v>
          </cell>
          <cell r="E582">
            <v>1164</v>
          </cell>
          <cell r="F582">
            <v>43417</v>
          </cell>
          <cell r="G582" t="str">
            <v>OK</v>
          </cell>
        </row>
        <row r="583">
          <cell r="A583" t="str">
            <v>Y1811-0305</v>
          </cell>
          <cell r="B583">
            <v>201807</v>
          </cell>
          <cell r="C583" t="str">
            <v>0100163303</v>
          </cell>
          <cell r="D583" t="str">
            <v>163227C</v>
          </cell>
          <cell r="E583">
            <v>120</v>
          </cell>
          <cell r="F583">
            <v>43413</v>
          </cell>
          <cell r="G583" t="str">
            <v>OK</v>
          </cell>
        </row>
        <row r="584">
          <cell r="A584" t="str">
            <v>Y1811-0331</v>
          </cell>
          <cell r="B584">
            <v>201807</v>
          </cell>
          <cell r="C584" t="str">
            <v>0100163714</v>
          </cell>
          <cell r="D584" t="str">
            <v>163226C</v>
          </cell>
          <cell r="E584">
            <v>240</v>
          </cell>
          <cell r="F584">
            <v>43417</v>
          </cell>
          <cell r="G584" t="str">
            <v>OK</v>
          </cell>
        </row>
        <row r="585">
          <cell r="A585" t="str">
            <v>Y1811-0332</v>
          </cell>
          <cell r="B585">
            <v>201807</v>
          </cell>
          <cell r="C585" t="str">
            <v>0100163715</v>
          </cell>
          <cell r="D585" t="str">
            <v>163227C</v>
          </cell>
          <cell r="E585">
            <v>168</v>
          </cell>
          <cell r="F585">
            <v>43417</v>
          </cell>
          <cell r="G585" t="str">
            <v>OK</v>
          </cell>
        </row>
        <row r="586">
          <cell r="A586" t="str">
            <v>Y1811-0333</v>
          </cell>
          <cell r="B586">
            <v>201807</v>
          </cell>
          <cell r="C586" t="str">
            <v>0100163716</v>
          </cell>
          <cell r="D586" t="str">
            <v>163228C</v>
          </cell>
          <cell r="E586">
            <v>120</v>
          </cell>
          <cell r="F586">
            <v>43417</v>
          </cell>
          <cell r="G586" t="str">
            <v>OK</v>
          </cell>
        </row>
        <row r="587">
          <cell r="A587" t="str">
            <v>Y1811-0334</v>
          </cell>
          <cell r="B587">
            <v>201807</v>
          </cell>
          <cell r="C587" t="str">
            <v>0100163717</v>
          </cell>
          <cell r="D587" t="str">
            <v>163229C</v>
          </cell>
          <cell r="E587">
            <v>216</v>
          </cell>
          <cell r="F587">
            <v>43417</v>
          </cell>
          <cell r="G587" t="str">
            <v>OK</v>
          </cell>
        </row>
        <row r="588">
          <cell r="A588" t="str">
            <v>Y1811-0282</v>
          </cell>
          <cell r="B588">
            <v>201807</v>
          </cell>
          <cell r="C588" t="str">
            <v>0100161108</v>
          </cell>
          <cell r="D588" t="str">
            <v>663604C</v>
          </cell>
          <cell r="E588">
            <v>240</v>
          </cell>
          <cell r="F588">
            <v>43429</v>
          </cell>
          <cell r="G588" t="str">
            <v>OK</v>
          </cell>
        </row>
        <row r="589">
          <cell r="A589" t="str">
            <v>Y1811-0471</v>
          </cell>
          <cell r="B589">
            <v>201807</v>
          </cell>
          <cell r="C589" t="str">
            <v>1000002628</v>
          </cell>
          <cell r="D589" t="str">
            <v>163227C</v>
          </cell>
          <cell r="E589">
            <v>53</v>
          </cell>
          <cell r="F589">
            <v>43413</v>
          </cell>
          <cell r="G589" t="str">
            <v>OK</v>
          </cell>
        </row>
        <row r="590">
          <cell r="A590" t="str">
            <v>Y1811-0472</v>
          </cell>
          <cell r="B590">
            <v>201807</v>
          </cell>
          <cell r="C590" t="str">
            <v>1000002629</v>
          </cell>
          <cell r="D590" t="str">
            <v>163228C</v>
          </cell>
          <cell r="E590">
            <v>53</v>
          </cell>
          <cell r="F590">
            <v>43413</v>
          </cell>
          <cell r="G590" t="str">
            <v>OK</v>
          </cell>
        </row>
        <row r="591">
          <cell r="A591" t="str">
            <v>Y1811-0164</v>
          </cell>
          <cell r="B591">
            <v>201807</v>
          </cell>
          <cell r="C591" t="str">
            <v>0100160921</v>
          </cell>
          <cell r="D591" t="str">
            <v>162884C</v>
          </cell>
          <cell r="E591">
            <v>360</v>
          </cell>
          <cell r="F591">
            <v>43418</v>
          </cell>
          <cell r="G591" t="str">
            <v>OK</v>
          </cell>
        </row>
        <row r="592">
          <cell r="A592" t="str">
            <v>Y1811-0165</v>
          </cell>
          <cell r="B592">
            <v>201807</v>
          </cell>
          <cell r="C592" t="str">
            <v>0100160922</v>
          </cell>
          <cell r="D592" t="str">
            <v>162884C</v>
          </cell>
          <cell r="E592">
            <v>372</v>
          </cell>
          <cell r="F592">
            <v>43418</v>
          </cell>
          <cell r="G592" t="str">
            <v>OK</v>
          </cell>
        </row>
        <row r="593">
          <cell r="A593" t="str">
            <v>Y1811-0186</v>
          </cell>
          <cell r="B593">
            <v>201807</v>
          </cell>
          <cell r="C593" t="str">
            <v>0100160943</v>
          </cell>
          <cell r="D593" t="str">
            <v>162884C</v>
          </cell>
          <cell r="E593">
            <v>672</v>
          </cell>
          <cell r="F593">
            <v>43418</v>
          </cell>
          <cell r="G593" t="str">
            <v>OK</v>
          </cell>
        </row>
        <row r="594">
          <cell r="A594" t="str">
            <v>Y1811-0255</v>
          </cell>
          <cell r="B594">
            <v>201807</v>
          </cell>
          <cell r="C594" t="str">
            <v>0100161018</v>
          </cell>
          <cell r="D594" t="str">
            <v>162884C</v>
          </cell>
          <cell r="E594">
            <v>1608</v>
          </cell>
          <cell r="F594">
            <v>43429</v>
          </cell>
          <cell r="G594" t="str">
            <v>OK</v>
          </cell>
        </row>
        <row r="595">
          <cell r="A595" t="str">
            <v>Y1811-0061</v>
          </cell>
          <cell r="B595">
            <v>201807</v>
          </cell>
          <cell r="C595" t="str">
            <v>0100160734</v>
          </cell>
          <cell r="D595" t="str">
            <v>160339C</v>
          </cell>
          <cell r="E595">
            <v>3504</v>
          </cell>
          <cell r="F595">
            <v>43425</v>
          </cell>
          <cell r="G595" t="str">
            <v>OK</v>
          </cell>
        </row>
        <row r="596">
          <cell r="A596" t="str">
            <v>Y1811-0175</v>
          </cell>
          <cell r="B596">
            <v>201807</v>
          </cell>
          <cell r="C596" t="str">
            <v>0100160932</v>
          </cell>
          <cell r="D596" t="str">
            <v>164024C</v>
          </cell>
          <cell r="E596">
            <v>18</v>
          </cell>
          <cell r="F596">
            <v>43413</v>
          </cell>
          <cell r="G596" t="str">
            <v>OK</v>
          </cell>
        </row>
        <row r="597">
          <cell r="A597" t="str">
            <v>Y1811-0176</v>
          </cell>
          <cell r="B597">
            <v>201807</v>
          </cell>
          <cell r="C597" t="str">
            <v>0100160933</v>
          </cell>
          <cell r="D597" t="str">
            <v>164023C</v>
          </cell>
          <cell r="E597">
            <v>155</v>
          </cell>
          <cell r="F597">
            <v>43417</v>
          </cell>
          <cell r="G597" t="str">
            <v>OK</v>
          </cell>
        </row>
        <row r="598">
          <cell r="A598" t="str">
            <v>Y1811-0177</v>
          </cell>
          <cell r="B598">
            <v>201807</v>
          </cell>
          <cell r="C598" t="str">
            <v>0100160934</v>
          </cell>
          <cell r="D598" t="str">
            <v>164023C</v>
          </cell>
          <cell r="E598">
            <v>18</v>
          </cell>
          <cell r="F598">
            <v>43412</v>
          </cell>
          <cell r="G598" t="str">
            <v>OK</v>
          </cell>
        </row>
        <row r="599">
          <cell r="A599" t="str">
            <v>Y1811-0178</v>
          </cell>
          <cell r="B599">
            <v>201807</v>
          </cell>
          <cell r="C599" t="str">
            <v>0100160935</v>
          </cell>
          <cell r="D599" t="str">
            <v>164023C</v>
          </cell>
          <cell r="E599">
            <v>84</v>
          </cell>
          <cell r="F599">
            <v>43413</v>
          </cell>
          <cell r="G599" t="str">
            <v>OK</v>
          </cell>
        </row>
        <row r="600">
          <cell r="A600" t="str">
            <v>Y1811-0179</v>
          </cell>
          <cell r="B600">
            <v>201807</v>
          </cell>
          <cell r="C600" t="str">
            <v>0100160936</v>
          </cell>
          <cell r="D600" t="str">
            <v>164023C</v>
          </cell>
          <cell r="E600">
            <v>18</v>
          </cell>
          <cell r="F600">
            <v>43412</v>
          </cell>
          <cell r="G600" t="str">
            <v>OK</v>
          </cell>
        </row>
        <row r="601">
          <cell r="A601" t="str">
            <v>Y1811-0297</v>
          </cell>
          <cell r="B601">
            <v>201807</v>
          </cell>
          <cell r="C601" t="str">
            <v>0100163099</v>
          </cell>
          <cell r="D601" t="str">
            <v>164023C</v>
          </cell>
          <cell r="E601">
            <v>18</v>
          </cell>
          <cell r="F601">
            <v>43413</v>
          </cell>
          <cell r="G601" t="str">
            <v>OK</v>
          </cell>
        </row>
        <row r="602">
          <cell r="A602" t="str">
            <v>Y1811-0298</v>
          </cell>
          <cell r="B602">
            <v>201807</v>
          </cell>
          <cell r="C602" t="str">
            <v>0100163100</v>
          </cell>
          <cell r="D602" t="str">
            <v>164024C</v>
          </cell>
          <cell r="E602">
            <v>154</v>
          </cell>
          <cell r="F602">
            <v>43417</v>
          </cell>
          <cell r="G602" t="str">
            <v>OK</v>
          </cell>
        </row>
        <row r="603">
          <cell r="A603" t="str">
            <v>Y1811-0299</v>
          </cell>
          <cell r="B603">
            <v>201807</v>
          </cell>
          <cell r="C603" t="str">
            <v>0100163101</v>
          </cell>
          <cell r="D603" t="str">
            <v>164024C</v>
          </cell>
          <cell r="E603">
            <v>18</v>
          </cell>
          <cell r="F603">
            <v>43412</v>
          </cell>
          <cell r="G603" t="str">
            <v>OK</v>
          </cell>
        </row>
        <row r="604">
          <cell r="A604" t="str">
            <v>Y1811-0300</v>
          </cell>
          <cell r="B604">
            <v>201807</v>
          </cell>
          <cell r="C604" t="str">
            <v>0100163102</v>
          </cell>
          <cell r="D604" t="str">
            <v>164024C</v>
          </cell>
          <cell r="E604">
            <v>84</v>
          </cell>
          <cell r="F604">
            <v>43413</v>
          </cell>
          <cell r="G604" t="str">
            <v>OK</v>
          </cell>
        </row>
        <row r="605">
          <cell r="A605" t="str">
            <v>Y1811-0301</v>
          </cell>
          <cell r="B605">
            <v>201807</v>
          </cell>
          <cell r="C605" t="str">
            <v>0100163103</v>
          </cell>
          <cell r="D605" t="str">
            <v>164024C</v>
          </cell>
          <cell r="E605">
            <v>18</v>
          </cell>
          <cell r="F605">
            <v>43412</v>
          </cell>
          <cell r="G605" t="str">
            <v>OK</v>
          </cell>
        </row>
        <row r="606">
          <cell r="A606" t="str">
            <v>Y1811-0303</v>
          </cell>
          <cell r="B606">
            <v>201807</v>
          </cell>
          <cell r="C606" t="str">
            <v>0100163255</v>
          </cell>
          <cell r="D606" t="str">
            <v>164023C</v>
          </cell>
          <cell r="E606">
            <v>4546</v>
          </cell>
          <cell r="F606">
            <v>43422</v>
          </cell>
          <cell r="G606" t="str">
            <v>OK</v>
          </cell>
        </row>
        <row r="607">
          <cell r="A607" t="str">
            <v>Y1811-0304</v>
          </cell>
          <cell r="B607">
            <v>201807</v>
          </cell>
          <cell r="C607" t="str">
            <v>0100163256</v>
          </cell>
          <cell r="D607" t="str">
            <v>164024C</v>
          </cell>
          <cell r="E607">
            <v>4527</v>
          </cell>
          <cell r="F607">
            <v>43422</v>
          </cell>
          <cell r="G607" t="str">
            <v>OK</v>
          </cell>
        </row>
        <row r="608">
          <cell r="A608" t="str">
            <v>Y1811-0313</v>
          </cell>
          <cell r="B608">
            <v>201807</v>
          </cell>
          <cell r="C608" t="str">
            <v>0100163311</v>
          </cell>
          <cell r="D608" t="str">
            <v>164023C</v>
          </cell>
          <cell r="E608">
            <v>328</v>
          </cell>
          <cell r="F608">
            <v>43429</v>
          </cell>
          <cell r="G608" t="str">
            <v>OK</v>
          </cell>
        </row>
        <row r="609">
          <cell r="A609" t="str">
            <v>Y1811-0314</v>
          </cell>
          <cell r="B609">
            <v>201807</v>
          </cell>
          <cell r="C609" t="str">
            <v>0100163312</v>
          </cell>
          <cell r="D609" t="str">
            <v>164024C</v>
          </cell>
          <cell r="E609">
            <v>328</v>
          </cell>
          <cell r="F609">
            <v>43429</v>
          </cell>
          <cell r="G609" t="str">
            <v>OK</v>
          </cell>
        </row>
        <row r="610">
          <cell r="A610" t="str">
            <v>Y1811-0315</v>
          </cell>
          <cell r="B610">
            <v>201807</v>
          </cell>
          <cell r="C610" t="str">
            <v>0100163313</v>
          </cell>
          <cell r="D610" t="str">
            <v>164023C</v>
          </cell>
          <cell r="E610">
            <v>655</v>
          </cell>
          <cell r="F610">
            <v>43426</v>
          </cell>
          <cell r="G610" t="str">
            <v>OK</v>
          </cell>
        </row>
        <row r="611">
          <cell r="A611" t="str">
            <v>Y1811-0316</v>
          </cell>
          <cell r="B611">
            <v>201807</v>
          </cell>
          <cell r="C611" t="str">
            <v>0100163314</v>
          </cell>
          <cell r="D611" t="str">
            <v>164024C</v>
          </cell>
          <cell r="E611">
            <v>655</v>
          </cell>
          <cell r="F611">
            <v>43426</v>
          </cell>
          <cell r="G611" t="str">
            <v>OK</v>
          </cell>
        </row>
        <row r="612">
          <cell r="A612" t="str">
            <v>Y1811-0317</v>
          </cell>
          <cell r="B612">
            <v>201807</v>
          </cell>
          <cell r="C612" t="str">
            <v>0100163315</v>
          </cell>
          <cell r="D612" t="str">
            <v>164023C</v>
          </cell>
          <cell r="E612">
            <v>319</v>
          </cell>
          <cell r="F612">
            <v>43423</v>
          </cell>
          <cell r="G612" t="str">
            <v>OK</v>
          </cell>
        </row>
        <row r="613">
          <cell r="A613" t="str">
            <v>Y1811-0318</v>
          </cell>
          <cell r="B613">
            <v>201807</v>
          </cell>
          <cell r="C613" t="str">
            <v>0100163316</v>
          </cell>
          <cell r="D613" t="str">
            <v>164024C</v>
          </cell>
          <cell r="E613">
            <v>319</v>
          </cell>
          <cell r="F613">
            <v>43423</v>
          </cell>
          <cell r="G613" t="str">
            <v>OK</v>
          </cell>
        </row>
        <row r="614">
          <cell r="A614" t="str">
            <v>Y1811-0389</v>
          </cell>
          <cell r="B614">
            <v>201807</v>
          </cell>
          <cell r="C614" t="str">
            <v>4600059633</v>
          </cell>
          <cell r="D614" t="str">
            <v>164024C</v>
          </cell>
          <cell r="E614">
            <v>108</v>
          </cell>
          <cell r="F614">
            <v>43430</v>
          </cell>
          <cell r="G614" t="str">
            <v>OK</v>
          </cell>
        </row>
        <row r="615">
          <cell r="A615" t="str">
            <v>Y1811-0390</v>
          </cell>
          <cell r="B615">
            <v>201807</v>
          </cell>
          <cell r="C615" t="str">
            <v>4600059665</v>
          </cell>
          <cell r="D615" t="str">
            <v>164023C</v>
          </cell>
          <cell r="E615">
            <v>108</v>
          </cell>
          <cell r="F615">
            <v>43430</v>
          </cell>
          <cell r="G615" t="str">
            <v>OK</v>
          </cell>
        </row>
        <row r="616">
          <cell r="A616" t="str">
            <v>Y1811-0660</v>
          </cell>
          <cell r="B616">
            <v>201808</v>
          </cell>
          <cell r="C616" t="str">
            <v>0100168404</v>
          </cell>
          <cell r="D616" t="str">
            <v>M9622C</v>
          </cell>
          <cell r="E616">
            <v>768</v>
          </cell>
          <cell r="F616">
            <v>43430</v>
          </cell>
          <cell r="G616" t="str">
            <v>OK</v>
          </cell>
        </row>
        <row r="617">
          <cell r="A617" t="str">
            <v>Y1811-0700</v>
          </cell>
          <cell r="B617">
            <v>201808</v>
          </cell>
          <cell r="C617" t="str">
            <v>4600061977</v>
          </cell>
          <cell r="D617" t="str">
            <v>M7650C</v>
          </cell>
          <cell r="E617">
            <v>12120</v>
          </cell>
          <cell r="F617">
            <v>43422</v>
          </cell>
          <cell r="G617" t="str">
            <v>OK</v>
          </cell>
        </row>
        <row r="618">
          <cell r="A618" t="str">
            <v>Y1810-1040</v>
          </cell>
          <cell r="B618">
            <v>201808</v>
          </cell>
          <cell r="C618" t="str">
            <v>0100166047</v>
          </cell>
          <cell r="D618" t="str">
            <v>M9160C</v>
          </cell>
          <cell r="E618">
            <v>1524</v>
          </cell>
          <cell r="F618">
            <v>43409</v>
          </cell>
          <cell r="G618" t="str">
            <v>OK</v>
          </cell>
        </row>
        <row r="619">
          <cell r="A619" t="str">
            <v>Y1811-0488</v>
          </cell>
          <cell r="B619">
            <v>201808</v>
          </cell>
          <cell r="C619" t="str">
            <v>0100166048</v>
          </cell>
          <cell r="D619" t="str">
            <v>M9160C</v>
          </cell>
          <cell r="E619">
            <v>360</v>
          </cell>
          <cell r="F619">
            <v>43420</v>
          </cell>
          <cell r="G619" t="str">
            <v>OK</v>
          </cell>
        </row>
        <row r="620">
          <cell r="A620" t="str">
            <v>Y1811-0489</v>
          </cell>
          <cell r="B620">
            <v>201808</v>
          </cell>
          <cell r="C620" t="str">
            <v>0100166049</v>
          </cell>
          <cell r="D620" t="str">
            <v>M3310C</v>
          </cell>
          <cell r="E620">
            <v>654</v>
          </cell>
          <cell r="F620">
            <v>43420</v>
          </cell>
          <cell r="G620" t="str">
            <v>OK</v>
          </cell>
        </row>
        <row r="621">
          <cell r="A621" t="str">
            <v>Y1811-0490</v>
          </cell>
          <cell r="B621">
            <v>201808</v>
          </cell>
          <cell r="C621" t="str">
            <v>0100166053</v>
          </cell>
          <cell r="D621" t="str">
            <v>M9696C</v>
          </cell>
          <cell r="E621">
            <v>1320</v>
          </cell>
          <cell r="F621">
            <v>43420</v>
          </cell>
          <cell r="G621" t="str">
            <v>OK</v>
          </cell>
        </row>
        <row r="622">
          <cell r="A622" t="str">
            <v>Y1811-0494</v>
          </cell>
          <cell r="B622">
            <v>201808</v>
          </cell>
          <cell r="C622" t="str">
            <v>0100166061</v>
          </cell>
          <cell r="D622" t="str">
            <v>M3310C</v>
          </cell>
          <cell r="E622">
            <v>360</v>
          </cell>
          <cell r="F622">
            <v>43417</v>
          </cell>
          <cell r="G622" t="str">
            <v>OK</v>
          </cell>
        </row>
        <row r="623">
          <cell r="A623" t="str">
            <v>Y1811-0514</v>
          </cell>
          <cell r="B623">
            <v>201808</v>
          </cell>
          <cell r="C623" t="str">
            <v>0100166087</v>
          </cell>
          <cell r="D623" t="str">
            <v>M9621C</v>
          </cell>
          <cell r="E623">
            <v>660</v>
          </cell>
          <cell r="F623">
            <v>43412</v>
          </cell>
          <cell r="G623" t="str">
            <v>OK</v>
          </cell>
        </row>
        <row r="624">
          <cell r="A624" t="str">
            <v>Y1811-0515</v>
          </cell>
          <cell r="B624">
            <v>201808</v>
          </cell>
          <cell r="C624" t="str">
            <v>0100166088</v>
          </cell>
          <cell r="D624" t="str">
            <v>M9621C</v>
          </cell>
          <cell r="E624">
            <v>13812</v>
          </cell>
          <cell r="F624">
            <v>43427</v>
          </cell>
          <cell r="G624" t="str">
            <v>OK</v>
          </cell>
        </row>
        <row r="625">
          <cell r="A625" t="str">
            <v>Y1811-0516</v>
          </cell>
          <cell r="B625">
            <v>201808</v>
          </cell>
          <cell r="C625" t="str">
            <v>0100166090</v>
          </cell>
          <cell r="D625" t="str">
            <v>M9696C</v>
          </cell>
          <cell r="E625">
            <v>348</v>
          </cell>
          <cell r="F625">
            <v>43412</v>
          </cell>
          <cell r="G625" t="str">
            <v>OK</v>
          </cell>
        </row>
        <row r="626">
          <cell r="A626" t="str">
            <v>Y1811-0517</v>
          </cell>
          <cell r="B626">
            <v>201808</v>
          </cell>
          <cell r="C626" t="str">
            <v>0100166091</v>
          </cell>
          <cell r="D626" t="str">
            <v>M9696C</v>
          </cell>
          <cell r="E626">
            <v>19728</v>
          </cell>
          <cell r="F626">
            <v>43427</v>
          </cell>
          <cell r="G626" t="str">
            <v>OK</v>
          </cell>
        </row>
        <row r="627">
          <cell r="A627" t="str">
            <v>Y1811-0518</v>
          </cell>
          <cell r="B627">
            <v>201808</v>
          </cell>
          <cell r="C627" t="str">
            <v>0100166093</v>
          </cell>
          <cell r="D627" t="str">
            <v>M7650C</v>
          </cell>
          <cell r="E627">
            <v>15366</v>
          </cell>
          <cell r="F627">
            <v>43413</v>
          </cell>
          <cell r="G627" t="str">
            <v>OK</v>
          </cell>
        </row>
        <row r="628">
          <cell r="A628" t="str">
            <v>Y1811-0519</v>
          </cell>
          <cell r="B628">
            <v>201808</v>
          </cell>
          <cell r="C628" t="str">
            <v>0100166095</v>
          </cell>
          <cell r="D628" t="str">
            <v>M9697C</v>
          </cell>
          <cell r="E628">
            <v>14430</v>
          </cell>
          <cell r="F628">
            <v>43427</v>
          </cell>
          <cell r="G628" t="str">
            <v>OK</v>
          </cell>
        </row>
        <row r="629">
          <cell r="A629" t="str">
            <v>Y1811-0520</v>
          </cell>
          <cell r="B629">
            <v>201808</v>
          </cell>
          <cell r="C629" t="str">
            <v>0100166097</v>
          </cell>
          <cell r="D629" t="str">
            <v>M9160C</v>
          </cell>
          <cell r="E629">
            <v>1608</v>
          </cell>
          <cell r="F629">
            <v>43413</v>
          </cell>
          <cell r="G629" t="str">
            <v>OK</v>
          </cell>
        </row>
        <row r="630">
          <cell r="A630" t="str">
            <v>Y1811-0521</v>
          </cell>
          <cell r="B630">
            <v>201808</v>
          </cell>
          <cell r="C630" t="str">
            <v>0100166098</v>
          </cell>
          <cell r="D630" t="str">
            <v>M9160C</v>
          </cell>
          <cell r="E630">
            <v>19152</v>
          </cell>
          <cell r="F630">
            <v>43427</v>
          </cell>
          <cell r="G630" t="str">
            <v>OK</v>
          </cell>
        </row>
        <row r="631">
          <cell r="A631" t="str">
            <v>Y1811-0525</v>
          </cell>
          <cell r="B631">
            <v>201808</v>
          </cell>
          <cell r="C631" t="str">
            <v>0100166131</v>
          </cell>
          <cell r="D631" t="str">
            <v>M3310C</v>
          </cell>
          <cell r="E631">
            <v>10686</v>
          </cell>
          <cell r="F631">
            <v>43413</v>
          </cell>
          <cell r="G631" t="str">
            <v>OK</v>
          </cell>
        </row>
        <row r="632">
          <cell r="A632" t="str">
            <v>Y1811-0533</v>
          </cell>
          <cell r="B632">
            <v>201808</v>
          </cell>
          <cell r="C632" t="str">
            <v>0100166231</v>
          </cell>
          <cell r="D632" t="str">
            <v>M7650</v>
          </cell>
          <cell r="E632">
            <v>372</v>
          </cell>
          <cell r="F632">
            <v>43426</v>
          </cell>
          <cell r="G632" t="str">
            <v>OK</v>
          </cell>
        </row>
        <row r="633">
          <cell r="A633" t="str">
            <v>Y1811-0553</v>
          </cell>
          <cell r="B633">
            <v>201808</v>
          </cell>
          <cell r="C633" t="str">
            <v>0100166258</v>
          </cell>
          <cell r="D633" t="str">
            <v>M9160</v>
          </cell>
          <cell r="E633">
            <v>2556</v>
          </cell>
          <cell r="F633">
            <v>43428</v>
          </cell>
          <cell r="G633" t="str">
            <v>OK</v>
          </cell>
        </row>
        <row r="634">
          <cell r="A634" t="str">
            <v>Y1811-0554</v>
          </cell>
          <cell r="B634">
            <v>201808</v>
          </cell>
          <cell r="C634" t="str">
            <v>0100166260</v>
          </cell>
          <cell r="D634" t="str">
            <v>M3310</v>
          </cell>
          <cell r="E634">
            <v>5052</v>
          </cell>
          <cell r="F634">
            <v>43428</v>
          </cell>
          <cell r="G634" t="str">
            <v>OK</v>
          </cell>
        </row>
        <row r="635">
          <cell r="A635" t="str">
            <v>Y1811-0574</v>
          </cell>
          <cell r="B635">
            <v>201808</v>
          </cell>
          <cell r="C635" t="str">
            <v>0100166290</v>
          </cell>
          <cell r="D635" t="str">
            <v>M9160</v>
          </cell>
          <cell r="E635">
            <v>360</v>
          </cell>
          <cell r="F635">
            <v>43413</v>
          </cell>
          <cell r="G635" t="str">
            <v>OK</v>
          </cell>
        </row>
        <row r="636">
          <cell r="A636" t="str">
            <v>Y1811-0576</v>
          </cell>
          <cell r="B636">
            <v>201808</v>
          </cell>
          <cell r="C636" t="str">
            <v>0100166292</v>
          </cell>
          <cell r="D636" t="str">
            <v>M3310</v>
          </cell>
          <cell r="E636">
            <v>360</v>
          </cell>
          <cell r="F636">
            <v>43413</v>
          </cell>
          <cell r="G636" t="str">
            <v>OK</v>
          </cell>
        </row>
        <row r="637">
          <cell r="A637" t="str">
            <v>Y1811-0577</v>
          </cell>
          <cell r="B637">
            <v>201808</v>
          </cell>
          <cell r="C637" t="str">
            <v>0100166293</v>
          </cell>
          <cell r="D637" t="str">
            <v>M7650</v>
          </cell>
          <cell r="E637">
            <v>360</v>
          </cell>
          <cell r="F637">
            <v>43413</v>
          </cell>
          <cell r="G637" t="str">
            <v>OK</v>
          </cell>
        </row>
        <row r="638">
          <cell r="A638" t="str">
            <v>Y1811-0579</v>
          </cell>
          <cell r="B638">
            <v>201808</v>
          </cell>
          <cell r="C638" t="str">
            <v>0100166295</v>
          </cell>
          <cell r="D638" t="str">
            <v>M3310</v>
          </cell>
          <cell r="E638">
            <v>360</v>
          </cell>
          <cell r="F638">
            <v>43419</v>
          </cell>
          <cell r="G638" t="str">
            <v>OK</v>
          </cell>
        </row>
        <row r="639">
          <cell r="A639" t="str">
            <v>Y1811-0580</v>
          </cell>
          <cell r="B639">
            <v>201808</v>
          </cell>
          <cell r="C639" t="str">
            <v>0100166296</v>
          </cell>
          <cell r="D639" t="str">
            <v>M7650</v>
          </cell>
          <cell r="E639">
            <v>360</v>
          </cell>
          <cell r="F639">
            <v>43419</v>
          </cell>
          <cell r="G639" t="str">
            <v>OK</v>
          </cell>
        </row>
        <row r="640">
          <cell r="A640" t="str">
            <v>Y1811-0581</v>
          </cell>
          <cell r="B640">
            <v>201808</v>
          </cell>
          <cell r="C640" t="str">
            <v>0100166297</v>
          </cell>
          <cell r="D640" t="str">
            <v>M7650</v>
          </cell>
          <cell r="E640">
            <v>840</v>
          </cell>
          <cell r="F640">
            <v>43419</v>
          </cell>
          <cell r="G640" t="str">
            <v>OK</v>
          </cell>
        </row>
        <row r="641">
          <cell r="A641" t="str">
            <v>Y1811-0582</v>
          </cell>
          <cell r="B641">
            <v>201808</v>
          </cell>
          <cell r="C641" t="str">
            <v>0100166298</v>
          </cell>
          <cell r="D641" t="str">
            <v>M9160</v>
          </cell>
          <cell r="E641">
            <v>480</v>
          </cell>
          <cell r="F641">
            <v>43419</v>
          </cell>
          <cell r="G641" t="str">
            <v>OK</v>
          </cell>
        </row>
        <row r="642">
          <cell r="A642" t="str">
            <v>Y1811-0584</v>
          </cell>
          <cell r="B642">
            <v>201808</v>
          </cell>
          <cell r="C642" t="str">
            <v>0100166300</v>
          </cell>
          <cell r="D642" t="str">
            <v>M7650</v>
          </cell>
          <cell r="E642">
            <v>360</v>
          </cell>
          <cell r="F642">
            <v>43419</v>
          </cell>
          <cell r="G642" t="str">
            <v>OK</v>
          </cell>
        </row>
        <row r="643">
          <cell r="A643" t="str">
            <v>Y1811-0585</v>
          </cell>
          <cell r="B643">
            <v>201808</v>
          </cell>
          <cell r="C643" t="str">
            <v>0100166301</v>
          </cell>
          <cell r="D643" t="str">
            <v>M9160</v>
          </cell>
          <cell r="E643">
            <v>384</v>
          </cell>
          <cell r="F643">
            <v>43419</v>
          </cell>
          <cell r="G643" t="str">
            <v>OK</v>
          </cell>
        </row>
        <row r="644">
          <cell r="A644" t="str">
            <v>Y1811-0586</v>
          </cell>
          <cell r="B644">
            <v>201808</v>
          </cell>
          <cell r="C644" t="str">
            <v>0100166302</v>
          </cell>
          <cell r="D644" t="str">
            <v>M9160</v>
          </cell>
          <cell r="E644">
            <v>516</v>
          </cell>
          <cell r="F644">
            <v>43419</v>
          </cell>
          <cell r="G644" t="str">
            <v>OK</v>
          </cell>
        </row>
        <row r="645">
          <cell r="A645" t="str">
            <v>Y1811-0588</v>
          </cell>
          <cell r="B645">
            <v>201808</v>
          </cell>
          <cell r="C645" t="str">
            <v>0100166304</v>
          </cell>
          <cell r="D645" t="str">
            <v>M9160</v>
          </cell>
          <cell r="E645">
            <v>804</v>
          </cell>
          <cell r="F645">
            <v>43419</v>
          </cell>
          <cell r="G645" t="str">
            <v>OK</v>
          </cell>
        </row>
        <row r="646">
          <cell r="A646" t="str">
            <v>Y1811-0589</v>
          </cell>
          <cell r="B646">
            <v>201808</v>
          </cell>
          <cell r="C646" t="str">
            <v>0100166305</v>
          </cell>
          <cell r="D646" t="str">
            <v>M9160</v>
          </cell>
          <cell r="E646">
            <v>1356</v>
          </cell>
          <cell r="F646">
            <v>43419</v>
          </cell>
          <cell r="G646" t="str">
            <v>OK</v>
          </cell>
        </row>
        <row r="647">
          <cell r="A647" t="str">
            <v>Y1811-0590</v>
          </cell>
          <cell r="B647">
            <v>201808</v>
          </cell>
          <cell r="C647" t="str">
            <v>0100166306</v>
          </cell>
          <cell r="D647" t="str">
            <v>M7650</v>
          </cell>
          <cell r="E647">
            <v>1800</v>
          </cell>
          <cell r="F647">
            <v>43419</v>
          </cell>
          <cell r="G647" t="str">
            <v>OK</v>
          </cell>
        </row>
        <row r="648">
          <cell r="A648" t="str">
            <v>Y1811-0591</v>
          </cell>
          <cell r="B648">
            <v>201808</v>
          </cell>
          <cell r="C648" t="str">
            <v>0100166307</v>
          </cell>
          <cell r="D648" t="str">
            <v>M3310</v>
          </cell>
          <cell r="E648">
            <v>5004</v>
          </cell>
          <cell r="F648">
            <v>43419</v>
          </cell>
          <cell r="G648" t="str">
            <v>OK</v>
          </cell>
        </row>
        <row r="649">
          <cell r="A649" t="str">
            <v>Y1811-0596</v>
          </cell>
          <cell r="B649">
            <v>201808</v>
          </cell>
          <cell r="C649" t="str">
            <v>0100166312</v>
          </cell>
          <cell r="D649" t="str">
            <v>M3310</v>
          </cell>
          <cell r="E649">
            <v>1236</v>
          </cell>
          <cell r="F649">
            <v>43419</v>
          </cell>
          <cell r="G649" t="str">
            <v>OK</v>
          </cell>
        </row>
        <row r="650">
          <cell r="A650" t="str">
            <v>Y1811-0597</v>
          </cell>
          <cell r="B650">
            <v>201808</v>
          </cell>
          <cell r="C650" t="str">
            <v>0100166313</v>
          </cell>
          <cell r="D650" t="str">
            <v>M3310</v>
          </cell>
          <cell r="E650">
            <v>756</v>
          </cell>
          <cell r="F650">
            <v>43419</v>
          </cell>
          <cell r="G650" t="str">
            <v>OK</v>
          </cell>
        </row>
        <row r="651">
          <cell r="A651" t="str">
            <v>Y1811-0601</v>
          </cell>
          <cell r="B651">
            <v>201808</v>
          </cell>
          <cell r="C651" t="str">
            <v>0100167891</v>
          </cell>
          <cell r="D651" t="str">
            <v>M9160C</v>
          </cell>
          <cell r="E651">
            <v>360</v>
          </cell>
          <cell r="F651">
            <v>43417</v>
          </cell>
          <cell r="G651" t="str">
            <v>OK</v>
          </cell>
        </row>
        <row r="652">
          <cell r="A652" t="str">
            <v>Y1811-0613</v>
          </cell>
          <cell r="B652">
            <v>201808</v>
          </cell>
          <cell r="C652" t="str">
            <v>0100167905</v>
          </cell>
          <cell r="D652" t="str">
            <v>M9160C</v>
          </cell>
          <cell r="E652">
            <v>16872</v>
          </cell>
          <cell r="F652">
            <v>43432</v>
          </cell>
          <cell r="G652" t="str">
            <v>OK</v>
          </cell>
        </row>
        <row r="653">
          <cell r="A653" t="str">
            <v>Y1811-0616</v>
          </cell>
          <cell r="B653">
            <v>201808</v>
          </cell>
          <cell r="C653" t="str">
            <v>0100168105</v>
          </cell>
          <cell r="D653" t="str">
            <v>M9160C</v>
          </cell>
          <cell r="E653">
            <v>660</v>
          </cell>
          <cell r="F653">
            <v>43430</v>
          </cell>
          <cell r="G653" t="str">
            <v>OK</v>
          </cell>
        </row>
        <row r="654">
          <cell r="A654" t="str">
            <v>Y1811-0617</v>
          </cell>
          <cell r="B654">
            <v>201808</v>
          </cell>
          <cell r="C654" t="str">
            <v>0100168106</v>
          </cell>
          <cell r="D654" t="str">
            <v>M9160C</v>
          </cell>
          <cell r="E654">
            <v>432</v>
          </cell>
          <cell r="F654">
            <v>43430</v>
          </cell>
          <cell r="G654" t="str">
            <v>OK</v>
          </cell>
        </row>
        <row r="655">
          <cell r="A655" t="str">
            <v>Y1811-0618</v>
          </cell>
          <cell r="B655">
            <v>201808</v>
          </cell>
          <cell r="C655" t="str">
            <v>0100168107</v>
          </cell>
          <cell r="D655" t="str">
            <v>M9160C</v>
          </cell>
          <cell r="E655">
            <v>420</v>
          </cell>
          <cell r="F655">
            <v>43430</v>
          </cell>
          <cell r="G655" t="str">
            <v>OK</v>
          </cell>
        </row>
        <row r="656">
          <cell r="A656" t="str">
            <v>Y1811-0620</v>
          </cell>
          <cell r="B656">
            <v>201808</v>
          </cell>
          <cell r="C656" t="str">
            <v>0100168109</v>
          </cell>
          <cell r="D656" t="str">
            <v>M9166C</v>
          </cell>
          <cell r="E656">
            <v>4248</v>
          </cell>
          <cell r="F656">
            <v>43430</v>
          </cell>
          <cell r="G656" t="str">
            <v>OK</v>
          </cell>
        </row>
        <row r="657">
          <cell r="A657" t="str">
            <v>Y1811-0623</v>
          </cell>
          <cell r="B657">
            <v>201808</v>
          </cell>
          <cell r="C657" t="str">
            <v>0100168112</v>
          </cell>
          <cell r="D657" t="str">
            <v>M9166C</v>
          </cell>
          <cell r="E657">
            <v>5544</v>
          </cell>
          <cell r="F657">
            <v>43430</v>
          </cell>
          <cell r="G657" t="str">
            <v>OK</v>
          </cell>
        </row>
        <row r="658">
          <cell r="A658" t="str">
            <v>Y1811-0624</v>
          </cell>
          <cell r="B658">
            <v>201808</v>
          </cell>
          <cell r="C658" t="str">
            <v>0100168113</v>
          </cell>
          <cell r="D658" t="str">
            <v>M9160C</v>
          </cell>
          <cell r="E658">
            <v>2796</v>
          </cell>
          <cell r="F658">
            <v>43430</v>
          </cell>
          <cell r="G658" t="str">
            <v>OK</v>
          </cell>
        </row>
        <row r="659">
          <cell r="A659" t="str">
            <v>Y1811-0625</v>
          </cell>
          <cell r="B659">
            <v>201808</v>
          </cell>
          <cell r="C659" t="str">
            <v>0100168114</v>
          </cell>
          <cell r="D659" t="str">
            <v>M9160C</v>
          </cell>
          <cell r="E659">
            <v>1368</v>
          </cell>
          <cell r="F659">
            <v>43430</v>
          </cell>
          <cell r="G659" t="str">
            <v>OK</v>
          </cell>
        </row>
        <row r="660">
          <cell r="A660" t="str">
            <v>Y1811-0626</v>
          </cell>
          <cell r="B660">
            <v>201808</v>
          </cell>
          <cell r="C660" t="str">
            <v>0100168115</v>
          </cell>
          <cell r="D660" t="str">
            <v>M9166C</v>
          </cell>
          <cell r="E660">
            <v>540</v>
          </cell>
          <cell r="F660">
            <v>43430</v>
          </cell>
          <cell r="G660" t="str">
            <v>OK</v>
          </cell>
        </row>
        <row r="661">
          <cell r="A661" t="str">
            <v>Y1811-0629</v>
          </cell>
          <cell r="B661">
            <v>201808</v>
          </cell>
          <cell r="C661" t="str">
            <v>0100168118</v>
          </cell>
          <cell r="D661" t="str">
            <v>M9166C</v>
          </cell>
          <cell r="E661">
            <v>3624</v>
          </cell>
          <cell r="F661">
            <v>43430</v>
          </cell>
          <cell r="G661" t="str">
            <v>OK</v>
          </cell>
        </row>
        <row r="662">
          <cell r="A662" t="str">
            <v>Y1811-0631</v>
          </cell>
          <cell r="B662">
            <v>201808</v>
          </cell>
          <cell r="C662" t="str">
            <v>0100168120</v>
          </cell>
          <cell r="D662" t="str">
            <v>M9160C</v>
          </cell>
          <cell r="E662">
            <v>1164</v>
          </cell>
          <cell r="F662">
            <v>43430</v>
          </cell>
          <cell r="G662" t="str">
            <v>OK</v>
          </cell>
        </row>
        <row r="663">
          <cell r="A663" t="str">
            <v>Y1811-0635</v>
          </cell>
          <cell r="B663">
            <v>201808</v>
          </cell>
          <cell r="C663" t="str">
            <v>0100168126</v>
          </cell>
          <cell r="D663" t="str">
            <v>M9160C</v>
          </cell>
          <cell r="E663">
            <v>15438</v>
          </cell>
          <cell r="F663">
            <v>43432</v>
          </cell>
          <cell r="G663" t="str">
            <v>OK</v>
          </cell>
        </row>
        <row r="664">
          <cell r="A664" t="str">
            <v>Y1811-0638</v>
          </cell>
          <cell r="B664">
            <v>201808</v>
          </cell>
          <cell r="C664" t="str">
            <v>0100168247</v>
          </cell>
          <cell r="D664" t="str">
            <v>M9160C</v>
          </cell>
          <cell r="E664">
            <v>1500</v>
          </cell>
          <cell r="F664">
            <v>43430</v>
          </cell>
          <cell r="G664" t="str">
            <v>OK</v>
          </cell>
        </row>
        <row r="665">
          <cell r="A665" t="str">
            <v>Y1811-0639</v>
          </cell>
          <cell r="B665">
            <v>201808</v>
          </cell>
          <cell r="C665" t="str">
            <v>0100168248</v>
          </cell>
          <cell r="D665" t="str">
            <v>M9166C</v>
          </cell>
          <cell r="E665">
            <v>456</v>
          </cell>
          <cell r="F665">
            <v>43430</v>
          </cell>
          <cell r="G665" t="str">
            <v>OK</v>
          </cell>
        </row>
        <row r="666">
          <cell r="A666" t="str">
            <v>Y1811-0640</v>
          </cell>
          <cell r="B666">
            <v>201808</v>
          </cell>
          <cell r="C666" t="str">
            <v>0100168249</v>
          </cell>
          <cell r="D666" t="str">
            <v>M9166C</v>
          </cell>
          <cell r="E666">
            <v>660</v>
          </cell>
          <cell r="F666">
            <v>43430</v>
          </cell>
          <cell r="G666" t="str">
            <v>OK</v>
          </cell>
        </row>
        <row r="667">
          <cell r="A667" t="str">
            <v>Y1811-0642</v>
          </cell>
          <cell r="B667">
            <v>201808</v>
          </cell>
          <cell r="C667" t="str">
            <v>0100168251</v>
          </cell>
          <cell r="D667" t="str">
            <v>M9160C</v>
          </cell>
          <cell r="E667">
            <v>1956</v>
          </cell>
          <cell r="F667">
            <v>43430</v>
          </cell>
          <cell r="G667" t="str">
            <v>OK</v>
          </cell>
        </row>
        <row r="668">
          <cell r="A668" t="str">
            <v>Y1811-0643</v>
          </cell>
          <cell r="B668">
            <v>201808</v>
          </cell>
          <cell r="C668" t="str">
            <v>0100168252</v>
          </cell>
          <cell r="D668" t="str">
            <v>M9166C</v>
          </cell>
          <cell r="E668">
            <v>3276</v>
          </cell>
          <cell r="F668">
            <v>43430</v>
          </cell>
          <cell r="G668" t="str">
            <v>OK</v>
          </cell>
        </row>
        <row r="669">
          <cell r="A669" t="str">
            <v>Y1811-0646</v>
          </cell>
          <cell r="B669">
            <v>201808</v>
          </cell>
          <cell r="C669" t="str">
            <v>0100168255</v>
          </cell>
          <cell r="D669" t="str">
            <v>M9160C</v>
          </cell>
          <cell r="E669">
            <v>3504</v>
          </cell>
          <cell r="F669">
            <v>43430</v>
          </cell>
          <cell r="G669" t="str">
            <v>OK</v>
          </cell>
        </row>
        <row r="670">
          <cell r="A670" t="str">
            <v>Y1811-0647</v>
          </cell>
          <cell r="B670">
            <v>201808</v>
          </cell>
          <cell r="C670" t="str">
            <v>0100168256</v>
          </cell>
          <cell r="D670" t="str">
            <v>M9621C</v>
          </cell>
          <cell r="E670">
            <v>1080</v>
          </cell>
          <cell r="F670">
            <v>43430</v>
          </cell>
          <cell r="G670" t="str">
            <v>OK</v>
          </cell>
        </row>
        <row r="671">
          <cell r="A671" t="str">
            <v>Y1811-0655</v>
          </cell>
          <cell r="B671">
            <v>201808</v>
          </cell>
          <cell r="C671" t="str">
            <v>0100168399</v>
          </cell>
          <cell r="D671" t="str">
            <v>M9166C</v>
          </cell>
          <cell r="E671">
            <v>1212</v>
          </cell>
          <cell r="F671">
            <v>43430</v>
          </cell>
          <cell r="G671" t="str">
            <v>OK</v>
          </cell>
        </row>
        <row r="672">
          <cell r="A672" t="str">
            <v>Y1811-0658</v>
          </cell>
          <cell r="B672">
            <v>201808</v>
          </cell>
          <cell r="C672" t="str">
            <v>0100168402</v>
          </cell>
          <cell r="D672" t="str">
            <v>M9166C</v>
          </cell>
          <cell r="E672">
            <v>792</v>
          </cell>
          <cell r="F672">
            <v>43430</v>
          </cell>
          <cell r="G672" t="str">
            <v>OK</v>
          </cell>
        </row>
        <row r="673">
          <cell r="A673" t="str">
            <v>Y1811-0659</v>
          </cell>
          <cell r="B673">
            <v>201808</v>
          </cell>
          <cell r="C673" t="str">
            <v>0100168403</v>
          </cell>
          <cell r="D673" t="str">
            <v>M3310C</v>
          </cell>
          <cell r="E673">
            <v>2796</v>
          </cell>
          <cell r="F673">
            <v>43430</v>
          </cell>
          <cell r="G673" t="str">
            <v>OK</v>
          </cell>
        </row>
        <row r="674">
          <cell r="A674" t="str">
            <v>Y1811-0661</v>
          </cell>
          <cell r="B674">
            <v>201808</v>
          </cell>
          <cell r="C674" t="str">
            <v>0100168405</v>
          </cell>
          <cell r="D674" t="str">
            <v>M9696C</v>
          </cell>
          <cell r="E674">
            <v>1752</v>
          </cell>
          <cell r="F674">
            <v>43430</v>
          </cell>
          <cell r="G674" t="str">
            <v>OK</v>
          </cell>
        </row>
        <row r="675">
          <cell r="A675" t="str">
            <v>Y1811-0662</v>
          </cell>
          <cell r="B675">
            <v>201808</v>
          </cell>
          <cell r="C675" t="str">
            <v>0100168406</v>
          </cell>
          <cell r="D675" t="str">
            <v>M9697C</v>
          </cell>
          <cell r="E675">
            <v>1416</v>
          </cell>
          <cell r="F675">
            <v>43430</v>
          </cell>
          <cell r="G675" t="str">
            <v>OK</v>
          </cell>
        </row>
        <row r="676">
          <cell r="A676" t="str">
            <v>Y1811-0663</v>
          </cell>
          <cell r="B676">
            <v>201808</v>
          </cell>
          <cell r="C676" t="str">
            <v>0100168407</v>
          </cell>
          <cell r="D676" t="str">
            <v>M3310C</v>
          </cell>
          <cell r="E676">
            <v>1320</v>
          </cell>
          <cell r="F676">
            <v>43430</v>
          </cell>
          <cell r="G676" t="str">
            <v>OK</v>
          </cell>
        </row>
        <row r="677">
          <cell r="A677" t="str">
            <v>Y1811-0670</v>
          </cell>
          <cell r="B677">
            <v>201808</v>
          </cell>
          <cell r="C677" t="str">
            <v>0100168663</v>
          </cell>
          <cell r="D677" t="str">
            <v>M9160C</v>
          </cell>
          <cell r="E677">
            <v>10476</v>
          </cell>
          <cell r="F677">
            <v>43430</v>
          </cell>
          <cell r="G677" t="str">
            <v>OK</v>
          </cell>
        </row>
        <row r="678">
          <cell r="A678" t="str">
            <v>Y1811-0673</v>
          </cell>
          <cell r="B678">
            <v>201808</v>
          </cell>
          <cell r="C678" t="str">
            <v>0100168666</v>
          </cell>
          <cell r="D678" t="str">
            <v>M9160C</v>
          </cell>
          <cell r="E678">
            <v>3240</v>
          </cell>
          <cell r="F678">
            <v>43430</v>
          </cell>
          <cell r="G678" t="str">
            <v>OK</v>
          </cell>
        </row>
        <row r="679">
          <cell r="A679" t="str">
            <v>Y1811-0678</v>
          </cell>
          <cell r="B679">
            <v>201808</v>
          </cell>
          <cell r="C679" t="str">
            <v>0100168765</v>
          </cell>
          <cell r="D679" t="str">
            <v>M9160C</v>
          </cell>
          <cell r="E679">
            <v>1128</v>
          </cell>
          <cell r="F679">
            <v>43430</v>
          </cell>
          <cell r="G679" t="str">
            <v>OK</v>
          </cell>
        </row>
        <row r="680">
          <cell r="A680" t="str">
            <v>Y1811-0679</v>
          </cell>
          <cell r="B680">
            <v>201808</v>
          </cell>
          <cell r="C680" t="str">
            <v>0100168766</v>
          </cell>
          <cell r="D680" t="str">
            <v>M9160C</v>
          </cell>
          <cell r="E680">
            <v>204</v>
          </cell>
          <cell r="F680">
            <v>43430</v>
          </cell>
          <cell r="G680" t="str">
            <v>OK</v>
          </cell>
        </row>
        <row r="681">
          <cell r="A681" t="str">
            <v>Y1811-0732</v>
          </cell>
          <cell r="B681">
            <v>201808</v>
          </cell>
          <cell r="C681" t="str">
            <v>4600062683</v>
          </cell>
          <cell r="D681" t="str">
            <v>M9621C</v>
          </cell>
          <cell r="E681">
            <v>588</v>
          </cell>
          <cell r="F681">
            <v>43408</v>
          </cell>
          <cell r="G681" t="str">
            <v>OK</v>
          </cell>
        </row>
        <row r="682">
          <cell r="A682" t="str">
            <v>Y1811-0733</v>
          </cell>
          <cell r="B682">
            <v>201808</v>
          </cell>
          <cell r="C682" t="str">
            <v>4600062684</v>
          </cell>
          <cell r="D682" t="str">
            <v>M9621C</v>
          </cell>
          <cell r="E682">
            <v>480</v>
          </cell>
          <cell r="F682">
            <v>43408</v>
          </cell>
          <cell r="G682" t="str">
            <v>OK</v>
          </cell>
        </row>
        <row r="683">
          <cell r="A683" t="str">
            <v>Y1811-0575</v>
          </cell>
          <cell r="B683">
            <v>201808</v>
          </cell>
          <cell r="C683" t="str">
            <v>0100166291</v>
          </cell>
          <cell r="D683" t="str">
            <v>M9696</v>
          </cell>
          <cell r="E683">
            <v>360</v>
          </cell>
          <cell r="F683">
            <v>43413</v>
          </cell>
          <cell r="G683" t="str">
            <v>OK</v>
          </cell>
        </row>
        <row r="684">
          <cell r="A684" t="str">
            <v>Y1811-0592</v>
          </cell>
          <cell r="B684">
            <v>201808</v>
          </cell>
          <cell r="C684" t="str">
            <v>0100166308</v>
          </cell>
          <cell r="D684" t="str">
            <v>M9696</v>
          </cell>
          <cell r="E684">
            <v>4008</v>
          </cell>
          <cell r="F684">
            <v>43419</v>
          </cell>
          <cell r="G684" t="str">
            <v>OK</v>
          </cell>
        </row>
        <row r="685">
          <cell r="A685" t="str">
            <v>Y1811-0595</v>
          </cell>
          <cell r="B685">
            <v>201808</v>
          </cell>
          <cell r="C685" t="str">
            <v>0100166311</v>
          </cell>
          <cell r="D685" t="str">
            <v>M9696</v>
          </cell>
          <cell r="E685">
            <v>492</v>
          </cell>
          <cell r="F685">
            <v>43419</v>
          </cell>
          <cell r="G685" t="str">
            <v>OK</v>
          </cell>
        </row>
        <row r="686">
          <cell r="A686" t="str">
            <v>Y1811-0598</v>
          </cell>
          <cell r="B686">
            <v>201808</v>
          </cell>
          <cell r="C686" t="str">
            <v>0100166314</v>
          </cell>
          <cell r="D686" t="str">
            <v>M9696</v>
          </cell>
          <cell r="E686">
            <v>516</v>
          </cell>
          <cell r="F686">
            <v>43419</v>
          </cell>
          <cell r="G686" t="str">
            <v>OK</v>
          </cell>
        </row>
        <row r="687">
          <cell r="A687" t="str">
            <v>Y1811-0628</v>
          </cell>
          <cell r="B687">
            <v>201808</v>
          </cell>
          <cell r="C687" t="str">
            <v>0100168117</v>
          </cell>
          <cell r="D687" t="str">
            <v>M9697C</v>
          </cell>
          <cell r="E687">
            <v>18660</v>
          </cell>
          <cell r="F687">
            <v>43430</v>
          </cell>
          <cell r="G687" t="str">
            <v>OK</v>
          </cell>
        </row>
        <row r="688">
          <cell r="A688" t="str">
            <v>Y1811-0677</v>
          </cell>
          <cell r="B688">
            <v>201808</v>
          </cell>
          <cell r="C688" t="str">
            <v>0100168764</v>
          </cell>
          <cell r="D688" t="str">
            <v>M9697C</v>
          </cell>
          <cell r="E688">
            <v>16980</v>
          </cell>
          <cell r="F688">
            <v>43430</v>
          </cell>
          <cell r="G688" t="str">
            <v>OK</v>
          </cell>
        </row>
        <row r="689">
          <cell r="A689" t="str">
            <v>Y1811-0167</v>
          </cell>
          <cell r="B689">
            <v>201807</v>
          </cell>
          <cell r="C689" t="str">
            <v>0100160924</v>
          </cell>
          <cell r="D689" t="str">
            <v>3J256C</v>
          </cell>
          <cell r="E689">
            <v>360</v>
          </cell>
          <cell r="F689">
            <v>43418</v>
          </cell>
          <cell r="G689" t="str">
            <v>OK</v>
          </cell>
        </row>
        <row r="690">
          <cell r="A690" t="str">
            <v>Y1811-0324</v>
          </cell>
          <cell r="B690">
            <v>201807</v>
          </cell>
          <cell r="C690" t="str">
            <v>0100163541</v>
          </cell>
          <cell r="D690" t="str">
            <v>3J256C</v>
          </cell>
          <cell r="E690">
            <v>1008</v>
          </cell>
          <cell r="F690">
            <v>43418</v>
          </cell>
          <cell r="G690" t="str">
            <v>OK</v>
          </cell>
        </row>
        <row r="691">
          <cell r="A691" t="str">
            <v>Y1811-0348</v>
          </cell>
          <cell r="B691">
            <v>201807</v>
          </cell>
          <cell r="C691" t="str">
            <v>0100164243</v>
          </cell>
          <cell r="D691" t="str">
            <v>7J233C</v>
          </cell>
          <cell r="E691">
            <v>360</v>
          </cell>
          <cell r="F691">
            <v>43418</v>
          </cell>
          <cell r="G691" t="str">
            <v>OK</v>
          </cell>
        </row>
        <row r="692">
          <cell r="A692" t="str">
            <v>Y1811-0349</v>
          </cell>
          <cell r="B692">
            <v>201807</v>
          </cell>
          <cell r="C692" t="str">
            <v>0100164278</v>
          </cell>
          <cell r="D692" t="str">
            <v>7J256C</v>
          </cell>
          <cell r="E692">
            <v>708</v>
          </cell>
          <cell r="F692">
            <v>43418</v>
          </cell>
          <cell r="G692" t="str">
            <v>OK</v>
          </cell>
        </row>
        <row r="693">
          <cell r="A693" t="str">
            <v>Y1811-0023</v>
          </cell>
          <cell r="B693">
            <v>201807</v>
          </cell>
          <cell r="C693" t="str">
            <v>0100160660</v>
          </cell>
          <cell r="D693" t="str">
            <v>8J231</v>
          </cell>
          <cell r="E693">
            <v>1428</v>
          </cell>
          <cell r="F693">
            <v>43420</v>
          </cell>
          <cell r="G693" t="str">
            <v>OK</v>
          </cell>
        </row>
        <row r="694">
          <cell r="A694" t="str">
            <v>Y1811-0056</v>
          </cell>
          <cell r="B694">
            <v>201807</v>
          </cell>
          <cell r="C694" t="str">
            <v>0100160729</v>
          </cell>
          <cell r="D694" t="str">
            <v>8J231</v>
          </cell>
          <cell r="E694">
            <v>600</v>
          </cell>
          <cell r="F694">
            <v>43414</v>
          </cell>
          <cell r="G694" t="str">
            <v>OK</v>
          </cell>
        </row>
        <row r="695">
          <cell r="A695" t="str">
            <v>Y1811-0114</v>
          </cell>
          <cell r="B695">
            <v>201807</v>
          </cell>
          <cell r="C695" t="str">
            <v>0100160849</v>
          </cell>
          <cell r="D695" t="str">
            <v>8J231</v>
          </cell>
          <cell r="E695">
            <v>1176</v>
          </cell>
          <cell r="F695">
            <v>43417</v>
          </cell>
          <cell r="G695" t="str">
            <v>OK</v>
          </cell>
        </row>
        <row r="696">
          <cell r="A696" t="str">
            <v>Y1811-0217</v>
          </cell>
          <cell r="B696">
            <v>201807</v>
          </cell>
          <cell r="C696" t="str">
            <v>0100160974</v>
          </cell>
          <cell r="D696" t="str">
            <v>8J231</v>
          </cell>
          <cell r="E696">
            <v>120</v>
          </cell>
          <cell r="F696">
            <v>43432</v>
          </cell>
          <cell r="G696" t="str">
            <v>OK</v>
          </cell>
        </row>
        <row r="697">
          <cell r="A697" t="str">
            <v>Y1811-0263</v>
          </cell>
          <cell r="B697">
            <v>201807</v>
          </cell>
          <cell r="C697" t="str">
            <v>0100161026</v>
          </cell>
          <cell r="D697" t="str">
            <v>8J231</v>
          </cell>
          <cell r="E697">
            <v>300</v>
          </cell>
          <cell r="F697">
            <v>43428</v>
          </cell>
          <cell r="G697" t="str">
            <v>OK</v>
          </cell>
        </row>
        <row r="698">
          <cell r="A698" t="str">
            <v>Y1811-0286</v>
          </cell>
          <cell r="B698">
            <v>201807</v>
          </cell>
          <cell r="C698" t="str">
            <v>0100161147</v>
          </cell>
          <cell r="D698" t="str">
            <v>8J231</v>
          </cell>
          <cell r="E698">
            <v>900</v>
          </cell>
          <cell r="F698">
            <v>43422</v>
          </cell>
          <cell r="G698" t="str">
            <v>OK</v>
          </cell>
        </row>
        <row r="699">
          <cell r="A699" t="str">
            <v>Y1811-0019</v>
          </cell>
          <cell r="B699">
            <v>201807</v>
          </cell>
          <cell r="C699" t="str">
            <v>0100160650</v>
          </cell>
          <cell r="D699">
            <v>88871</v>
          </cell>
          <cell r="E699">
            <v>1524</v>
          </cell>
          <cell r="F699">
            <v>43420</v>
          </cell>
          <cell r="G699" t="str">
            <v>OK</v>
          </cell>
        </row>
        <row r="700">
          <cell r="A700" t="str">
            <v>Y1811-0022</v>
          </cell>
          <cell r="B700">
            <v>201807</v>
          </cell>
          <cell r="C700" t="str">
            <v>0100160659</v>
          </cell>
          <cell r="D700">
            <v>88877</v>
          </cell>
          <cell r="E700">
            <v>1116</v>
          </cell>
          <cell r="F700">
            <v>43420</v>
          </cell>
          <cell r="G700" t="str">
            <v>OK</v>
          </cell>
        </row>
        <row r="701">
          <cell r="A701" t="str">
            <v>Y1811-0032</v>
          </cell>
          <cell r="B701">
            <v>201807</v>
          </cell>
          <cell r="C701" t="str">
            <v>0100160694</v>
          </cell>
          <cell r="D701">
            <v>81229</v>
          </cell>
          <cell r="E701">
            <v>1248</v>
          </cell>
          <cell r="F701">
            <v>43420</v>
          </cell>
          <cell r="G701" t="str">
            <v>OK</v>
          </cell>
        </row>
        <row r="702">
          <cell r="A702" t="str">
            <v>Y1811-0054</v>
          </cell>
          <cell r="B702">
            <v>201807</v>
          </cell>
          <cell r="C702" t="str">
            <v>0100160727</v>
          </cell>
          <cell r="D702">
            <v>88871</v>
          </cell>
          <cell r="E702">
            <v>360</v>
          </cell>
          <cell r="F702">
            <v>43414</v>
          </cell>
          <cell r="G702" t="str">
            <v>OK</v>
          </cell>
        </row>
        <row r="703">
          <cell r="A703" t="str">
            <v>Y1811-0055</v>
          </cell>
          <cell r="B703">
            <v>201807</v>
          </cell>
          <cell r="C703" t="str">
            <v>0100160728</v>
          </cell>
          <cell r="D703">
            <v>88875</v>
          </cell>
          <cell r="E703">
            <v>432</v>
          </cell>
          <cell r="F703">
            <v>43414</v>
          </cell>
          <cell r="G703" t="str">
            <v>OK</v>
          </cell>
        </row>
        <row r="704">
          <cell r="A704" t="str">
            <v>Y1811-0094</v>
          </cell>
          <cell r="B704">
            <v>201807</v>
          </cell>
          <cell r="C704" t="str">
            <v>0100160818</v>
          </cell>
          <cell r="D704">
            <v>88865</v>
          </cell>
          <cell r="E704">
            <v>6240</v>
          </cell>
          <cell r="F704">
            <v>43416</v>
          </cell>
          <cell r="G704" t="str">
            <v>OK</v>
          </cell>
        </row>
        <row r="705">
          <cell r="A705" t="str">
            <v>Y1811-0101</v>
          </cell>
          <cell r="B705">
            <v>201807</v>
          </cell>
          <cell r="C705" t="str">
            <v>0100160827</v>
          </cell>
          <cell r="D705">
            <v>88871</v>
          </cell>
          <cell r="E705">
            <v>4776</v>
          </cell>
          <cell r="F705">
            <v>43417</v>
          </cell>
          <cell r="G705" t="str">
            <v>OK</v>
          </cell>
        </row>
        <row r="706">
          <cell r="A706" t="str">
            <v>Y1811-0112</v>
          </cell>
          <cell r="B706">
            <v>201807</v>
          </cell>
          <cell r="C706" t="str">
            <v>0100160846</v>
          </cell>
          <cell r="D706">
            <v>88877</v>
          </cell>
          <cell r="E706">
            <v>7620</v>
          </cell>
          <cell r="F706">
            <v>43416</v>
          </cell>
          <cell r="G706" t="str">
            <v>OK</v>
          </cell>
        </row>
        <row r="707">
          <cell r="A707" t="str">
            <v>Y1811-0173</v>
          </cell>
          <cell r="B707">
            <v>201807</v>
          </cell>
          <cell r="C707" t="str">
            <v>0100160930</v>
          </cell>
          <cell r="D707">
            <v>88865</v>
          </cell>
          <cell r="E707">
            <v>372</v>
          </cell>
          <cell r="F707">
            <v>43418</v>
          </cell>
          <cell r="G707" t="str">
            <v>OK</v>
          </cell>
        </row>
        <row r="708">
          <cell r="A708" t="str">
            <v>Y1811-0215</v>
          </cell>
          <cell r="B708">
            <v>201807</v>
          </cell>
          <cell r="C708" t="str">
            <v>0100160972</v>
          </cell>
          <cell r="D708">
            <v>88871</v>
          </cell>
          <cell r="E708">
            <v>120</v>
          </cell>
          <cell r="F708">
            <v>43432</v>
          </cell>
          <cell r="G708" t="str">
            <v>OK</v>
          </cell>
        </row>
        <row r="709">
          <cell r="A709" t="str">
            <v>Y1811-0216</v>
          </cell>
          <cell r="B709">
            <v>201807</v>
          </cell>
          <cell r="C709" t="str">
            <v>0100160973</v>
          </cell>
          <cell r="D709">
            <v>88875</v>
          </cell>
          <cell r="E709">
            <v>120</v>
          </cell>
          <cell r="F709">
            <v>43432</v>
          </cell>
          <cell r="G709" t="str">
            <v>OK</v>
          </cell>
        </row>
        <row r="710">
          <cell r="A710" t="str">
            <v>Y1811-0257</v>
          </cell>
          <cell r="B710">
            <v>201807</v>
          </cell>
          <cell r="C710" t="str">
            <v>0100161020</v>
          </cell>
          <cell r="D710">
            <v>88871</v>
          </cell>
          <cell r="E710">
            <v>252</v>
          </cell>
          <cell r="F710">
            <v>43428</v>
          </cell>
          <cell r="G710" t="str">
            <v>OK</v>
          </cell>
        </row>
        <row r="711">
          <cell r="A711" t="str">
            <v>Y1811-0258</v>
          </cell>
          <cell r="B711">
            <v>201807</v>
          </cell>
          <cell r="C711" t="str">
            <v>0100161021</v>
          </cell>
          <cell r="D711">
            <v>88875</v>
          </cell>
          <cell r="E711">
            <v>180</v>
          </cell>
          <cell r="F711">
            <v>43428</v>
          </cell>
          <cell r="G711" t="str">
            <v>OK</v>
          </cell>
        </row>
        <row r="712">
          <cell r="A712" t="str">
            <v>Y1811-0288</v>
          </cell>
          <cell r="B712">
            <v>201807</v>
          </cell>
          <cell r="C712" t="str">
            <v>0100161149</v>
          </cell>
          <cell r="D712">
            <v>88871</v>
          </cell>
          <cell r="E712">
            <v>780</v>
          </cell>
          <cell r="F712">
            <v>43420</v>
          </cell>
          <cell r="G712" t="str">
            <v>OK</v>
          </cell>
        </row>
        <row r="713">
          <cell r="A713" t="str">
            <v>Y1811-0355</v>
          </cell>
          <cell r="B713">
            <v>201807</v>
          </cell>
          <cell r="C713" t="str">
            <v>0100164450</v>
          </cell>
          <cell r="D713">
            <v>88865</v>
          </cell>
          <cell r="E713">
            <v>288</v>
          </cell>
          <cell r="F713">
            <v>43417</v>
          </cell>
          <cell r="G713" t="str">
            <v>OK</v>
          </cell>
        </row>
        <row r="714">
          <cell r="A714" t="str">
            <v>Y1811-0356</v>
          </cell>
          <cell r="B714">
            <v>201807</v>
          </cell>
          <cell r="C714" t="str">
            <v>0100164451</v>
          </cell>
          <cell r="D714">
            <v>88871</v>
          </cell>
          <cell r="E714">
            <v>312</v>
          </cell>
          <cell r="F714">
            <v>43417</v>
          </cell>
          <cell r="G714" t="str">
            <v>OK</v>
          </cell>
        </row>
        <row r="715">
          <cell r="A715" t="str">
            <v>Y1811-0357</v>
          </cell>
          <cell r="B715">
            <v>201807</v>
          </cell>
          <cell r="C715" t="str">
            <v>0100164452</v>
          </cell>
          <cell r="D715">
            <v>88877</v>
          </cell>
          <cell r="E715">
            <v>276</v>
          </cell>
          <cell r="F715">
            <v>43417</v>
          </cell>
          <cell r="G715" t="str">
            <v>OK</v>
          </cell>
        </row>
        <row r="716">
          <cell r="A716" t="str">
            <v>Y1811-0141</v>
          </cell>
          <cell r="B716">
            <v>201807</v>
          </cell>
          <cell r="C716" t="str">
            <v>0100160898</v>
          </cell>
          <cell r="D716" t="str">
            <v>M5039C</v>
          </cell>
          <cell r="E716">
            <v>708</v>
          </cell>
          <cell r="F716">
            <v>43418</v>
          </cell>
          <cell r="G716" t="str">
            <v>OK</v>
          </cell>
        </row>
        <row r="717">
          <cell r="A717" t="str">
            <v>Y1811-0142</v>
          </cell>
          <cell r="B717">
            <v>201807</v>
          </cell>
          <cell r="C717" t="str">
            <v>0100160899</v>
          </cell>
          <cell r="D717" t="str">
            <v>M3310C</v>
          </cell>
          <cell r="E717">
            <v>780</v>
          </cell>
          <cell r="F717">
            <v>43418</v>
          </cell>
          <cell r="G717" t="str">
            <v>OK</v>
          </cell>
        </row>
        <row r="718">
          <cell r="A718" t="str">
            <v>Y1811-0143</v>
          </cell>
          <cell r="B718">
            <v>201807</v>
          </cell>
          <cell r="C718" t="str">
            <v>0100160900</v>
          </cell>
          <cell r="D718" t="str">
            <v>M3310C</v>
          </cell>
          <cell r="E718">
            <v>636</v>
          </cell>
          <cell r="F718">
            <v>43418</v>
          </cell>
          <cell r="G718" t="str">
            <v>OK</v>
          </cell>
        </row>
        <row r="719">
          <cell r="A719" t="str">
            <v>Y1811-0149</v>
          </cell>
          <cell r="B719">
            <v>201807</v>
          </cell>
          <cell r="C719" t="str">
            <v>0100160906</v>
          </cell>
          <cell r="D719" t="str">
            <v>1J794C</v>
          </cell>
          <cell r="E719">
            <v>360</v>
          </cell>
          <cell r="F719">
            <v>43418</v>
          </cell>
          <cell r="G719" t="str">
            <v>OK</v>
          </cell>
        </row>
        <row r="720">
          <cell r="A720" t="str">
            <v>Y1811-0153</v>
          </cell>
          <cell r="B720">
            <v>201807</v>
          </cell>
          <cell r="C720" t="str">
            <v>0100160910</v>
          </cell>
          <cell r="D720" t="str">
            <v>M5039C</v>
          </cell>
          <cell r="E720">
            <v>804</v>
          </cell>
          <cell r="F720">
            <v>43418</v>
          </cell>
          <cell r="G720" t="str">
            <v>OK</v>
          </cell>
        </row>
        <row r="721">
          <cell r="A721" t="str">
            <v>Y1811-0154</v>
          </cell>
          <cell r="B721">
            <v>201807</v>
          </cell>
          <cell r="C721" t="str">
            <v>0100160911</v>
          </cell>
          <cell r="D721" t="str">
            <v>M3310C</v>
          </cell>
          <cell r="E721">
            <v>408</v>
          </cell>
          <cell r="F721">
            <v>43418</v>
          </cell>
          <cell r="G721" t="str">
            <v>OK</v>
          </cell>
        </row>
        <row r="722">
          <cell r="A722" t="str">
            <v>Y1811-0155</v>
          </cell>
          <cell r="B722">
            <v>201807</v>
          </cell>
          <cell r="C722" t="str">
            <v>0100160912</v>
          </cell>
          <cell r="D722" t="str">
            <v>M5039C</v>
          </cell>
          <cell r="E722">
            <v>1080</v>
          </cell>
          <cell r="F722">
            <v>43418</v>
          </cell>
          <cell r="G722" t="str">
            <v>OK</v>
          </cell>
        </row>
        <row r="723">
          <cell r="A723" t="str">
            <v>Y1811-0157</v>
          </cell>
          <cell r="B723">
            <v>201807</v>
          </cell>
          <cell r="C723" t="str">
            <v>0100160914</v>
          </cell>
          <cell r="D723" t="str">
            <v>M3310C</v>
          </cell>
          <cell r="E723">
            <v>804</v>
          </cell>
          <cell r="F723">
            <v>43418</v>
          </cell>
          <cell r="G723" t="str">
            <v>OK</v>
          </cell>
        </row>
        <row r="724">
          <cell r="A724" t="str">
            <v>Y1811-0158</v>
          </cell>
          <cell r="B724">
            <v>201807</v>
          </cell>
          <cell r="C724" t="str">
            <v>0100160915</v>
          </cell>
          <cell r="D724" t="str">
            <v>M5039C</v>
          </cell>
          <cell r="E724">
            <v>1008</v>
          </cell>
          <cell r="F724">
            <v>43418</v>
          </cell>
          <cell r="G724" t="str">
            <v>OK</v>
          </cell>
        </row>
        <row r="725">
          <cell r="A725" t="str">
            <v>Y1811-0187</v>
          </cell>
          <cell r="B725">
            <v>201807</v>
          </cell>
          <cell r="C725" t="str">
            <v>0100160944</v>
          </cell>
          <cell r="D725" t="str">
            <v>7J233C</v>
          </cell>
          <cell r="E725">
            <v>288</v>
          </cell>
          <cell r="F725">
            <v>43418</v>
          </cell>
          <cell r="G725" t="str">
            <v>OK</v>
          </cell>
        </row>
        <row r="726">
          <cell r="A726" t="str">
            <v>Y1811-0295</v>
          </cell>
          <cell r="B726">
            <v>201807</v>
          </cell>
          <cell r="C726" t="str">
            <v>0100163097</v>
          </cell>
          <cell r="D726" t="str">
            <v>7J256C</v>
          </cell>
          <cell r="E726">
            <v>1104</v>
          </cell>
          <cell r="F726">
            <v>43417</v>
          </cell>
          <cell r="G726" t="str">
            <v>OK</v>
          </cell>
        </row>
        <row r="727">
          <cell r="A727" t="str">
            <v>Y1811-0296</v>
          </cell>
          <cell r="B727">
            <v>201807</v>
          </cell>
          <cell r="C727" t="str">
            <v>0100163098</v>
          </cell>
          <cell r="D727" t="str">
            <v>7J256C</v>
          </cell>
          <cell r="E727">
            <v>1812</v>
          </cell>
          <cell r="F727">
            <v>43417</v>
          </cell>
          <cell r="G727" t="str">
            <v>OK</v>
          </cell>
        </row>
        <row r="728">
          <cell r="A728" t="str">
            <v>Y1811-0311</v>
          </cell>
          <cell r="B728">
            <v>201807</v>
          </cell>
          <cell r="C728" t="str">
            <v>0100163309</v>
          </cell>
          <cell r="D728" t="str">
            <v>M3310C</v>
          </cell>
          <cell r="E728">
            <v>252</v>
          </cell>
          <cell r="F728">
            <v>43413</v>
          </cell>
          <cell r="G728" t="str">
            <v>OK</v>
          </cell>
        </row>
        <row r="729">
          <cell r="A729" t="str">
            <v>Y1811-0312</v>
          </cell>
          <cell r="B729">
            <v>201807</v>
          </cell>
          <cell r="C729" t="str">
            <v>0100163310</v>
          </cell>
          <cell r="D729" t="str">
            <v>M5039C</v>
          </cell>
          <cell r="E729">
            <v>468</v>
          </cell>
          <cell r="F729">
            <v>43413</v>
          </cell>
          <cell r="G729" t="str">
            <v>OK</v>
          </cell>
        </row>
        <row r="730">
          <cell r="A730" t="str">
            <v>Y1811-0323</v>
          </cell>
          <cell r="B730">
            <v>201807</v>
          </cell>
          <cell r="C730" t="str">
            <v>0100163540</v>
          </cell>
          <cell r="D730" t="str">
            <v>1J794C</v>
          </cell>
          <cell r="E730">
            <v>228</v>
          </cell>
          <cell r="F730">
            <v>43417</v>
          </cell>
          <cell r="G730" t="str">
            <v>OK</v>
          </cell>
        </row>
        <row r="731">
          <cell r="A731" t="str">
            <v>Y1811-0329</v>
          </cell>
          <cell r="B731">
            <v>201807</v>
          </cell>
          <cell r="C731" t="str">
            <v>0100163712</v>
          </cell>
          <cell r="D731" t="str">
            <v>M3310C</v>
          </cell>
          <cell r="E731">
            <v>1308</v>
          </cell>
          <cell r="F731">
            <v>43417</v>
          </cell>
          <cell r="G731" t="str">
            <v>OK</v>
          </cell>
        </row>
        <row r="732">
          <cell r="A732" t="str">
            <v>Y1902-0001</v>
          </cell>
          <cell r="B732">
            <v>201808</v>
          </cell>
          <cell r="C732" t="str">
            <v>0100166055</v>
          </cell>
          <cell r="D732" t="str">
            <v>264476F</v>
          </cell>
          <cell r="E732">
            <v>468</v>
          </cell>
          <cell r="F732">
            <v>43510</v>
          </cell>
          <cell r="G732" t="str">
            <v>OK</v>
          </cell>
        </row>
        <row r="733">
          <cell r="A733" t="str">
            <v>Y1902-0002</v>
          </cell>
          <cell r="B733">
            <v>201809</v>
          </cell>
          <cell r="C733" t="str">
            <v>0100169624</v>
          </cell>
          <cell r="D733" t="str">
            <v>264477F</v>
          </cell>
          <cell r="E733">
            <v>360</v>
          </cell>
          <cell r="F733">
            <v>43510</v>
          </cell>
          <cell r="G733" t="str">
            <v>11/06</v>
          </cell>
        </row>
        <row r="734">
          <cell r="A734" t="str">
            <v>Y1902-0003</v>
          </cell>
          <cell r="B734">
            <v>201809</v>
          </cell>
          <cell r="C734" t="str">
            <v>0100169626</v>
          </cell>
          <cell r="D734" t="str">
            <v>264477F</v>
          </cell>
          <cell r="E734">
            <v>360</v>
          </cell>
          <cell r="F734">
            <v>43510</v>
          </cell>
          <cell r="G734" t="str">
            <v>11/06</v>
          </cell>
        </row>
        <row r="735">
          <cell r="A735" t="str">
            <v>Y1902-0004</v>
          </cell>
          <cell r="B735">
            <v>201809</v>
          </cell>
          <cell r="C735" t="str">
            <v>0100169628</v>
          </cell>
          <cell r="D735">
            <v>88875</v>
          </cell>
          <cell r="E735">
            <v>240</v>
          </cell>
          <cell r="F735">
            <v>43510</v>
          </cell>
          <cell r="G735" t="str">
            <v>11/13</v>
          </cell>
        </row>
        <row r="736">
          <cell r="A736" t="str">
            <v>Y1902-0020</v>
          </cell>
          <cell r="B736">
            <v>201810</v>
          </cell>
          <cell r="C736" t="str">
            <v>0100174979</v>
          </cell>
          <cell r="D736">
            <v>88877</v>
          </cell>
          <cell r="E736">
            <v>552</v>
          </cell>
          <cell r="F736">
            <v>43510</v>
          </cell>
          <cell r="G736" t="str">
            <v>12/11</v>
          </cell>
        </row>
        <row r="737">
          <cell r="A737" t="str">
            <v>Y1902-0021</v>
          </cell>
          <cell r="B737">
            <v>201810</v>
          </cell>
          <cell r="C737" t="str">
            <v>0100174980</v>
          </cell>
          <cell r="D737">
            <v>81229</v>
          </cell>
          <cell r="E737">
            <v>240</v>
          </cell>
          <cell r="F737">
            <v>43510</v>
          </cell>
          <cell r="G737" t="str">
            <v>12/11</v>
          </cell>
        </row>
        <row r="738">
          <cell r="A738" t="str">
            <v>Y1902-0022</v>
          </cell>
          <cell r="B738">
            <v>201810</v>
          </cell>
          <cell r="C738" t="str">
            <v>0100174982</v>
          </cell>
          <cell r="D738" t="str">
            <v>8J231</v>
          </cell>
          <cell r="E738">
            <v>792</v>
          </cell>
          <cell r="F738">
            <v>43510</v>
          </cell>
          <cell r="G738" t="str">
            <v>12/11</v>
          </cell>
        </row>
        <row r="739">
          <cell r="A739" t="str">
            <v>Y1902-0023</v>
          </cell>
          <cell r="B739">
            <v>201810</v>
          </cell>
          <cell r="C739" t="str">
            <v>0100174992</v>
          </cell>
          <cell r="D739" t="str">
            <v>664184C</v>
          </cell>
          <cell r="E739">
            <v>156</v>
          </cell>
          <cell r="F739">
            <v>43510</v>
          </cell>
          <cell r="G739" t="str">
            <v>12/25</v>
          </cell>
        </row>
        <row r="740">
          <cell r="A740" t="str">
            <v>Y1902-0024</v>
          </cell>
          <cell r="B740">
            <v>201810</v>
          </cell>
          <cell r="C740" t="str">
            <v>0100174994</v>
          </cell>
          <cell r="D740">
            <v>88871</v>
          </cell>
          <cell r="E740">
            <v>612</v>
          </cell>
          <cell r="F740">
            <v>43510</v>
          </cell>
          <cell r="G740" t="str">
            <v>12/11</v>
          </cell>
        </row>
        <row r="741">
          <cell r="A741" t="str">
            <v>Y1903-0001</v>
          </cell>
          <cell r="B741">
            <v>201810</v>
          </cell>
          <cell r="C741" t="str">
            <v>0100175052</v>
          </cell>
          <cell r="D741" t="str">
            <v>564204C</v>
          </cell>
          <cell r="E741">
            <v>948</v>
          </cell>
          <cell r="F741">
            <v>43532</v>
          </cell>
          <cell r="G741" t="str">
            <v>CFM</v>
          </cell>
        </row>
        <row r="742">
          <cell r="A742" t="str">
            <v>Y1903-0002</v>
          </cell>
          <cell r="B742">
            <v>201810</v>
          </cell>
          <cell r="C742" t="str">
            <v>0100175053</v>
          </cell>
          <cell r="D742" t="str">
            <v>564205C</v>
          </cell>
          <cell r="E742">
            <v>2460</v>
          </cell>
          <cell r="F742">
            <v>43532</v>
          </cell>
          <cell r="G742" t="str">
            <v>CFM</v>
          </cell>
        </row>
        <row r="743">
          <cell r="A743" t="str">
            <v>Y1903-0003</v>
          </cell>
          <cell r="B743">
            <v>201810</v>
          </cell>
          <cell r="C743" t="str">
            <v>0100175054</v>
          </cell>
          <cell r="D743" t="str">
            <v>564206C</v>
          </cell>
          <cell r="E743">
            <v>1884</v>
          </cell>
          <cell r="F743">
            <v>43533</v>
          </cell>
          <cell r="G743" t="str">
            <v>CFM</v>
          </cell>
        </row>
        <row r="744">
          <cell r="A744" t="str">
            <v>Y1903-0004</v>
          </cell>
          <cell r="B744">
            <v>201810</v>
          </cell>
          <cell r="C744" t="str">
            <v>0100175055</v>
          </cell>
          <cell r="D744" t="str">
            <v>564207C</v>
          </cell>
          <cell r="E744">
            <v>600</v>
          </cell>
          <cell r="F744">
            <v>43533</v>
          </cell>
          <cell r="G744" t="str">
            <v>CFM</v>
          </cell>
        </row>
        <row r="745">
          <cell r="A745" t="str">
            <v>Y1903-0005</v>
          </cell>
          <cell r="B745">
            <v>201810</v>
          </cell>
          <cell r="C745" t="str">
            <v>0100175243</v>
          </cell>
          <cell r="D745" t="str">
            <v>M7652C</v>
          </cell>
          <cell r="E745">
            <v>3600</v>
          </cell>
          <cell r="F745">
            <v>43530</v>
          </cell>
          <cell r="G745" t="str">
            <v>12/25</v>
          </cell>
        </row>
        <row r="746">
          <cell r="A746" t="str">
            <v>Y1903-0006</v>
          </cell>
          <cell r="B746">
            <v>201810</v>
          </cell>
          <cell r="C746" t="str">
            <v>0100175246</v>
          </cell>
          <cell r="D746" t="str">
            <v>M7650C</v>
          </cell>
          <cell r="E746">
            <v>1584</v>
          </cell>
          <cell r="F746">
            <v>43530</v>
          </cell>
          <cell r="G746" t="str">
            <v>12/25</v>
          </cell>
        </row>
        <row r="747">
          <cell r="A747" t="str">
            <v>Y1903-0007</v>
          </cell>
          <cell r="B747">
            <v>201810</v>
          </cell>
          <cell r="C747" t="str">
            <v>0100175252</v>
          </cell>
          <cell r="D747" t="str">
            <v>M9697C</v>
          </cell>
          <cell r="E747">
            <v>468</v>
          </cell>
          <cell r="F747">
            <v>43530</v>
          </cell>
          <cell r="G747" t="str">
            <v>12/25</v>
          </cell>
        </row>
        <row r="748">
          <cell r="A748" t="str">
            <v>Y1903-0008</v>
          </cell>
          <cell r="B748">
            <v>201810</v>
          </cell>
          <cell r="C748" t="str">
            <v>0100175257</v>
          </cell>
          <cell r="D748" t="str">
            <v>3J256C</v>
          </cell>
          <cell r="E748">
            <v>276</v>
          </cell>
          <cell r="F748">
            <v>43530</v>
          </cell>
          <cell r="G748" t="str">
            <v>12/25</v>
          </cell>
        </row>
        <row r="749">
          <cell r="A749" t="str">
            <v>Y1903-0009</v>
          </cell>
          <cell r="B749">
            <v>201810</v>
          </cell>
          <cell r="C749" t="str">
            <v>0100175276</v>
          </cell>
          <cell r="D749" t="str">
            <v>636930C</v>
          </cell>
          <cell r="E749">
            <v>312</v>
          </cell>
          <cell r="F749">
            <v>43542</v>
          </cell>
          <cell r="G749" t="str">
            <v>12/25</v>
          </cell>
        </row>
        <row r="750">
          <cell r="A750" t="str">
            <v>Y1903-0010</v>
          </cell>
          <cell r="B750">
            <v>201810</v>
          </cell>
          <cell r="C750" t="str">
            <v>0100175288</v>
          </cell>
          <cell r="D750" t="str">
            <v>M9621C</v>
          </cell>
          <cell r="E750">
            <v>1272</v>
          </cell>
          <cell r="F750">
            <v>43525</v>
          </cell>
          <cell r="G750" t="str">
            <v>12/25</v>
          </cell>
        </row>
        <row r="751">
          <cell r="A751" t="str">
            <v>Y1903-0011</v>
          </cell>
          <cell r="B751">
            <v>201810</v>
          </cell>
          <cell r="C751" t="str">
            <v>0100175289</v>
          </cell>
          <cell r="D751" t="str">
            <v>M9696C</v>
          </cell>
          <cell r="E751">
            <v>972</v>
          </cell>
          <cell r="F751">
            <v>43525</v>
          </cell>
          <cell r="G751" t="str">
            <v>12/25</v>
          </cell>
        </row>
        <row r="752">
          <cell r="A752" t="str">
            <v>Y1903-0012</v>
          </cell>
          <cell r="B752">
            <v>201810</v>
          </cell>
          <cell r="C752" t="str">
            <v>0100175290</v>
          </cell>
          <cell r="D752" t="str">
            <v>3J256C</v>
          </cell>
          <cell r="E752">
            <v>204</v>
          </cell>
          <cell r="F752">
            <v>43525</v>
          </cell>
          <cell r="G752" t="str">
            <v>CFM</v>
          </cell>
        </row>
        <row r="753">
          <cell r="A753" t="str">
            <v>Y1903-0013</v>
          </cell>
          <cell r="B753">
            <v>201810</v>
          </cell>
          <cell r="C753" t="str">
            <v>0100175291</v>
          </cell>
          <cell r="D753" t="str">
            <v>3J253C</v>
          </cell>
          <cell r="E753">
            <v>168</v>
          </cell>
          <cell r="F753">
            <v>43525</v>
          </cell>
          <cell r="G753" t="str">
            <v>12/25</v>
          </cell>
        </row>
        <row r="754">
          <cell r="A754" t="str">
            <v>Y1903-0014</v>
          </cell>
          <cell r="B754">
            <v>201810</v>
          </cell>
          <cell r="C754" t="str">
            <v>0100175292</v>
          </cell>
          <cell r="D754" t="str">
            <v>158369C</v>
          </cell>
          <cell r="E754">
            <v>1212</v>
          </cell>
          <cell r="F754">
            <v>43525</v>
          </cell>
          <cell r="G754" t="str">
            <v>12/25</v>
          </cell>
        </row>
        <row r="755">
          <cell r="A755" t="str">
            <v>Y1903-0015</v>
          </cell>
          <cell r="B755">
            <v>201810</v>
          </cell>
          <cell r="C755" t="str">
            <v>0100175293</v>
          </cell>
          <cell r="D755" t="str">
            <v>M9697C</v>
          </cell>
          <cell r="E755">
            <v>2064</v>
          </cell>
          <cell r="F755">
            <v>43525</v>
          </cell>
          <cell r="G755" t="str">
            <v>12/25</v>
          </cell>
        </row>
        <row r="756">
          <cell r="A756" t="str">
            <v>Y1903-0016</v>
          </cell>
          <cell r="B756">
            <v>201810</v>
          </cell>
          <cell r="C756" t="str">
            <v>0100175294</v>
          </cell>
          <cell r="D756" t="str">
            <v>761307C</v>
          </cell>
          <cell r="E756">
            <v>276</v>
          </cell>
          <cell r="F756">
            <v>43525</v>
          </cell>
          <cell r="G756" t="str">
            <v>12/25</v>
          </cell>
        </row>
        <row r="757">
          <cell r="A757" t="str">
            <v>Y1903-0017</v>
          </cell>
          <cell r="B757">
            <v>201810</v>
          </cell>
          <cell r="C757" t="str">
            <v>0100175295</v>
          </cell>
          <cell r="D757" t="str">
            <v>164525C</v>
          </cell>
          <cell r="E757">
            <v>528</v>
          </cell>
          <cell r="F757">
            <v>43525</v>
          </cell>
          <cell r="G757" t="str">
            <v>12/25</v>
          </cell>
        </row>
        <row r="758">
          <cell r="A758" t="str">
            <v>Y1903-0018</v>
          </cell>
          <cell r="B758">
            <v>201810</v>
          </cell>
          <cell r="C758" t="str">
            <v>0100175296</v>
          </cell>
          <cell r="D758" t="str">
            <v>361307C</v>
          </cell>
          <cell r="E758">
            <v>300</v>
          </cell>
          <cell r="F758">
            <v>43525</v>
          </cell>
          <cell r="G758" t="str">
            <v>12/25</v>
          </cell>
        </row>
        <row r="759">
          <cell r="A759" t="str">
            <v>Y1903-0019</v>
          </cell>
          <cell r="B759">
            <v>201810</v>
          </cell>
          <cell r="C759" t="str">
            <v>0100175297</v>
          </cell>
          <cell r="D759" t="str">
            <v>361308C</v>
          </cell>
          <cell r="E759">
            <v>228</v>
          </cell>
          <cell r="F759">
            <v>43525</v>
          </cell>
          <cell r="G759" t="str">
            <v>12/25</v>
          </cell>
        </row>
        <row r="760">
          <cell r="A760" t="str">
            <v>Y1903-0020</v>
          </cell>
          <cell r="B760">
            <v>201810</v>
          </cell>
          <cell r="C760" t="str">
            <v>0100175298</v>
          </cell>
          <cell r="D760" t="str">
            <v>564608C</v>
          </cell>
          <cell r="E760">
            <v>216</v>
          </cell>
          <cell r="F760">
            <v>43525</v>
          </cell>
          <cell r="G760" t="str">
            <v>12/25</v>
          </cell>
        </row>
        <row r="761">
          <cell r="A761" t="str">
            <v>Y1903-0021</v>
          </cell>
          <cell r="B761">
            <v>201810</v>
          </cell>
          <cell r="C761" t="str">
            <v>0100175299</v>
          </cell>
          <cell r="D761" t="str">
            <v>364169C</v>
          </cell>
          <cell r="E761">
            <v>120</v>
          </cell>
          <cell r="F761">
            <v>43525</v>
          </cell>
          <cell r="G761" t="str">
            <v>12/25</v>
          </cell>
        </row>
        <row r="762">
          <cell r="A762" t="str">
            <v>Y1903-0022</v>
          </cell>
          <cell r="B762">
            <v>201810</v>
          </cell>
          <cell r="C762" t="str">
            <v>0100175300</v>
          </cell>
          <cell r="D762" t="str">
            <v>564609C</v>
          </cell>
          <cell r="E762">
            <v>216</v>
          </cell>
          <cell r="F762">
            <v>43525</v>
          </cell>
          <cell r="G762" t="str">
            <v>12/25</v>
          </cell>
        </row>
        <row r="763">
          <cell r="A763" t="str">
            <v>Y1903-0023</v>
          </cell>
          <cell r="B763">
            <v>201810</v>
          </cell>
          <cell r="C763" t="str">
            <v>0100175301</v>
          </cell>
          <cell r="D763" t="str">
            <v>560659C</v>
          </cell>
          <cell r="E763">
            <v>192</v>
          </cell>
          <cell r="F763">
            <v>43525</v>
          </cell>
          <cell r="G763" t="str">
            <v>12/25</v>
          </cell>
        </row>
        <row r="764">
          <cell r="A764" t="str">
            <v>Y1903-0024</v>
          </cell>
          <cell r="B764">
            <v>201810</v>
          </cell>
          <cell r="C764" t="str">
            <v>0100175302</v>
          </cell>
          <cell r="D764" t="str">
            <v>161577C</v>
          </cell>
          <cell r="E764">
            <v>300</v>
          </cell>
          <cell r="F764">
            <v>43525</v>
          </cell>
          <cell r="G764" t="str">
            <v>12/25</v>
          </cell>
        </row>
        <row r="765">
          <cell r="A765" t="str">
            <v>Y1903-0025</v>
          </cell>
          <cell r="B765">
            <v>201810</v>
          </cell>
          <cell r="C765" t="str">
            <v>0100175303</v>
          </cell>
          <cell r="D765" t="str">
            <v>764172C</v>
          </cell>
          <cell r="E765">
            <v>180</v>
          </cell>
          <cell r="F765">
            <v>43525</v>
          </cell>
          <cell r="G765" t="str">
            <v>12/25</v>
          </cell>
        </row>
        <row r="766">
          <cell r="A766" t="str">
            <v>Y1903-0026</v>
          </cell>
          <cell r="B766">
            <v>201810</v>
          </cell>
          <cell r="C766" t="str">
            <v>0100175304</v>
          </cell>
          <cell r="D766" t="str">
            <v>764173C</v>
          </cell>
          <cell r="E766">
            <v>120</v>
          </cell>
          <cell r="F766">
            <v>43525</v>
          </cell>
          <cell r="G766" t="str">
            <v>12/25</v>
          </cell>
        </row>
        <row r="767">
          <cell r="A767" t="str">
            <v>Y1903-0027</v>
          </cell>
          <cell r="B767">
            <v>201810</v>
          </cell>
          <cell r="C767" t="str">
            <v>0100175305</v>
          </cell>
          <cell r="D767" t="str">
            <v>764174C</v>
          </cell>
          <cell r="E767">
            <v>132</v>
          </cell>
          <cell r="F767">
            <v>43525</v>
          </cell>
          <cell r="G767" t="str">
            <v>12/25</v>
          </cell>
        </row>
        <row r="768">
          <cell r="A768" t="str">
            <v>Y1903-0028</v>
          </cell>
          <cell r="B768">
            <v>201810</v>
          </cell>
          <cell r="C768" t="str">
            <v>0100175306</v>
          </cell>
          <cell r="D768" t="str">
            <v>764238C</v>
          </cell>
          <cell r="E768">
            <v>120</v>
          </cell>
          <cell r="F768">
            <v>43525</v>
          </cell>
          <cell r="G768" t="str">
            <v>12/25</v>
          </cell>
        </row>
        <row r="769">
          <cell r="A769" t="str">
            <v>Y1903-0029</v>
          </cell>
          <cell r="B769">
            <v>201810</v>
          </cell>
          <cell r="C769" t="str">
            <v>0100175307</v>
          </cell>
          <cell r="D769" t="str">
            <v>564150C</v>
          </cell>
          <cell r="E769">
            <v>144</v>
          </cell>
          <cell r="F769">
            <v>43525</v>
          </cell>
          <cell r="G769" t="str">
            <v>CFM</v>
          </cell>
        </row>
        <row r="770">
          <cell r="A770" t="str">
            <v>Y1903-0030</v>
          </cell>
          <cell r="B770">
            <v>201810</v>
          </cell>
          <cell r="C770" t="str">
            <v>0100175308</v>
          </cell>
          <cell r="D770" t="str">
            <v>163269C</v>
          </cell>
          <cell r="E770">
            <v>324</v>
          </cell>
          <cell r="F770">
            <v>43525</v>
          </cell>
          <cell r="G770" t="str">
            <v>12/25</v>
          </cell>
        </row>
        <row r="771">
          <cell r="A771" t="str">
            <v>Y1903-0031</v>
          </cell>
          <cell r="B771">
            <v>201810</v>
          </cell>
          <cell r="C771" t="str">
            <v>0100175309</v>
          </cell>
          <cell r="D771" t="str">
            <v>564151C</v>
          </cell>
          <cell r="E771">
            <v>180</v>
          </cell>
          <cell r="F771">
            <v>43525</v>
          </cell>
          <cell r="G771" t="str">
            <v>CFM</v>
          </cell>
        </row>
        <row r="772">
          <cell r="A772" t="str">
            <v>Y1903-0032</v>
          </cell>
          <cell r="B772">
            <v>201810</v>
          </cell>
          <cell r="C772" t="str">
            <v>0100175310</v>
          </cell>
          <cell r="D772" t="str">
            <v>564152C</v>
          </cell>
          <cell r="E772">
            <v>156</v>
          </cell>
          <cell r="F772">
            <v>43525</v>
          </cell>
          <cell r="G772" t="str">
            <v>CFM</v>
          </cell>
        </row>
        <row r="773">
          <cell r="A773" t="str">
            <v>Y1903-0033</v>
          </cell>
          <cell r="B773">
            <v>201810</v>
          </cell>
          <cell r="C773" t="str">
            <v>0100175311</v>
          </cell>
          <cell r="D773" t="str">
            <v>564153C</v>
          </cell>
          <cell r="E773">
            <v>132</v>
          </cell>
          <cell r="F773">
            <v>43525</v>
          </cell>
          <cell r="G773" t="str">
            <v>CFM</v>
          </cell>
        </row>
        <row r="774">
          <cell r="A774" t="str">
            <v>Y1903-0034</v>
          </cell>
          <cell r="B774">
            <v>201810</v>
          </cell>
          <cell r="C774" t="str">
            <v>0100175312</v>
          </cell>
          <cell r="D774" t="str">
            <v>564204C</v>
          </cell>
          <cell r="E774">
            <v>120</v>
          </cell>
          <cell r="F774">
            <v>43554</v>
          </cell>
          <cell r="G774" t="str">
            <v>CFM</v>
          </cell>
        </row>
        <row r="775">
          <cell r="A775" t="str">
            <v>Y1903-0035</v>
          </cell>
          <cell r="B775">
            <v>201810</v>
          </cell>
          <cell r="C775" t="str">
            <v>0100175313</v>
          </cell>
          <cell r="D775" t="str">
            <v>564205C</v>
          </cell>
          <cell r="E775">
            <v>120</v>
          </cell>
          <cell r="F775">
            <v>43554</v>
          </cell>
          <cell r="G775" t="str">
            <v>CFM</v>
          </cell>
        </row>
        <row r="776">
          <cell r="A776" t="str">
            <v>Y1903-0036</v>
          </cell>
          <cell r="B776">
            <v>201810</v>
          </cell>
          <cell r="C776" t="str">
            <v>0100175314</v>
          </cell>
          <cell r="D776" t="str">
            <v>164358C</v>
          </cell>
          <cell r="E776">
            <v>216</v>
          </cell>
          <cell r="F776">
            <v>43525</v>
          </cell>
          <cell r="G776" t="str">
            <v>12/25</v>
          </cell>
        </row>
        <row r="777">
          <cell r="A777" t="str">
            <v>Y1903-0037</v>
          </cell>
          <cell r="B777">
            <v>201810</v>
          </cell>
          <cell r="C777" t="str">
            <v>0100175315</v>
          </cell>
          <cell r="D777" t="str">
            <v>564206C</v>
          </cell>
          <cell r="E777">
            <v>132</v>
          </cell>
          <cell r="F777">
            <v>43554</v>
          </cell>
          <cell r="G777" t="str">
            <v>CFM</v>
          </cell>
        </row>
        <row r="778">
          <cell r="A778" t="str">
            <v>Y1903-0038</v>
          </cell>
          <cell r="B778">
            <v>201810</v>
          </cell>
          <cell r="C778" t="str">
            <v>0100175316</v>
          </cell>
          <cell r="D778" t="str">
            <v>164359C</v>
          </cell>
          <cell r="E778">
            <v>180</v>
          </cell>
          <cell r="F778">
            <v>43525</v>
          </cell>
          <cell r="G778" t="str">
            <v>12/25</v>
          </cell>
        </row>
        <row r="779">
          <cell r="A779" t="str">
            <v>Y1903-0039</v>
          </cell>
          <cell r="B779">
            <v>201810</v>
          </cell>
          <cell r="C779" t="str">
            <v>0100175317</v>
          </cell>
          <cell r="D779" t="str">
            <v>761308C</v>
          </cell>
          <cell r="E779">
            <v>192</v>
          </cell>
          <cell r="F779">
            <v>43525</v>
          </cell>
          <cell r="G779" t="str">
            <v>12/25</v>
          </cell>
        </row>
        <row r="780">
          <cell r="A780" t="str">
            <v>Y1903-0040</v>
          </cell>
          <cell r="B780">
            <v>201810</v>
          </cell>
          <cell r="C780" t="str">
            <v>0100175318</v>
          </cell>
          <cell r="D780" t="str">
            <v>7J232C</v>
          </cell>
          <cell r="E780">
            <v>120</v>
          </cell>
          <cell r="F780">
            <v>43525</v>
          </cell>
          <cell r="G780" t="str">
            <v>12/25</v>
          </cell>
        </row>
        <row r="781">
          <cell r="A781" t="str">
            <v>Y1903-0041</v>
          </cell>
          <cell r="B781">
            <v>201810</v>
          </cell>
          <cell r="C781" t="str">
            <v>0100175319</v>
          </cell>
          <cell r="D781" t="str">
            <v>7J253C</v>
          </cell>
          <cell r="E781">
            <v>216</v>
          </cell>
          <cell r="F781">
            <v>43525</v>
          </cell>
          <cell r="G781" t="str">
            <v>12/25</v>
          </cell>
        </row>
        <row r="782">
          <cell r="A782" t="str">
            <v>Y1903-0042</v>
          </cell>
          <cell r="B782">
            <v>201810</v>
          </cell>
          <cell r="C782" t="str">
            <v>0100175320</v>
          </cell>
          <cell r="D782" t="str">
            <v>7J256C</v>
          </cell>
          <cell r="E782">
            <v>204</v>
          </cell>
          <cell r="F782">
            <v>43525</v>
          </cell>
          <cell r="G782" t="str">
            <v>12/25</v>
          </cell>
        </row>
        <row r="783">
          <cell r="A783" t="str">
            <v>Y1903-0043</v>
          </cell>
          <cell r="B783">
            <v>201810</v>
          </cell>
          <cell r="C783" t="str">
            <v>0100175321</v>
          </cell>
          <cell r="D783">
            <v>88877</v>
          </cell>
          <cell r="E783">
            <v>132</v>
          </cell>
          <cell r="F783">
            <v>43525</v>
          </cell>
          <cell r="G783" t="str">
            <v>12/25</v>
          </cell>
        </row>
        <row r="784">
          <cell r="A784" t="str">
            <v>Y1903-0044</v>
          </cell>
          <cell r="B784">
            <v>201810</v>
          </cell>
          <cell r="C784" t="str">
            <v>0100175322</v>
          </cell>
          <cell r="D784" t="str">
            <v>8J231</v>
          </cell>
          <cell r="E784">
            <v>192</v>
          </cell>
          <cell r="F784">
            <v>43525</v>
          </cell>
          <cell r="G784" t="str">
            <v>12/25</v>
          </cell>
        </row>
        <row r="785">
          <cell r="A785" t="str">
            <v>Y1903-0045</v>
          </cell>
          <cell r="B785">
            <v>201810</v>
          </cell>
          <cell r="C785" t="str">
            <v>0100175323</v>
          </cell>
          <cell r="D785" t="str">
            <v>164360C</v>
          </cell>
          <cell r="E785">
            <v>348</v>
          </cell>
          <cell r="F785">
            <v>43525</v>
          </cell>
          <cell r="G785" t="str">
            <v>12/25</v>
          </cell>
        </row>
        <row r="786">
          <cell r="A786" t="str">
            <v>Y1903-0046</v>
          </cell>
          <cell r="B786">
            <v>201810</v>
          </cell>
          <cell r="C786" t="str">
            <v>0100175324</v>
          </cell>
          <cell r="D786" t="str">
            <v>164361C</v>
          </cell>
          <cell r="E786">
            <v>324</v>
          </cell>
          <cell r="F786">
            <v>43525</v>
          </cell>
          <cell r="G786" t="str">
            <v>12/25</v>
          </cell>
        </row>
        <row r="787">
          <cell r="A787" t="str">
            <v>Y1903-0047</v>
          </cell>
          <cell r="B787">
            <v>201810</v>
          </cell>
          <cell r="C787" t="str">
            <v>0100175325</v>
          </cell>
          <cell r="D787" t="str">
            <v>164362C</v>
          </cell>
          <cell r="E787">
            <v>300</v>
          </cell>
          <cell r="F787">
            <v>43525</v>
          </cell>
          <cell r="G787" t="str">
            <v>12/25</v>
          </cell>
        </row>
        <row r="788">
          <cell r="A788" t="str">
            <v>Y1903-0048</v>
          </cell>
          <cell r="B788">
            <v>201810</v>
          </cell>
          <cell r="C788" t="str">
            <v>0100175326</v>
          </cell>
          <cell r="D788" t="str">
            <v>164390C</v>
          </cell>
          <cell r="E788">
            <v>120</v>
          </cell>
          <cell r="F788">
            <v>43525</v>
          </cell>
          <cell r="G788" t="str">
            <v>12/25</v>
          </cell>
        </row>
        <row r="789">
          <cell r="A789" t="str">
            <v>Y1903-0049</v>
          </cell>
          <cell r="B789">
            <v>201810</v>
          </cell>
          <cell r="C789" t="str">
            <v>0100175327</v>
          </cell>
          <cell r="D789" t="str">
            <v>164392C</v>
          </cell>
          <cell r="E789">
            <v>120</v>
          </cell>
          <cell r="F789">
            <v>43525</v>
          </cell>
          <cell r="G789" t="str">
            <v>01/01</v>
          </cell>
        </row>
        <row r="790">
          <cell r="A790" t="str">
            <v>Y1903-0050</v>
          </cell>
          <cell r="B790">
            <v>201810</v>
          </cell>
          <cell r="C790" t="str">
            <v>0100175328</v>
          </cell>
          <cell r="D790" t="str">
            <v>164393C</v>
          </cell>
          <cell r="E790">
            <v>144</v>
          </cell>
          <cell r="F790">
            <v>43525</v>
          </cell>
          <cell r="G790" t="str">
            <v>12/25</v>
          </cell>
        </row>
        <row r="791">
          <cell r="A791" t="str">
            <v>Y1903-0051</v>
          </cell>
          <cell r="B791">
            <v>201810</v>
          </cell>
          <cell r="C791" t="str">
            <v>0100175329</v>
          </cell>
          <cell r="D791" t="str">
            <v>M3310C</v>
          </cell>
          <cell r="E791">
            <v>780</v>
          </cell>
          <cell r="F791">
            <v>43525</v>
          </cell>
          <cell r="G791" t="str">
            <v>12/25</v>
          </cell>
        </row>
        <row r="792">
          <cell r="A792" t="str">
            <v>Y1903-0052</v>
          </cell>
          <cell r="B792">
            <v>201810</v>
          </cell>
          <cell r="C792" t="str">
            <v>0100175330</v>
          </cell>
          <cell r="D792" t="str">
            <v>M5039C</v>
          </cell>
          <cell r="E792">
            <v>1992</v>
          </cell>
          <cell r="F792">
            <v>43525</v>
          </cell>
          <cell r="G792" t="str">
            <v>12/25</v>
          </cell>
        </row>
        <row r="793">
          <cell r="A793" t="str">
            <v>Y1903-0053</v>
          </cell>
          <cell r="B793">
            <v>201810</v>
          </cell>
          <cell r="C793" t="str">
            <v>0100175377</v>
          </cell>
          <cell r="D793" t="str">
            <v>564205C</v>
          </cell>
          <cell r="E793">
            <v>276</v>
          </cell>
          <cell r="F793">
            <v>43548</v>
          </cell>
          <cell r="G793" t="str">
            <v>CFM</v>
          </cell>
        </row>
        <row r="794">
          <cell r="A794" t="str">
            <v>Y1903-0054</v>
          </cell>
          <cell r="B794">
            <v>201810</v>
          </cell>
          <cell r="C794" t="str">
            <v>0100175378</v>
          </cell>
          <cell r="D794" t="str">
            <v>564206C</v>
          </cell>
          <cell r="E794">
            <v>180</v>
          </cell>
          <cell r="F794">
            <v>43548</v>
          </cell>
          <cell r="G794" t="str">
            <v>CFM</v>
          </cell>
        </row>
        <row r="795">
          <cell r="A795" t="str">
            <v>Y1903-0055</v>
          </cell>
          <cell r="B795">
            <v>201810</v>
          </cell>
          <cell r="C795" t="str">
            <v>0100175411</v>
          </cell>
          <cell r="D795" t="str">
            <v>663605C</v>
          </cell>
          <cell r="E795">
            <v>360</v>
          </cell>
          <cell r="F795">
            <v>43549</v>
          </cell>
          <cell r="G795" t="str">
            <v>CFM</v>
          </cell>
        </row>
        <row r="796">
          <cell r="A796" t="str">
            <v>Y1903-0056</v>
          </cell>
          <cell r="B796">
            <v>201810</v>
          </cell>
          <cell r="C796" t="str">
            <v>0100175484</v>
          </cell>
          <cell r="D796" t="str">
            <v>549700F</v>
          </cell>
          <cell r="E796">
            <v>360</v>
          </cell>
          <cell r="F796">
            <v>43549</v>
          </cell>
          <cell r="G796" t="str">
            <v>12/25</v>
          </cell>
        </row>
        <row r="797">
          <cell r="A797" t="str">
            <v>Y1903-0057</v>
          </cell>
          <cell r="B797">
            <v>201810</v>
          </cell>
          <cell r="C797" t="str">
            <v>0100175541</v>
          </cell>
          <cell r="D797" t="str">
            <v>549700F</v>
          </cell>
          <cell r="E797">
            <v>402</v>
          </cell>
          <cell r="F797">
            <v>43532</v>
          </cell>
          <cell r="G797" t="str">
            <v>12/25</v>
          </cell>
        </row>
        <row r="798">
          <cell r="A798" t="str">
            <v>Y1903-0058</v>
          </cell>
          <cell r="B798">
            <v>201810</v>
          </cell>
          <cell r="C798" t="str">
            <v>4600064500</v>
          </cell>
          <cell r="D798" t="str">
            <v>564072C</v>
          </cell>
          <cell r="E798">
            <v>804</v>
          </cell>
          <cell r="F798">
            <v>43529</v>
          </cell>
          <cell r="G798" t="str">
            <v>12/25</v>
          </cell>
        </row>
        <row r="799">
          <cell r="A799" t="str">
            <v>Y1903-0059</v>
          </cell>
          <cell r="B799">
            <v>201810</v>
          </cell>
          <cell r="C799" t="str">
            <v>4600064501</v>
          </cell>
          <cell r="D799" t="str">
            <v>564071C</v>
          </cell>
          <cell r="E799">
            <v>1200</v>
          </cell>
          <cell r="F799">
            <v>43529</v>
          </cell>
          <cell r="G799" t="str">
            <v>12/25</v>
          </cell>
        </row>
        <row r="800">
          <cell r="A800" t="str">
            <v>Y1903-0060</v>
          </cell>
          <cell r="B800">
            <v>201810</v>
          </cell>
          <cell r="C800" t="str">
            <v>4600064504</v>
          </cell>
          <cell r="D800" t="str">
            <v>164060C</v>
          </cell>
          <cell r="E800">
            <v>996</v>
          </cell>
          <cell r="F800">
            <v>43525</v>
          </cell>
          <cell r="G800" t="str">
            <v>12/25</v>
          </cell>
        </row>
        <row r="801">
          <cell r="A801" t="str">
            <v>Y1903-0061</v>
          </cell>
          <cell r="B801">
            <v>201810</v>
          </cell>
          <cell r="C801" t="str">
            <v>4600064542</v>
          </cell>
          <cell r="D801" t="str">
            <v>564072C</v>
          </cell>
          <cell r="E801">
            <v>240</v>
          </cell>
          <cell r="F801">
            <v>43529</v>
          </cell>
          <cell r="G801" t="str">
            <v>12/25</v>
          </cell>
        </row>
        <row r="802">
          <cell r="A802" t="str">
            <v>Y1903-0062</v>
          </cell>
          <cell r="B802">
            <v>201810</v>
          </cell>
          <cell r="C802" t="str">
            <v>4600064543</v>
          </cell>
          <cell r="D802" t="str">
            <v>164060C</v>
          </cell>
          <cell r="E802">
            <v>240</v>
          </cell>
          <cell r="F802">
            <v>43525</v>
          </cell>
          <cell r="G802" t="str">
            <v>12/25</v>
          </cell>
        </row>
        <row r="803">
          <cell r="A803" t="str">
            <v>Y1903-0063</v>
          </cell>
          <cell r="B803">
            <v>201810</v>
          </cell>
          <cell r="C803" t="str">
            <v>4600064549</v>
          </cell>
          <cell r="D803" t="str">
            <v>564071C</v>
          </cell>
          <cell r="E803">
            <v>240</v>
          </cell>
          <cell r="F803">
            <v>43529</v>
          </cell>
          <cell r="G803" t="str">
            <v>12/25</v>
          </cell>
        </row>
        <row r="804">
          <cell r="A804" t="str">
            <v>Y1903-0064</v>
          </cell>
          <cell r="B804">
            <v>201810</v>
          </cell>
          <cell r="C804" t="str">
            <v>4600064556</v>
          </cell>
          <cell r="D804" t="str">
            <v>664184C</v>
          </cell>
          <cell r="E804">
            <v>312</v>
          </cell>
          <cell r="F804">
            <v>43529</v>
          </cell>
          <cell r="G804" t="str">
            <v>12/25</v>
          </cell>
        </row>
        <row r="805">
          <cell r="A805" t="str">
            <v>Y1903-0065</v>
          </cell>
          <cell r="B805">
            <v>201810</v>
          </cell>
          <cell r="C805" t="str">
            <v>4600064557</v>
          </cell>
          <cell r="D805" t="str">
            <v>164281C</v>
          </cell>
          <cell r="E805">
            <v>240</v>
          </cell>
          <cell r="F805">
            <v>43529</v>
          </cell>
          <cell r="G805" t="str">
            <v>12/25</v>
          </cell>
        </row>
        <row r="806">
          <cell r="A806" t="str">
            <v>Y1903-0066</v>
          </cell>
          <cell r="B806">
            <v>201810</v>
          </cell>
          <cell r="C806" t="str">
            <v>4600064558</v>
          </cell>
          <cell r="D806" t="str">
            <v>164280C</v>
          </cell>
          <cell r="E806">
            <v>360</v>
          </cell>
          <cell r="F806">
            <v>43529</v>
          </cell>
          <cell r="G806" t="str">
            <v>12/25</v>
          </cell>
        </row>
        <row r="807">
          <cell r="A807" t="str">
            <v>Y1903-0067</v>
          </cell>
          <cell r="B807">
            <v>201810</v>
          </cell>
          <cell r="C807" t="str">
            <v>4600064559</v>
          </cell>
          <cell r="D807" t="str">
            <v>564071C</v>
          </cell>
          <cell r="E807">
            <v>240</v>
          </cell>
          <cell r="F807">
            <v>43529</v>
          </cell>
          <cell r="G807" t="str">
            <v>12/25</v>
          </cell>
        </row>
        <row r="808">
          <cell r="A808" t="str">
            <v>Y1903-0068</v>
          </cell>
          <cell r="B808">
            <v>201810</v>
          </cell>
          <cell r="C808" t="str">
            <v>4600064560</v>
          </cell>
          <cell r="D808" t="str">
            <v>164282C</v>
          </cell>
          <cell r="E808">
            <v>180</v>
          </cell>
          <cell r="F808">
            <v>43529</v>
          </cell>
          <cell r="G808" t="str">
            <v>12/25</v>
          </cell>
        </row>
        <row r="809">
          <cell r="A809" t="str">
            <v>Y1903-0069</v>
          </cell>
          <cell r="B809">
            <v>201810</v>
          </cell>
          <cell r="C809" t="str">
            <v>4600064561</v>
          </cell>
          <cell r="D809" t="str">
            <v>564072C</v>
          </cell>
          <cell r="E809">
            <v>120</v>
          </cell>
          <cell r="F809">
            <v>43529</v>
          </cell>
          <cell r="G809" t="str">
            <v>12/25</v>
          </cell>
        </row>
        <row r="810">
          <cell r="A810" t="str">
            <v>Y1903-0070</v>
          </cell>
          <cell r="B810">
            <v>201810</v>
          </cell>
          <cell r="C810" t="str">
            <v>4600064562</v>
          </cell>
          <cell r="D810" t="str">
            <v>564070C</v>
          </cell>
          <cell r="E810">
            <v>120</v>
          </cell>
          <cell r="F810">
            <v>43529</v>
          </cell>
          <cell r="G810" t="str">
            <v>12/25</v>
          </cell>
        </row>
        <row r="811">
          <cell r="A811" t="str">
            <v>Y1903-0071</v>
          </cell>
          <cell r="B811">
            <v>201810</v>
          </cell>
          <cell r="C811" t="str">
            <v>4600064604</v>
          </cell>
          <cell r="D811" t="str">
            <v>164361C</v>
          </cell>
          <cell r="E811">
            <v>672</v>
          </cell>
          <cell r="F811">
            <v>43535</v>
          </cell>
          <cell r="G811" t="str">
            <v>CFM</v>
          </cell>
        </row>
        <row r="812">
          <cell r="A812" t="str">
            <v>Y1903-0072</v>
          </cell>
          <cell r="B812">
            <v>201810</v>
          </cell>
          <cell r="C812" t="str">
            <v>4600064605</v>
          </cell>
          <cell r="D812" t="str">
            <v>164220C</v>
          </cell>
          <cell r="E812">
            <v>180</v>
          </cell>
          <cell r="F812">
            <v>43529</v>
          </cell>
          <cell r="G812" t="str">
            <v>CFM</v>
          </cell>
        </row>
        <row r="813">
          <cell r="A813" t="str">
            <v>Y1903-0073</v>
          </cell>
          <cell r="B813">
            <v>201810</v>
          </cell>
          <cell r="C813" t="str">
            <v>4600064606</v>
          </cell>
          <cell r="D813" t="str">
            <v>164217C</v>
          </cell>
          <cell r="E813">
            <v>132</v>
          </cell>
          <cell r="F813">
            <v>43529</v>
          </cell>
          <cell r="G813" t="str">
            <v>CFM</v>
          </cell>
        </row>
        <row r="814">
          <cell r="A814" t="str">
            <v>Y1903-0074</v>
          </cell>
          <cell r="B814">
            <v>201810</v>
          </cell>
          <cell r="C814" t="str">
            <v>4600064607</v>
          </cell>
          <cell r="D814" t="str">
            <v>164217C</v>
          </cell>
          <cell r="E814">
            <v>444</v>
          </cell>
          <cell r="F814">
            <v>43529</v>
          </cell>
          <cell r="G814" t="str">
            <v>CFM</v>
          </cell>
        </row>
        <row r="815">
          <cell r="A815" t="str">
            <v>Y1903-0075</v>
          </cell>
          <cell r="B815">
            <v>201810</v>
          </cell>
          <cell r="C815" t="str">
            <v>4600064608</v>
          </cell>
          <cell r="D815" t="str">
            <v>161577C</v>
          </cell>
          <cell r="E815">
            <v>204</v>
          </cell>
          <cell r="F815">
            <v>43529</v>
          </cell>
          <cell r="G815" t="str">
            <v>CFM</v>
          </cell>
        </row>
        <row r="816">
          <cell r="A816" t="str">
            <v>Y1903-0076</v>
          </cell>
          <cell r="B816">
            <v>201810</v>
          </cell>
          <cell r="C816" t="str">
            <v>4600064613</v>
          </cell>
          <cell r="D816" t="str">
            <v>164282C</v>
          </cell>
          <cell r="E816">
            <v>528</v>
          </cell>
          <cell r="F816">
            <v>43529</v>
          </cell>
          <cell r="G816" t="str">
            <v>CFM</v>
          </cell>
        </row>
        <row r="817">
          <cell r="A817" t="str">
            <v>Y1903-0077</v>
          </cell>
          <cell r="B817">
            <v>201810</v>
          </cell>
          <cell r="C817" t="str">
            <v>4600064614</v>
          </cell>
          <cell r="D817" t="str">
            <v>164282C</v>
          </cell>
          <cell r="E817">
            <v>2052</v>
          </cell>
          <cell r="F817">
            <v>43529</v>
          </cell>
          <cell r="G817" t="str">
            <v>CFM</v>
          </cell>
        </row>
        <row r="818">
          <cell r="A818" t="str">
            <v>Y1903-0078</v>
          </cell>
          <cell r="B818">
            <v>201810</v>
          </cell>
          <cell r="C818" t="str">
            <v>4600064615</v>
          </cell>
          <cell r="D818" t="str">
            <v>164281C</v>
          </cell>
          <cell r="E818">
            <v>528</v>
          </cell>
          <cell r="F818">
            <v>43529</v>
          </cell>
          <cell r="G818" t="str">
            <v>CFM</v>
          </cell>
        </row>
        <row r="819">
          <cell r="A819" t="str">
            <v>Y1903-0079</v>
          </cell>
          <cell r="B819">
            <v>201810</v>
          </cell>
          <cell r="C819" t="str">
            <v>4600064616</v>
          </cell>
          <cell r="D819" t="str">
            <v>164280C</v>
          </cell>
          <cell r="E819">
            <v>492</v>
          </cell>
          <cell r="F819">
            <v>43529</v>
          </cell>
          <cell r="G819" t="str">
            <v>CFM</v>
          </cell>
        </row>
        <row r="820">
          <cell r="A820" t="str">
            <v>Y1903-0080</v>
          </cell>
          <cell r="B820">
            <v>201810</v>
          </cell>
          <cell r="C820" t="str">
            <v>4600064617</v>
          </cell>
          <cell r="D820" t="str">
            <v>164280C</v>
          </cell>
          <cell r="E820">
            <v>1980</v>
          </cell>
          <cell r="F820">
            <v>43529</v>
          </cell>
          <cell r="G820" t="str">
            <v>CFM</v>
          </cell>
        </row>
        <row r="821">
          <cell r="A821" t="str">
            <v>Y1903-0081</v>
          </cell>
          <cell r="B821">
            <v>201810</v>
          </cell>
          <cell r="C821" t="str">
            <v>4600064621</v>
          </cell>
          <cell r="D821" t="str">
            <v>164362C</v>
          </cell>
          <cell r="E821">
            <v>372</v>
          </cell>
          <cell r="F821">
            <v>43535</v>
          </cell>
          <cell r="G821" t="str">
            <v>CFM</v>
          </cell>
        </row>
        <row r="822">
          <cell r="A822" t="str">
            <v>Y1903-0082</v>
          </cell>
          <cell r="B822">
            <v>201810</v>
          </cell>
          <cell r="C822" t="str">
            <v>4600064622</v>
          </cell>
          <cell r="D822" t="str">
            <v>164359C</v>
          </cell>
          <cell r="E822">
            <v>168</v>
          </cell>
          <cell r="F822">
            <v>43535</v>
          </cell>
          <cell r="G822" t="str">
            <v>CFM</v>
          </cell>
        </row>
        <row r="823">
          <cell r="A823" t="str">
            <v>Y1903-0083</v>
          </cell>
          <cell r="B823">
            <v>201810</v>
          </cell>
          <cell r="C823" t="str">
            <v>4600064623</v>
          </cell>
          <cell r="D823" t="str">
            <v>164359C</v>
          </cell>
          <cell r="E823">
            <v>660</v>
          </cell>
          <cell r="F823">
            <v>43535</v>
          </cell>
          <cell r="G823" t="str">
            <v>CFM</v>
          </cell>
        </row>
        <row r="824">
          <cell r="A824" t="str">
            <v>Y1903-0084</v>
          </cell>
          <cell r="B824">
            <v>201810</v>
          </cell>
          <cell r="C824" t="str">
            <v>4600064624</v>
          </cell>
          <cell r="D824" t="str">
            <v>164361C</v>
          </cell>
          <cell r="E824">
            <v>180</v>
          </cell>
          <cell r="F824">
            <v>43535</v>
          </cell>
          <cell r="G824" t="str">
            <v>CFM</v>
          </cell>
        </row>
        <row r="825">
          <cell r="A825" t="str">
            <v>Y1903-0085</v>
          </cell>
          <cell r="B825">
            <v>201810</v>
          </cell>
          <cell r="C825" t="str">
            <v>4600064625</v>
          </cell>
          <cell r="D825" t="str">
            <v>364170C</v>
          </cell>
          <cell r="E825">
            <v>420</v>
          </cell>
          <cell r="F825">
            <v>43535</v>
          </cell>
          <cell r="G825" t="str">
            <v>CFM</v>
          </cell>
        </row>
        <row r="826">
          <cell r="A826" t="str">
            <v>Y1903-0086</v>
          </cell>
          <cell r="B826">
            <v>201810</v>
          </cell>
          <cell r="C826" t="str">
            <v>4600064626</v>
          </cell>
          <cell r="D826" t="str">
            <v>364170C</v>
          </cell>
          <cell r="E826">
            <v>144</v>
          </cell>
          <cell r="F826">
            <v>43535</v>
          </cell>
          <cell r="G826" t="str">
            <v>CFM</v>
          </cell>
        </row>
        <row r="827">
          <cell r="A827" t="str">
            <v>Y1903-0087</v>
          </cell>
          <cell r="B827">
            <v>201810</v>
          </cell>
          <cell r="C827" t="str">
            <v>4600064627</v>
          </cell>
          <cell r="D827" t="str">
            <v>364169C</v>
          </cell>
          <cell r="E827">
            <v>144</v>
          </cell>
          <cell r="F827">
            <v>43535</v>
          </cell>
          <cell r="G827" t="str">
            <v>CFM</v>
          </cell>
        </row>
        <row r="828">
          <cell r="A828" t="str">
            <v>Y1903-0088</v>
          </cell>
          <cell r="B828">
            <v>201810</v>
          </cell>
          <cell r="C828" t="str">
            <v>4600064628</v>
          </cell>
          <cell r="D828" t="str">
            <v>364169C</v>
          </cell>
          <cell r="E828">
            <v>408</v>
          </cell>
          <cell r="F828">
            <v>43535</v>
          </cell>
          <cell r="G828" t="str">
            <v>CFM</v>
          </cell>
        </row>
        <row r="829">
          <cell r="A829" t="str">
            <v>Y1903-0089</v>
          </cell>
          <cell r="B829">
            <v>201810</v>
          </cell>
          <cell r="C829" t="str">
            <v>4600064629</v>
          </cell>
          <cell r="D829" t="str">
            <v>164525C</v>
          </cell>
          <cell r="E829">
            <v>396</v>
          </cell>
          <cell r="F829">
            <v>43529</v>
          </cell>
          <cell r="G829" t="str">
            <v>CFM</v>
          </cell>
        </row>
        <row r="830">
          <cell r="A830" t="str">
            <v>Y1903-0090</v>
          </cell>
          <cell r="B830">
            <v>201810</v>
          </cell>
          <cell r="C830" t="str">
            <v>4600064630</v>
          </cell>
          <cell r="D830" t="str">
            <v>164362C</v>
          </cell>
          <cell r="E830">
            <v>132</v>
          </cell>
          <cell r="F830">
            <v>43535</v>
          </cell>
          <cell r="G830" t="str">
            <v>CFM</v>
          </cell>
        </row>
        <row r="831">
          <cell r="A831" t="str">
            <v>Y1903-0091</v>
          </cell>
          <cell r="B831">
            <v>201810</v>
          </cell>
          <cell r="C831" t="str">
            <v>4600064631</v>
          </cell>
          <cell r="D831" t="str">
            <v>164525C</v>
          </cell>
          <cell r="E831">
            <v>132</v>
          </cell>
          <cell r="F831">
            <v>43529</v>
          </cell>
          <cell r="G831" t="str">
            <v>CFM</v>
          </cell>
        </row>
        <row r="832">
          <cell r="A832" t="str">
            <v>Y1903-0092</v>
          </cell>
          <cell r="B832">
            <v>201810</v>
          </cell>
          <cell r="C832" t="str">
            <v>4600064632</v>
          </cell>
          <cell r="D832" t="str">
            <v>164390C</v>
          </cell>
          <cell r="E832">
            <v>132</v>
          </cell>
          <cell r="F832">
            <v>43529</v>
          </cell>
          <cell r="G832" t="str">
            <v>CFM</v>
          </cell>
        </row>
        <row r="833">
          <cell r="A833" t="str">
            <v>Y1903-0093</v>
          </cell>
          <cell r="B833">
            <v>201810</v>
          </cell>
          <cell r="C833" t="str">
            <v>4600064633</v>
          </cell>
          <cell r="D833" t="str">
            <v>164390C</v>
          </cell>
          <cell r="E833">
            <v>360</v>
          </cell>
          <cell r="F833">
            <v>43529</v>
          </cell>
          <cell r="G833" t="str">
            <v>CFM</v>
          </cell>
        </row>
        <row r="834">
          <cell r="A834" t="str">
            <v>Y1903-0094</v>
          </cell>
          <cell r="B834">
            <v>201810</v>
          </cell>
          <cell r="C834" t="str">
            <v>4600064634</v>
          </cell>
          <cell r="D834" t="str">
            <v>564207C</v>
          </cell>
          <cell r="E834">
            <v>672</v>
          </cell>
          <cell r="F834">
            <v>43532</v>
          </cell>
          <cell r="G834" t="str">
            <v>CFM</v>
          </cell>
        </row>
        <row r="835">
          <cell r="A835" t="str">
            <v>Y1903-0095</v>
          </cell>
          <cell r="B835">
            <v>201810</v>
          </cell>
          <cell r="C835" t="str">
            <v>4600064635</v>
          </cell>
          <cell r="D835" t="str">
            <v>564206C</v>
          </cell>
          <cell r="E835">
            <v>168</v>
          </cell>
          <cell r="F835">
            <v>43532</v>
          </cell>
          <cell r="G835" t="str">
            <v>CFM</v>
          </cell>
        </row>
        <row r="836">
          <cell r="A836" t="str">
            <v>Y1903-0096</v>
          </cell>
          <cell r="B836">
            <v>201810</v>
          </cell>
          <cell r="C836" t="str">
            <v>4600064636</v>
          </cell>
          <cell r="D836" t="str">
            <v>564205C</v>
          </cell>
          <cell r="E836">
            <v>168</v>
          </cell>
          <cell r="F836">
            <v>43532</v>
          </cell>
          <cell r="G836" t="str">
            <v>CFM</v>
          </cell>
        </row>
        <row r="837">
          <cell r="A837" t="str">
            <v>Y1903-0097</v>
          </cell>
          <cell r="B837">
            <v>201810</v>
          </cell>
          <cell r="C837" t="str">
            <v>4600064637</v>
          </cell>
          <cell r="D837" t="str">
            <v>564205C</v>
          </cell>
          <cell r="E837">
            <v>684</v>
          </cell>
          <cell r="F837">
            <v>43532</v>
          </cell>
          <cell r="G837" t="str">
            <v>CFM</v>
          </cell>
        </row>
        <row r="838">
          <cell r="A838" t="str">
            <v>Y1903-0098</v>
          </cell>
          <cell r="B838">
            <v>201810</v>
          </cell>
          <cell r="C838" t="str">
            <v>4600064638</v>
          </cell>
          <cell r="D838" t="str">
            <v>564154C</v>
          </cell>
          <cell r="E838">
            <v>792</v>
          </cell>
          <cell r="F838">
            <v>43530</v>
          </cell>
          <cell r="G838" t="str">
            <v>CFM</v>
          </cell>
        </row>
        <row r="839">
          <cell r="A839" t="str">
            <v>Y1903-0099</v>
          </cell>
          <cell r="B839">
            <v>201810</v>
          </cell>
          <cell r="C839" t="str">
            <v>4600064639</v>
          </cell>
          <cell r="D839" t="str">
            <v>564153C</v>
          </cell>
          <cell r="E839">
            <v>120</v>
          </cell>
          <cell r="F839">
            <v>43530</v>
          </cell>
          <cell r="G839" t="str">
            <v>CFM</v>
          </cell>
        </row>
        <row r="840">
          <cell r="A840" t="str">
            <v>Y1903-0100</v>
          </cell>
          <cell r="B840">
            <v>201810</v>
          </cell>
          <cell r="C840" t="str">
            <v>4600064640</v>
          </cell>
          <cell r="D840" t="str">
            <v>564207C</v>
          </cell>
          <cell r="E840">
            <v>168</v>
          </cell>
          <cell r="F840">
            <v>43532</v>
          </cell>
          <cell r="G840" t="str">
            <v>CFM</v>
          </cell>
        </row>
        <row r="841">
          <cell r="A841" t="str">
            <v>Y1903-0101</v>
          </cell>
          <cell r="B841">
            <v>201810</v>
          </cell>
          <cell r="C841" t="str">
            <v>4600064641</v>
          </cell>
          <cell r="D841" t="str">
            <v>564206C</v>
          </cell>
          <cell r="E841">
            <v>672</v>
          </cell>
          <cell r="F841">
            <v>43532</v>
          </cell>
          <cell r="G841" t="str">
            <v>CFM</v>
          </cell>
        </row>
        <row r="842">
          <cell r="A842" t="str">
            <v>Y1903-0102</v>
          </cell>
          <cell r="B842">
            <v>201810</v>
          </cell>
          <cell r="C842" t="str">
            <v>4600064642</v>
          </cell>
          <cell r="D842" t="str">
            <v>564204C</v>
          </cell>
          <cell r="E842">
            <v>168</v>
          </cell>
          <cell r="F842">
            <v>43535</v>
          </cell>
          <cell r="G842" t="str">
            <v>CFM</v>
          </cell>
        </row>
        <row r="843">
          <cell r="A843" t="str">
            <v>Y1903-0103</v>
          </cell>
          <cell r="B843">
            <v>201810</v>
          </cell>
          <cell r="C843" t="str">
            <v>4600064643</v>
          </cell>
          <cell r="D843" t="str">
            <v>564204C</v>
          </cell>
          <cell r="E843">
            <v>684</v>
          </cell>
          <cell r="F843">
            <v>43532</v>
          </cell>
          <cell r="G843" t="str">
            <v>CFM</v>
          </cell>
        </row>
        <row r="844">
          <cell r="A844" t="str">
            <v>Y1903-0104</v>
          </cell>
          <cell r="B844">
            <v>201810</v>
          </cell>
          <cell r="C844" t="str">
            <v>4600064644</v>
          </cell>
          <cell r="D844" t="str">
            <v>564154C</v>
          </cell>
          <cell r="E844">
            <v>204</v>
          </cell>
          <cell r="F844">
            <v>43530</v>
          </cell>
          <cell r="G844" t="str">
            <v>CFM</v>
          </cell>
        </row>
        <row r="845">
          <cell r="A845" t="str">
            <v>Y1903-0105</v>
          </cell>
          <cell r="B845">
            <v>201810</v>
          </cell>
          <cell r="C845" t="str">
            <v>4600064645</v>
          </cell>
          <cell r="D845" t="str">
            <v>564153C</v>
          </cell>
          <cell r="E845">
            <v>408</v>
          </cell>
          <cell r="F845">
            <v>43530</v>
          </cell>
          <cell r="G845" t="str">
            <v>CFM</v>
          </cell>
        </row>
        <row r="846">
          <cell r="A846" t="str">
            <v>Y1903-0106</v>
          </cell>
          <cell r="B846">
            <v>201810</v>
          </cell>
          <cell r="C846" t="str">
            <v>4600064646</v>
          </cell>
          <cell r="D846" t="str">
            <v>564152C</v>
          </cell>
          <cell r="E846">
            <v>204</v>
          </cell>
          <cell r="F846">
            <v>43530</v>
          </cell>
          <cell r="G846" t="str">
            <v>CFM</v>
          </cell>
        </row>
        <row r="847">
          <cell r="A847" t="str">
            <v>Y1903-0107</v>
          </cell>
          <cell r="B847">
            <v>201810</v>
          </cell>
          <cell r="C847" t="str">
            <v>4600064647</v>
          </cell>
          <cell r="D847" t="str">
            <v>564152C</v>
          </cell>
          <cell r="E847">
            <v>816</v>
          </cell>
          <cell r="F847">
            <v>43530</v>
          </cell>
          <cell r="G847" t="str">
            <v>CFM</v>
          </cell>
        </row>
        <row r="848">
          <cell r="A848" t="str">
            <v>Y1903-0108</v>
          </cell>
          <cell r="B848">
            <v>201810</v>
          </cell>
          <cell r="C848" t="str">
            <v>4600064648</v>
          </cell>
          <cell r="D848" t="str">
            <v>162580C</v>
          </cell>
          <cell r="E848">
            <v>144</v>
          </cell>
          <cell r="F848">
            <v>43529</v>
          </cell>
          <cell r="G848" t="str">
            <v>CFM</v>
          </cell>
        </row>
        <row r="849">
          <cell r="A849" t="str">
            <v>Y1903-0109</v>
          </cell>
          <cell r="B849">
            <v>201810</v>
          </cell>
          <cell r="C849" t="str">
            <v>4600064649</v>
          </cell>
          <cell r="D849" t="str">
            <v>162580C</v>
          </cell>
          <cell r="E849">
            <v>564</v>
          </cell>
          <cell r="F849">
            <v>43529</v>
          </cell>
          <cell r="G849" t="str">
            <v>CFM</v>
          </cell>
        </row>
        <row r="850">
          <cell r="A850" t="str">
            <v>Y1903-0110</v>
          </cell>
          <cell r="B850">
            <v>201810</v>
          </cell>
          <cell r="C850" t="str">
            <v>4600064650</v>
          </cell>
          <cell r="D850" t="str">
            <v>164281C</v>
          </cell>
          <cell r="E850">
            <v>2016</v>
          </cell>
          <cell r="F850">
            <v>43529</v>
          </cell>
          <cell r="G850" t="str">
            <v>CFM</v>
          </cell>
        </row>
        <row r="851">
          <cell r="A851" t="str">
            <v>Y1903-0111</v>
          </cell>
          <cell r="B851">
            <v>201810</v>
          </cell>
          <cell r="C851" t="str">
            <v>4600064651</v>
          </cell>
          <cell r="D851" t="str">
            <v>164220C</v>
          </cell>
          <cell r="E851">
            <v>732</v>
          </cell>
          <cell r="F851">
            <v>43529</v>
          </cell>
          <cell r="G851" t="str">
            <v>CFM</v>
          </cell>
        </row>
        <row r="852">
          <cell r="A852" t="str">
            <v>Y1903-0112</v>
          </cell>
          <cell r="B852">
            <v>201810</v>
          </cell>
          <cell r="C852" t="str">
            <v>4600064652</v>
          </cell>
          <cell r="D852" t="str">
            <v>164219C</v>
          </cell>
          <cell r="E852">
            <v>180</v>
          </cell>
          <cell r="F852">
            <v>43529</v>
          </cell>
          <cell r="G852" t="str">
            <v>CFM</v>
          </cell>
        </row>
        <row r="853">
          <cell r="A853" t="str">
            <v>Y1903-0113</v>
          </cell>
          <cell r="B853">
            <v>201810</v>
          </cell>
          <cell r="C853" t="str">
            <v>4600064653</v>
          </cell>
          <cell r="D853" t="str">
            <v>164219C</v>
          </cell>
          <cell r="E853">
            <v>744</v>
          </cell>
          <cell r="F853">
            <v>43529</v>
          </cell>
          <cell r="G853" t="str">
            <v>CFM</v>
          </cell>
        </row>
        <row r="854">
          <cell r="A854" t="str">
            <v>Y1903-0114</v>
          </cell>
          <cell r="B854">
            <v>201810</v>
          </cell>
          <cell r="C854" t="str">
            <v>4600064654</v>
          </cell>
          <cell r="D854" t="str">
            <v>161577C</v>
          </cell>
          <cell r="E854">
            <v>144</v>
          </cell>
          <cell r="F854">
            <v>43529</v>
          </cell>
          <cell r="G854" t="str">
            <v>CFM</v>
          </cell>
        </row>
        <row r="855">
          <cell r="A855" t="str">
            <v>Y1903-0115</v>
          </cell>
          <cell r="B855">
            <v>201810</v>
          </cell>
          <cell r="C855" t="str">
            <v>4600064770</v>
          </cell>
          <cell r="D855" t="str">
            <v>164361C</v>
          </cell>
          <cell r="E855">
            <v>216</v>
          </cell>
          <cell r="F855">
            <v>43529</v>
          </cell>
          <cell r="G855" t="str">
            <v>12/25</v>
          </cell>
        </row>
        <row r="856">
          <cell r="A856" t="str">
            <v>Y1903-0116</v>
          </cell>
          <cell r="B856">
            <v>201810</v>
          </cell>
          <cell r="C856" t="str">
            <v>4600064774</v>
          </cell>
          <cell r="D856" t="str">
            <v>764173C</v>
          </cell>
          <cell r="E856">
            <v>648</v>
          </cell>
          <cell r="F856">
            <v>43529</v>
          </cell>
          <cell r="G856" t="str">
            <v>12/25</v>
          </cell>
        </row>
        <row r="857">
          <cell r="A857" t="str">
            <v>Y1903-0117</v>
          </cell>
          <cell r="B857">
            <v>201810</v>
          </cell>
          <cell r="C857" t="str">
            <v>4600064776</v>
          </cell>
          <cell r="D857" t="str">
            <v>564153C</v>
          </cell>
          <cell r="E857">
            <v>120</v>
          </cell>
          <cell r="F857">
            <v>43527</v>
          </cell>
          <cell r="G857" t="str">
            <v>CFM</v>
          </cell>
        </row>
        <row r="858">
          <cell r="A858" t="str">
            <v>Y1903-0118</v>
          </cell>
          <cell r="B858">
            <v>201810</v>
          </cell>
          <cell r="C858" t="str">
            <v>4600064777</v>
          </cell>
          <cell r="D858" t="str">
            <v>564152C</v>
          </cell>
          <cell r="E858">
            <v>120</v>
          </cell>
          <cell r="F858">
            <v>43527</v>
          </cell>
          <cell r="G858" t="str">
            <v>CFM</v>
          </cell>
        </row>
        <row r="859">
          <cell r="A859" t="str">
            <v>Y1903-0119</v>
          </cell>
          <cell r="B859">
            <v>201810</v>
          </cell>
          <cell r="C859" t="str">
            <v>4600064778</v>
          </cell>
          <cell r="D859" t="str">
            <v>164362C</v>
          </cell>
          <cell r="E859">
            <v>120</v>
          </cell>
          <cell r="F859">
            <v>43529</v>
          </cell>
          <cell r="G859" t="str">
            <v>12/25</v>
          </cell>
        </row>
        <row r="860">
          <cell r="A860" t="str">
            <v>Y1903-0120</v>
          </cell>
          <cell r="B860">
            <v>201810</v>
          </cell>
          <cell r="C860" t="str">
            <v>4600064779</v>
          </cell>
          <cell r="D860" t="str">
            <v>164360C</v>
          </cell>
          <cell r="E860">
            <v>216</v>
          </cell>
          <cell r="F860">
            <v>43529</v>
          </cell>
          <cell r="G860" t="str">
            <v>12/25</v>
          </cell>
        </row>
        <row r="861">
          <cell r="A861" t="str">
            <v>Y1903-0121</v>
          </cell>
          <cell r="B861">
            <v>201810</v>
          </cell>
          <cell r="C861" t="str">
            <v>4600064780</v>
          </cell>
          <cell r="D861" t="str">
            <v>164358C</v>
          </cell>
          <cell r="E861">
            <v>180</v>
          </cell>
          <cell r="F861">
            <v>43529</v>
          </cell>
          <cell r="G861" t="str">
            <v>12/25</v>
          </cell>
        </row>
        <row r="862">
          <cell r="A862" t="str">
            <v>Y1903-0122</v>
          </cell>
          <cell r="B862">
            <v>201810</v>
          </cell>
          <cell r="C862" t="str">
            <v>4600064781</v>
          </cell>
          <cell r="D862" t="str">
            <v>164220C</v>
          </cell>
          <cell r="E862">
            <v>1200</v>
          </cell>
          <cell r="F862">
            <v>43529</v>
          </cell>
          <cell r="G862" t="str">
            <v>12/25</v>
          </cell>
        </row>
        <row r="863">
          <cell r="A863" t="str">
            <v>Y1903-0123</v>
          </cell>
          <cell r="B863">
            <v>201810</v>
          </cell>
          <cell r="C863" t="str">
            <v>4600064782</v>
          </cell>
          <cell r="D863" t="str">
            <v>164219C</v>
          </cell>
          <cell r="E863">
            <v>600</v>
          </cell>
          <cell r="F863">
            <v>43529</v>
          </cell>
          <cell r="G863" t="str">
            <v>12/25</v>
          </cell>
        </row>
        <row r="864">
          <cell r="A864" t="str">
            <v>Y1903-0124</v>
          </cell>
          <cell r="B864">
            <v>201810</v>
          </cell>
          <cell r="C864" t="str">
            <v>4600064788</v>
          </cell>
          <cell r="D864" t="str">
            <v>564206C</v>
          </cell>
          <cell r="E864">
            <v>204</v>
          </cell>
          <cell r="F864">
            <v>43535</v>
          </cell>
          <cell r="G864" t="str">
            <v>CFM</v>
          </cell>
        </row>
        <row r="865">
          <cell r="A865" t="str">
            <v>Y1903-0125</v>
          </cell>
          <cell r="B865">
            <v>201810</v>
          </cell>
          <cell r="C865" t="str">
            <v>4600064789</v>
          </cell>
          <cell r="D865" t="str">
            <v>564154C</v>
          </cell>
          <cell r="E865">
            <v>120</v>
          </cell>
          <cell r="F865">
            <v>43527</v>
          </cell>
          <cell r="G865" t="str">
            <v>CFM</v>
          </cell>
        </row>
        <row r="866">
          <cell r="A866" t="str">
            <v>Y1903-0126</v>
          </cell>
          <cell r="B866">
            <v>201810</v>
          </cell>
          <cell r="C866" t="str">
            <v>4600064793</v>
          </cell>
          <cell r="D866" t="str">
            <v>564070C</v>
          </cell>
          <cell r="E866">
            <v>120</v>
          </cell>
          <cell r="F866">
            <v>43525</v>
          </cell>
          <cell r="G866" t="str">
            <v>12/25</v>
          </cell>
        </row>
        <row r="867">
          <cell r="A867" t="str">
            <v>Y1903-0127</v>
          </cell>
          <cell r="B867">
            <v>201810</v>
          </cell>
          <cell r="C867" t="str">
            <v>4600064794</v>
          </cell>
          <cell r="D867" t="str">
            <v>164282C</v>
          </cell>
          <cell r="E867">
            <v>1356</v>
          </cell>
          <cell r="F867">
            <v>43529</v>
          </cell>
          <cell r="G867" t="str">
            <v>12/25</v>
          </cell>
        </row>
        <row r="868">
          <cell r="A868" t="str">
            <v>Y1903-0128</v>
          </cell>
          <cell r="B868">
            <v>201810</v>
          </cell>
          <cell r="C868" t="str">
            <v>4600064795</v>
          </cell>
          <cell r="D868" t="str">
            <v>764172C</v>
          </cell>
          <cell r="E868">
            <v>120</v>
          </cell>
          <cell r="F868">
            <v>43529</v>
          </cell>
          <cell r="G868" t="str">
            <v>12/25</v>
          </cell>
        </row>
        <row r="869">
          <cell r="A869" t="str">
            <v>Y1902-0025</v>
          </cell>
          <cell r="B869">
            <v>201810</v>
          </cell>
          <cell r="C869" t="str">
            <v>0100174996</v>
          </cell>
          <cell r="D869">
            <v>88875</v>
          </cell>
          <cell r="E869">
            <v>120</v>
          </cell>
          <cell r="F869">
            <v>43510</v>
          </cell>
          <cell r="G869" t="str">
            <v>12/11</v>
          </cell>
        </row>
        <row r="870">
          <cell r="A870" t="str">
            <v>Y1902-0026</v>
          </cell>
          <cell r="B870">
            <v>201810</v>
          </cell>
          <cell r="C870" t="str">
            <v>0100175000</v>
          </cell>
          <cell r="D870" t="str">
            <v>663599C</v>
          </cell>
          <cell r="E870">
            <v>336</v>
          </cell>
          <cell r="F870">
            <v>43510</v>
          </cell>
          <cell r="G870" t="str">
            <v>CFM</v>
          </cell>
        </row>
        <row r="871">
          <cell r="A871" t="str">
            <v>Y1902-0027</v>
          </cell>
          <cell r="B871">
            <v>201810</v>
          </cell>
          <cell r="C871" t="str">
            <v>0100175010</v>
          </cell>
          <cell r="D871" t="str">
            <v>3J253C</v>
          </cell>
          <cell r="E871">
            <v>576</v>
          </cell>
          <cell r="F871">
            <v>43506</v>
          </cell>
          <cell r="G871" t="str">
            <v>12/11</v>
          </cell>
        </row>
        <row r="872">
          <cell r="A872" t="str">
            <v>Y1902-0028</v>
          </cell>
          <cell r="B872">
            <v>201810</v>
          </cell>
          <cell r="C872" t="str">
            <v>0100175011</v>
          </cell>
          <cell r="D872" t="str">
            <v>3J253C</v>
          </cell>
          <cell r="E872">
            <v>2508</v>
          </cell>
          <cell r="F872">
            <v>43510</v>
          </cell>
          <cell r="G872" t="str">
            <v>12/11</v>
          </cell>
        </row>
        <row r="873">
          <cell r="A873" t="str">
            <v>Y1902-0029</v>
          </cell>
          <cell r="B873">
            <v>201810</v>
          </cell>
          <cell r="C873" t="str">
            <v>0100175012</v>
          </cell>
          <cell r="D873" t="str">
            <v>3J236C</v>
          </cell>
          <cell r="E873">
            <v>1584</v>
          </cell>
          <cell r="F873">
            <v>43510</v>
          </cell>
          <cell r="G873" t="str">
            <v>12/11</v>
          </cell>
        </row>
        <row r="874">
          <cell r="A874" t="str">
            <v>Y1902-0030</v>
          </cell>
          <cell r="B874">
            <v>201810</v>
          </cell>
          <cell r="C874" t="str">
            <v>0100175014</v>
          </cell>
          <cell r="D874" t="str">
            <v>3J232C</v>
          </cell>
          <cell r="E874">
            <v>1692</v>
          </cell>
          <cell r="F874">
            <v>43510</v>
          </cell>
          <cell r="G874" t="str">
            <v>12/11</v>
          </cell>
        </row>
        <row r="875">
          <cell r="A875" t="str">
            <v>Y1902-0032</v>
          </cell>
          <cell r="B875">
            <v>201810</v>
          </cell>
          <cell r="C875" t="str">
            <v>0100175016</v>
          </cell>
          <cell r="D875" t="str">
            <v>M8437C</v>
          </cell>
          <cell r="E875">
            <v>2736</v>
          </cell>
          <cell r="F875">
            <v>43510</v>
          </cell>
          <cell r="G875" t="str">
            <v>12/18</v>
          </cell>
        </row>
        <row r="876">
          <cell r="A876" t="str">
            <v>Y1902-0033</v>
          </cell>
          <cell r="B876">
            <v>201810</v>
          </cell>
          <cell r="C876" t="str">
            <v>0100175018</v>
          </cell>
          <cell r="D876" t="str">
            <v>3J256C</v>
          </cell>
          <cell r="E876">
            <v>2940</v>
          </cell>
          <cell r="F876">
            <v>43510</v>
          </cell>
          <cell r="G876" t="str">
            <v>12/11</v>
          </cell>
        </row>
        <row r="877">
          <cell r="A877" t="str">
            <v>Y1902-0037</v>
          </cell>
          <cell r="B877">
            <v>201810</v>
          </cell>
          <cell r="C877" t="str">
            <v>0100175023</v>
          </cell>
          <cell r="D877" t="str">
            <v>7J253C</v>
          </cell>
          <cell r="E877">
            <v>420</v>
          </cell>
          <cell r="F877">
            <v>43506</v>
          </cell>
          <cell r="G877" t="str">
            <v>12/11</v>
          </cell>
        </row>
        <row r="878">
          <cell r="A878" t="str">
            <v>Y1902-0038</v>
          </cell>
          <cell r="B878">
            <v>201810</v>
          </cell>
          <cell r="C878" t="str">
            <v>0100175024</v>
          </cell>
          <cell r="D878" t="str">
            <v>7J253C</v>
          </cell>
          <cell r="E878">
            <v>1020</v>
          </cell>
          <cell r="F878">
            <v>43510</v>
          </cell>
          <cell r="G878" t="str">
            <v>12/11</v>
          </cell>
        </row>
        <row r="879">
          <cell r="A879" t="str">
            <v>Y1902-0039</v>
          </cell>
          <cell r="B879">
            <v>201810</v>
          </cell>
          <cell r="C879" t="str">
            <v>0100175026</v>
          </cell>
          <cell r="D879">
            <v>88871</v>
          </cell>
          <cell r="E879">
            <v>300</v>
          </cell>
          <cell r="F879">
            <v>43506</v>
          </cell>
          <cell r="G879" t="str">
            <v>12/11</v>
          </cell>
        </row>
        <row r="880">
          <cell r="A880" t="str">
            <v>Y1902-0045</v>
          </cell>
          <cell r="B880">
            <v>201810</v>
          </cell>
          <cell r="C880" t="str">
            <v>0100175032</v>
          </cell>
          <cell r="D880" t="str">
            <v>M3494</v>
          </cell>
          <cell r="E880">
            <v>2772</v>
          </cell>
          <cell r="F880">
            <v>43510</v>
          </cell>
          <cell r="G880" t="str">
            <v>12/18</v>
          </cell>
        </row>
        <row r="881">
          <cell r="A881" t="str">
            <v>Y1902-0052</v>
          </cell>
          <cell r="B881">
            <v>201810</v>
          </cell>
          <cell r="C881" t="str">
            <v>0100175039</v>
          </cell>
          <cell r="D881" t="str">
            <v>162884C</v>
          </cell>
          <cell r="E881">
            <v>492</v>
          </cell>
          <cell r="F881">
            <v>43513</v>
          </cell>
          <cell r="G881" t="str">
            <v>12/25</v>
          </cell>
        </row>
        <row r="882">
          <cell r="A882" t="str">
            <v>Y1902-0056</v>
          </cell>
          <cell r="B882">
            <v>201810</v>
          </cell>
          <cell r="C882" t="str">
            <v>0100175043</v>
          </cell>
          <cell r="D882" t="str">
            <v>364169C</v>
          </cell>
          <cell r="E882">
            <v>168</v>
          </cell>
          <cell r="F882">
            <v>43513</v>
          </cell>
          <cell r="G882" t="str">
            <v>12/25</v>
          </cell>
        </row>
        <row r="883">
          <cell r="A883" t="str">
            <v>Y1902-0061</v>
          </cell>
          <cell r="B883">
            <v>201810</v>
          </cell>
          <cell r="C883" t="str">
            <v>0100175048</v>
          </cell>
          <cell r="D883" t="str">
            <v>564151C</v>
          </cell>
          <cell r="E883">
            <v>744</v>
          </cell>
          <cell r="F883">
            <v>43513</v>
          </cell>
          <cell r="G883" t="str">
            <v>12/25</v>
          </cell>
        </row>
        <row r="884">
          <cell r="A884" t="str">
            <v>Y1902-0064</v>
          </cell>
          <cell r="B884">
            <v>201810</v>
          </cell>
          <cell r="C884" t="str">
            <v>0100175051</v>
          </cell>
          <cell r="D884" t="str">
            <v>564154C</v>
          </cell>
          <cell r="E884">
            <v>576</v>
          </cell>
          <cell r="F884">
            <v>43513</v>
          </cell>
          <cell r="G884" t="str">
            <v>12/25</v>
          </cell>
        </row>
        <row r="885">
          <cell r="A885" t="str">
            <v>Y1902-0071</v>
          </cell>
          <cell r="B885">
            <v>201810</v>
          </cell>
          <cell r="C885" t="str">
            <v>0100175062</v>
          </cell>
          <cell r="D885" t="str">
            <v>164217C</v>
          </cell>
          <cell r="E885">
            <v>324</v>
          </cell>
          <cell r="F885">
            <v>43513</v>
          </cell>
          <cell r="G885" t="str">
            <v>12/25</v>
          </cell>
        </row>
        <row r="886">
          <cell r="A886" t="str">
            <v>Y1902-0072</v>
          </cell>
          <cell r="B886">
            <v>201810</v>
          </cell>
          <cell r="C886" t="str">
            <v>0100175063</v>
          </cell>
          <cell r="D886" t="str">
            <v>164218C</v>
          </cell>
          <cell r="E886">
            <v>300</v>
          </cell>
          <cell r="F886">
            <v>43513</v>
          </cell>
          <cell r="G886" t="str">
            <v>12/25</v>
          </cell>
        </row>
        <row r="887">
          <cell r="A887" t="str">
            <v>Y1902-0073</v>
          </cell>
          <cell r="B887">
            <v>201810</v>
          </cell>
          <cell r="C887" t="str">
            <v>0100175064</v>
          </cell>
          <cell r="D887" t="str">
            <v>164220C</v>
          </cell>
          <cell r="E887">
            <v>372</v>
          </cell>
          <cell r="F887">
            <v>43513</v>
          </cell>
          <cell r="G887" t="str">
            <v>12/25</v>
          </cell>
        </row>
        <row r="888">
          <cell r="A888" t="str">
            <v>Y1902-0075</v>
          </cell>
          <cell r="B888">
            <v>201810</v>
          </cell>
          <cell r="C888" t="str">
            <v>0100175066</v>
          </cell>
          <cell r="D888" t="str">
            <v>164359C</v>
          </cell>
          <cell r="E888">
            <v>624</v>
          </cell>
          <cell r="F888">
            <v>43513</v>
          </cell>
          <cell r="G888" t="str">
            <v>12/25</v>
          </cell>
        </row>
        <row r="889">
          <cell r="A889" t="str">
            <v>Y1902-0087</v>
          </cell>
          <cell r="B889">
            <v>201810</v>
          </cell>
          <cell r="C889" t="str">
            <v>0100175079</v>
          </cell>
          <cell r="D889" t="str">
            <v>160472C</v>
          </cell>
          <cell r="E889">
            <v>3060</v>
          </cell>
          <cell r="F889">
            <v>43513</v>
          </cell>
          <cell r="G889" t="str">
            <v>12/25</v>
          </cell>
        </row>
        <row r="890">
          <cell r="A890" t="str">
            <v>Y1902-0088</v>
          </cell>
          <cell r="B890">
            <v>201810</v>
          </cell>
          <cell r="C890" t="str">
            <v>0100175080</v>
          </cell>
          <cell r="D890" t="str">
            <v>160471C</v>
          </cell>
          <cell r="E890">
            <v>3072</v>
          </cell>
          <cell r="F890">
            <v>43513</v>
          </cell>
          <cell r="G890" t="str">
            <v>12/25</v>
          </cell>
        </row>
        <row r="891">
          <cell r="A891" t="str">
            <v>Y1902-0090</v>
          </cell>
          <cell r="B891">
            <v>201810</v>
          </cell>
          <cell r="C891" t="str">
            <v>0100175099</v>
          </cell>
          <cell r="D891" t="str">
            <v>M7650C</v>
          </cell>
          <cell r="E891">
            <v>3012</v>
          </cell>
          <cell r="F891">
            <v>43521</v>
          </cell>
          <cell r="G891" t="str">
            <v>12/11</v>
          </cell>
        </row>
        <row r="892">
          <cell r="A892" t="str">
            <v>Y1902-0091</v>
          </cell>
          <cell r="B892">
            <v>201810</v>
          </cell>
          <cell r="C892" t="str">
            <v>0100175101</v>
          </cell>
          <cell r="D892" t="str">
            <v>3J253C</v>
          </cell>
          <cell r="E892">
            <v>2100</v>
          </cell>
          <cell r="F892">
            <v>43517</v>
          </cell>
          <cell r="G892" t="str">
            <v>12/11</v>
          </cell>
        </row>
        <row r="893">
          <cell r="A893" t="str">
            <v>Y1902-0092</v>
          </cell>
          <cell r="B893">
            <v>201810</v>
          </cell>
          <cell r="C893" t="str">
            <v>0100175104</v>
          </cell>
          <cell r="D893" t="str">
            <v>3J256C</v>
          </cell>
          <cell r="E893">
            <v>7152</v>
          </cell>
          <cell r="F893">
            <v>43517</v>
          </cell>
          <cell r="G893" t="str">
            <v>12/11</v>
          </cell>
        </row>
        <row r="894">
          <cell r="A894" t="str">
            <v>Y1902-0093</v>
          </cell>
          <cell r="B894">
            <v>201810</v>
          </cell>
          <cell r="C894" t="str">
            <v>0100175106</v>
          </cell>
          <cell r="D894" t="str">
            <v>M7650C</v>
          </cell>
          <cell r="E894">
            <v>19560</v>
          </cell>
          <cell r="F894">
            <v>43517</v>
          </cell>
          <cell r="G894" t="str">
            <v>12/11</v>
          </cell>
        </row>
        <row r="895">
          <cell r="A895" t="str">
            <v>Y1902-0094</v>
          </cell>
          <cell r="B895">
            <v>201810</v>
          </cell>
          <cell r="C895" t="str">
            <v>0100175107</v>
          </cell>
          <cell r="D895" t="str">
            <v>M7652C</v>
          </cell>
          <cell r="E895">
            <v>18828</v>
          </cell>
          <cell r="F895">
            <v>43517</v>
          </cell>
          <cell r="G895" t="str">
            <v>12/11</v>
          </cell>
        </row>
        <row r="896">
          <cell r="A896" t="str">
            <v>Y1902-0095</v>
          </cell>
          <cell r="B896">
            <v>201810</v>
          </cell>
          <cell r="C896" t="str">
            <v>0100175110</v>
          </cell>
          <cell r="D896" t="str">
            <v>M9697C</v>
          </cell>
          <cell r="E896">
            <v>5988</v>
          </cell>
          <cell r="F896">
            <v>43517</v>
          </cell>
          <cell r="G896" t="str">
            <v>12/11</v>
          </cell>
        </row>
        <row r="897">
          <cell r="A897" t="str">
            <v>Y1902-0096</v>
          </cell>
          <cell r="B897">
            <v>201810</v>
          </cell>
          <cell r="C897" t="str">
            <v>0100175112</v>
          </cell>
          <cell r="D897" t="str">
            <v>155065C</v>
          </cell>
          <cell r="E897">
            <v>1404</v>
          </cell>
          <cell r="F897">
            <v>43510</v>
          </cell>
          <cell r="G897" t="str">
            <v>12/25</v>
          </cell>
        </row>
        <row r="898">
          <cell r="A898" t="str">
            <v>Y1902-0098</v>
          </cell>
          <cell r="B898">
            <v>201810</v>
          </cell>
          <cell r="C898" t="str">
            <v>0100175119</v>
          </cell>
          <cell r="D898" t="str">
            <v>763527C</v>
          </cell>
          <cell r="E898">
            <v>1800</v>
          </cell>
          <cell r="F898">
            <v>43507</v>
          </cell>
          <cell r="G898" t="str">
            <v>12/25</v>
          </cell>
        </row>
        <row r="899">
          <cell r="A899" t="str">
            <v>Y1902-0099</v>
          </cell>
          <cell r="B899">
            <v>201810</v>
          </cell>
          <cell r="C899" t="str">
            <v>0100175122</v>
          </cell>
          <cell r="D899" t="str">
            <v>361817C</v>
          </cell>
          <cell r="E899">
            <v>3240</v>
          </cell>
          <cell r="F899">
            <v>43511</v>
          </cell>
          <cell r="G899" t="str">
            <v>12/25</v>
          </cell>
        </row>
        <row r="900">
          <cell r="A900" t="str">
            <v>Y1902-0100</v>
          </cell>
          <cell r="B900">
            <v>201810</v>
          </cell>
          <cell r="C900" t="str">
            <v>0100175123</v>
          </cell>
          <cell r="D900" t="str">
            <v>361818C</v>
          </cell>
          <cell r="E900">
            <v>1680</v>
          </cell>
          <cell r="F900">
            <v>43511</v>
          </cell>
          <cell r="G900" t="str">
            <v>12/25</v>
          </cell>
        </row>
        <row r="901">
          <cell r="A901" t="str">
            <v>Y1902-0101</v>
          </cell>
          <cell r="B901">
            <v>201810</v>
          </cell>
          <cell r="C901" t="str">
            <v>0100175126</v>
          </cell>
          <cell r="D901" t="str">
            <v>364009C</v>
          </cell>
          <cell r="E901">
            <v>1800</v>
          </cell>
          <cell r="F901">
            <v>43507</v>
          </cell>
          <cell r="G901" t="str">
            <v>12/25</v>
          </cell>
        </row>
        <row r="902">
          <cell r="A902" t="str">
            <v>Y1902-0102</v>
          </cell>
          <cell r="B902">
            <v>201810</v>
          </cell>
          <cell r="C902" t="str">
            <v>0100175127</v>
          </cell>
          <cell r="D902" t="str">
            <v>364169C</v>
          </cell>
          <cell r="E902">
            <v>516</v>
          </cell>
          <cell r="F902">
            <v>43508</v>
          </cell>
          <cell r="G902" t="str">
            <v>12/25</v>
          </cell>
        </row>
        <row r="903">
          <cell r="A903" t="str">
            <v>Y1902-0104</v>
          </cell>
          <cell r="B903">
            <v>201810</v>
          </cell>
          <cell r="C903" t="str">
            <v>0100175130</v>
          </cell>
          <cell r="D903" t="str">
            <v>764172C</v>
          </cell>
          <cell r="E903">
            <v>636</v>
          </cell>
          <cell r="F903">
            <v>43508</v>
          </cell>
          <cell r="G903" t="str">
            <v>12/25</v>
          </cell>
        </row>
        <row r="904">
          <cell r="A904" t="str">
            <v>Y1902-0113</v>
          </cell>
          <cell r="B904">
            <v>201810</v>
          </cell>
          <cell r="C904" t="str">
            <v>0100175142</v>
          </cell>
          <cell r="D904" t="str">
            <v>764437C</v>
          </cell>
          <cell r="E904">
            <v>3420</v>
          </cell>
          <cell r="F904">
            <v>43508</v>
          </cell>
          <cell r="G904" t="str">
            <v>12/25</v>
          </cell>
        </row>
        <row r="905">
          <cell r="A905" t="str">
            <v>Y1902-0114</v>
          </cell>
          <cell r="B905">
            <v>201810</v>
          </cell>
          <cell r="C905" t="str">
            <v>0100175143</v>
          </cell>
          <cell r="D905" t="str">
            <v>764438C</v>
          </cell>
          <cell r="E905">
            <v>1224</v>
          </cell>
          <cell r="F905">
            <v>43507</v>
          </cell>
          <cell r="G905" t="str">
            <v>12/25</v>
          </cell>
        </row>
        <row r="906">
          <cell r="A906" t="str">
            <v>Y1902-0115</v>
          </cell>
          <cell r="B906">
            <v>201810</v>
          </cell>
          <cell r="C906" t="str">
            <v>0100175144</v>
          </cell>
          <cell r="D906" t="str">
            <v>764439C</v>
          </cell>
          <cell r="E906">
            <v>2364</v>
          </cell>
          <cell r="F906">
            <v>43508</v>
          </cell>
          <cell r="G906" t="str">
            <v>12/25</v>
          </cell>
        </row>
        <row r="907">
          <cell r="A907" t="str">
            <v>Y1902-0116</v>
          </cell>
          <cell r="B907">
            <v>201810</v>
          </cell>
          <cell r="C907" t="str">
            <v>0100175145</v>
          </cell>
          <cell r="D907" t="str">
            <v>764861C</v>
          </cell>
          <cell r="E907">
            <v>1800</v>
          </cell>
          <cell r="F907">
            <v>43507</v>
          </cell>
          <cell r="G907" t="str">
            <v>12/25</v>
          </cell>
        </row>
        <row r="908">
          <cell r="A908" t="str">
            <v>Y1902-0117</v>
          </cell>
          <cell r="B908">
            <v>201810</v>
          </cell>
          <cell r="C908" t="str">
            <v>0100175146</v>
          </cell>
          <cell r="D908" t="str">
            <v>M3494</v>
          </cell>
          <cell r="E908">
            <v>1800</v>
          </cell>
          <cell r="F908">
            <v>43508</v>
          </cell>
          <cell r="G908" t="str">
            <v>12/18</v>
          </cell>
        </row>
        <row r="909">
          <cell r="A909" t="str">
            <v>Y1902-0118</v>
          </cell>
          <cell r="B909">
            <v>201810</v>
          </cell>
          <cell r="C909" t="str">
            <v>0100175147</v>
          </cell>
          <cell r="D909" t="str">
            <v>163376C</v>
          </cell>
          <cell r="E909">
            <v>954</v>
          </cell>
          <cell r="F909">
            <v>43508</v>
          </cell>
          <cell r="G909" t="str">
            <v>12/25</v>
          </cell>
        </row>
        <row r="910">
          <cell r="A910" t="str">
            <v>Y1902-0119</v>
          </cell>
          <cell r="B910">
            <v>201810</v>
          </cell>
          <cell r="C910" t="str">
            <v>0100175148</v>
          </cell>
          <cell r="D910" t="str">
            <v>764862C</v>
          </cell>
          <cell r="E910">
            <v>1728</v>
          </cell>
          <cell r="F910">
            <v>43507</v>
          </cell>
          <cell r="G910" t="str">
            <v>12/25</v>
          </cell>
        </row>
        <row r="911">
          <cell r="A911" t="str">
            <v>Y1902-0126</v>
          </cell>
          <cell r="B911">
            <v>201810</v>
          </cell>
          <cell r="C911" t="str">
            <v>0100175160</v>
          </cell>
          <cell r="D911" t="str">
            <v>664434C</v>
          </cell>
          <cell r="E911">
            <v>5124</v>
          </cell>
          <cell r="F911">
            <v>43508</v>
          </cell>
          <cell r="G911" t="str">
            <v>12/25</v>
          </cell>
        </row>
        <row r="912">
          <cell r="A912" t="str">
            <v>Y1902-0127</v>
          </cell>
          <cell r="B912">
            <v>201810</v>
          </cell>
          <cell r="C912" t="str">
            <v>0100175161</v>
          </cell>
          <cell r="D912" t="str">
            <v>664436C</v>
          </cell>
          <cell r="E912">
            <v>1764</v>
          </cell>
          <cell r="F912">
            <v>43508</v>
          </cell>
          <cell r="G912" t="str">
            <v>12/25</v>
          </cell>
        </row>
        <row r="913">
          <cell r="A913" t="str">
            <v>Y1902-0128</v>
          </cell>
          <cell r="B913">
            <v>201810</v>
          </cell>
          <cell r="C913" t="str">
            <v>0100175163</v>
          </cell>
          <cell r="D913" t="str">
            <v>664859C</v>
          </cell>
          <cell r="E913">
            <v>1800</v>
          </cell>
          <cell r="F913">
            <v>43507</v>
          </cell>
          <cell r="G913" t="str">
            <v>12/25</v>
          </cell>
        </row>
        <row r="914">
          <cell r="A914" t="str">
            <v>Y1902-0129</v>
          </cell>
          <cell r="B914">
            <v>201810</v>
          </cell>
          <cell r="C914" t="str">
            <v>0100175164</v>
          </cell>
          <cell r="D914" t="str">
            <v>664860C</v>
          </cell>
          <cell r="E914">
            <v>1356</v>
          </cell>
          <cell r="F914">
            <v>43507</v>
          </cell>
          <cell r="G914" t="str">
            <v>12/25</v>
          </cell>
        </row>
        <row r="915">
          <cell r="A915" t="str">
            <v>Y1902-0130</v>
          </cell>
          <cell r="B915">
            <v>201810</v>
          </cell>
          <cell r="C915" t="str">
            <v>0100175165</v>
          </cell>
          <cell r="D915" t="str">
            <v>7J253C</v>
          </cell>
          <cell r="E915">
            <v>840</v>
          </cell>
          <cell r="F915">
            <v>43517</v>
          </cell>
          <cell r="G915" t="str">
            <v>12/11</v>
          </cell>
        </row>
        <row r="916">
          <cell r="A916" t="str">
            <v>Y1902-0131</v>
          </cell>
          <cell r="B916">
            <v>201810</v>
          </cell>
          <cell r="C916" t="str">
            <v>0100175167</v>
          </cell>
          <cell r="D916" t="str">
            <v>7J256C</v>
          </cell>
          <cell r="E916">
            <v>4452</v>
          </cell>
          <cell r="F916">
            <v>43517</v>
          </cell>
          <cell r="G916" t="str">
            <v>12/11</v>
          </cell>
        </row>
        <row r="917">
          <cell r="A917" t="str">
            <v>Y1902-0132</v>
          </cell>
          <cell r="B917">
            <v>201810</v>
          </cell>
          <cell r="C917" t="str">
            <v>0100175169</v>
          </cell>
          <cell r="D917" t="str">
            <v>164058C</v>
          </cell>
          <cell r="E917">
            <v>4668</v>
          </cell>
          <cell r="F917">
            <v>43510</v>
          </cell>
          <cell r="G917" t="str">
            <v>12/25</v>
          </cell>
        </row>
        <row r="918">
          <cell r="A918" t="str">
            <v>Y1902-0133</v>
          </cell>
          <cell r="B918">
            <v>201810</v>
          </cell>
          <cell r="C918" t="str">
            <v>0100175170</v>
          </cell>
          <cell r="D918" t="str">
            <v>164059C</v>
          </cell>
          <cell r="E918">
            <v>6036</v>
          </cell>
          <cell r="F918">
            <v>43508</v>
          </cell>
          <cell r="G918" t="str">
            <v>12/25</v>
          </cell>
        </row>
        <row r="919">
          <cell r="A919" t="str">
            <v>Y1902-0134</v>
          </cell>
          <cell r="B919">
            <v>201810</v>
          </cell>
          <cell r="C919" t="str">
            <v>0100175171</v>
          </cell>
          <cell r="D919" t="str">
            <v>164060C</v>
          </cell>
          <cell r="E919">
            <v>276</v>
          </cell>
          <cell r="F919">
            <v>43510</v>
          </cell>
          <cell r="G919" t="str">
            <v>12/25</v>
          </cell>
        </row>
        <row r="920">
          <cell r="A920" t="str">
            <v>Y1902-0135</v>
          </cell>
          <cell r="B920">
            <v>201810</v>
          </cell>
          <cell r="C920" t="str">
            <v>0100175172</v>
          </cell>
          <cell r="D920" t="str">
            <v>164101C</v>
          </cell>
          <cell r="E920">
            <v>264</v>
          </cell>
          <cell r="F920">
            <v>43508</v>
          </cell>
          <cell r="G920" t="str">
            <v>12/25</v>
          </cell>
        </row>
        <row r="921">
          <cell r="A921" t="str">
            <v>Y1902-0136</v>
          </cell>
          <cell r="B921">
            <v>201810</v>
          </cell>
          <cell r="C921" t="str">
            <v>0100175173</v>
          </cell>
          <cell r="D921" t="str">
            <v>164103C</v>
          </cell>
          <cell r="E921">
            <v>684</v>
          </cell>
          <cell r="F921">
            <v>43507</v>
          </cell>
          <cell r="G921" t="str">
            <v>12/25</v>
          </cell>
        </row>
        <row r="922">
          <cell r="A922" t="str">
            <v>Y1902-0141</v>
          </cell>
          <cell r="B922">
            <v>201810</v>
          </cell>
          <cell r="C922" t="str">
            <v>0100175178</v>
          </cell>
          <cell r="D922" t="str">
            <v>164281C</v>
          </cell>
          <cell r="E922">
            <v>180</v>
          </cell>
          <cell r="F922">
            <v>43509</v>
          </cell>
          <cell r="G922" t="str">
            <v>12/25</v>
          </cell>
        </row>
        <row r="923">
          <cell r="A923" t="str">
            <v>Y1902-0149</v>
          </cell>
          <cell r="B923">
            <v>201810</v>
          </cell>
          <cell r="C923" t="str">
            <v>0100175188</v>
          </cell>
          <cell r="D923" t="str">
            <v>164363C</v>
          </cell>
          <cell r="E923">
            <v>1590</v>
          </cell>
          <cell r="F923">
            <v>43507</v>
          </cell>
          <cell r="G923" t="str">
            <v>12/25</v>
          </cell>
        </row>
        <row r="924">
          <cell r="A924" t="str">
            <v>Y1902-0152</v>
          </cell>
          <cell r="B924">
            <v>201810</v>
          </cell>
          <cell r="C924" t="str">
            <v>0100175191</v>
          </cell>
          <cell r="D924" t="str">
            <v>164392C</v>
          </cell>
          <cell r="E924">
            <v>876</v>
          </cell>
          <cell r="F924">
            <v>43508</v>
          </cell>
          <cell r="G924" t="str">
            <v>01/01</v>
          </cell>
        </row>
        <row r="925">
          <cell r="A925" t="str">
            <v>Y1902-0154</v>
          </cell>
          <cell r="B925">
            <v>201810</v>
          </cell>
          <cell r="C925" t="str">
            <v>0100175195</v>
          </cell>
          <cell r="D925" t="str">
            <v>565548C</v>
          </cell>
          <cell r="E925">
            <v>893</v>
          </cell>
          <cell r="F925">
            <v>43521</v>
          </cell>
          <cell r="G925" t="str">
            <v>12/25</v>
          </cell>
        </row>
        <row r="926">
          <cell r="A926" t="str">
            <v>Y1902-0161</v>
          </cell>
          <cell r="B926">
            <v>201810</v>
          </cell>
          <cell r="C926" t="str">
            <v>0100175203</v>
          </cell>
          <cell r="D926" t="str">
            <v>M7652C</v>
          </cell>
          <cell r="E926">
            <v>8508</v>
          </cell>
          <cell r="F926">
            <v>43510</v>
          </cell>
          <cell r="G926" t="str">
            <v>12/11</v>
          </cell>
        </row>
        <row r="927">
          <cell r="A927" t="str">
            <v>Y1902-0162</v>
          </cell>
          <cell r="B927">
            <v>201810</v>
          </cell>
          <cell r="C927" t="str">
            <v>0100175204</v>
          </cell>
          <cell r="D927" t="str">
            <v>M7650C</v>
          </cell>
          <cell r="E927">
            <v>408</v>
          </cell>
          <cell r="F927">
            <v>43510</v>
          </cell>
          <cell r="G927" t="str">
            <v>12/11</v>
          </cell>
        </row>
        <row r="928">
          <cell r="A928" t="str">
            <v>Y1902-0163</v>
          </cell>
          <cell r="B928">
            <v>201810</v>
          </cell>
          <cell r="C928" t="str">
            <v>0100175205</v>
          </cell>
          <cell r="D928" t="str">
            <v>M7652C</v>
          </cell>
          <cell r="E928">
            <v>756</v>
          </cell>
          <cell r="F928">
            <v>43510</v>
          </cell>
          <cell r="G928" t="str">
            <v>12/11</v>
          </cell>
        </row>
        <row r="929">
          <cell r="A929" t="str">
            <v>Y1902-0164</v>
          </cell>
          <cell r="B929">
            <v>201810</v>
          </cell>
          <cell r="C929" t="str">
            <v>0100175206</v>
          </cell>
          <cell r="D929" t="str">
            <v>M7652C</v>
          </cell>
          <cell r="E929">
            <v>516</v>
          </cell>
          <cell r="F929">
            <v>43510</v>
          </cell>
          <cell r="G929" t="str">
            <v>12/11</v>
          </cell>
        </row>
        <row r="930">
          <cell r="A930" t="str">
            <v>Y1902-0165</v>
          </cell>
          <cell r="B930">
            <v>201810</v>
          </cell>
          <cell r="C930" t="str">
            <v>0100175207</v>
          </cell>
          <cell r="D930" t="str">
            <v>M9697C</v>
          </cell>
          <cell r="E930">
            <v>396</v>
          </cell>
          <cell r="F930">
            <v>43510</v>
          </cell>
          <cell r="G930" t="str">
            <v>12/11</v>
          </cell>
        </row>
        <row r="931">
          <cell r="A931" t="str">
            <v>Y1902-0166</v>
          </cell>
          <cell r="B931">
            <v>201810</v>
          </cell>
          <cell r="C931" t="str">
            <v>0100175208</v>
          </cell>
          <cell r="D931" t="str">
            <v>M3310C</v>
          </cell>
          <cell r="E931">
            <v>432</v>
          </cell>
          <cell r="F931">
            <v>43510</v>
          </cell>
          <cell r="G931" t="str">
            <v>12/11</v>
          </cell>
        </row>
        <row r="932">
          <cell r="A932" t="str">
            <v>Y1902-0167</v>
          </cell>
          <cell r="B932">
            <v>201810</v>
          </cell>
          <cell r="C932" t="str">
            <v>0100175209</v>
          </cell>
          <cell r="D932" t="str">
            <v>M7650C</v>
          </cell>
          <cell r="E932">
            <v>420</v>
          </cell>
          <cell r="F932">
            <v>43510</v>
          </cell>
          <cell r="G932" t="str">
            <v>12/11</v>
          </cell>
        </row>
        <row r="933">
          <cell r="A933" t="str">
            <v>Y1902-0168</v>
          </cell>
          <cell r="B933">
            <v>201810</v>
          </cell>
          <cell r="C933" t="str">
            <v>0100175210</v>
          </cell>
          <cell r="D933" t="str">
            <v>M7652C</v>
          </cell>
          <cell r="E933">
            <v>516</v>
          </cell>
          <cell r="F933">
            <v>43510</v>
          </cell>
          <cell r="G933" t="str">
            <v>12/11</v>
          </cell>
        </row>
        <row r="934">
          <cell r="A934" t="str">
            <v>Y1902-0169</v>
          </cell>
          <cell r="B934">
            <v>201810</v>
          </cell>
          <cell r="C934" t="str">
            <v>0100175211</v>
          </cell>
          <cell r="D934" t="str">
            <v>M7650C</v>
          </cell>
          <cell r="E934">
            <v>420</v>
          </cell>
          <cell r="F934">
            <v>43510</v>
          </cell>
          <cell r="G934" t="str">
            <v>12/11</v>
          </cell>
        </row>
        <row r="935">
          <cell r="A935" t="str">
            <v>Y1902-0170</v>
          </cell>
          <cell r="B935">
            <v>201810</v>
          </cell>
          <cell r="C935" t="str">
            <v>0100175212</v>
          </cell>
          <cell r="D935" t="str">
            <v>M7652C</v>
          </cell>
          <cell r="E935">
            <v>576</v>
          </cell>
          <cell r="F935">
            <v>43510</v>
          </cell>
          <cell r="G935" t="str">
            <v>12/11</v>
          </cell>
        </row>
        <row r="936">
          <cell r="A936" t="str">
            <v>Y1902-0171</v>
          </cell>
          <cell r="B936">
            <v>201810</v>
          </cell>
          <cell r="C936" t="str">
            <v>0100175213</v>
          </cell>
          <cell r="D936" t="str">
            <v>M7650C</v>
          </cell>
          <cell r="E936">
            <v>420</v>
          </cell>
          <cell r="F936">
            <v>43510</v>
          </cell>
          <cell r="G936" t="str">
            <v>12/11</v>
          </cell>
        </row>
        <row r="937">
          <cell r="A937" t="str">
            <v>Y1902-0172</v>
          </cell>
          <cell r="B937">
            <v>201810</v>
          </cell>
          <cell r="C937" t="str">
            <v>0100175214</v>
          </cell>
          <cell r="D937" t="str">
            <v>M7652C</v>
          </cell>
          <cell r="E937">
            <v>720</v>
          </cell>
          <cell r="F937">
            <v>43510</v>
          </cell>
          <cell r="G937" t="str">
            <v>12/11</v>
          </cell>
        </row>
        <row r="938">
          <cell r="A938" t="str">
            <v>Y1902-0173</v>
          </cell>
          <cell r="B938">
            <v>201810</v>
          </cell>
          <cell r="C938" t="str">
            <v>0100175215</v>
          </cell>
          <cell r="D938" t="str">
            <v>M7650C</v>
          </cell>
          <cell r="E938">
            <v>1008</v>
          </cell>
          <cell r="F938">
            <v>43510</v>
          </cell>
          <cell r="G938" t="str">
            <v>12/11</v>
          </cell>
        </row>
        <row r="939">
          <cell r="A939" t="str">
            <v>Y1902-0174</v>
          </cell>
          <cell r="B939">
            <v>201810</v>
          </cell>
          <cell r="C939" t="str">
            <v>0100175216</v>
          </cell>
          <cell r="D939" t="str">
            <v>M7652C</v>
          </cell>
          <cell r="E939">
            <v>5004</v>
          </cell>
          <cell r="F939">
            <v>43510</v>
          </cell>
          <cell r="G939" t="str">
            <v>CFM</v>
          </cell>
        </row>
        <row r="940">
          <cell r="A940" t="str">
            <v>Y1902-0175</v>
          </cell>
          <cell r="B940">
            <v>201810</v>
          </cell>
          <cell r="C940" t="str">
            <v>0100175217</v>
          </cell>
          <cell r="D940" t="str">
            <v>M7652C</v>
          </cell>
          <cell r="E940">
            <v>5004</v>
          </cell>
          <cell r="F940">
            <v>43510</v>
          </cell>
          <cell r="G940" t="str">
            <v>12/11</v>
          </cell>
        </row>
        <row r="941">
          <cell r="A941" t="str">
            <v>Y1902-0176</v>
          </cell>
          <cell r="B941">
            <v>201810</v>
          </cell>
          <cell r="C941" t="str">
            <v>0100175218</v>
          </cell>
          <cell r="D941" t="str">
            <v>M7652C</v>
          </cell>
          <cell r="E941">
            <v>5004</v>
          </cell>
          <cell r="F941">
            <v>43510</v>
          </cell>
          <cell r="G941" t="str">
            <v>12/11</v>
          </cell>
        </row>
        <row r="942">
          <cell r="A942" t="str">
            <v>Y1902-0177</v>
          </cell>
          <cell r="B942">
            <v>201810</v>
          </cell>
          <cell r="C942" t="str">
            <v>0100175219</v>
          </cell>
          <cell r="D942" t="str">
            <v>155065C</v>
          </cell>
          <cell r="E942">
            <v>3012</v>
          </cell>
          <cell r="F942">
            <v>43510</v>
          </cell>
          <cell r="G942" t="str">
            <v>12/25</v>
          </cell>
        </row>
        <row r="943">
          <cell r="A943" t="str">
            <v>Y1902-0178</v>
          </cell>
          <cell r="B943">
            <v>201810</v>
          </cell>
          <cell r="C943" t="str">
            <v>0100175220</v>
          </cell>
          <cell r="D943" t="str">
            <v>155064C</v>
          </cell>
          <cell r="E943">
            <v>576</v>
          </cell>
          <cell r="F943">
            <v>43510</v>
          </cell>
          <cell r="G943" t="str">
            <v>12/25</v>
          </cell>
        </row>
        <row r="944">
          <cell r="A944" t="str">
            <v>Y1902-0179</v>
          </cell>
          <cell r="B944">
            <v>201810</v>
          </cell>
          <cell r="C944" t="str">
            <v>0100175221</v>
          </cell>
          <cell r="D944" t="str">
            <v>155065C</v>
          </cell>
          <cell r="E944">
            <v>960</v>
          </cell>
          <cell r="F944">
            <v>43510</v>
          </cell>
          <cell r="G944" t="str">
            <v>12/25</v>
          </cell>
        </row>
        <row r="945">
          <cell r="A945" t="str">
            <v>Y1902-0180</v>
          </cell>
          <cell r="B945">
            <v>201810</v>
          </cell>
          <cell r="C945" t="str">
            <v>0100175222</v>
          </cell>
          <cell r="D945" t="str">
            <v>155064C</v>
          </cell>
          <cell r="E945">
            <v>552</v>
          </cell>
          <cell r="F945">
            <v>43510</v>
          </cell>
          <cell r="G945" t="str">
            <v>12/25</v>
          </cell>
        </row>
        <row r="946">
          <cell r="A946" t="str">
            <v>Y1902-0181</v>
          </cell>
          <cell r="B946">
            <v>201810</v>
          </cell>
          <cell r="C946" t="str">
            <v>0100175223</v>
          </cell>
          <cell r="D946" t="str">
            <v>155065C</v>
          </cell>
          <cell r="E946">
            <v>2328</v>
          </cell>
          <cell r="F946">
            <v>43510</v>
          </cell>
          <cell r="G946" t="str">
            <v>12/25</v>
          </cell>
        </row>
        <row r="947">
          <cell r="A947" t="str">
            <v>Y1902-0182</v>
          </cell>
          <cell r="B947">
            <v>201810</v>
          </cell>
          <cell r="C947" t="str">
            <v>0100175224</v>
          </cell>
          <cell r="D947" t="str">
            <v>155064C</v>
          </cell>
          <cell r="E947">
            <v>1368</v>
          </cell>
          <cell r="F947">
            <v>43510</v>
          </cell>
          <cell r="G947" t="str">
            <v>12/25</v>
          </cell>
        </row>
        <row r="948">
          <cell r="A948" t="str">
            <v>Y1902-0183</v>
          </cell>
          <cell r="B948">
            <v>201810</v>
          </cell>
          <cell r="C948" t="str">
            <v>0100175225</v>
          </cell>
          <cell r="D948" t="str">
            <v>764438C</v>
          </cell>
          <cell r="E948">
            <v>408</v>
          </cell>
          <cell r="F948">
            <v>43510</v>
          </cell>
          <cell r="G948" t="str">
            <v>12/25</v>
          </cell>
        </row>
        <row r="949">
          <cell r="A949" t="str">
            <v>Y1902-0184</v>
          </cell>
          <cell r="B949">
            <v>201810</v>
          </cell>
          <cell r="C949" t="str">
            <v>0100175226</v>
          </cell>
          <cell r="D949" t="str">
            <v>764439C</v>
          </cell>
          <cell r="E949">
            <v>408</v>
          </cell>
          <cell r="F949">
            <v>43510</v>
          </cell>
          <cell r="G949" t="str">
            <v>12/25</v>
          </cell>
        </row>
        <row r="950">
          <cell r="A950" t="str">
            <v>Y1902-0185</v>
          </cell>
          <cell r="B950">
            <v>201810</v>
          </cell>
          <cell r="C950" t="str">
            <v>0100175227</v>
          </cell>
          <cell r="D950" t="str">
            <v>M7650C</v>
          </cell>
          <cell r="E950">
            <v>384</v>
          </cell>
          <cell r="F950">
            <v>43510</v>
          </cell>
          <cell r="G950" t="str">
            <v>12/11</v>
          </cell>
        </row>
        <row r="951">
          <cell r="A951" t="str">
            <v>Y1902-0186</v>
          </cell>
          <cell r="B951">
            <v>201810</v>
          </cell>
          <cell r="C951" t="str">
            <v>0100175228</v>
          </cell>
          <cell r="D951" t="str">
            <v>160359C</v>
          </cell>
          <cell r="E951">
            <v>1860</v>
          </cell>
          <cell r="F951">
            <v>43510</v>
          </cell>
          <cell r="G951" t="str">
            <v>12/25</v>
          </cell>
        </row>
        <row r="952">
          <cell r="A952" t="str">
            <v>Y1902-0188</v>
          </cell>
          <cell r="B952">
            <v>201810</v>
          </cell>
          <cell r="C952" t="str">
            <v>0100175230</v>
          </cell>
          <cell r="D952" t="str">
            <v>M7652C</v>
          </cell>
          <cell r="E952">
            <v>420</v>
          </cell>
          <cell r="F952">
            <v>43510</v>
          </cell>
          <cell r="G952" t="str">
            <v>12/11</v>
          </cell>
        </row>
        <row r="953">
          <cell r="A953" t="str">
            <v>Y1902-0189</v>
          </cell>
          <cell r="B953">
            <v>201810</v>
          </cell>
          <cell r="C953" t="str">
            <v>0100175231</v>
          </cell>
          <cell r="D953" t="str">
            <v>162884C</v>
          </cell>
          <cell r="E953">
            <v>804</v>
          </cell>
          <cell r="F953">
            <v>43510</v>
          </cell>
          <cell r="G953" t="str">
            <v>12/25</v>
          </cell>
        </row>
        <row r="954">
          <cell r="A954" t="str">
            <v>Y1902-0190</v>
          </cell>
          <cell r="B954">
            <v>201810</v>
          </cell>
          <cell r="C954" t="str">
            <v>0100175232</v>
          </cell>
          <cell r="D954" t="str">
            <v>162884C</v>
          </cell>
          <cell r="E954">
            <v>1104</v>
          </cell>
          <cell r="F954">
            <v>43510</v>
          </cell>
          <cell r="G954" t="str">
            <v>12/25</v>
          </cell>
        </row>
        <row r="955">
          <cell r="A955" t="str">
            <v>Y1902-0191</v>
          </cell>
          <cell r="B955">
            <v>201810</v>
          </cell>
          <cell r="C955" t="str">
            <v>0100175233</v>
          </cell>
          <cell r="D955" t="str">
            <v>160359C</v>
          </cell>
          <cell r="E955">
            <v>1140</v>
          </cell>
          <cell r="F955">
            <v>43510</v>
          </cell>
          <cell r="G955" t="str">
            <v>12/25</v>
          </cell>
        </row>
        <row r="956">
          <cell r="A956" t="str">
            <v>Y1902-0192</v>
          </cell>
          <cell r="B956">
            <v>201810</v>
          </cell>
          <cell r="C956" t="str">
            <v>0100175234</v>
          </cell>
          <cell r="D956" t="str">
            <v>7J253C</v>
          </cell>
          <cell r="E956">
            <v>432</v>
          </cell>
          <cell r="F956">
            <v>43510</v>
          </cell>
          <cell r="G956" t="str">
            <v>12/11</v>
          </cell>
        </row>
        <row r="957">
          <cell r="A957" t="str">
            <v>Y1902-0193</v>
          </cell>
          <cell r="B957">
            <v>201810</v>
          </cell>
          <cell r="C957" t="str">
            <v>0100175235</v>
          </cell>
          <cell r="D957" t="str">
            <v>7J256C</v>
          </cell>
          <cell r="E957">
            <v>1188</v>
          </cell>
          <cell r="F957">
            <v>43510</v>
          </cell>
          <cell r="G957" t="str">
            <v>12/11</v>
          </cell>
        </row>
        <row r="958">
          <cell r="A958" t="str">
            <v>Y1902-0194</v>
          </cell>
          <cell r="B958">
            <v>201810</v>
          </cell>
          <cell r="C958" t="str">
            <v>0100175236</v>
          </cell>
          <cell r="D958" t="str">
            <v>3J256C</v>
          </cell>
          <cell r="E958">
            <v>528</v>
          </cell>
          <cell r="F958">
            <v>43510</v>
          </cell>
          <cell r="G958" t="str">
            <v>12/11</v>
          </cell>
        </row>
        <row r="959">
          <cell r="A959" t="str">
            <v>Y1902-0195</v>
          </cell>
          <cell r="B959">
            <v>201810</v>
          </cell>
          <cell r="C959" t="str">
            <v>0100175237</v>
          </cell>
          <cell r="D959" t="str">
            <v>764862C</v>
          </cell>
          <cell r="E959">
            <v>600</v>
          </cell>
          <cell r="F959">
            <v>43510</v>
          </cell>
          <cell r="G959" t="str">
            <v>12/25</v>
          </cell>
        </row>
        <row r="960">
          <cell r="A960" t="str">
            <v>Y1902-0196</v>
          </cell>
          <cell r="B960">
            <v>201810</v>
          </cell>
          <cell r="C960" t="str">
            <v>0100175238</v>
          </cell>
          <cell r="D960" t="str">
            <v>664860C</v>
          </cell>
          <cell r="E960">
            <v>384</v>
          </cell>
          <cell r="F960">
            <v>43510</v>
          </cell>
          <cell r="G960" t="str">
            <v>12/25</v>
          </cell>
        </row>
        <row r="961">
          <cell r="A961" t="str">
            <v>Y1902-0198</v>
          </cell>
          <cell r="B961">
            <v>201810</v>
          </cell>
          <cell r="C961" t="str">
            <v>0100175240</v>
          </cell>
          <cell r="D961" t="str">
            <v>3J253C</v>
          </cell>
          <cell r="E961">
            <v>348</v>
          </cell>
          <cell r="F961">
            <v>43510</v>
          </cell>
          <cell r="G961" t="str">
            <v>12/11</v>
          </cell>
        </row>
        <row r="962">
          <cell r="A962" t="str">
            <v>Y1902-0199</v>
          </cell>
          <cell r="B962">
            <v>201810</v>
          </cell>
          <cell r="C962" t="str">
            <v>0100175241</v>
          </cell>
          <cell r="D962" t="str">
            <v>3J256C</v>
          </cell>
          <cell r="E962">
            <v>996</v>
          </cell>
          <cell r="F962">
            <v>43510</v>
          </cell>
          <cell r="G962" t="str">
            <v>CFM</v>
          </cell>
        </row>
        <row r="963">
          <cell r="A963" t="str">
            <v>Y1902-0200</v>
          </cell>
          <cell r="B963">
            <v>201810</v>
          </cell>
          <cell r="C963" t="str">
            <v>0100175242</v>
          </cell>
          <cell r="D963" t="str">
            <v>159484C</v>
          </cell>
          <cell r="E963">
            <v>204</v>
          </cell>
          <cell r="F963">
            <v>43507</v>
          </cell>
          <cell r="G963" t="str">
            <v>12/25</v>
          </cell>
        </row>
        <row r="964">
          <cell r="A964" t="str">
            <v>Y1902-0201</v>
          </cell>
          <cell r="B964">
            <v>201810</v>
          </cell>
          <cell r="C964" t="str">
            <v>0100175244</v>
          </cell>
          <cell r="D964" t="str">
            <v>M7652C</v>
          </cell>
          <cell r="E964">
            <v>3300</v>
          </cell>
          <cell r="F964">
            <v>43510</v>
          </cell>
          <cell r="G964" t="str">
            <v>CFM</v>
          </cell>
        </row>
        <row r="965">
          <cell r="A965" t="str">
            <v>Y1902-0202</v>
          </cell>
          <cell r="B965">
            <v>201810</v>
          </cell>
          <cell r="C965" t="str">
            <v>0100175245</v>
          </cell>
          <cell r="D965" t="str">
            <v>M7652C</v>
          </cell>
          <cell r="E965">
            <v>3024</v>
          </cell>
          <cell r="F965">
            <v>43524</v>
          </cell>
          <cell r="G965" t="str">
            <v>CFM</v>
          </cell>
        </row>
        <row r="966">
          <cell r="A966" t="str">
            <v>Y1902-0203</v>
          </cell>
          <cell r="B966">
            <v>201810</v>
          </cell>
          <cell r="C966" t="str">
            <v>0100175247</v>
          </cell>
          <cell r="D966" t="str">
            <v>M7650C</v>
          </cell>
          <cell r="E966">
            <v>1452</v>
          </cell>
          <cell r="F966">
            <v>43510</v>
          </cell>
          <cell r="G966" t="str">
            <v>12/11</v>
          </cell>
        </row>
        <row r="967">
          <cell r="A967" t="str">
            <v>Y1902-0204</v>
          </cell>
          <cell r="B967">
            <v>201810</v>
          </cell>
          <cell r="C967" t="str">
            <v>0100175248</v>
          </cell>
          <cell r="D967" t="str">
            <v>M7650C</v>
          </cell>
          <cell r="E967">
            <v>1092</v>
          </cell>
          <cell r="F967">
            <v>43524</v>
          </cell>
          <cell r="G967" t="str">
            <v>12/11</v>
          </cell>
        </row>
        <row r="968">
          <cell r="A968" t="str">
            <v>Y1902-0205</v>
          </cell>
          <cell r="B968">
            <v>201810</v>
          </cell>
          <cell r="C968" t="str">
            <v>0100175249</v>
          </cell>
          <cell r="D968" t="str">
            <v>M7652C</v>
          </cell>
          <cell r="E968">
            <v>732</v>
          </cell>
          <cell r="F968">
            <v>43510</v>
          </cell>
          <cell r="G968" t="str">
            <v>12/11</v>
          </cell>
        </row>
        <row r="969">
          <cell r="A969" t="str">
            <v>Y1902-0206</v>
          </cell>
          <cell r="B969">
            <v>201810</v>
          </cell>
          <cell r="C969" t="str">
            <v>0100175250</v>
          </cell>
          <cell r="D969" t="str">
            <v>M9697C</v>
          </cell>
          <cell r="E969">
            <v>468</v>
          </cell>
          <cell r="F969">
            <v>43510</v>
          </cell>
          <cell r="G969" t="str">
            <v>12/11</v>
          </cell>
        </row>
        <row r="970">
          <cell r="A970" t="str">
            <v>Y1902-0207</v>
          </cell>
          <cell r="B970">
            <v>201810</v>
          </cell>
          <cell r="C970" t="str">
            <v>0100175251</v>
          </cell>
          <cell r="D970" t="str">
            <v>3J256C</v>
          </cell>
          <cell r="E970">
            <v>468</v>
          </cell>
          <cell r="F970">
            <v>43510</v>
          </cell>
          <cell r="G970" t="str">
            <v>CFM</v>
          </cell>
        </row>
        <row r="971">
          <cell r="A971" t="str">
            <v>Y1902-0208</v>
          </cell>
          <cell r="B971">
            <v>201810</v>
          </cell>
          <cell r="C971" t="str">
            <v>0100175253</v>
          </cell>
          <cell r="D971" t="str">
            <v>M9697C</v>
          </cell>
          <cell r="E971">
            <v>456</v>
          </cell>
          <cell r="F971">
            <v>43510</v>
          </cell>
          <cell r="G971" t="str">
            <v>12/11</v>
          </cell>
        </row>
        <row r="972">
          <cell r="A972" t="str">
            <v>Y1902-0209</v>
          </cell>
          <cell r="B972">
            <v>201810</v>
          </cell>
          <cell r="C972" t="str">
            <v>0100175254</v>
          </cell>
          <cell r="D972" t="str">
            <v>M7650C</v>
          </cell>
          <cell r="E972">
            <v>432</v>
          </cell>
          <cell r="F972">
            <v>43510</v>
          </cell>
          <cell r="G972" t="str">
            <v>12/11</v>
          </cell>
        </row>
        <row r="973">
          <cell r="A973" t="str">
            <v>Y1902-0210</v>
          </cell>
          <cell r="B973">
            <v>201810</v>
          </cell>
          <cell r="C973" t="str">
            <v>0100175255</v>
          </cell>
          <cell r="D973" t="str">
            <v>M9697C</v>
          </cell>
          <cell r="E973">
            <v>420</v>
          </cell>
          <cell r="F973">
            <v>43524</v>
          </cell>
          <cell r="G973" t="str">
            <v>12/11</v>
          </cell>
        </row>
        <row r="974">
          <cell r="A974" t="str">
            <v>Y1902-0211</v>
          </cell>
          <cell r="B974">
            <v>201810</v>
          </cell>
          <cell r="C974" t="str">
            <v>0100175256</v>
          </cell>
          <cell r="D974" t="str">
            <v>M7652C</v>
          </cell>
          <cell r="E974">
            <v>276</v>
          </cell>
          <cell r="F974">
            <v>43524</v>
          </cell>
          <cell r="G974" t="str">
            <v>CFM</v>
          </cell>
        </row>
        <row r="975">
          <cell r="A975" t="str">
            <v>Y1902-0213</v>
          </cell>
          <cell r="B975">
            <v>201810</v>
          </cell>
          <cell r="C975" t="str">
            <v>0100175259</v>
          </cell>
          <cell r="D975" t="str">
            <v>144148C</v>
          </cell>
          <cell r="E975">
            <v>672</v>
          </cell>
          <cell r="F975">
            <v>43510</v>
          </cell>
          <cell r="G975" t="str">
            <v>12/25</v>
          </cell>
        </row>
        <row r="976">
          <cell r="A976" t="str">
            <v>Y1902-0214</v>
          </cell>
          <cell r="B976">
            <v>201810</v>
          </cell>
          <cell r="C976" t="str">
            <v>0100175260</v>
          </cell>
          <cell r="D976" t="str">
            <v>144150C</v>
          </cell>
          <cell r="E976">
            <v>672</v>
          </cell>
          <cell r="F976">
            <v>43510</v>
          </cell>
          <cell r="G976" t="str">
            <v>12/25</v>
          </cell>
        </row>
        <row r="977">
          <cell r="A977" t="str">
            <v>Y1902-0215</v>
          </cell>
          <cell r="B977">
            <v>201810</v>
          </cell>
          <cell r="C977" t="str">
            <v>0100175261</v>
          </cell>
          <cell r="D977" t="str">
            <v>144151C</v>
          </cell>
          <cell r="E977">
            <v>672</v>
          </cell>
          <cell r="F977">
            <v>43510</v>
          </cell>
          <cell r="G977" t="str">
            <v>12/25</v>
          </cell>
        </row>
        <row r="978">
          <cell r="A978" t="str">
            <v>Y1902-0216</v>
          </cell>
          <cell r="B978">
            <v>201810</v>
          </cell>
          <cell r="C978" t="str">
            <v>0100175262</v>
          </cell>
          <cell r="D978" t="str">
            <v>144151C</v>
          </cell>
          <cell r="E978">
            <v>396</v>
          </cell>
          <cell r="F978">
            <v>43510</v>
          </cell>
          <cell r="G978" t="str">
            <v>12/25</v>
          </cell>
        </row>
        <row r="979">
          <cell r="A979" t="str">
            <v>Y1902-0217</v>
          </cell>
          <cell r="B979">
            <v>201810</v>
          </cell>
          <cell r="C979" t="str">
            <v>0100175263</v>
          </cell>
          <cell r="D979" t="str">
            <v>M7652C</v>
          </cell>
          <cell r="E979">
            <v>420</v>
          </cell>
          <cell r="F979">
            <v>43510</v>
          </cell>
          <cell r="G979" t="str">
            <v>CFM</v>
          </cell>
        </row>
        <row r="980">
          <cell r="A980" t="str">
            <v>Y1902-0218</v>
          </cell>
          <cell r="B980">
            <v>201810</v>
          </cell>
          <cell r="C980" t="str">
            <v>0100175264</v>
          </cell>
          <cell r="D980" t="str">
            <v>3J253C</v>
          </cell>
          <cell r="E980">
            <v>1008</v>
          </cell>
          <cell r="F980">
            <v>43518</v>
          </cell>
          <cell r="G980" t="str">
            <v>12/11</v>
          </cell>
        </row>
        <row r="981">
          <cell r="A981" t="str">
            <v>Y1902-0219</v>
          </cell>
          <cell r="B981">
            <v>201810</v>
          </cell>
          <cell r="C981" t="str">
            <v>0100175265</v>
          </cell>
          <cell r="D981" t="str">
            <v>7J253C</v>
          </cell>
          <cell r="E981">
            <v>1008</v>
          </cell>
          <cell r="F981">
            <v>43518</v>
          </cell>
          <cell r="G981" t="str">
            <v>12/11</v>
          </cell>
        </row>
        <row r="982">
          <cell r="A982" t="str">
            <v>Y1902-0220</v>
          </cell>
          <cell r="B982">
            <v>201810</v>
          </cell>
          <cell r="C982" t="str">
            <v>0100175266</v>
          </cell>
          <cell r="D982" t="str">
            <v>7J256C</v>
          </cell>
          <cell r="E982">
            <v>4104</v>
          </cell>
          <cell r="F982">
            <v>43518</v>
          </cell>
          <cell r="G982" t="str">
            <v>12/11</v>
          </cell>
        </row>
        <row r="983">
          <cell r="A983" t="str">
            <v>Y1902-0221</v>
          </cell>
          <cell r="B983">
            <v>201810</v>
          </cell>
          <cell r="C983" t="str">
            <v>0100175267</v>
          </cell>
          <cell r="D983" t="str">
            <v>3J256C</v>
          </cell>
          <cell r="E983">
            <v>1008</v>
          </cell>
          <cell r="F983">
            <v>43518</v>
          </cell>
          <cell r="G983" t="str">
            <v>CFM</v>
          </cell>
        </row>
        <row r="984">
          <cell r="A984" t="str">
            <v>Y1902-0222</v>
          </cell>
          <cell r="B984">
            <v>201810</v>
          </cell>
          <cell r="C984" t="str">
            <v>0100175268</v>
          </cell>
          <cell r="D984" t="str">
            <v>M7652C</v>
          </cell>
          <cell r="E984">
            <v>1008</v>
          </cell>
          <cell r="F984">
            <v>43509</v>
          </cell>
          <cell r="G984" t="str">
            <v>12/11</v>
          </cell>
        </row>
        <row r="985">
          <cell r="A985" t="str">
            <v>Y1902-0223</v>
          </cell>
          <cell r="B985">
            <v>201810</v>
          </cell>
          <cell r="C985" t="str">
            <v>0100175269</v>
          </cell>
          <cell r="D985" t="str">
            <v>M7652C</v>
          </cell>
          <cell r="E985">
            <v>444</v>
          </cell>
          <cell r="F985">
            <v>43510</v>
          </cell>
          <cell r="G985" t="str">
            <v>12/11</v>
          </cell>
        </row>
        <row r="986">
          <cell r="A986" t="str">
            <v>Y1902-0224</v>
          </cell>
          <cell r="B986">
            <v>201810</v>
          </cell>
          <cell r="C986" t="str">
            <v>0100175270</v>
          </cell>
          <cell r="D986" t="str">
            <v>M7652C</v>
          </cell>
          <cell r="E986">
            <v>444</v>
          </cell>
          <cell r="F986">
            <v>43510</v>
          </cell>
          <cell r="G986" t="str">
            <v>CFM</v>
          </cell>
        </row>
        <row r="987">
          <cell r="A987" t="str">
            <v>Y1902-0225</v>
          </cell>
          <cell r="B987">
            <v>201810</v>
          </cell>
          <cell r="C987" t="str">
            <v>0100175271</v>
          </cell>
          <cell r="D987" t="str">
            <v>M7652C</v>
          </cell>
          <cell r="E987">
            <v>444</v>
          </cell>
          <cell r="F987">
            <v>43510</v>
          </cell>
          <cell r="G987" t="str">
            <v>CFM</v>
          </cell>
        </row>
        <row r="988">
          <cell r="A988" t="str">
            <v>Y1902-0226</v>
          </cell>
          <cell r="B988">
            <v>201810</v>
          </cell>
          <cell r="C988" t="str">
            <v>0100175272</v>
          </cell>
          <cell r="D988" t="str">
            <v>3J256C</v>
          </cell>
          <cell r="E988">
            <v>600</v>
          </cell>
          <cell r="F988">
            <v>43510</v>
          </cell>
          <cell r="G988" t="str">
            <v>12/11</v>
          </cell>
        </row>
        <row r="989">
          <cell r="A989" t="str">
            <v>Y1902-0227</v>
          </cell>
          <cell r="B989">
            <v>201810</v>
          </cell>
          <cell r="C989" t="str">
            <v>0100175273</v>
          </cell>
          <cell r="D989" t="str">
            <v>M7652C</v>
          </cell>
          <cell r="E989">
            <v>600</v>
          </cell>
          <cell r="F989">
            <v>43510</v>
          </cell>
          <cell r="G989" t="str">
            <v>12/11</v>
          </cell>
        </row>
        <row r="990">
          <cell r="A990" t="str">
            <v>Y1902-0228</v>
          </cell>
          <cell r="B990">
            <v>201810</v>
          </cell>
          <cell r="C990" t="str">
            <v>0100175274</v>
          </cell>
          <cell r="D990" t="str">
            <v>1J794C</v>
          </cell>
          <cell r="E990">
            <v>240</v>
          </cell>
          <cell r="F990">
            <v>43510</v>
          </cell>
          <cell r="G990" t="str">
            <v>12/11</v>
          </cell>
        </row>
        <row r="991">
          <cell r="A991" t="str">
            <v>Y1902-0229</v>
          </cell>
          <cell r="B991">
            <v>201810</v>
          </cell>
          <cell r="C991" t="str">
            <v>0100175275</v>
          </cell>
          <cell r="D991" t="str">
            <v>M7650C</v>
          </cell>
          <cell r="E991">
            <v>600</v>
          </cell>
          <cell r="F991">
            <v>43510</v>
          </cell>
          <cell r="G991" t="str">
            <v>12/11</v>
          </cell>
        </row>
        <row r="992">
          <cell r="A992" t="str">
            <v>Y1902-0230</v>
          </cell>
          <cell r="B992">
            <v>201810</v>
          </cell>
          <cell r="C992" t="str">
            <v>0100175277</v>
          </cell>
          <cell r="D992" t="str">
            <v>3J256C</v>
          </cell>
          <cell r="E992">
            <v>1272</v>
          </cell>
          <cell r="F992">
            <v>43510</v>
          </cell>
          <cell r="G992" t="str">
            <v>12/11</v>
          </cell>
        </row>
        <row r="993">
          <cell r="A993" t="str">
            <v>Y1902-0231</v>
          </cell>
          <cell r="B993">
            <v>201810</v>
          </cell>
          <cell r="C993" t="str">
            <v>0100175278</v>
          </cell>
          <cell r="D993" t="str">
            <v>7J256C</v>
          </cell>
          <cell r="E993">
            <v>720</v>
          </cell>
          <cell r="F993">
            <v>43510</v>
          </cell>
          <cell r="G993" t="str">
            <v>12/11</v>
          </cell>
        </row>
        <row r="994">
          <cell r="A994" t="str">
            <v>Y1902-0232</v>
          </cell>
          <cell r="B994">
            <v>201810</v>
          </cell>
          <cell r="C994" t="str">
            <v>0100175279</v>
          </cell>
          <cell r="D994" t="str">
            <v>M7652C</v>
          </cell>
          <cell r="E994">
            <v>720</v>
          </cell>
          <cell r="F994">
            <v>43510</v>
          </cell>
          <cell r="G994" t="str">
            <v>12/11</v>
          </cell>
        </row>
        <row r="995">
          <cell r="A995" t="str">
            <v>Y1902-0233</v>
          </cell>
          <cell r="B995">
            <v>201810</v>
          </cell>
          <cell r="C995" t="str">
            <v>0100175280</v>
          </cell>
          <cell r="D995" t="str">
            <v>3J253C</v>
          </cell>
          <cell r="E995">
            <v>924</v>
          </cell>
          <cell r="F995">
            <v>43510</v>
          </cell>
          <cell r="G995" t="str">
            <v>12/11</v>
          </cell>
        </row>
        <row r="996">
          <cell r="A996" t="str">
            <v>Y1902-0234</v>
          </cell>
          <cell r="B996">
            <v>201810</v>
          </cell>
          <cell r="C996" t="str">
            <v>0100175281</v>
          </cell>
          <cell r="D996" t="str">
            <v>636930C</v>
          </cell>
          <cell r="E996">
            <v>816</v>
          </cell>
          <cell r="F996">
            <v>43510</v>
          </cell>
          <cell r="G996" t="str">
            <v>12/25</v>
          </cell>
        </row>
        <row r="997">
          <cell r="A997" t="str">
            <v>Y1902-0235</v>
          </cell>
          <cell r="B997">
            <v>201810</v>
          </cell>
          <cell r="C997" t="str">
            <v>0100175282</v>
          </cell>
          <cell r="D997" t="str">
            <v>7J253C</v>
          </cell>
          <cell r="E997">
            <v>792</v>
          </cell>
          <cell r="F997">
            <v>43510</v>
          </cell>
          <cell r="G997" t="str">
            <v>12/11</v>
          </cell>
        </row>
        <row r="998">
          <cell r="A998" t="str">
            <v>Y1902-0236</v>
          </cell>
          <cell r="B998">
            <v>201810</v>
          </cell>
          <cell r="C998" t="str">
            <v>0100175283</v>
          </cell>
          <cell r="D998" t="str">
            <v>7J234C</v>
          </cell>
          <cell r="E998">
            <v>300</v>
          </cell>
          <cell r="F998">
            <v>43510</v>
          </cell>
          <cell r="G998" t="str">
            <v>12/11</v>
          </cell>
        </row>
        <row r="999">
          <cell r="A999" t="str">
            <v>Y1902-0237</v>
          </cell>
          <cell r="B999">
            <v>201810</v>
          </cell>
          <cell r="C999" t="str">
            <v>0100175284</v>
          </cell>
          <cell r="D999" t="str">
            <v>7J256C</v>
          </cell>
          <cell r="E999">
            <v>300</v>
          </cell>
          <cell r="F999">
            <v>43510</v>
          </cell>
          <cell r="G999" t="str">
            <v>12/11</v>
          </cell>
        </row>
        <row r="1000">
          <cell r="A1000" t="str">
            <v>Y1902-0238</v>
          </cell>
          <cell r="B1000">
            <v>201810</v>
          </cell>
          <cell r="C1000" t="str">
            <v>0100175285</v>
          </cell>
          <cell r="D1000" t="str">
            <v>M7652C</v>
          </cell>
          <cell r="E1000">
            <v>2760</v>
          </cell>
          <cell r="F1000">
            <v>43510</v>
          </cell>
          <cell r="G1000" t="str">
            <v>12/11</v>
          </cell>
        </row>
        <row r="1001">
          <cell r="A1001" t="str">
            <v>Y1902-0239</v>
          </cell>
          <cell r="B1001">
            <v>201810</v>
          </cell>
          <cell r="C1001" t="str">
            <v>0100175286</v>
          </cell>
          <cell r="D1001" t="str">
            <v>3J253C</v>
          </cell>
          <cell r="E1001">
            <v>264</v>
          </cell>
          <cell r="F1001">
            <v>43510</v>
          </cell>
          <cell r="G1001" t="str">
            <v>12/11</v>
          </cell>
        </row>
        <row r="1002">
          <cell r="A1002" t="str">
            <v>Y1902-0240</v>
          </cell>
          <cell r="B1002">
            <v>201810</v>
          </cell>
          <cell r="C1002" t="str">
            <v>0100175287</v>
          </cell>
          <cell r="D1002" t="str">
            <v>664860C</v>
          </cell>
          <cell r="E1002">
            <v>240</v>
          </cell>
          <cell r="F1002">
            <v>43510</v>
          </cell>
          <cell r="G1002" t="str">
            <v>12/25</v>
          </cell>
        </row>
        <row r="1003">
          <cell r="A1003" t="str">
            <v>Y1902-0242</v>
          </cell>
          <cell r="B1003">
            <v>201810</v>
          </cell>
          <cell r="C1003" t="str">
            <v>0100175332</v>
          </cell>
          <cell r="D1003" t="str">
            <v>158369C</v>
          </cell>
          <cell r="E1003">
            <v>492</v>
          </cell>
          <cell r="F1003">
            <v>43511</v>
          </cell>
          <cell r="G1003" t="str">
            <v>CFM</v>
          </cell>
        </row>
        <row r="1004">
          <cell r="A1004" t="str">
            <v>Y1902-0243</v>
          </cell>
          <cell r="B1004">
            <v>201810</v>
          </cell>
          <cell r="C1004" t="str">
            <v>0100175333</v>
          </cell>
          <cell r="D1004" t="str">
            <v>M7650C</v>
          </cell>
          <cell r="E1004">
            <v>2520</v>
          </cell>
          <cell r="F1004">
            <v>43511</v>
          </cell>
          <cell r="G1004" t="str">
            <v>CFM</v>
          </cell>
        </row>
        <row r="1005">
          <cell r="A1005" t="str">
            <v>Y1902-0244</v>
          </cell>
          <cell r="B1005">
            <v>201810</v>
          </cell>
          <cell r="C1005" t="str">
            <v>0100175334</v>
          </cell>
          <cell r="D1005" t="str">
            <v>M7652C</v>
          </cell>
          <cell r="E1005">
            <v>16632</v>
          </cell>
          <cell r="F1005">
            <v>43511</v>
          </cell>
          <cell r="G1005" t="str">
            <v>CFM</v>
          </cell>
        </row>
        <row r="1006">
          <cell r="A1006" t="str">
            <v>Y1902-0245</v>
          </cell>
          <cell r="B1006">
            <v>201810</v>
          </cell>
          <cell r="C1006" t="str">
            <v>0100175335</v>
          </cell>
          <cell r="D1006" t="str">
            <v>164525C</v>
          </cell>
          <cell r="E1006">
            <v>768</v>
          </cell>
          <cell r="F1006">
            <v>43511</v>
          </cell>
          <cell r="G1006" t="str">
            <v>CFM</v>
          </cell>
        </row>
        <row r="1007">
          <cell r="A1007" t="str">
            <v>Y1902-0246</v>
          </cell>
          <cell r="B1007">
            <v>201810</v>
          </cell>
          <cell r="C1007" t="str">
            <v>0100175336</v>
          </cell>
          <cell r="D1007" t="str">
            <v>564151C</v>
          </cell>
          <cell r="E1007">
            <v>1476</v>
          </cell>
          <cell r="F1007">
            <v>43511</v>
          </cell>
          <cell r="G1007" t="str">
            <v>CFM</v>
          </cell>
        </row>
        <row r="1008">
          <cell r="A1008" t="str">
            <v>Y1902-0247</v>
          </cell>
          <cell r="B1008">
            <v>201810</v>
          </cell>
          <cell r="C1008" t="str">
            <v>0100175337</v>
          </cell>
          <cell r="D1008" t="str">
            <v>564152C</v>
          </cell>
          <cell r="E1008">
            <v>804</v>
          </cell>
          <cell r="F1008">
            <v>43511</v>
          </cell>
          <cell r="G1008" t="str">
            <v>CFM</v>
          </cell>
        </row>
        <row r="1009">
          <cell r="A1009" t="str">
            <v>Y1902-0248</v>
          </cell>
          <cell r="B1009">
            <v>201810</v>
          </cell>
          <cell r="C1009" t="str">
            <v>0100175338</v>
          </cell>
          <cell r="D1009" t="str">
            <v>564153C</v>
          </cell>
          <cell r="E1009">
            <v>804</v>
          </cell>
          <cell r="F1009">
            <v>43511</v>
          </cell>
          <cell r="G1009" t="str">
            <v>CFM</v>
          </cell>
        </row>
        <row r="1010">
          <cell r="A1010" t="str">
            <v>Y1902-0249</v>
          </cell>
          <cell r="B1010">
            <v>201810</v>
          </cell>
          <cell r="C1010" t="str">
            <v>0100175339</v>
          </cell>
          <cell r="D1010" t="str">
            <v>564154C</v>
          </cell>
          <cell r="E1010">
            <v>1344</v>
          </cell>
          <cell r="F1010">
            <v>43511</v>
          </cell>
          <cell r="G1010" t="str">
            <v>CFM</v>
          </cell>
        </row>
        <row r="1011">
          <cell r="A1011" t="str">
            <v>Y1902-0250</v>
          </cell>
          <cell r="B1011">
            <v>201810</v>
          </cell>
          <cell r="C1011" t="str">
            <v>0100175340</v>
          </cell>
          <cell r="D1011" t="str">
            <v>564204C</v>
          </cell>
          <cell r="E1011">
            <v>756</v>
          </cell>
          <cell r="F1011">
            <v>43511</v>
          </cell>
          <cell r="G1011" t="str">
            <v>CFM</v>
          </cell>
        </row>
        <row r="1012">
          <cell r="A1012" t="str">
            <v>Y1902-0251</v>
          </cell>
          <cell r="B1012">
            <v>201810</v>
          </cell>
          <cell r="C1012" t="str">
            <v>0100175341</v>
          </cell>
          <cell r="D1012" t="str">
            <v>564205C</v>
          </cell>
          <cell r="E1012">
            <v>888</v>
          </cell>
          <cell r="F1012">
            <v>43511</v>
          </cell>
          <cell r="G1012" t="str">
            <v>CFM</v>
          </cell>
        </row>
        <row r="1013">
          <cell r="A1013" t="str">
            <v>Y1902-0252</v>
          </cell>
          <cell r="B1013">
            <v>201810</v>
          </cell>
          <cell r="C1013" t="str">
            <v>0100175342</v>
          </cell>
          <cell r="D1013" t="str">
            <v>162066C</v>
          </cell>
          <cell r="E1013">
            <v>3036</v>
          </cell>
          <cell r="F1013">
            <v>43511</v>
          </cell>
          <cell r="G1013" t="str">
            <v>CFM</v>
          </cell>
        </row>
        <row r="1014">
          <cell r="A1014" t="str">
            <v>Y1902-0253</v>
          </cell>
          <cell r="B1014">
            <v>201810</v>
          </cell>
          <cell r="C1014" t="str">
            <v>0100175343</v>
          </cell>
          <cell r="D1014" t="str">
            <v>162068C</v>
          </cell>
          <cell r="E1014">
            <v>1956</v>
          </cell>
          <cell r="F1014">
            <v>43511</v>
          </cell>
          <cell r="G1014" t="str">
            <v>CFM</v>
          </cell>
        </row>
        <row r="1015">
          <cell r="A1015" t="str">
            <v>Y1902-0254</v>
          </cell>
          <cell r="B1015">
            <v>201810</v>
          </cell>
          <cell r="C1015" t="str">
            <v>0100175344</v>
          </cell>
          <cell r="D1015" t="str">
            <v>162884C</v>
          </cell>
          <cell r="E1015">
            <v>684</v>
          </cell>
          <cell r="F1015">
            <v>43511</v>
          </cell>
          <cell r="G1015" t="str">
            <v>CFM</v>
          </cell>
        </row>
        <row r="1016">
          <cell r="A1016" t="str">
            <v>Y1902-0255</v>
          </cell>
          <cell r="B1016">
            <v>201810</v>
          </cell>
          <cell r="C1016" t="str">
            <v>0100175345</v>
          </cell>
          <cell r="D1016" t="str">
            <v>564206C</v>
          </cell>
          <cell r="E1016">
            <v>816</v>
          </cell>
          <cell r="F1016">
            <v>43511</v>
          </cell>
          <cell r="G1016" t="str">
            <v>CFM</v>
          </cell>
        </row>
        <row r="1017">
          <cell r="A1017" t="str">
            <v>Y1902-0256</v>
          </cell>
          <cell r="B1017">
            <v>201810</v>
          </cell>
          <cell r="C1017" t="str">
            <v>0100175346</v>
          </cell>
          <cell r="D1017" t="str">
            <v>164358C</v>
          </cell>
          <cell r="E1017">
            <v>624</v>
          </cell>
          <cell r="F1017">
            <v>43511</v>
          </cell>
          <cell r="G1017" t="str">
            <v>CFM</v>
          </cell>
        </row>
        <row r="1018">
          <cell r="A1018" t="str">
            <v>Y1902-0257</v>
          </cell>
          <cell r="B1018">
            <v>201810</v>
          </cell>
          <cell r="C1018" t="str">
            <v>0100175347</v>
          </cell>
          <cell r="D1018" t="str">
            <v>164360C</v>
          </cell>
          <cell r="E1018">
            <v>912</v>
          </cell>
          <cell r="F1018">
            <v>43511</v>
          </cell>
          <cell r="G1018" t="str">
            <v>CFM</v>
          </cell>
        </row>
        <row r="1019">
          <cell r="A1019" t="str">
            <v>Y1902-0258</v>
          </cell>
          <cell r="B1019">
            <v>201810</v>
          </cell>
          <cell r="C1019" t="str">
            <v>0100175348</v>
          </cell>
          <cell r="D1019" t="str">
            <v>164361C</v>
          </cell>
          <cell r="E1019">
            <v>1008</v>
          </cell>
          <cell r="F1019">
            <v>43511</v>
          </cell>
          <cell r="G1019" t="str">
            <v>CFM</v>
          </cell>
        </row>
        <row r="1020">
          <cell r="A1020" t="str">
            <v>Y1902-0259</v>
          </cell>
          <cell r="B1020">
            <v>201810</v>
          </cell>
          <cell r="C1020" t="str">
            <v>0100175349</v>
          </cell>
          <cell r="D1020" t="str">
            <v>164390C</v>
          </cell>
          <cell r="E1020">
            <v>552</v>
          </cell>
          <cell r="F1020">
            <v>43511</v>
          </cell>
          <cell r="G1020" t="str">
            <v>CFM</v>
          </cell>
        </row>
        <row r="1021">
          <cell r="A1021" t="str">
            <v>Y1902-0260</v>
          </cell>
          <cell r="B1021">
            <v>201810</v>
          </cell>
          <cell r="C1021" t="str">
            <v>0100175350</v>
          </cell>
          <cell r="D1021" t="str">
            <v>164391C</v>
          </cell>
          <cell r="E1021">
            <v>576</v>
          </cell>
          <cell r="F1021">
            <v>43511</v>
          </cell>
          <cell r="G1021" t="str">
            <v>CFM</v>
          </cell>
        </row>
        <row r="1022">
          <cell r="A1022" t="str">
            <v>Y1902-0261</v>
          </cell>
          <cell r="B1022">
            <v>201810</v>
          </cell>
          <cell r="C1022" t="str">
            <v>0100175351</v>
          </cell>
          <cell r="D1022" t="str">
            <v>164392C</v>
          </cell>
          <cell r="E1022">
            <v>504</v>
          </cell>
          <cell r="F1022">
            <v>43511</v>
          </cell>
          <cell r="G1022" t="str">
            <v>CFM</v>
          </cell>
        </row>
        <row r="1023">
          <cell r="A1023" t="str">
            <v>Y1902-0262</v>
          </cell>
          <cell r="B1023">
            <v>201810</v>
          </cell>
          <cell r="C1023" t="str">
            <v>0100175352</v>
          </cell>
          <cell r="D1023" t="str">
            <v>164393C</v>
          </cell>
          <cell r="E1023">
            <v>468</v>
          </cell>
          <cell r="F1023">
            <v>43511</v>
          </cell>
          <cell r="G1023" t="str">
            <v>CFM</v>
          </cell>
        </row>
        <row r="1024">
          <cell r="A1024" t="str">
            <v>Y1902-0263</v>
          </cell>
          <cell r="B1024">
            <v>201810</v>
          </cell>
          <cell r="C1024" t="str">
            <v>0100175353</v>
          </cell>
          <cell r="D1024" t="str">
            <v>163269C</v>
          </cell>
          <cell r="E1024">
            <v>804</v>
          </cell>
          <cell r="F1024">
            <v>43511</v>
          </cell>
          <cell r="G1024" t="str">
            <v>CFM</v>
          </cell>
        </row>
        <row r="1025">
          <cell r="A1025" t="str">
            <v>Y1902-0264</v>
          </cell>
          <cell r="B1025">
            <v>201810</v>
          </cell>
          <cell r="C1025" t="str">
            <v>0100175354</v>
          </cell>
          <cell r="D1025" t="str">
            <v>162069C</v>
          </cell>
          <cell r="E1025">
            <v>804</v>
          </cell>
          <cell r="F1025">
            <v>43511</v>
          </cell>
          <cell r="G1025" t="str">
            <v>CFM</v>
          </cell>
        </row>
        <row r="1026">
          <cell r="A1026" t="str">
            <v>Y1902-0265</v>
          </cell>
          <cell r="B1026">
            <v>201810</v>
          </cell>
          <cell r="C1026" t="str">
            <v>0100175358</v>
          </cell>
          <cell r="D1026" t="str">
            <v>3J256C</v>
          </cell>
          <cell r="E1026">
            <v>192</v>
          </cell>
          <cell r="F1026">
            <v>43519</v>
          </cell>
          <cell r="G1026" t="str">
            <v>12/11</v>
          </cell>
        </row>
        <row r="1027">
          <cell r="A1027" t="str">
            <v>Y1902-0266</v>
          </cell>
          <cell r="B1027">
            <v>201810</v>
          </cell>
          <cell r="C1027" t="str">
            <v>0100175359</v>
          </cell>
          <cell r="D1027" t="str">
            <v>M9621C</v>
          </cell>
          <cell r="E1027">
            <v>276</v>
          </cell>
          <cell r="F1027">
            <v>43519</v>
          </cell>
          <cell r="G1027" t="str">
            <v>12/11</v>
          </cell>
        </row>
        <row r="1028">
          <cell r="A1028" t="str">
            <v>Y1902-0267</v>
          </cell>
          <cell r="B1028">
            <v>201810</v>
          </cell>
          <cell r="C1028" t="str">
            <v>0100175360</v>
          </cell>
          <cell r="D1028" t="str">
            <v>M7650C</v>
          </cell>
          <cell r="E1028">
            <v>528</v>
          </cell>
          <cell r="F1028">
            <v>43519</v>
          </cell>
          <cell r="G1028" t="str">
            <v>12/11</v>
          </cell>
        </row>
        <row r="1029">
          <cell r="A1029" t="str">
            <v>Y1902-0268</v>
          </cell>
          <cell r="B1029">
            <v>201810</v>
          </cell>
          <cell r="C1029" t="str">
            <v>0100175361</v>
          </cell>
          <cell r="D1029" t="str">
            <v>M9696C</v>
          </cell>
          <cell r="E1029">
            <v>720</v>
          </cell>
          <cell r="F1029">
            <v>43519</v>
          </cell>
          <cell r="G1029" t="str">
            <v>12/11</v>
          </cell>
        </row>
        <row r="1030">
          <cell r="A1030" t="str">
            <v>Y1902-0269</v>
          </cell>
          <cell r="B1030">
            <v>201810</v>
          </cell>
          <cell r="C1030" t="str">
            <v>0100175362</v>
          </cell>
          <cell r="D1030" t="str">
            <v>M9697C</v>
          </cell>
          <cell r="E1030">
            <v>2352</v>
          </cell>
          <cell r="F1030">
            <v>43519</v>
          </cell>
          <cell r="G1030" t="str">
            <v>12/11</v>
          </cell>
        </row>
        <row r="1031">
          <cell r="A1031" t="str">
            <v>Y1902-0270</v>
          </cell>
          <cell r="B1031">
            <v>201810</v>
          </cell>
          <cell r="C1031" t="str">
            <v>0100175363</v>
          </cell>
          <cell r="D1031" t="str">
            <v>158369C</v>
          </cell>
          <cell r="E1031">
            <v>528</v>
          </cell>
          <cell r="F1031">
            <v>43519</v>
          </cell>
          <cell r="G1031" t="str">
            <v>12/25</v>
          </cell>
        </row>
        <row r="1032">
          <cell r="A1032" t="str">
            <v>Y1902-0271</v>
          </cell>
          <cell r="B1032">
            <v>201810</v>
          </cell>
          <cell r="C1032" t="str">
            <v>0100175364</v>
          </cell>
          <cell r="D1032" t="str">
            <v>M9160C</v>
          </cell>
          <cell r="E1032">
            <v>3708</v>
          </cell>
          <cell r="F1032">
            <v>43519</v>
          </cell>
          <cell r="G1032" t="str">
            <v>12/11</v>
          </cell>
        </row>
        <row r="1033">
          <cell r="A1033" t="str">
            <v>Y1902-0272</v>
          </cell>
          <cell r="B1033">
            <v>201810</v>
          </cell>
          <cell r="C1033" t="str">
            <v>0100175365</v>
          </cell>
          <cell r="D1033" t="str">
            <v>M9166C</v>
          </cell>
          <cell r="E1033">
            <v>8460</v>
          </cell>
          <cell r="F1033">
            <v>43519</v>
          </cell>
          <cell r="G1033" t="str">
            <v>12/11</v>
          </cell>
        </row>
        <row r="1034">
          <cell r="A1034" t="str">
            <v>Y1902-0273</v>
          </cell>
          <cell r="B1034">
            <v>201810</v>
          </cell>
          <cell r="C1034" t="str">
            <v>0100175366</v>
          </cell>
          <cell r="D1034" t="str">
            <v>M7652C</v>
          </cell>
          <cell r="E1034">
            <v>5004</v>
          </cell>
          <cell r="F1034">
            <v>43519</v>
          </cell>
          <cell r="G1034" t="str">
            <v>12/11</v>
          </cell>
        </row>
        <row r="1035">
          <cell r="A1035" t="str">
            <v>Y1902-0274</v>
          </cell>
          <cell r="B1035">
            <v>201810</v>
          </cell>
          <cell r="C1035" t="str">
            <v>0100175367</v>
          </cell>
          <cell r="D1035" t="str">
            <v>761307C</v>
          </cell>
          <cell r="E1035">
            <v>396</v>
          </cell>
          <cell r="F1035">
            <v>43519</v>
          </cell>
          <cell r="G1035" t="str">
            <v>12/25</v>
          </cell>
        </row>
        <row r="1036">
          <cell r="A1036" t="str">
            <v>Y1902-0275</v>
          </cell>
          <cell r="B1036">
            <v>201810</v>
          </cell>
          <cell r="C1036" t="str">
            <v>0100175368</v>
          </cell>
          <cell r="D1036" t="str">
            <v>161577C</v>
          </cell>
          <cell r="E1036">
            <v>396</v>
          </cell>
          <cell r="F1036">
            <v>43519</v>
          </cell>
          <cell r="G1036" t="str">
            <v>12/25</v>
          </cell>
        </row>
        <row r="1037">
          <cell r="A1037" t="str">
            <v>Y1902-0276</v>
          </cell>
          <cell r="B1037">
            <v>201810</v>
          </cell>
          <cell r="C1037" t="str">
            <v>0100175369</v>
          </cell>
          <cell r="D1037" t="str">
            <v>7J256C</v>
          </cell>
          <cell r="E1037">
            <v>120</v>
          </cell>
          <cell r="F1037">
            <v>43519</v>
          </cell>
          <cell r="G1037" t="str">
            <v>12/11</v>
          </cell>
        </row>
        <row r="1038">
          <cell r="A1038" t="str">
            <v>Y1902-0277</v>
          </cell>
          <cell r="B1038">
            <v>201810</v>
          </cell>
          <cell r="C1038" t="str">
            <v>0100175370</v>
          </cell>
          <cell r="D1038" t="str">
            <v>M3310C</v>
          </cell>
          <cell r="E1038">
            <v>504</v>
          </cell>
          <cell r="F1038">
            <v>43519</v>
          </cell>
          <cell r="G1038" t="str">
            <v>12/11</v>
          </cell>
        </row>
        <row r="1039">
          <cell r="A1039" t="str">
            <v>Y1902-0278</v>
          </cell>
          <cell r="B1039">
            <v>201810</v>
          </cell>
          <cell r="C1039" t="str">
            <v>0100175371</v>
          </cell>
          <cell r="D1039" t="str">
            <v>761308C</v>
          </cell>
          <cell r="E1039">
            <v>396</v>
          </cell>
          <cell r="F1039">
            <v>43519</v>
          </cell>
          <cell r="G1039" t="str">
            <v>12/25</v>
          </cell>
        </row>
        <row r="1040">
          <cell r="A1040" t="str">
            <v>Y1902-0279</v>
          </cell>
          <cell r="B1040">
            <v>201810</v>
          </cell>
          <cell r="C1040" t="str">
            <v>0100175372</v>
          </cell>
          <cell r="D1040" t="str">
            <v>361307C</v>
          </cell>
          <cell r="E1040">
            <v>468</v>
          </cell>
          <cell r="F1040">
            <v>43519</v>
          </cell>
          <cell r="G1040" t="str">
            <v>12/25</v>
          </cell>
        </row>
        <row r="1041">
          <cell r="A1041" t="str">
            <v>Y1902-0280</v>
          </cell>
          <cell r="B1041">
            <v>201810</v>
          </cell>
          <cell r="C1041" t="str">
            <v>0100175373</v>
          </cell>
          <cell r="D1041" t="str">
            <v>361308C</v>
          </cell>
          <cell r="E1041">
            <v>432</v>
          </cell>
          <cell r="F1041">
            <v>43519</v>
          </cell>
          <cell r="G1041" t="str">
            <v>12/25</v>
          </cell>
        </row>
        <row r="1042">
          <cell r="A1042" t="str">
            <v>Y1902-0281</v>
          </cell>
          <cell r="B1042">
            <v>201810</v>
          </cell>
          <cell r="C1042" t="str">
            <v>0100175374</v>
          </cell>
          <cell r="D1042" t="str">
            <v>M5039C</v>
          </cell>
          <cell r="E1042">
            <v>1884</v>
          </cell>
          <cell r="F1042">
            <v>43519</v>
          </cell>
          <cell r="G1042" t="str">
            <v>12/11</v>
          </cell>
        </row>
        <row r="1043">
          <cell r="A1043" t="str">
            <v>Y1902-0282</v>
          </cell>
          <cell r="B1043">
            <v>201810</v>
          </cell>
          <cell r="C1043" t="str">
            <v>0100175375</v>
          </cell>
          <cell r="D1043" t="str">
            <v>564152C</v>
          </cell>
          <cell r="E1043">
            <v>276</v>
          </cell>
          <cell r="F1043">
            <v>43519</v>
          </cell>
          <cell r="G1043" t="str">
            <v>12/25</v>
          </cell>
        </row>
        <row r="1044">
          <cell r="A1044" t="str">
            <v>Y1902-0283</v>
          </cell>
          <cell r="B1044">
            <v>201810</v>
          </cell>
          <cell r="C1044" t="str">
            <v>0100175376</v>
          </cell>
          <cell r="D1044" t="str">
            <v>564153C</v>
          </cell>
          <cell r="E1044">
            <v>168</v>
          </cell>
          <cell r="F1044">
            <v>43519</v>
          </cell>
          <cell r="G1044" t="str">
            <v>12/25</v>
          </cell>
        </row>
        <row r="1045">
          <cell r="A1045" t="str">
            <v>Y1902-0284</v>
          </cell>
          <cell r="B1045">
            <v>201810</v>
          </cell>
          <cell r="C1045" t="str">
            <v>0100175379</v>
          </cell>
          <cell r="D1045" t="str">
            <v>164217C</v>
          </cell>
          <cell r="E1045">
            <v>168</v>
          </cell>
          <cell r="F1045">
            <v>43519</v>
          </cell>
          <cell r="G1045" t="str">
            <v>12/25</v>
          </cell>
        </row>
        <row r="1046">
          <cell r="A1046" t="str">
            <v>Y1902-0285</v>
          </cell>
          <cell r="B1046">
            <v>201810</v>
          </cell>
          <cell r="C1046" t="str">
            <v>0100175380</v>
          </cell>
          <cell r="D1046" t="str">
            <v>164218C</v>
          </cell>
          <cell r="E1046">
            <v>516</v>
          </cell>
          <cell r="F1046">
            <v>43519</v>
          </cell>
          <cell r="G1046" t="str">
            <v>12/25</v>
          </cell>
        </row>
        <row r="1047">
          <cell r="A1047" t="str">
            <v>Y1902-0286</v>
          </cell>
          <cell r="B1047">
            <v>201810</v>
          </cell>
          <cell r="C1047" t="str">
            <v>0100175381</v>
          </cell>
          <cell r="D1047" t="str">
            <v>164220C</v>
          </cell>
          <cell r="E1047">
            <v>528</v>
          </cell>
          <cell r="F1047">
            <v>43519</v>
          </cell>
          <cell r="G1047" t="str">
            <v>12/25</v>
          </cell>
        </row>
        <row r="1048">
          <cell r="A1048" t="str">
            <v>Y1902-0287</v>
          </cell>
          <cell r="B1048">
            <v>201810</v>
          </cell>
          <cell r="C1048" t="str">
            <v>0100175382</v>
          </cell>
          <cell r="D1048" t="str">
            <v>164359C</v>
          </cell>
          <cell r="E1048">
            <v>240</v>
          </cell>
          <cell r="F1048">
            <v>43519</v>
          </cell>
          <cell r="G1048" t="str">
            <v>12/25</v>
          </cell>
        </row>
        <row r="1049">
          <cell r="A1049" t="str">
            <v>Y1902-0288</v>
          </cell>
          <cell r="B1049">
            <v>201810</v>
          </cell>
          <cell r="C1049" t="str">
            <v>0100175383</v>
          </cell>
          <cell r="D1049" t="str">
            <v>164360C</v>
          </cell>
          <cell r="E1049">
            <v>840</v>
          </cell>
          <cell r="F1049">
            <v>43519</v>
          </cell>
          <cell r="G1049" t="str">
            <v>12/25</v>
          </cell>
        </row>
        <row r="1050">
          <cell r="A1050" t="str">
            <v>Y1902-0289</v>
          </cell>
          <cell r="B1050">
            <v>201810</v>
          </cell>
          <cell r="C1050" t="str">
            <v>0100175384</v>
          </cell>
          <cell r="D1050" t="str">
            <v>164361C</v>
          </cell>
          <cell r="E1050">
            <v>492</v>
          </cell>
          <cell r="F1050">
            <v>43519</v>
          </cell>
          <cell r="G1050" t="str">
            <v>12/25</v>
          </cell>
        </row>
        <row r="1051">
          <cell r="A1051" t="str">
            <v>Y1902-0290</v>
          </cell>
          <cell r="B1051">
            <v>201810</v>
          </cell>
          <cell r="C1051" t="str">
            <v>0100175385</v>
          </cell>
          <cell r="D1051" t="str">
            <v>162066C</v>
          </cell>
          <cell r="E1051">
            <v>780</v>
          </cell>
          <cell r="F1051">
            <v>43519</v>
          </cell>
          <cell r="G1051" t="str">
            <v>12/25</v>
          </cell>
        </row>
        <row r="1052">
          <cell r="A1052" t="str">
            <v>Y1902-0291</v>
          </cell>
          <cell r="B1052">
            <v>201810</v>
          </cell>
          <cell r="C1052" t="str">
            <v>0100175386</v>
          </cell>
          <cell r="D1052" t="str">
            <v>162068C</v>
          </cell>
          <cell r="E1052">
            <v>468</v>
          </cell>
          <cell r="F1052">
            <v>43519</v>
          </cell>
          <cell r="G1052" t="str">
            <v>12/25</v>
          </cell>
        </row>
        <row r="1053">
          <cell r="A1053" t="str">
            <v>Y1902-0292</v>
          </cell>
          <cell r="B1053">
            <v>201810</v>
          </cell>
          <cell r="C1053" t="str">
            <v>0100175387</v>
          </cell>
          <cell r="D1053" t="str">
            <v>162069C</v>
          </cell>
          <cell r="E1053">
            <v>240</v>
          </cell>
          <cell r="F1053">
            <v>43519</v>
          </cell>
          <cell r="G1053" t="str">
            <v>12/25</v>
          </cell>
        </row>
        <row r="1054">
          <cell r="A1054" t="str">
            <v>Y1902-0293</v>
          </cell>
          <cell r="B1054">
            <v>201810</v>
          </cell>
          <cell r="C1054" t="str">
            <v>0100175389</v>
          </cell>
          <cell r="D1054" t="str">
            <v>163269C</v>
          </cell>
          <cell r="E1054">
            <v>336</v>
          </cell>
          <cell r="F1054">
            <v>43519</v>
          </cell>
          <cell r="G1054" t="str">
            <v>12/25</v>
          </cell>
        </row>
        <row r="1055">
          <cell r="A1055" t="str">
            <v>Y1902-0294</v>
          </cell>
          <cell r="B1055">
            <v>201810</v>
          </cell>
          <cell r="C1055" t="str">
            <v>0100175390</v>
          </cell>
          <cell r="D1055" t="str">
            <v>164390C</v>
          </cell>
          <cell r="E1055">
            <v>504</v>
          </cell>
          <cell r="F1055">
            <v>43519</v>
          </cell>
          <cell r="G1055" t="str">
            <v>12/25</v>
          </cell>
        </row>
        <row r="1056">
          <cell r="A1056" t="str">
            <v>Y1902-0295</v>
          </cell>
          <cell r="B1056">
            <v>201810</v>
          </cell>
          <cell r="C1056" t="str">
            <v>0100175391</v>
          </cell>
          <cell r="D1056" t="str">
            <v>164525C</v>
          </cell>
          <cell r="E1056">
            <v>708</v>
          </cell>
          <cell r="F1056">
            <v>43519</v>
          </cell>
          <cell r="G1056" t="str">
            <v>12/25</v>
          </cell>
        </row>
        <row r="1057">
          <cell r="A1057" t="str">
            <v>Y1902-0296</v>
          </cell>
          <cell r="B1057">
            <v>201810</v>
          </cell>
          <cell r="C1057" t="str">
            <v>0100175459</v>
          </cell>
          <cell r="D1057" t="str">
            <v>617660F</v>
          </cell>
          <cell r="E1057">
            <v>528</v>
          </cell>
          <cell r="F1057">
            <v>43519</v>
          </cell>
          <cell r="G1057" t="str">
            <v>12/25</v>
          </cell>
        </row>
        <row r="1058">
          <cell r="A1058" t="str">
            <v>Y1902-0297</v>
          </cell>
          <cell r="B1058">
            <v>201810</v>
          </cell>
          <cell r="C1058" t="str">
            <v>0100175463</v>
          </cell>
          <cell r="D1058" t="str">
            <v>617663F</v>
          </cell>
          <cell r="E1058">
            <v>612</v>
          </cell>
          <cell r="F1058">
            <v>43519</v>
          </cell>
          <cell r="G1058" t="str">
            <v>12/25</v>
          </cell>
        </row>
        <row r="1059">
          <cell r="A1059" t="str">
            <v>Y1902-0301</v>
          </cell>
          <cell r="B1059">
            <v>201810</v>
          </cell>
          <cell r="C1059" t="str">
            <v>0100175542</v>
          </cell>
          <cell r="D1059">
            <v>81229</v>
          </cell>
          <cell r="E1059">
            <v>600</v>
          </cell>
          <cell r="F1059">
            <v>43511</v>
          </cell>
          <cell r="G1059" t="str">
            <v>12/11</v>
          </cell>
        </row>
        <row r="1060">
          <cell r="A1060" t="str">
            <v>Y1902-0303</v>
          </cell>
          <cell r="B1060">
            <v>201810</v>
          </cell>
          <cell r="C1060" t="str">
            <v>0100177703</v>
          </cell>
          <cell r="D1060" t="str">
            <v>M7650C</v>
          </cell>
          <cell r="E1060">
            <v>3444</v>
          </cell>
          <cell r="F1060">
            <v>43517</v>
          </cell>
          <cell r="G1060" t="str">
            <v>12/11</v>
          </cell>
        </row>
        <row r="1061">
          <cell r="A1061" t="str">
            <v>Y1902-0304</v>
          </cell>
          <cell r="B1061">
            <v>201810</v>
          </cell>
          <cell r="C1061" t="str">
            <v>0100177704</v>
          </cell>
          <cell r="D1061" t="str">
            <v>M7652C</v>
          </cell>
          <cell r="E1061">
            <v>18828</v>
          </cell>
          <cell r="F1061">
            <v>43517</v>
          </cell>
          <cell r="G1061" t="str">
            <v>CFM</v>
          </cell>
        </row>
        <row r="1062">
          <cell r="A1062" t="str">
            <v>Y1902-0305</v>
          </cell>
          <cell r="B1062">
            <v>201810</v>
          </cell>
          <cell r="C1062" t="str">
            <v>0100177705</v>
          </cell>
          <cell r="D1062" t="str">
            <v>565536C</v>
          </cell>
          <cell r="E1062">
            <v>1295</v>
          </cell>
          <cell r="F1062">
            <v>43521</v>
          </cell>
          <cell r="G1062" t="str">
            <v>12/25</v>
          </cell>
        </row>
        <row r="1063">
          <cell r="A1063" t="str">
            <v>Y1902-0306</v>
          </cell>
          <cell r="B1063">
            <v>201810</v>
          </cell>
          <cell r="C1063" t="str">
            <v>0100177706</v>
          </cell>
          <cell r="D1063" t="str">
            <v>164359C</v>
          </cell>
          <cell r="E1063">
            <v>204</v>
          </cell>
          <cell r="F1063">
            <v>43507</v>
          </cell>
          <cell r="G1063" t="str">
            <v>12/25</v>
          </cell>
        </row>
        <row r="1064">
          <cell r="A1064" t="str">
            <v>Y1902-0309</v>
          </cell>
          <cell r="B1064">
            <v>201810</v>
          </cell>
          <cell r="C1064" t="str">
            <v>0100177850</v>
          </cell>
          <cell r="D1064" t="str">
            <v>M7652C</v>
          </cell>
          <cell r="E1064">
            <v>18240</v>
          </cell>
          <cell r="F1064">
            <v>43517</v>
          </cell>
          <cell r="G1064" t="str">
            <v>12/11</v>
          </cell>
        </row>
        <row r="1065">
          <cell r="A1065" t="str">
            <v>Y1902-0310</v>
          </cell>
          <cell r="B1065">
            <v>201810</v>
          </cell>
          <cell r="C1065" t="str">
            <v>0100177851</v>
          </cell>
          <cell r="D1065" t="str">
            <v>565548C</v>
          </cell>
          <cell r="E1065">
            <v>12</v>
          </cell>
          <cell r="F1065">
            <v>43521</v>
          </cell>
          <cell r="G1065" t="str">
            <v>12/25</v>
          </cell>
        </row>
        <row r="1066">
          <cell r="A1066" t="str">
            <v>Y1902-0311</v>
          </cell>
          <cell r="B1066">
            <v>201810</v>
          </cell>
          <cell r="C1066" t="str">
            <v>0100177852</v>
          </cell>
          <cell r="D1066" t="str">
            <v>164390C</v>
          </cell>
          <cell r="E1066">
            <v>120</v>
          </cell>
          <cell r="F1066">
            <v>43507</v>
          </cell>
          <cell r="G1066" t="str">
            <v>12/25</v>
          </cell>
        </row>
        <row r="1067">
          <cell r="A1067" t="str">
            <v>Y1902-0312</v>
          </cell>
          <cell r="B1067">
            <v>201810</v>
          </cell>
          <cell r="C1067" t="str">
            <v>0100177853</v>
          </cell>
          <cell r="D1067" t="str">
            <v>164390C</v>
          </cell>
          <cell r="E1067">
            <v>384</v>
          </cell>
          <cell r="F1067">
            <v>43509</v>
          </cell>
          <cell r="G1067" t="str">
            <v>12/25</v>
          </cell>
        </row>
        <row r="1068">
          <cell r="A1068" t="str">
            <v>Y1902-0313</v>
          </cell>
          <cell r="B1068">
            <v>201810</v>
          </cell>
          <cell r="C1068" t="str">
            <v>0100177854</v>
          </cell>
          <cell r="D1068" t="str">
            <v>155064C</v>
          </cell>
          <cell r="E1068">
            <v>324</v>
          </cell>
          <cell r="F1068">
            <v>43509</v>
          </cell>
          <cell r="G1068" t="str">
            <v>12/25</v>
          </cell>
        </row>
        <row r="1069">
          <cell r="A1069" t="str">
            <v>Y1902-0314</v>
          </cell>
          <cell r="B1069">
            <v>201810</v>
          </cell>
          <cell r="C1069" t="str">
            <v>0100177855</v>
          </cell>
          <cell r="D1069" t="str">
            <v>M7652C</v>
          </cell>
          <cell r="E1069">
            <v>492</v>
          </cell>
          <cell r="F1069">
            <v>43510</v>
          </cell>
          <cell r="G1069" t="str">
            <v>CFM</v>
          </cell>
        </row>
        <row r="1070">
          <cell r="A1070" t="str">
            <v>Y1902-0315</v>
          </cell>
          <cell r="B1070">
            <v>201810</v>
          </cell>
          <cell r="C1070" t="str">
            <v>0100177936</v>
          </cell>
          <cell r="D1070" t="str">
            <v>565536C</v>
          </cell>
          <cell r="E1070">
            <v>18</v>
          </cell>
          <cell r="F1070">
            <v>43521</v>
          </cell>
          <cell r="G1070" t="str">
            <v>12/25</v>
          </cell>
        </row>
        <row r="1071">
          <cell r="A1071" t="str">
            <v>Y1902-0316</v>
          </cell>
          <cell r="B1071">
            <v>201810</v>
          </cell>
          <cell r="C1071" t="str">
            <v>0100177937</v>
          </cell>
          <cell r="D1071" t="str">
            <v>164392C</v>
          </cell>
          <cell r="E1071">
            <v>516</v>
          </cell>
          <cell r="F1071">
            <v>43509</v>
          </cell>
          <cell r="G1071" t="str">
            <v>01/01</v>
          </cell>
        </row>
        <row r="1072">
          <cell r="A1072" t="str">
            <v>Y1902-0317</v>
          </cell>
          <cell r="B1072">
            <v>201810</v>
          </cell>
          <cell r="C1072" t="str">
            <v>0100177938</v>
          </cell>
          <cell r="D1072" t="str">
            <v>155066C</v>
          </cell>
          <cell r="E1072">
            <v>240</v>
          </cell>
          <cell r="F1072">
            <v>43509</v>
          </cell>
          <cell r="G1072" t="str">
            <v>12/25</v>
          </cell>
        </row>
        <row r="1073">
          <cell r="A1073" t="str">
            <v>Y1902-0318</v>
          </cell>
          <cell r="B1073">
            <v>201810</v>
          </cell>
          <cell r="C1073" t="str">
            <v>0100177939</v>
          </cell>
          <cell r="D1073" t="str">
            <v>1J794C</v>
          </cell>
          <cell r="E1073">
            <v>264</v>
          </cell>
          <cell r="F1073">
            <v>43510</v>
          </cell>
          <cell r="G1073" t="str">
            <v>12/11</v>
          </cell>
        </row>
        <row r="1074">
          <cell r="A1074" t="str">
            <v>Y1902-0319</v>
          </cell>
          <cell r="B1074">
            <v>201810</v>
          </cell>
          <cell r="C1074" t="str">
            <v>0100178006</v>
          </cell>
          <cell r="D1074" t="str">
            <v>164393C</v>
          </cell>
          <cell r="E1074">
            <v>516</v>
          </cell>
          <cell r="F1074">
            <v>43509</v>
          </cell>
          <cell r="G1074" t="str">
            <v>12/25</v>
          </cell>
        </row>
        <row r="1075">
          <cell r="A1075" t="str">
            <v>Y1902-0322</v>
          </cell>
          <cell r="B1075">
            <v>201810</v>
          </cell>
          <cell r="C1075" t="str">
            <v>0100178078</v>
          </cell>
          <cell r="D1075" t="str">
            <v>164219C</v>
          </cell>
          <cell r="E1075">
            <v>120</v>
          </cell>
          <cell r="F1075">
            <v>43507</v>
          </cell>
          <cell r="G1075" t="str">
            <v>12/25</v>
          </cell>
        </row>
        <row r="1076">
          <cell r="A1076" t="str">
            <v>Y1902-0323</v>
          </cell>
          <cell r="B1076">
            <v>201810</v>
          </cell>
          <cell r="C1076" t="str">
            <v>0100178079</v>
          </cell>
          <cell r="D1076" t="str">
            <v>164220C</v>
          </cell>
          <cell r="E1076">
            <v>120</v>
          </cell>
          <cell r="F1076">
            <v>43507</v>
          </cell>
          <cell r="G1076" t="str">
            <v>12/25</v>
          </cell>
        </row>
        <row r="1077">
          <cell r="A1077" t="str">
            <v>Y1902-0324</v>
          </cell>
          <cell r="B1077">
            <v>201810</v>
          </cell>
          <cell r="C1077" t="str">
            <v>0100178080</v>
          </cell>
          <cell r="D1077" t="str">
            <v>164280C</v>
          </cell>
          <cell r="E1077">
            <v>204</v>
          </cell>
          <cell r="F1077">
            <v>43507</v>
          </cell>
          <cell r="G1077" t="str">
            <v>12/25</v>
          </cell>
        </row>
        <row r="1078">
          <cell r="A1078" t="str">
            <v>Y1902-0325</v>
          </cell>
          <cell r="B1078">
            <v>201810</v>
          </cell>
          <cell r="C1078" t="str">
            <v>0100178081</v>
          </cell>
          <cell r="D1078" t="str">
            <v>564204C</v>
          </cell>
          <cell r="E1078">
            <v>192</v>
          </cell>
          <cell r="F1078">
            <v>43507</v>
          </cell>
          <cell r="G1078" t="str">
            <v>CFM</v>
          </cell>
        </row>
        <row r="1079">
          <cell r="A1079" t="str">
            <v>Y1902-0326</v>
          </cell>
          <cell r="B1079">
            <v>201810</v>
          </cell>
          <cell r="C1079" t="str">
            <v>0100178082</v>
          </cell>
          <cell r="D1079" t="str">
            <v>564206C</v>
          </cell>
          <cell r="E1079">
            <v>192</v>
          </cell>
          <cell r="F1079">
            <v>43507</v>
          </cell>
          <cell r="G1079" t="str">
            <v>CFM</v>
          </cell>
        </row>
        <row r="1080">
          <cell r="A1080" t="str">
            <v>Y1902-0328</v>
          </cell>
          <cell r="B1080">
            <v>201810</v>
          </cell>
          <cell r="C1080" t="str">
            <v>0100178084</v>
          </cell>
          <cell r="D1080" t="str">
            <v>159484C</v>
          </cell>
          <cell r="E1080">
            <v>132</v>
          </cell>
          <cell r="F1080">
            <v>43509</v>
          </cell>
          <cell r="G1080" t="str">
            <v>12/25</v>
          </cell>
        </row>
        <row r="1081">
          <cell r="A1081" t="str">
            <v>Y1902-0329</v>
          </cell>
          <cell r="B1081">
            <v>201810</v>
          </cell>
          <cell r="C1081" t="str">
            <v>0100178085</v>
          </cell>
          <cell r="D1081" t="str">
            <v>159786C</v>
          </cell>
          <cell r="E1081">
            <v>288</v>
          </cell>
          <cell r="F1081">
            <v>43509</v>
          </cell>
          <cell r="G1081" t="str">
            <v>12/25</v>
          </cell>
        </row>
        <row r="1082">
          <cell r="A1082" t="str">
            <v>Y1902-0332</v>
          </cell>
          <cell r="B1082">
            <v>201810</v>
          </cell>
          <cell r="C1082" t="str">
            <v>0100178088</v>
          </cell>
          <cell r="D1082" t="str">
            <v>1J794C</v>
          </cell>
          <cell r="E1082">
            <v>2280</v>
          </cell>
          <cell r="F1082">
            <v>43509</v>
          </cell>
          <cell r="G1082" t="str">
            <v>12/11</v>
          </cell>
        </row>
        <row r="1083">
          <cell r="A1083" t="str">
            <v>Y1902-0333</v>
          </cell>
          <cell r="B1083">
            <v>201810</v>
          </cell>
          <cell r="C1083" t="str">
            <v>0100178089</v>
          </cell>
          <cell r="D1083" t="str">
            <v>M3310C</v>
          </cell>
          <cell r="E1083">
            <v>1800</v>
          </cell>
          <cell r="F1083">
            <v>43509</v>
          </cell>
          <cell r="G1083" t="str">
            <v>12/11</v>
          </cell>
        </row>
        <row r="1084">
          <cell r="A1084" t="str">
            <v>Y1902-0336</v>
          </cell>
          <cell r="B1084">
            <v>201810</v>
          </cell>
          <cell r="C1084" t="str">
            <v>0100178092</v>
          </cell>
          <cell r="D1084" t="str">
            <v>M3310C</v>
          </cell>
          <cell r="E1084">
            <v>432</v>
          </cell>
          <cell r="F1084">
            <v>43510</v>
          </cell>
          <cell r="G1084" t="str">
            <v>12/11</v>
          </cell>
        </row>
        <row r="1085">
          <cell r="A1085" t="str">
            <v>Y1902-0337</v>
          </cell>
          <cell r="B1085">
            <v>201810</v>
          </cell>
          <cell r="C1085" t="str">
            <v>0100178235</v>
          </cell>
          <cell r="D1085" t="str">
            <v>164281C</v>
          </cell>
          <cell r="E1085">
            <v>144</v>
          </cell>
          <cell r="F1085">
            <v>43507</v>
          </cell>
          <cell r="G1085" t="str">
            <v>12/25</v>
          </cell>
        </row>
        <row r="1086">
          <cell r="A1086" t="str">
            <v>Y1902-0338</v>
          </cell>
          <cell r="B1086">
            <v>201810</v>
          </cell>
          <cell r="C1086" t="str">
            <v>0100178236</v>
          </cell>
          <cell r="D1086" t="str">
            <v>164282C</v>
          </cell>
          <cell r="E1086">
            <v>180</v>
          </cell>
          <cell r="F1086">
            <v>43507</v>
          </cell>
          <cell r="G1086" t="str">
            <v>12/25</v>
          </cell>
        </row>
        <row r="1087">
          <cell r="A1087" t="str">
            <v>Y1902-0339</v>
          </cell>
          <cell r="B1087">
            <v>201810</v>
          </cell>
          <cell r="C1087" t="str">
            <v>0100178237</v>
          </cell>
          <cell r="D1087" t="str">
            <v>M3310C</v>
          </cell>
          <cell r="E1087">
            <v>168</v>
          </cell>
          <cell r="F1087">
            <v>43507</v>
          </cell>
          <cell r="G1087" t="str">
            <v>12/11</v>
          </cell>
        </row>
        <row r="1088">
          <cell r="A1088" t="str">
            <v>Y1902-0340</v>
          </cell>
          <cell r="B1088">
            <v>201810</v>
          </cell>
          <cell r="C1088" t="str">
            <v>0100178238</v>
          </cell>
          <cell r="D1088" t="str">
            <v>M7650C</v>
          </cell>
          <cell r="E1088">
            <v>216</v>
          </cell>
          <cell r="F1088">
            <v>43507</v>
          </cell>
          <cell r="G1088" t="str">
            <v>12/11</v>
          </cell>
        </row>
        <row r="1089">
          <cell r="A1089" t="str">
            <v>Y1902-0341</v>
          </cell>
          <cell r="B1089">
            <v>201810</v>
          </cell>
          <cell r="C1089" t="str">
            <v>0100178239</v>
          </cell>
          <cell r="D1089" t="str">
            <v>M7652C</v>
          </cell>
          <cell r="E1089">
            <v>672</v>
          </cell>
          <cell r="F1089">
            <v>43507</v>
          </cell>
          <cell r="G1089" t="str">
            <v>12/11</v>
          </cell>
        </row>
        <row r="1090">
          <cell r="A1090" t="str">
            <v>Y1902-0342</v>
          </cell>
          <cell r="B1090">
            <v>201810</v>
          </cell>
          <cell r="C1090" t="str">
            <v>0100178240</v>
          </cell>
          <cell r="D1090" t="str">
            <v>163380C</v>
          </cell>
          <cell r="E1090">
            <v>420</v>
          </cell>
          <cell r="F1090">
            <v>43507</v>
          </cell>
          <cell r="G1090" t="str">
            <v>12/25</v>
          </cell>
        </row>
        <row r="1091">
          <cell r="A1091" t="str">
            <v>Y1902-0343</v>
          </cell>
          <cell r="B1091">
            <v>201810</v>
          </cell>
          <cell r="C1091" t="str">
            <v>0100178241</v>
          </cell>
          <cell r="D1091" t="str">
            <v>M7650C</v>
          </cell>
          <cell r="E1091">
            <v>2244</v>
          </cell>
          <cell r="F1091">
            <v>43509</v>
          </cell>
          <cell r="G1091" t="str">
            <v>12/11</v>
          </cell>
        </row>
        <row r="1092">
          <cell r="A1092" t="str">
            <v>Y1902-0344</v>
          </cell>
          <cell r="B1092">
            <v>201810</v>
          </cell>
          <cell r="C1092" t="str">
            <v>0100178242</v>
          </cell>
          <cell r="D1092" t="str">
            <v>M7652C</v>
          </cell>
          <cell r="E1092">
            <v>14892</v>
          </cell>
          <cell r="F1092">
            <v>43509</v>
          </cell>
          <cell r="G1092" t="str">
            <v>12/11</v>
          </cell>
        </row>
        <row r="1093">
          <cell r="A1093" t="str">
            <v>Y1902-0349</v>
          </cell>
          <cell r="B1093">
            <v>201810</v>
          </cell>
          <cell r="C1093" t="str">
            <v>0100178247</v>
          </cell>
          <cell r="D1093" t="str">
            <v>M7650C</v>
          </cell>
          <cell r="E1093">
            <v>876</v>
          </cell>
          <cell r="F1093">
            <v>43510</v>
          </cell>
          <cell r="G1093" t="str">
            <v>12/11</v>
          </cell>
        </row>
        <row r="1094">
          <cell r="A1094" t="str">
            <v>Y1902-0350</v>
          </cell>
          <cell r="B1094">
            <v>201810</v>
          </cell>
          <cell r="C1094" t="str">
            <v>0100178325</v>
          </cell>
          <cell r="D1094" t="str">
            <v>164358C</v>
          </cell>
          <cell r="E1094">
            <v>120</v>
          </cell>
          <cell r="F1094">
            <v>43507</v>
          </cell>
          <cell r="G1094" t="str">
            <v>12/25</v>
          </cell>
        </row>
        <row r="1095">
          <cell r="A1095" t="str">
            <v>Y1902-0351</v>
          </cell>
          <cell r="B1095">
            <v>201810</v>
          </cell>
          <cell r="C1095" t="str">
            <v>0100178326</v>
          </cell>
          <cell r="D1095" t="str">
            <v>164360C</v>
          </cell>
          <cell r="E1095">
            <v>144</v>
          </cell>
          <cell r="F1095">
            <v>43507</v>
          </cell>
          <cell r="G1095" t="str">
            <v>12/25</v>
          </cell>
        </row>
        <row r="1096">
          <cell r="A1096" t="str">
            <v>Y1902-0352</v>
          </cell>
          <cell r="B1096">
            <v>201810</v>
          </cell>
          <cell r="C1096" t="str">
            <v>0100178327</v>
          </cell>
          <cell r="D1096" t="str">
            <v>164361C</v>
          </cell>
          <cell r="E1096">
            <v>144</v>
          </cell>
          <cell r="F1096">
            <v>43507</v>
          </cell>
          <cell r="G1096" t="str">
            <v>12/25</v>
          </cell>
        </row>
        <row r="1097">
          <cell r="A1097" t="str">
            <v>Y1902-0353</v>
          </cell>
          <cell r="B1097">
            <v>201810</v>
          </cell>
          <cell r="C1097" t="str">
            <v>0100178328</v>
          </cell>
          <cell r="D1097" t="str">
            <v>164390C</v>
          </cell>
          <cell r="E1097">
            <v>120</v>
          </cell>
          <cell r="F1097">
            <v>43507</v>
          </cell>
          <cell r="G1097" t="str">
            <v>12/25</v>
          </cell>
        </row>
        <row r="1098">
          <cell r="A1098" t="str">
            <v>Y1902-0354</v>
          </cell>
          <cell r="B1098">
            <v>201810</v>
          </cell>
          <cell r="C1098" t="str">
            <v>0100178329</v>
          </cell>
          <cell r="D1098" t="str">
            <v>164392C</v>
          </cell>
          <cell r="E1098">
            <v>120</v>
          </cell>
          <cell r="F1098">
            <v>43507</v>
          </cell>
          <cell r="G1098" t="str">
            <v>01/01</v>
          </cell>
        </row>
        <row r="1099">
          <cell r="A1099" t="str">
            <v>Y1902-0355</v>
          </cell>
          <cell r="B1099">
            <v>201810</v>
          </cell>
          <cell r="C1099" t="str">
            <v>0100178330</v>
          </cell>
          <cell r="D1099" t="str">
            <v>M9697C</v>
          </cell>
          <cell r="E1099">
            <v>1560</v>
          </cell>
          <cell r="F1099">
            <v>43509</v>
          </cell>
          <cell r="G1099" t="str">
            <v>12/11</v>
          </cell>
        </row>
        <row r="1100">
          <cell r="A1100" t="str">
            <v>Y1902-0356</v>
          </cell>
          <cell r="B1100">
            <v>201810</v>
          </cell>
          <cell r="C1100" t="str">
            <v>0100178331</v>
          </cell>
          <cell r="D1100" t="str">
            <v>M9697C</v>
          </cell>
          <cell r="E1100">
            <v>444</v>
          </cell>
          <cell r="F1100">
            <v>43510</v>
          </cell>
          <cell r="G1100" t="str">
            <v>12/11</v>
          </cell>
        </row>
        <row r="1101">
          <cell r="A1101" t="str">
            <v>Y1902-0357</v>
          </cell>
          <cell r="B1101">
            <v>201810</v>
          </cell>
          <cell r="C1101" t="str">
            <v>0100178332</v>
          </cell>
          <cell r="D1101" t="str">
            <v>M7652C</v>
          </cell>
          <cell r="E1101">
            <v>1080</v>
          </cell>
          <cell r="F1101">
            <v>43510</v>
          </cell>
          <cell r="G1101" t="str">
            <v>CFM</v>
          </cell>
        </row>
        <row r="1102">
          <cell r="A1102" t="str">
            <v>Y1902-0358</v>
          </cell>
          <cell r="B1102">
            <v>201810</v>
          </cell>
          <cell r="C1102" t="str">
            <v>0100178333</v>
          </cell>
          <cell r="D1102" t="str">
            <v>1J794C</v>
          </cell>
          <cell r="E1102">
            <v>432</v>
          </cell>
          <cell r="F1102">
            <v>43510</v>
          </cell>
          <cell r="G1102" t="str">
            <v>12/11</v>
          </cell>
        </row>
        <row r="1103">
          <cell r="A1103" t="str">
            <v>Y1902-0359</v>
          </cell>
          <cell r="B1103">
            <v>201810</v>
          </cell>
          <cell r="C1103" t="str">
            <v>0100178400</v>
          </cell>
          <cell r="D1103" t="str">
            <v>1J794C</v>
          </cell>
          <cell r="E1103">
            <v>120</v>
          </cell>
          <cell r="F1103">
            <v>43507</v>
          </cell>
          <cell r="G1103" t="str">
            <v>12/11</v>
          </cell>
        </row>
        <row r="1104">
          <cell r="A1104" t="str">
            <v>Y1902-0364</v>
          </cell>
          <cell r="B1104">
            <v>201810</v>
          </cell>
          <cell r="C1104" t="str">
            <v>0100178456</v>
          </cell>
          <cell r="D1104" t="str">
            <v>364169C</v>
          </cell>
          <cell r="E1104">
            <v>120</v>
          </cell>
          <cell r="F1104">
            <v>43507</v>
          </cell>
          <cell r="G1104" t="str">
            <v>12/25</v>
          </cell>
        </row>
        <row r="1105">
          <cell r="A1105" t="str">
            <v>Y1902-0365</v>
          </cell>
          <cell r="B1105">
            <v>201810</v>
          </cell>
          <cell r="C1105" t="str">
            <v>0100178457</v>
          </cell>
          <cell r="D1105" t="str">
            <v>3J256C</v>
          </cell>
          <cell r="E1105">
            <v>120</v>
          </cell>
          <cell r="F1105">
            <v>43507</v>
          </cell>
          <cell r="G1105" t="str">
            <v>12/11</v>
          </cell>
        </row>
        <row r="1106">
          <cell r="A1106" t="str">
            <v>Y1902-0366</v>
          </cell>
          <cell r="B1106">
            <v>201810</v>
          </cell>
          <cell r="C1106" t="str">
            <v>0100178522</v>
          </cell>
          <cell r="D1106" t="str">
            <v>764172C</v>
          </cell>
          <cell r="E1106">
            <v>180</v>
          </cell>
          <cell r="F1106">
            <v>43507</v>
          </cell>
          <cell r="G1106" t="str">
            <v>12/25</v>
          </cell>
        </row>
        <row r="1107">
          <cell r="A1107" t="str">
            <v>Y1902-0367</v>
          </cell>
          <cell r="B1107">
            <v>201810</v>
          </cell>
          <cell r="C1107" t="str">
            <v>0100178523</v>
          </cell>
          <cell r="D1107" t="str">
            <v>164281C</v>
          </cell>
          <cell r="E1107">
            <v>156</v>
          </cell>
          <cell r="F1107">
            <v>43509</v>
          </cell>
          <cell r="G1107" t="str">
            <v>12/25</v>
          </cell>
        </row>
        <row r="1108">
          <cell r="A1108" t="str">
            <v>Y1902-0369</v>
          </cell>
          <cell r="B1108">
            <v>201810</v>
          </cell>
          <cell r="C1108" t="str">
            <v>0100178625</v>
          </cell>
          <cell r="D1108" t="str">
            <v>7J256C</v>
          </cell>
          <cell r="E1108">
            <v>120</v>
          </cell>
          <cell r="F1108">
            <v>43507</v>
          </cell>
          <cell r="G1108" t="str">
            <v>12/11</v>
          </cell>
        </row>
        <row r="1109">
          <cell r="A1109" t="str">
            <v>Y1902-0370</v>
          </cell>
          <cell r="B1109">
            <v>201810</v>
          </cell>
          <cell r="C1109" t="str">
            <v>0100178626</v>
          </cell>
          <cell r="D1109" t="str">
            <v>M7650C</v>
          </cell>
          <cell r="E1109">
            <v>936</v>
          </cell>
          <cell r="F1109">
            <v>43507</v>
          </cell>
          <cell r="G1109" t="str">
            <v>12/11</v>
          </cell>
        </row>
        <row r="1110">
          <cell r="A1110" t="str">
            <v>Y1902-0371</v>
          </cell>
          <cell r="B1110">
            <v>201810</v>
          </cell>
          <cell r="C1110" t="str">
            <v>0100178627</v>
          </cell>
          <cell r="D1110" t="str">
            <v>M7652C</v>
          </cell>
          <cell r="E1110">
            <v>1656</v>
          </cell>
          <cell r="F1110">
            <v>43507</v>
          </cell>
          <cell r="G1110" t="str">
            <v>CFM</v>
          </cell>
        </row>
        <row r="1111">
          <cell r="A1111" t="str">
            <v>Y1902-0372</v>
          </cell>
          <cell r="B1111">
            <v>201810</v>
          </cell>
          <cell r="C1111" t="str">
            <v>0100178628</v>
          </cell>
          <cell r="D1111" t="str">
            <v>164358C</v>
          </cell>
          <cell r="E1111">
            <v>516</v>
          </cell>
          <cell r="F1111">
            <v>43509</v>
          </cell>
          <cell r="G1111" t="str">
            <v>12/25</v>
          </cell>
        </row>
        <row r="1112">
          <cell r="A1112" t="str">
            <v>Y1902-0373</v>
          </cell>
          <cell r="B1112">
            <v>201810</v>
          </cell>
          <cell r="C1112" t="str">
            <v>0100178629</v>
          </cell>
          <cell r="D1112" t="str">
            <v>164359C</v>
          </cell>
          <cell r="E1112">
            <v>528</v>
          </cell>
          <cell r="F1112">
            <v>43509</v>
          </cell>
          <cell r="G1112" t="str">
            <v>12/25</v>
          </cell>
        </row>
        <row r="1113">
          <cell r="A1113" t="str">
            <v>Y1902-0374</v>
          </cell>
          <cell r="B1113">
            <v>201810</v>
          </cell>
          <cell r="C1113" t="str">
            <v>0100178630</v>
          </cell>
          <cell r="D1113" t="str">
            <v>164360C</v>
          </cell>
          <cell r="E1113">
            <v>468</v>
          </cell>
          <cell r="F1113">
            <v>43509</v>
          </cell>
          <cell r="G1113" t="str">
            <v>12/25</v>
          </cell>
        </row>
        <row r="1114">
          <cell r="A1114" t="str">
            <v>Y1902-0375</v>
          </cell>
          <cell r="B1114">
            <v>201810</v>
          </cell>
          <cell r="C1114" t="str">
            <v>0100178631</v>
          </cell>
          <cell r="D1114" t="str">
            <v>164361C</v>
          </cell>
          <cell r="E1114">
            <v>300</v>
          </cell>
          <cell r="F1114">
            <v>43509</v>
          </cell>
          <cell r="G1114" t="str">
            <v>12/25</v>
          </cell>
        </row>
        <row r="1115">
          <cell r="A1115" t="str">
            <v>Y1902-0376</v>
          </cell>
          <cell r="B1115">
            <v>201810</v>
          </cell>
          <cell r="C1115" t="str">
            <v>0100178632</v>
          </cell>
          <cell r="D1115" t="str">
            <v>164362C</v>
          </cell>
          <cell r="E1115">
            <v>384</v>
          </cell>
          <cell r="F1115">
            <v>43509</v>
          </cell>
          <cell r="G1115" t="str">
            <v>12/25</v>
          </cell>
        </row>
        <row r="1116">
          <cell r="A1116" t="str">
            <v>Y1902-0377</v>
          </cell>
          <cell r="B1116">
            <v>201810</v>
          </cell>
          <cell r="C1116" t="str">
            <v>0100178633</v>
          </cell>
          <cell r="D1116" t="str">
            <v>164390C</v>
          </cell>
          <cell r="E1116">
            <v>288</v>
          </cell>
          <cell r="F1116">
            <v>43509</v>
          </cell>
          <cell r="G1116" t="str">
            <v>12/25</v>
          </cell>
        </row>
        <row r="1117">
          <cell r="A1117" t="str">
            <v>Y1902-0379</v>
          </cell>
          <cell r="B1117">
            <v>201810</v>
          </cell>
          <cell r="C1117" t="str">
            <v>0100178688</v>
          </cell>
          <cell r="D1117" t="str">
            <v>M9697C</v>
          </cell>
          <cell r="E1117">
            <v>204</v>
          </cell>
          <cell r="F1117">
            <v>43507</v>
          </cell>
          <cell r="G1117" t="str">
            <v>12/11</v>
          </cell>
        </row>
        <row r="1118">
          <cell r="A1118" t="str">
            <v>Y1902-0380</v>
          </cell>
          <cell r="B1118">
            <v>201810</v>
          </cell>
          <cell r="C1118" t="str">
            <v>0100178689</v>
          </cell>
          <cell r="D1118" t="str">
            <v>164392C</v>
          </cell>
          <cell r="E1118">
            <v>540</v>
          </cell>
          <cell r="F1118">
            <v>43509</v>
          </cell>
          <cell r="G1118" t="str">
            <v>01/01</v>
          </cell>
        </row>
        <row r="1119">
          <cell r="A1119" t="str">
            <v>Y1902-0381</v>
          </cell>
          <cell r="B1119">
            <v>201810</v>
          </cell>
          <cell r="C1119" t="str">
            <v>0100178690</v>
          </cell>
          <cell r="D1119" t="str">
            <v>164393C</v>
          </cell>
          <cell r="E1119">
            <v>540</v>
          </cell>
          <cell r="F1119">
            <v>43509</v>
          </cell>
          <cell r="G1119" t="str">
            <v>12/25</v>
          </cell>
        </row>
        <row r="1120">
          <cell r="A1120" t="str">
            <v>Y1902-0382</v>
          </cell>
          <cell r="B1120">
            <v>201810</v>
          </cell>
          <cell r="C1120" t="str">
            <v>0100178739</v>
          </cell>
          <cell r="D1120" t="str">
            <v>164525C</v>
          </cell>
          <cell r="E1120">
            <v>120</v>
          </cell>
          <cell r="F1120">
            <v>43509</v>
          </cell>
          <cell r="G1120" t="str">
            <v>12/25</v>
          </cell>
        </row>
        <row r="1121">
          <cell r="A1121" t="str">
            <v>Y1902-0383</v>
          </cell>
          <cell r="B1121">
            <v>201810</v>
          </cell>
          <cell r="C1121" t="str">
            <v>0100178740</v>
          </cell>
          <cell r="D1121" t="str">
            <v>364169C</v>
          </cell>
          <cell r="E1121">
            <v>216</v>
          </cell>
          <cell r="F1121">
            <v>43509</v>
          </cell>
          <cell r="G1121" t="str">
            <v>12/25</v>
          </cell>
        </row>
        <row r="1122">
          <cell r="A1122" t="str">
            <v>Y1902-0384</v>
          </cell>
          <cell r="B1122">
            <v>201810</v>
          </cell>
          <cell r="C1122" t="str">
            <v>0100178741</v>
          </cell>
          <cell r="D1122" t="str">
            <v>364170C</v>
          </cell>
          <cell r="E1122">
            <v>216</v>
          </cell>
          <cell r="F1122">
            <v>43509</v>
          </cell>
          <cell r="G1122" t="str">
            <v>12/25</v>
          </cell>
        </row>
        <row r="1123">
          <cell r="A1123" t="str">
            <v>Y1902-0385</v>
          </cell>
          <cell r="B1123">
            <v>201810</v>
          </cell>
          <cell r="C1123" t="str">
            <v>0100178742</v>
          </cell>
          <cell r="D1123" t="str">
            <v>3J234C</v>
          </cell>
          <cell r="E1123">
            <v>156</v>
          </cell>
          <cell r="F1123">
            <v>43509</v>
          </cell>
          <cell r="G1123" t="str">
            <v>12/11</v>
          </cell>
        </row>
        <row r="1124">
          <cell r="A1124" t="str">
            <v>Y1902-0388</v>
          </cell>
          <cell r="B1124">
            <v>201810</v>
          </cell>
          <cell r="C1124" t="str">
            <v>0100178769</v>
          </cell>
          <cell r="D1124" t="str">
            <v>3J238C</v>
          </cell>
          <cell r="E1124">
            <v>204</v>
          </cell>
          <cell r="F1124">
            <v>43509</v>
          </cell>
          <cell r="G1124" t="str">
            <v>12/11</v>
          </cell>
        </row>
        <row r="1125">
          <cell r="A1125" t="str">
            <v>Y1902-0389</v>
          </cell>
          <cell r="B1125">
            <v>201810</v>
          </cell>
          <cell r="C1125" t="str">
            <v>0100178770</v>
          </cell>
          <cell r="D1125" t="str">
            <v>3J253C</v>
          </cell>
          <cell r="E1125">
            <v>288</v>
          </cell>
          <cell r="F1125">
            <v>43509</v>
          </cell>
          <cell r="G1125" t="str">
            <v>12/11</v>
          </cell>
        </row>
        <row r="1126">
          <cell r="A1126" t="str">
            <v>Y1902-0390</v>
          </cell>
          <cell r="B1126">
            <v>201810</v>
          </cell>
          <cell r="C1126" t="str">
            <v>0100178771</v>
          </cell>
          <cell r="D1126" t="str">
            <v>3J256C</v>
          </cell>
          <cell r="E1126">
            <v>792</v>
          </cell>
          <cell r="F1126">
            <v>43509</v>
          </cell>
          <cell r="G1126" t="str">
            <v>CFM</v>
          </cell>
        </row>
        <row r="1127">
          <cell r="A1127" t="str">
            <v>Y1902-0391</v>
          </cell>
          <cell r="B1127">
            <v>201810</v>
          </cell>
          <cell r="C1127" t="str">
            <v>0100178855</v>
          </cell>
          <cell r="D1127" t="str">
            <v>564151C</v>
          </cell>
          <cell r="E1127">
            <v>1932</v>
          </cell>
          <cell r="F1127">
            <v>43509</v>
          </cell>
          <cell r="G1127" t="str">
            <v>12/25</v>
          </cell>
        </row>
        <row r="1128">
          <cell r="A1128" t="str">
            <v>Y1902-0392</v>
          </cell>
          <cell r="B1128">
            <v>201810</v>
          </cell>
          <cell r="C1128" t="str">
            <v>0100178856</v>
          </cell>
          <cell r="D1128" t="str">
            <v>564152C</v>
          </cell>
          <cell r="E1128">
            <v>756</v>
          </cell>
          <cell r="F1128">
            <v>43509</v>
          </cell>
          <cell r="G1128" t="str">
            <v>12/25</v>
          </cell>
        </row>
        <row r="1129">
          <cell r="A1129" t="str">
            <v>Y1902-0393</v>
          </cell>
          <cell r="B1129">
            <v>201810</v>
          </cell>
          <cell r="C1129" t="str">
            <v>0100178857</v>
          </cell>
          <cell r="D1129" t="str">
            <v>564153C</v>
          </cell>
          <cell r="E1129">
            <v>2040</v>
          </cell>
          <cell r="F1129">
            <v>43509</v>
          </cell>
          <cell r="G1129" t="str">
            <v>12/25</v>
          </cell>
        </row>
        <row r="1130">
          <cell r="A1130" t="str">
            <v>Y1902-0394</v>
          </cell>
          <cell r="B1130">
            <v>201810</v>
          </cell>
          <cell r="C1130" t="str">
            <v>0100178858</v>
          </cell>
          <cell r="D1130" t="str">
            <v>564154C</v>
          </cell>
          <cell r="E1130">
            <v>324</v>
          </cell>
          <cell r="F1130">
            <v>43509</v>
          </cell>
          <cell r="G1130" t="str">
            <v>12/25</v>
          </cell>
        </row>
        <row r="1131">
          <cell r="A1131" t="str">
            <v>Y1902-0395</v>
          </cell>
          <cell r="B1131">
            <v>201810</v>
          </cell>
          <cell r="C1131" t="str">
            <v>0100178859</v>
          </cell>
          <cell r="D1131" t="str">
            <v>664184C</v>
          </cell>
          <cell r="E1131">
            <v>384</v>
          </cell>
          <cell r="F1131">
            <v>43509</v>
          </cell>
          <cell r="G1131" t="str">
            <v>12/25</v>
          </cell>
        </row>
        <row r="1132">
          <cell r="A1132" t="str">
            <v>Y1902-0396</v>
          </cell>
          <cell r="B1132">
            <v>201810</v>
          </cell>
          <cell r="C1132" t="str">
            <v>0100178860</v>
          </cell>
          <cell r="D1132" t="str">
            <v>764172C</v>
          </cell>
          <cell r="E1132">
            <v>228</v>
          </cell>
          <cell r="F1132">
            <v>43509</v>
          </cell>
          <cell r="G1132" t="str">
            <v>12/25</v>
          </cell>
        </row>
        <row r="1133">
          <cell r="A1133" t="str">
            <v>Y1902-0397</v>
          </cell>
          <cell r="B1133">
            <v>201810</v>
          </cell>
          <cell r="C1133" t="str">
            <v>0100178861</v>
          </cell>
          <cell r="D1133" t="str">
            <v>764173C</v>
          </cell>
          <cell r="E1133">
            <v>228</v>
          </cell>
          <cell r="F1133">
            <v>43509</v>
          </cell>
          <cell r="G1133" t="str">
            <v>12/25</v>
          </cell>
        </row>
        <row r="1134">
          <cell r="A1134" t="str">
            <v>Y1902-0398</v>
          </cell>
          <cell r="B1134">
            <v>201810</v>
          </cell>
          <cell r="C1134" t="str">
            <v>0100178862</v>
          </cell>
          <cell r="D1134" t="str">
            <v>7J234C</v>
          </cell>
          <cell r="E1134">
            <v>120</v>
          </cell>
          <cell r="F1134">
            <v>43509</v>
          </cell>
          <cell r="G1134" t="str">
            <v>12/11</v>
          </cell>
        </row>
        <row r="1135">
          <cell r="A1135" t="str">
            <v>Y1902-0399</v>
          </cell>
          <cell r="B1135">
            <v>201810</v>
          </cell>
          <cell r="C1135" t="str">
            <v>0100178863</v>
          </cell>
          <cell r="D1135" t="str">
            <v>7J253C</v>
          </cell>
          <cell r="E1135">
            <v>168</v>
          </cell>
          <cell r="F1135">
            <v>43509</v>
          </cell>
          <cell r="G1135" t="str">
            <v>12/11</v>
          </cell>
        </row>
        <row r="1136">
          <cell r="A1136" t="str">
            <v>Y1902-0400</v>
          </cell>
          <cell r="B1136">
            <v>201810</v>
          </cell>
          <cell r="C1136" t="str">
            <v>0100178864</v>
          </cell>
          <cell r="D1136" t="str">
            <v>7J256C</v>
          </cell>
          <cell r="E1136">
            <v>468</v>
          </cell>
          <cell r="F1136">
            <v>43509</v>
          </cell>
          <cell r="G1136" t="str">
            <v>12/11</v>
          </cell>
        </row>
        <row r="1137">
          <cell r="A1137" t="str">
            <v>Y1902-0401</v>
          </cell>
          <cell r="B1137">
            <v>201810</v>
          </cell>
          <cell r="C1137" t="str">
            <v>0100178865</v>
          </cell>
          <cell r="D1137">
            <v>88865</v>
          </cell>
          <cell r="E1137">
            <v>156</v>
          </cell>
          <cell r="F1137">
            <v>43509</v>
          </cell>
          <cell r="G1137" t="str">
            <v>12/11</v>
          </cell>
        </row>
        <row r="1138">
          <cell r="A1138" t="str">
            <v>Y1902-0402</v>
          </cell>
          <cell r="B1138">
            <v>201810</v>
          </cell>
          <cell r="C1138" t="str">
            <v>0100178866</v>
          </cell>
          <cell r="D1138">
            <v>88871</v>
          </cell>
          <cell r="E1138">
            <v>156</v>
          </cell>
          <cell r="F1138">
            <v>43509</v>
          </cell>
          <cell r="G1138" t="str">
            <v>12/11</v>
          </cell>
        </row>
        <row r="1139">
          <cell r="A1139" t="str">
            <v>Y1902-0403</v>
          </cell>
          <cell r="B1139">
            <v>201810</v>
          </cell>
          <cell r="C1139" t="str">
            <v>0100178867</v>
          </cell>
          <cell r="D1139">
            <v>88877</v>
          </cell>
          <cell r="E1139">
            <v>132</v>
          </cell>
          <cell r="F1139">
            <v>43509</v>
          </cell>
          <cell r="G1139" t="str">
            <v>12/11</v>
          </cell>
        </row>
        <row r="1140">
          <cell r="A1140" t="str">
            <v>Y1902-0404</v>
          </cell>
          <cell r="B1140">
            <v>201810</v>
          </cell>
          <cell r="C1140" t="str">
            <v>0100178868</v>
          </cell>
          <cell r="D1140" t="str">
            <v>8J231</v>
          </cell>
          <cell r="E1140">
            <v>144</v>
          </cell>
          <cell r="F1140">
            <v>43509</v>
          </cell>
          <cell r="G1140" t="str">
            <v>12/11</v>
          </cell>
        </row>
        <row r="1141">
          <cell r="A1141" t="str">
            <v>Y1902-0423</v>
          </cell>
          <cell r="B1141">
            <v>201810</v>
          </cell>
          <cell r="C1141" t="str">
            <v>4600064609</v>
          </cell>
          <cell r="D1141" t="str">
            <v>M9696C</v>
          </cell>
          <cell r="E1141">
            <v>684</v>
          </cell>
          <cell r="F1141">
            <v>43509</v>
          </cell>
          <cell r="G1141" t="str">
            <v>CFM</v>
          </cell>
        </row>
        <row r="1142">
          <cell r="A1142" t="str">
            <v>Y1902-0424</v>
          </cell>
          <cell r="B1142">
            <v>201810</v>
          </cell>
          <cell r="C1142" t="str">
            <v>4600064610</v>
          </cell>
          <cell r="D1142" t="str">
            <v>M9613C</v>
          </cell>
          <cell r="E1142">
            <v>132</v>
          </cell>
          <cell r="F1142">
            <v>43521</v>
          </cell>
          <cell r="G1142" t="str">
            <v>CFM</v>
          </cell>
        </row>
        <row r="1143">
          <cell r="A1143" t="str">
            <v>Y1902-0425</v>
          </cell>
          <cell r="B1143">
            <v>201810</v>
          </cell>
          <cell r="C1143" t="str">
            <v>4600064611</v>
          </cell>
          <cell r="D1143" t="str">
            <v>M7652C</v>
          </cell>
          <cell r="E1143">
            <v>204</v>
          </cell>
          <cell r="F1143">
            <v>43509</v>
          </cell>
          <cell r="G1143" t="str">
            <v>CFM</v>
          </cell>
        </row>
        <row r="1144">
          <cell r="A1144" t="str">
            <v>Y1902-0426</v>
          </cell>
          <cell r="B1144">
            <v>201810</v>
          </cell>
          <cell r="C1144" t="str">
            <v>4600064612</v>
          </cell>
          <cell r="D1144" t="str">
            <v>M7650C</v>
          </cell>
          <cell r="E1144">
            <v>204</v>
          </cell>
          <cell r="F1144">
            <v>43509</v>
          </cell>
          <cell r="G1144" t="str">
            <v>CFM</v>
          </cell>
        </row>
        <row r="1145">
          <cell r="A1145" t="str">
            <v>Y1902-0428</v>
          </cell>
          <cell r="B1145">
            <v>201810</v>
          </cell>
          <cell r="C1145" t="str">
            <v>4600064656</v>
          </cell>
          <cell r="D1145" t="str">
            <v>164359C</v>
          </cell>
          <cell r="E1145">
            <v>168</v>
          </cell>
          <cell r="F1145">
            <v>43520</v>
          </cell>
          <cell r="G1145" t="str">
            <v>CFM</v>
          </cell>
        </row>
        <row r="1146">
          <cell r="A1146" t="str">
            <v>Y1902-0429</v>
          </cell>
          <cell r="B1146">
            <v>201810</v>
          </cell>
          <cell r="C1146" t="str">
            <v>4600064657</v>
          </cell>
          <cell r="D1146" t="str">
            <v>164360C</v>
          </cell>
          <cell r="E1146">
            <v>168</v>
          </cell>
          <cell r="F1146">
            <v>43520</v>
          </cell>
          <cell r="G1146" t="str">
            <v>CFM</v>
          </cell>
        </row>
        <row r="1147">
          <cell r="A1147" t="str">
            <v>Y1902-0430</v>
          </cell>
          <cell r="B1147">
            <v>201810</v>
          </cell>
          <cell r="C1147" t="str">
            <v>4600064658</v>
          </cell>
          <cell r="D1147" t="str">
            <v>164282C</v>
          </cell>
          <cell r="E1147">
            <v>2136</v>
          </cell>
          <cell r="F1147">
            <v>43520</v>
          </cell>
          <cell r="G1147" t="str">
            <v>CFM</v>
          </cell>
        </row>
        <row r="1148">
          <cell r="A1148" t="str">
            <v>Y1902-0431</v>
          </cell>
          <cell r="B1148">
            <v>201810</v>
          </cell>
          <cell r="C1148" t="str">
            <v>4600064659</v>
          </cell>
          <cell r="D1148" t="str">
            <v>M7652C</v>
          </cell>
          <cell r="E1148">
            <v>13176</v>
          </cell>
          <cell r="F1148">
            <v>43509</v>
          </cell>
          <cell r="G1148" t="str">
            <v>CFM</v>
          </cell>
        </row>
        <row r="1149">
          <cell r="A1149" t="str">
            <v>Y1902-0432</v>
          </cell>
          <cell r="B1149">
            <v>201810</v>
          </cell>
          <cell r="C1149" t="str">
            <v>4600064660</v>
          </cell>
          <cell r="D1149" t="str">
            <v>164280C</v>
          </cell>
          <cell r="E1149">
            <v>300</v>
          </cell>
          <cell r="F1149">
            <v>43520</v>
          </cell>
          <cell r="G1149" t="str">
            <v>CFM</v>
          </cell>
        </row>
        <row r="1150">
          <cell r="A1150" t="str">
            <v>Y1902-0433</v>
          </cell>
          <cell r="B1150">
            <v>201810</v>
          </cell>
          <cell r="C1150" t="str">
            <v>4600064661</v>
          </cell>
          <cell r="D1150" t="str">
            <v>164220C</v>
          </cell>
          <cell r="E1150">
            <v>120</v>
          </cell>
          <cell r="F1150">
            <v>43520</v>
          </cell>
          <cell r="G1150" t="str">
            <v>CFM</v>
          </cell>
        </row>
        <row r="1151">
          <cell r="A1151" t="str">
            <v>Y1902-0434</v>
          </cell>
          <cell r="B1151">
            <v>201810</v>
          </cell>
          <cell r="C1151" t="str">
            <v>4600064662</v>
          </cell>
          <cell r="D1151" t="str">
            <v>164059C</v>
          </cell>
          <cell r="E1151">
            <v>180</v>
          </cell>
          <cell r="F1151">
            <v>43520</v>
          </cell>
          <cell r="G1151" t="str">
            <v>CFM</v>
          </cell>
        </row>
        <row r="1152">
          <cell r="A1152" t="str">
            <v>Y1902-0435</v>
          </cell>
          <cell r="B1152">
            <v>201810</v>
          </cell>
          <cell r="C1152" t="str">
            <v>4600064663</v>
          </cell>
          <cell r="D1152" t="str">
            <v>164361C</v>
          </cell>
          <cell r="E1152">
            <v>120</v>
          </cell>
          <cell r="F1152">
            <v>43520</v>
          </cell>
          <cell r="G1152" t="str">
            <v>CFM</v>
          </cell>
        </row>
        <row r="1153">
          <cell r="A1153" t="str">
            <v>Y1902-0436</v>
          </cell>
          <cell r="B1153">
            <v>201810</v>
          </cell>
          <cell r="C1153" t="str">
            <v>4600064664</v>
          </cell>
          <cell r="D1153" t="str">
            <v>564206C</v>
          </cell>
          <cell r="E1153">
            <v>384</v>
          </cell>
          <cell r="F1153">
            <v>43520</v>
          </cell>
          <cell r="G1153" t="str">
            <v>CFM</v>
          </cell>
        </row>
        <row r="1154">
          <cell r="A1154" t="str">
            <v>Y1902-0437</v>
          </cell>
          <cell r="B1154">
            <v>201810</v>
          </cell>
          <cell r="C1154" t="str">
            <v>4600064665</v>
          </cell>
          <cell r="D1154" t="str">
            <v>364169C</v>
          </cell>
          <cell r="E1154">
            <v>468</v>
          </cell>
          <cell r="F1154">
            <v>43520</v>
          </cell>
          <cell r="G1154" t="str">
            <v>CFM</v>
          </cell>
        </row>
        <row r="1155">
          <cell r="A1155" t="str">
            <v>Y1902-0438</v>
          </cell>
          <cell r="B1155">
            <v>201810</v>
          </cell>
          <cell r="C1155" t="str">
            <v>4600064666</v>
          </cell>
          <cell r="D1155" t="str">
            <v>364170C</v>
          </cell>
          <cell r="E1155">
            <v>276</v>
          </cell>
          <cell r="F1155">
            <v>43520</v>
          </cell>
          <cell r="G1155" t="str">
            <v>CFM</v>
          </cell>
        </row>
        <row r="1156">
          <cell r="A1156" t="str">
            <v>Y1902-0442</v>
          </cell>
          <cell r="B1156">
            <v>201810</v>
          </cell>
          <cell r="C1156" t="str">
            <v>4600064670</v>
          </cell>
          <cell r="D1156" t="str">
            <v>164360C</v>
          </cell>
          <cell r="E1156">
            <v>276</v>
          </cell>
          <cell r="F1156">
            <v>43520</v>
          </cell>
          <cell r="G1156" t="str">
            <v>CFM</v>
          </cell>
        </row>
        <row r="1157">
          <cell r="A1157" t="str">
            <v>Y1902-0443</v>
          </cell>
          <cell r="B1157">
            <v>201810</v>
          </cell>
          <cell r="C1157" t="str">
            <v>4600064671</v>
          </cell>
          <cell r="D1157" t="str">
            <v>164360C</v>
          </cell>
          <cell r="E1157">
            <v>120</v>
          </cell>
          <cell r="F1157">
            <v>43520</v>
          </cell>
          <cell r="G1157" t="str">
            <v>CFM</v>
          </cell>
        </row>
        <row r="1158">
          <cell r="A1158" t="str">
            <v>Y1902-0444</v>
          </cell>
          <cell r="B1158">
            <v>201810</v>
          </cell>
          <cell r="C1158" t="str">
            <v>4600064673</v>
          </cell>
          <cell r="D1158" t="str">
            <v>164359C</v>
          </cell>
          <cell r="E1158">
            <v>120</v>
          </cell>
          <cell r="F1158">
            <v>43520</v>
          </cell>
          <cell r="G1158" t="str">
            <v>CFM</v>
          </cell>
        </row>
        <row r="1159">
          <cell r="A1159" t="str">
            <v>Y1902-0445</v>
          </cell>
          <cell r="B1159">
            <v>201810</v>
          </cell>
          <cell r="C1159" t="str">
            <v>4600064674</v>
          </cell>
          <cell r="D1159" t="str">
            <v>164058C</v>
          </cell>
          <cell r="E1159">
            <v>240</v>
          </cell>
          <cell r="F1159">
            <v>43520</v>
          </cell>
          <cell r="G1159" t="str">
            <v>CFM</v>
          </cell>
        </row>
        <row r="1160">
          <cell r="A1160" t="str">
            <v>Y1902-0446</v>
          </cell>
          <cell r="B1160">
            <v>201810</v>
          </cell>
          <cell r="C1160" t="str">
            <v>4600064675</v>
          </cell>
          <cell r="D1160" t="str">
            <v>7J253C</v>
          </cell>
          <cell r="E1160">
            <v>2832</v>
          </cell>
          <cell r="F1160">
            <v>43509</v>
          </cell>
          <cell r="G1160" t="str">
            <v>CFM</v>
          </cell>
        </row>
        <row r="1161">
          <cell r="A1161" t="str">
            <v>Y1902-0447</v>
          </cell>
          <cell r="B1161">
            <v>201810</v>
          </cell>
          <cell r="C1161" t="str">
            <v>4600064676</v>
          </cell>
          <cell r="D1161" t="str">
            <v>564205C</v>
          </cell>
          <cell r="E1161">
            <v>384</v>
          </cell>
          <cell r="F1161">
            <v>43520</v>
          </cell>
          <cell r="G1161" t="str">
            <v>CFM</v>
          </cell>
        </row>
        <row r="1162">
          <cell r="A1162" t="str">
            <v>Y1902-0449</v>
          </cell>
          <cell r="B1162">
            <v>201810</v>
          </cell>
          <cell r="C1162" t="str">
            <v>4600064678</v>
          </cell>
          <cell r="D1162" t="str">
            <v>364170C</v>
          </cell>
          <cell r="E1162">
            <v>480</v>
          </cell>
          <cell r="F1162">
            <v>43520</v>
          </cell>
          <cell r="G1162" t="str">
            <v>CFM</v>
          </cell>
        </row>
        <row r="1163">
          <cell r="A1163" t="str">
            <v>Y1902-0450</v>
          </cell>
          <cell r="B1163">
            <v>201810</v>
          </cell>
          <cell r="C1163" t="str">
            <v>4600064679</v>
          </cell>
          <cell r="D1163" t="str">
            <v>564207C</v>
          </cell>
          <cell r="E1163">
            <v>120</v>
          </cell>
          <cell r="F1163">
            <v>43520</v>
          </cell>
          <cell r="G1163" t="str">
            <v>CFM</v>
          </cell>
        </row>
        <row r="1164">
          <cell r="A1164" t="str">
            <v>Y1902-0453</v>
          </cell>
          <cell r="B1164">
            <v>201810</v>
          </cell>
          <cell r="C1164" t="str">
            <v>4600064682</v>
          </cell>
          <cell r="D1164" t="str">
            <v>564204C</v>
          </cell>
          <cell r="E1164">
            <v>120</v>
          </cell>
          <cell r="F1164">
            <v>43520</v>
          </cell>
          <cell r="G1164" t="str">
            <v>CFM</v>
          </cell>
        </row>
        <row r="1165">
          <cell r="A1165" t="str">
            <v>Y1902-0455</v>
          </cell>
          <cell r="B1165">
            <v>201810</v>
          </cell>
          <cell r="C1165" t="str">
            <v>4600064684</v>
          </cell>
          <cell r="D1165" t="str">
            <v>564154C</v>
          </cell>
          <cell r="E1165">
            <v>528</v>
          </cell>
          <cell r="F1165">
            <v>43520</v>
          </cell>
          <cell r="G1165" t="str">
            <v>CFM</v>
          </cell>
        </row>
        <row r="1166">
          <cell r="A1166" t="str">
            <v>Y1902-0456</v>
          </cell>
          <cell r="B1166">
            <v>201810</v>
          </cell>
          <cell r="C1166" t="str">
            <v>4600064685</v>
          </cell>
          <cell r="D1166" t="str">
            <v>564152C</v>
          </cell>
          <cell r="E1166">
            <v>240</v>
          </cell>
          <cell r="F1166">
            <v>43520</v>
          </cell>
          <cell r="G1166" t="str">
            <v>CFM</v>
          </cell>
        </row>
        <row r="1167">
          <cell r="A1167" t="str">
            <v>Y1902-0458</v>
          </cell>
          <cell r="B1167">
            <v>201810</v>
          </cell>
          <cell r="C1167" t="str">
            <v>4600064687</v>
          </cell>
          <cell r="D1167" t="str">
            <v>3J234C</v>
          </cell>
          <cell r="E1167">
            <v>1584</v>
          </cell>
          <cell r="F1167">
            <v>43509</v>
          </cell>
          <cell r="G1167" t="str">
            <v>12/11</v>
          </cell>
        </row>
        <row r="1168">
          <cell r="A1168" t="str">
            <v>Y1902-0460</v>
          </cell>
          <cell r="B1168">
            <v>201810</v>
          </cell>
          <cell r="C1168" t="str">
            <v>4600064689</v>
          </cell>
          <cell r="D1168" t="str">
            <v>564151C</v>
          </cell>
          <cell r="E1168">
            <v>408</v>
          </cell>
          <cell r="F1168">
            <v>43520</v>
          </cell>
          <cell r="G1168" t="str">
            <v>CFM</v>
          </cell>
        </row>
        <row r="1169">
          <cell r="A1169" t="str">
            <v>Y1902-0461</v>
          </cell>
          <cell r="B1169">
            <v>201810</v>
          </cell>
          <cell r="C1169" t="str">
            <v>4600064690</v>
          </cell>
          <cell r="D1169" t="str">
            <v>764173C</v>
          </cell>
          <cell r="E1169">
            <v>276</v>
          </cell>
          <cell r="F1169">
            <v>43520</v>
          </cell>
          <cell r="G1169" t="str">
            <v>CFM</v>
          </cell>
        </row>
        <row r="1170">
          <cell r="A1170" t="str">
            <v>Y1902-0463</v>
          </cell>
          <cell r="B1170">
            <v>201810</v>
          </cell>
          <cell r="C1170" t="str">
            <v>4600064692</v>
          </cell>
          <cell r="D1170" t="str">
            <v>764172C</v>
          </cell>
          <cell r="E1170">
            <v>288</v>
          </cell>
          <cell r="F1170">
            <v>43520</v>
          </cell>
          <cell r="G1170" t="str">
            <v>CFM</v>
          </cell>
        </row>
        <row r="1171">
          <cell r="A1171" t="str">
            <v>Y1902-0464</v>
          </cell>
          <cell r="B1171">
            <v>201810</v>
          </cell>
          <cell r="C1171" t="str">
            <v>4600064693</v>
          </cell>
          <cell r="D1171" t="str">
            <v>764173C</v>
          </cell>
          <cell r="E1171">
            <v>420</v>
          </cell>
          <cell r="F1171">
            <v>43520</v>
          </cell>
          <cell r="G1171" t="str">
            <v>CFM</v>
          </cell>
        </row>
        <row r="1172">
          <cell r="A1172" t="str">
            <v>Y1902-0465</v>
          </cell>
          <cell r="B1172">
            <v>201810</v>
          </cell>
          <cell r="C1172" t="str">
            <v>4600064694</v>
          </cell>
          <cell r="D1172" t="str">
            <v>155066C</v>
          </cell>
          <cell r="E1172">
            <v>1224</v>
          </cell>
          <cell r="F1172">
            <v>43516</v>
          </cell>
          <cell r="G1172" t="str">
            <v>12/25</v>
          </cell>
        </row>
        <row r="1173">
          <cell r="A1173" t="str">
            <v>Y1902-0466</v>
          </cell>
          <cell r="B1173">
            <v>201810</v>
          </cell>
          <cell r="C1173" t="str">
            <v>4600064695</v>
          </cell>
          <cell r="D1173" t="str">
            <v>7J256C</v>
          </cell>
          <cell r="E1173">
            <v>5664</v>
          </cell>
          <cell r="F1173">
            <v>43509</v>
          </cell>
          <cell r="G1173" t="str">
            <v>12/11</v>
          </cell>
        </row>
        <row r="1174">
          <cell r="A1174" t="str">
            <v>Y1902-0467</v>
          </cell>
          <cell r="B1174">
            <v>201810</v>
          </cell>
          <cell r="C1174" t="str">
            <v>4600064696</v>
          </cell>
          <cell r="D1174" t="str">
            <v>164282C</v>
          </cell>
          <cell r="E1174">
            <v>180</v>
          </cell>
          <cell r="F1174">
            <v>43520</v>
          </cell>
          <cell r="G1174" t="str">
            <v>CFM</v>
          </cell>
        </row>
        <row r="1175">
          <cell r="A1175" t="str">
            <v>Y1902-0468</v>
          </cell>
          <cell r="B1175">
            <v>201810</v>
          </cell>
          <cell r="C1175" t="str">
            <v>4600064697</v>
          </cell>
          <cell r="D1175" t="str">
            <v>164281C</v>
          </cell>
          <cell r="E1175">
            <v>300</v>
          </cell>
          <cell r="F1175">
            <v>43520</v>
          </cell>
          <cell r="G1175" t="str">
            <v>CFM</v>
          </cell>
        </row>
        <row r="1176">
          <cell r="A1176" t="str">
            <v>Y1902-0469</v>
          </cell>
          <cell r="B1176">
            <v>201810</v>
          </cell>
          <cell r="C1176" t="str">
            <v>4600064698</v>
          </cell>
          <cell r="D1176" t="str">
            <v>164218C</v>
          </cell>
          <cell r="E1176">
            <v>120</v>
          </cell>
          <cell r="F1176">
            <v>43520</v>
          </cell>
          <cell r="G1176" t="str">
            <v>CFM</v>
          </cell>
        </row>
        <row r="1177">
          <cell r="A1177" t="str">
            <v>Y1902-0470</v>
          </cell>
          <cell r="B1177">
            <v>201810</v>
          </cell>
          <cell r="C1177" t="str">
            <v>4600064699</v>
          </cell>
          <cell r="D1177" t="str">
            <v>164060C</v>
          </cell>
          <cell r="E1177">
            <v>240</v>
          </cell>
          <cell r="F1177">
            <v>43520</v>
          </cell>
          <cell r="G1177" t="str">
            <v>CFM</v>
          </cell>
        </row>
        <row r="1178">
          <cell r="A1178" t="str">
            <v>Y1902-0471</v>
          </cell>
          <cell r="B1178">
            <v>201810</v>
          </cell>
          <cell r="C1178" t="str">
            <v>4600064700</v>
          </cell>
          <cell r="D1178" t="str">
            <v>3J256C</v>
          </cell>
          <cell r="E1178">
            <v>8688</v>
          </cell>
          <cell r="F1178">
            <v>43509</v>
          </cell>
          <cell r="G1178" t="str">
            <v>12/11</v>
          </cell>
        </row>
        <row r="1179">
          <cell r="A1179" t="str">
            <v>Y1902-0473</v>
          </cell>
          <cell r="B1179">
            <v>201810</v>
          </cell>
          <cell r="C1179" t="str">
            <v>4600064702</v>
          </cell>
          <cell r="D1179" t="str">
            <v>155064C</v>
          </cell>
          <cell r="E1179">
            <v>2700</v>
          </cell>
          <cell r="F1179">
            <v>43516</v>
          </cell>
          <cell r="G1179" t="str">
            <v>12/25</v>
          </cell>
        </row>
        <row r="1180">
          <cell r="A1180" t="str">
            <v>Y1902-0474</v>
          </cell>
          <cell r="B1180">
            <v>201810</v>
          </cell>
          <cell r="C1180" t="str">
            <v>4600064703</v>
          </cell>
          <cell r="D1180" t="str">
            <v>7J238C</v>
          </cell>
          <cell r="E1180">
            <v>1116</v>
          </cell>
          <cell r="F1180">
            <v>43509</v>
          </cell>
          <cell r="G1180" t="str">
            <v>CFM</v>
          </cell>
        </row>
        <row r="1181">
          <cell r="A1181" t="str">
            <v>Y1902-0475</v>
          </cell>
          <cell r="B1181">
            <v>201810</v>
          </cell>
          <cell r="C1181" t="str">
            <v>4600064704</v>
          </cell>
          <cell r="D1181" t="str">
            <v>7J234C</v>
          </cell>
          <cell r="E1181">
            <v>1020</v>
          </cell>
          <cell r="F1181">
            <v>43509</v>
          </cell>
          <cell r="G1181" t="str">
            <v>12/11</v>
          </cell>
        </row>
        <row r="1182">
          <cell r="A1182" t="str">
            <v>Y1902-0476</v>
          </cell>
          <cell r="B1182">
            <v>201810</v>
          </cell>
          <cell r="C1182" t="str">
            <v>4600064705</v>
          </cell>
          <cell r="D1182" t="str">
            <v>7J232C</v>
          </cell>
          <cell r="E1182">
            <v>708</v>
          </cell>
          <cell r="F1182">
            <v>43509</v>
          </cell>
          <cell r="G1182" t="str">
            <v>CFM</v>
          </cell>
        </row>
        <row r="1183">
          <cell r="A1183" t="str">
            <v>Y1902-0477</v>
          </cell>
          <cell r="B1183">
            <v>201810</v>
          </cell>
          <cell r="C1183" t="str">
            <v>4600064706</v>
          </cell>
          <cell r="D1183" t="str">
            <v>164361C</v>
          </cell>
          <cell r="E1183">
            <v>216</v>
          </cell>
          <cell r="F1183">
            <v>43520</v>
          </cell>
          <cell r="G1183" t="str">
            <v>CFM</v>
          </cell>
        </row>
        <row r="1184">
          <cell r="A1184" t="str">
            <v>Y1902-0478</v>
          </cell>
          <cell r="B1184">
            <v>201810</v>
          </cell>
          <cell r="C1184" t="str">
            <v>4600064707</v>
          </cell>
          <cell r="D1184" t="str">
            <v>164360C</v>
          </cell>
          <cell r="E1184">
            <v>240</v>
          </cell>
          <cell r="F1184">
            <v>43520</v>
          </cell>
          <cell r="G1184" t="str">
            <v>CFM</v>
          </cell>
        </row>
        <row r="1185">
          <cell r="A1185" t="str">
            <v>Y1902-0479</v>
          </cell>
          <cell r="B1185">
            <v>201810</v>
          </cell>
          <cell r="C1185" t="str">
            <v>4600064708</v>
          </cell>
          <cell r="D1185" t="str">
            <v>M7652C</v>
          </cell>
          <cell r="E1185">
            <v>13284</v>
          </cell>
          <cell r="F1185">
            <v>43509</v>
          </cell>
          <cell r="G1185" t="str">
            <v>CFM</v>
          </cell>
        </row>
        <row r="1186">
          <cell r="A1186" t="str">
            <v>Y1902-0481</v>
          </cell>
          <cell r="B1186">
            <v>201810</v>
          </cell>
          <cell r="C1186" t="str">
            <v>4600064763</v>
          </cell>
          <cell r="D1186" t="str">
            <v>155066C</v>
          </cell>
          <cell r="E1186">
            <v>444</v>
          </cell>
          <cell r="F1186">
            <v>43516</v>
          </cell>
          <cell r="G1186" t="str">
            <v>12/25</v>
          </cell>
        </row>
        <row r="1187">
          <cell r="A1187" t="str">
            <v>Y1902-0482</v>
          </cell>
          <cell r="B1187">
            <v>201810</v>
          </cell>
          <cell r="C1187" t="str">
            <v>4600064764</v>
          </cell>
          <cell r="D1187" t="str">
            <v>155064C</v>
          </cell>
          <cell r="E1187">
            <v>672</v>
          </cell>
          <cell r="F1187">
            <v>43514</v>
          </cell>
          <cell r="G1187" t="str">
            <v>12/25</v>
          </cell>
        </row>
        <row r="1188">
          <cell r="A1188" t="str">
            <v>Y1902-0483</v>
          </cell>
          <cell r="B1188">
            <v>201810</v>
          </cell>
          <cell r="C1188" t="str">
            <v>4600064765</v>
          </cell>
          <cell r="D1188" t="str">
            <v>164393C</v>
          </cell>
          <cell r="E1188">
            <v>168</v>
          </cell>
          <cell r="F1188">
            <v>43523</v>
          </cell>
          <cell r="G1188" t="str">
            <v>12/25</v>
          </cell>
        </row>
        <row r="1189">
          <cell r="A1189" t="str">
            <v>Y1902-0484</v>
          </cell>
          <cell r="B1189">
            <v>201810</v>
          </cell>
          <cell r="C1189" t="str">
            <v>4600064766</v>
          </cell>
          <cell r="D1189" t="str">
            <v>164391C</v>
          </cell>
          <cell r="E1189">
            <v>2328</v>
          </cell>
          <cell r="F1189">
            <v>43523</v>
          </cell>
          <cell r="G1189" t="str">
            <v>12/25</v>
          </cell>
        </row>
        <row r="1190">
          <cell r="A1190" t="str">
            <v>Y1902-0485</v>
          </cell>
          <cell r="B1190">
            <v>201810</v>
          </cell>
          <cell r="C1190" t="str">
            <v>4600064767</v>
          </cell>
          <cell r="D1190" t="str">
            <v>164390C</v>
          </cell>
          <cell r="E1190">
            <v>276</v>
          </cell>
          <cell r="F1190">
            <v>43523</v>
          </cell>
          <cell r="G1190" t="str">
            <v>12/25</v>
          </cell>
        </row>
        <row r="1191">
          <cell r="A1191" t="str">
            <v>Y1902-0486</v>
          </cell>
          <cell r="B1191">
            <v>201810</v>
          </cell>
          <cell r="C1191" t="str">
            <v>4600064768</v>
          </cell>
          <cell r="D1191" t="str">
            <v>163269C</v>
          </cell>
          <cell r="E1191">
            <v>1092</v>
          </cell>
          <cell r="F1191">
            <v>43509</v>
          </cell>
          <cell r="G1191" t="str">
            <v>12/25</v>
          </cell>
        </row>
        <row r="1192">
          <cell r="A1192" t="str">
            <v>Y1902-0487</v>
          </cell>
          <cell r="B1192">
            <v>201810</v>
          </cell>
          <cell r="C1192" t="str">
            <v>4600064769</v>
          </cell>
          <cell r="D1192" t="str">
            <v>164525C</v>
          </cell>
          <cell r="E1192">
            <v>2100</v>
          </cell>
          <cell r="F1192">
            <v>43509</v>
          </cell>
          <cell r="G1192" t="str">
            <v>12/25</v>
          </cell>
        </row>
        <row r="1193">
          <cell r="A1193" t="str">
            <v>Y1902-0488</v>
          </cell>
          <cell r="B1193">
            <v>201810</v>
          </cell>
          <cell r="C1193" t="str">
            <v>4600064771</v>
          </cell>
          <cell r="D1193" t="str">
            <v>161603C</v>
          </cell>
          <cell r="E1193">
            <v>528</v>
          </cell>
          <cell r="F1193">
            <v>43516</v>
          </cell>
          <cell r="G1193" t="str">
            <v>12/25</v>
          </cell>
        </row>
        <row r="1194">
          <cell r="A1194" t="str">
            <v>Y1902-0489</v>
          </cell>
          <cell r="B1194">
            <v>201810</v>
          </cell>
          <cell r="C1194" t="str">
            <v>4600064772</v>
          </cell>
          <cell r="D1194" t="str">
            <v>161599C</v>
          </cell>
          <cell r="E1194">
            <v>720</v>
          </cell>
          <cell r="F1194">
            <v>43516</v>
          </cell>
          <cell r="G1194" t="str">
            <v>12/25</v>
          </cell>
        </row>
        <row r="1195">
          <cell r="A1195" t="str">
            <v>Y1902-0490</v>
          </cell>
          <cell r="B1195">
            <v>201810</v>
          </cell>
          <cell r="C1195" t="str">
            <v>4600064773</v>
          </cell>
          <cell r="D1195" t="str">
            <v>161599C</v>
          </cell>
          <cell r="E1195">
            <v>480</v>
          </cell>
          <cell r="F1195">
            <v>43516</v>
          </cell>
          <cell r="G1195" t="str">
            <v>12/25</v>
          </cell>
        </row>
        <row r="1196">
          <cell r="A1196" t="str">
            <v>Y1902-0491</v>
          </cell>
          <cell r="B1196">
            <v>201810</v>
          </cell>
          <cell r="C1196" t="str">
            <v>4600064775</v>
          </cell>
          <cell r="D1196" t="str">
            <v>664184C</v>
          </cell>
          <cell r="E1196">
            <v>528</v>
          </cell>
          <cell r="F1196">
            <v>43523</v>
          </cell>
          <cell r="G1196" t="str">
            <v>12/25</v>
          </cell>
        </row>
        <row r="1197">
          <cell r="A1197" t="str">
            <v>Y1902-0492</v>
          </cell>
          <cell r="B1197">
            <v>201810</v>
          </cell>
          <cell r="C1197" t="str">
            <v>4600064783</v>
          </cell>
          <cell r="D1197" t="str">
            <v>159786C</v>
          </cell>
          <cell r="E1197">
            <v>600</v>
          </cell>
          <cell r="F1197">
            <v>43514</v>
          </cell>
          <cell r="G1197" t="str">
            <v>12/25</v>
          </cell>
        </row>
        <row r="1198">
          <cell r="A1198" t="str">
            <v>Y1902-0493</v>
          </cell>
          <cell r="B1198">
            <v>201810</v>
          </cell>
          <cell r="C1198" t="str">
            <v>4600064784</v>
          </cell>
          <cell r="D1198" t="str">
            <v>159786C</v>
          </cell>
          <cell r="E1198">
            <v>1572</v>
          </cell>
          <cell r="F1198">
            <v>43514</v>
          </cell>
          <cell r="G1198" t="str">
            <v>12/25</v>
          </cell>
        </row>
        <row r="1199">
          <cell r="A1199" t="str">
            <v>Y1902-0494</v>
          </cell>
          <cell r="B1199">
            <v>201810</v>
          </cell>
          <cell r="C1199" t="str">
            <v>4600064785</v>
          </cell>
          <cell r="D1199" t="str">
            <v>155064C</v>
          </cell>
          <cell r="E1199">
            <v>1956</v>
          </cell>
          <cell r="F1199">
            <v>43514</v>
          </cell>
          <cell r="G1199" t="str">
            <v>12/25</v>
          </cell>
        </row>
        <row r="1200">
          <cell r="A1200" t="str">
            <v>Y1902-0495</v>
          </cell>
          <cell r="B1200">
            <v>201810</v>
          </cell>
          <cell r="C1200" t="str">
            <v>4600064786</v>
          </cell>
          <cell r="D1200" t="str">
            <v>164281C</v>
          </cell>
          <cell r="E1200">
            <v>1596</v>
          </cell>
          <cell r="F1200">
            <v>43514</v>
          </cell>
          <cell r="G1200" t="str">
            <v>12/25</v>
          </cell>
        </row>
        <row r="1201">
          <cell r="A1201" t="str">
            <v>Y1902-0496</v>
          </cell>
          <cell r="B1201">
            <v>201810</v>
          </cell>
          <cell r="C1201" t="str">
            <v>4600064790</v>
          </cell>
          <cell r="D1201" t="str">
            <v>164281C</v>
          </cell>
          <cell r="E1201">
            <v>924</v>
          </cell>
          <cell r="F1201">
            <v>43514</v>
          </cell>
          <cell r="G1201" t="str">
            <v>12/25</v>
          </cell>
        </row>
        <row r="1202">
          <cell r="A1202" t="str">
            <v>Y1902-0497</v>
          </cell>
          <cell r="B1202">
            <v>201810</v>
          </cell>
          <cell r="C1202" t="str">
            <v>4600064791</v>
          </cell>
          <cell r="D1202" t="str">
            <v>164280C</v>
          </cell>
          <cell r="E1202">
            <v>1824</v>
          </cell>
          <cell r="F1202">
            <v>43514</v>
          </cell>
          <cell r="G1202" t="str">
            <v>12/25</v>
          </cell>
        </row>
        <row r="1203">
          <cell r="A1203" t="str">
            <v>Y1902-0498</v>
          </cell>
          <cell r="B1203">
            <v>201810</v>
          </cell>
          <cell r="C1203" t="str">
            <v>4600064792</v>
          </cell>
          <cell r="D1203" t="str">
            <v>164280C</v>
          </cell>
          <cell r="E1203">
            <v>1452</v>
          </cell>
          <cell r="F1203">
            <v>43514</v>
          </cell>
          <cell r="G1203" t="str">
            <v>12/25</v>
          </cell>
        </row>
        <row r="1204">
          <cell r="A1204" t="str">
            <v>Y1901-0019</v>
          </cell>
          <cell r="B1204">
            <v>201808</v>
          </cell>
          <cell r="C1204" t="str">
            <v>0100166205</v>
          </cell>
          <cell r="D1204" t="str">
            <v>M9621C</v>
          </cell>
          <cell r="E1204">
            <v>564</v>
          </cell>
          <cell r="F1204">
            <v>43467</v>
          </cell>
          <cell r="G1204" t="str">
            <v>OK</v>
          </cell>
        </row>
        <row r="1205">
          <cell r="A1205" t="str">
            <v>Y1901-0020</v>
          </cell>
          <cell r="B1205">
            <v>201808</v>
          </cell>
          <cell r="C1205" t="str">
            <v>0100166223</v>
          </cell>
          <cell r="D1205" t="str">
            <v>M9160C</v>
          </cell>
          <cell r="E1205">
            <v>840</v>
          </cell>
          <cell r="F1205">
            <v>43467</v>
          </cell>
          <cell r="G1205" t="str">
            <v>OK</v>
          </cell>
        </row>
        <row r="1206">
          <cell r="A1206" t="str">
            <v>Y1901-0010</v>
          </cell>
          <cell r="B1206">
            <v>201808</v>
          </cell>
          <cell r="C1206" t="str">
            <v>0100166101</v>
          </cell>
          <cell r="D1206" t="str">
            <v>155066C</v>
          </cell>
          <cell r="E1206">
            <v>1260</v>
          </cell>
          <cell r="F1206">
            <v>43488</v>
          </cell>
          <cell r="G1206" t="str">
            <v>OK</v>
          </cell>
        </row>
        <row r="1207">
          <cell r="A1207" t="str">
            <v>Y1901-0014</v>
          </cell>
          <cell r="B1207">
            <v>201808</v>
          </cell>
          <cell r="C1207" t="str">
            <v>0100166133</v>
          </cell>
          <cell r="D1207" t="str">
            <v>159792C</v>
          </cell>
          <cell r="E1207">
            <v>2844</v>
          </cell>
          <cell r="F1207">
            <v>43488</v>
          </cell>
          <cell r="G1207" t="str">
            <v>OK</v>
          </cell>
        </row>
        <row r="1208">
          <cell r="A1208" t="str">
            <v>Y1901-0015</v>
          </cell>
          <cell r="B1208">
            <v>201808</v>
          </cell>
          <cell r="C1208" t="str">
            <v>0100166180</v>
          </cell>
          <cell r="D1208" t="str">
            <v>636930C</v>
          </cell>
          <cell r="E1208">
            <v>1056</v>
          </cell>
          <cell r="F1208">
            <v>43481</v>
          </cell>
          <cell r="G1208" t="str">
            <v>OK</v>
          </cell>
        </row>
        <row r="1209">
          <cell r="A1209" t="str">
            <v>Y1901-0016</v>
          </cell>
          <cell r="B1209">
            <v>201808</v>
          </cell>
          <cell r="C1209" t="str">
            <v>0100166181</v>
          </cell>
          <cell r="D1209" t="str">
            <v>144148C</v>
          </cell>
          <cell r="E1209">
            <v>768</v>
          </cell>
          <cell r="F1209">
            <v>43481</v>
          </cell>
          <cell r="G1209" t="str">
            <v>OK</v>
          </cell>
        </row>
        <row r="1210">
          <cell r="A1210" t="str">
            <v>Y1901-0017</v>
          </cell>
          <cell r="B1210">
            <v>201808</v>
          </cell>
          <cell r="C1210" t="str">
            <v>0100166182</v>
          </cell>
          <cell r="D1210" t="str">
            <v>144148C</v>
          </cell>
          <cell r="E1210">
            <v>828</v>
          </cell>
          <cell r="F1210">
            <v>43481</v>
          </cell>
          <cell r="G1210" t="str">
            <v>OK</v>
          </cell>
        </row>
        <row r="1211">
          <cell r="A1211" t="str">
            <v>Y1901-0023</v>
          </cell>
          <cell r="B1211">
            <v>201808</v>
          </cell>
          <cell r="C1211" t="str">
            <v>0100168338</v>
          </cell>
          <cell r="D1211" t="str">
            <v>155065C</v>
          </cell>
          <cell r="E1211">
            <v>1968</v>
          </cell>
          <cell r="F1211">
            <v>43488</v>
          </cell>
          <cell r="G1211" t="str">
            <v>OK</v>
          </cell>
        </row>
        <row r="1212">
          <cell r="A1212" t="str">
            <v>Y1901-0021</v>
          </cell>
          <cell r="B1212">
            <v>201808</v>
          </cell>
          <cell r="C1212" t="str">
            <v>0100166227</v>
          </cell>
          <cell r="D1212" t="str">
            <v>563426C</v>
          </cell>
          <cell r="E1212">
            <v>120</v>
          </cell>
          <cell r="F1212">
            <v>43478</v>
          </cell>
          <cell r="G1212" t="str">
            <v>OK</v>
          </cell>
        </row>
        <row r="1213">
          <cell r="A1213" t="str">
            <v>Y1901-0011</v>
          </cell>
          <cell r="B1213">
            <v>201808</v>
          </cell>
          <cell r="C1213" t="str">
            <v>0100166106</v>
          </cell>
          <cell r="D1213" t="str">
            <v>559886C</v>
          </cell>
          <cell r="E1213">
            <v>3000</v>
          </cell>
          <cell r="F1213">
            <v>43474</v>
          </cell>
          <cell r="G1213" t="str">
            <v>11/06</v>
          </cell>
        </row>
        <row r="1214">
          <cell r="A1214" t="str">
            <v>Y1901-0012</v>
          </cell>
          <cell r="B1214">
            <v>201808</v>
          </cell>
          <cell r="C1214" t="str">
            <v>0100166112</v>
          </cell>
          <cell r="D1214" t="str">
            <v>559889C</v>
          </cell>
          <cell r="E1214">
            <v>3000</v>
          </cell>
          <cell r="F1214">
            <v>43474</v>
          </cell>
          <cell r="G1214" t="str">
            <v>11/06</v>
          </cell>
        </row>
        <row r="1215">
          <cell r="A1215" t="str">
            <v>Y1901-0018</v>
          </cell>
          <cell r="B1215">
            <v>201808</v>
          </cell>
          <cell r="C1215" t="str">
            <v>0100166185</v>
          </cell>
          <cell r="D1215" t="str">
            <v>155064C</v>
          </cell>
          <cell r="E1215">
            <v>14928</v>
          </cell>
          <cell r="F1215">
            <v>43481</v>
          </cell>
          <cell r="G1215" t="str">
            <v>OK</v>
          </cell>
        </row>
        <row r="1216">
          <cell r="A1216" t="str">
            <v>Y1901-0009</v>
          </cell>
          <cell r="B1216">
            <v>201808</v>
          </cell>
          <cell r="C1216" t="str">
            <v>0100166039</v>
          </cell>
          <cell r="D1216" t="str">
            <v>663602C</v>
          </cell>
          <cell r="E1216">
            <v>492</v>
          </cell>
          <cell r="F1216">
            <v>43481</v>
          </cell>
          <cell r="G1216" t="str">
            <v>OK</v>
          </cell>
        </row>
        <row r="1217">
          <cell r="A1217" t="str">
            <v>Y1901-0013</v>
          </cell>
          <cell r="B1217">
            <v>201808</v>
          </cell>
          <cell r="C1217" t="str">
            <v>0100166120</v>
          </cell>
          <cell r="D1217" t="str">
            <v>163199C</v>
          </cell>
          <cell r="E1217">
            <v>1248</v>
          </cell>
          <cell r="F1217">
            <v>43480</v>
          </cell>
          <cell r="G1217" t="str">
            <v>OK</v>
          </cell>
        </row>
        <row r="1218">
          <cell r="A1218" t="str">
            <v>Y1901-0026</v>
          </cell>
          <cell r="B1218">
            <v>201809</v>
          </cell>
          <cell r="C1218" t="str">
            <v>0100169657</v>
          </cell>
          <cell r="D1218" t="str">
            <v>3J236C</v>
          </cell>
          <cell r="E1218">
            <v>1848</v>
          </cell>
          <cell r="F1218">
            <v>43488</v>
          </cell>
          <cell r="G1218" t="str">
            <v>11/13</v>
          </cell>
        </row>
        <row r="1219">
          <cell r="A1219" t="str">
            <v>Y1901-0046</v>
          </cell>
          <cell r="B1219">
            <v>201809</v>
          </cell>
          <cell r="C1219" t="str">
            <v>0100169699</v>
          </cell>
          <cell r="D1219" t="str">
            <v>7J253C</v>
          </cell>
          <cell r="E1219">
            <v>1848</v>
          </cell>
          <cell r="F1219">
            <v>43488</v>
          </cell>
          <cell r="G1219" t="str">
            <v>OK</v>
          </cell>
        </row>
        <row r="1220">
          <cell r="A1220" t="str">
            <v>Y1901-0047</v>
          </cell>
          <cell r="B1220">
            <v>201809</v>
          </cell>
          <cell r="C1220" t="str">
            <v>0100169700</v>
          </cell>
          <cell r="D1220" t="str">
            <v>7J253C</v>
          </cell>
          <cell r="E1220">
            <v>672</v>
          </cell>
          <cell r="F1220">
            <v>43488</v>
          </cell>
          <cell r="G1220" t="str">
            <v>OK</v>
          </cell>
        </row>
        <row r="1221">
          <cell r="A1221" t="str">
            <v>Y1901-0048</v>
          </cell>
          <cell r="B1221">
            <v>201809</v>
          </cell>
          <cell r="C1221" t="str">
            <v>0100169702</v>
          </cell>
          <cell r="D1221" t="str">
            <v>7J256C</v>
          </cell>
          <cell r="E1221">
            <v>1476</v>
          </cell>
          <cell r="F1221">
            <v>43488</v>
          </cell>
          <cell r="G1221" t="str">
            <v>11/13</v>
          </cell>
        </row>
        <row r="1222">
          <cell r="A1222" t="str">
            <v>Y1901-0049</v>
          </cell>
          <cell r="B1222">
            <v>201809</v>
          </cell>
          <cell r="C1222" t="str">
            <v>0100169703</v>
          </cell>
          <cell r="D1222" t="str">
            <v>7J256C</v>
          </cell>
          <cell r="E1222">
            <v>516</v>
          </cell>
          <cell r="F1222">
            <v>43488</v>
          </cell>
          <cell r="G1222" t="str">
            <v>11/13</v>
          </cell>
        </row>
        <row r="1223">
          <cell r="A1223" t="str">
            <v>Y1901-0084</v>
          </cell>
          <cell r="B1223">
            <v>201809</v>
          </cell>
          <cell r="C1223" t="str">
            <v>0100169741</v>
          </cell>
          <cell r="D1223" t="str">
            <v>7J256C</v>
          </cell>
          <cell r="E1223">
            <v>528</v>
          </cell>
          <cell r="F1223">
            <v>43481</v>
          </cell>
          <cell r="G1223" t="str">
            <v>11/13</v>
          </cell>
        </row>
        <row r="1224">
          <cell r="A1224" t="str">
            <v>Y1901-0085</v>
          </cell>
          <cell r="B1224">
            <v>201809</v>
          </cell>
          <cell r="C1224" t="str">
            <v>0100169742</v>
          </cell>
          <cell r="D1224" t="str">
            <v>3J231C</v>
          </cell>
          <cell r="E1224">
            <v>408</v>
          </cell>
          <cell r="F1224">
            <v>43481</v>
          </cell>
          <cell r="G1224" t="str">
            <v>11/13</v>
          </cell>
        </row>
        <row r="1225">
          <cell r="A1225" t="str">
            <v>Y1901-0024</v>
          </cell>
          <cell r="B1225">
            <v>201809</v>
          </cell>
          <cell r="C1225" t="str">
            <v>0100169620</v>
          </cell>
          <cell r="D1225" t="str">
            <v>663677C</v>
          </cell>
          <cell r="E1225">
            <v>672</v>
          </cell>
          <cell r="F1225">
            <v>43481</v>
          </cell>
          <cell r="G1225" t="str">
            <v>11/20</v>
          </cell>
        </row>
        <row r="1226">
          <cell r="A1226" t="str">
            <v>Y1901-0050</v>
          </cell>
          <cell r="B1226">
            <v>201809</v>
          </cell>
          <cell r="C1226" t="str">
            <v>0100169704</v>
          </cell>
          <cell r="D1226" t="str">
            <v>663677C</v>
          </cell>
          <cell r="E1226">
            <v>5700</v>
          </cell>
          <cell r="F1226">
            <v>43479</v>
          </cell>
          <cell r="G1226" t="str">
            <v>11/20</v>
          </cell>
        </row>
        <row r="1227">
          <cell r="A1227" t="str">
            <v>Y1901-0086</v>
          </cell>
          <cell r="B1227">
            <v>201809</v>
          </cell>
          <cell r="C1227" t="str">
            <v>0100169743</v>
          </cell>
          <cell r="D1227" t="str">
            <v>144150C</v>
          </cell>
          <cell r="E1227">
            <v>1236</v>
          </cell>
          <cell r="F1227">
            <v>43481</v>
          </cell>
          <cell r="G1227" t="str">
            <v>11/20</v>
          </cell>
        </row>
        <row r="1228">
          <cell r="A1228" t="str">
            <v>Y1901-0098</v>
          </cell>
          <cell r="B1228">
            <v>201809</v>
          </cell>
          <cell r="C1228" t="str">
            <v>0100169806</v>
          </cell>
          <cell r="D1228" t="str">
            <v>264720C</v>
          </cell>
          <cell r="E1228">
            <v>600</v>
          </cell>
          <cell r="F1228">
            <v>43470</v>
          </cell>
          <cell r="G1228" t="str">
            <v>11/20</v>
          </cell>
        </row>
        <row r="1229">
          <cell r="A1229" t="str">
            <v>Y1901-0099</v>
          </cell>
          <cell r="B1229">
            <v>201809</v>
          </cell>
          <cell r="C1229" t="str">
            <v>0100169807</v>
          </cell>
          <cell r="D1229" t="str">
            <v>264720C</v>
          </cell>
          <cell r="E1229">
            <v>360</v>
          </cell>
          <cell r="F1229">
            <v>43470</v>
          </cell>
          <cell r="G1229" t="str">
            <v>11/20</v>
          </cell>
        </row>
        <row r="1230">
          <cell r="A1230" t="str">
            <v>Y1901-0027</v>
          </cell>
          <cell r="B1230">
            <v>201809</v>
          </cell>
          <cell r="C1230" t="str">
            <v>0100169658</v>
          </cell>
          <cell r="D1230" t="str">
            <v>3J236C</v>
          </cell>
          <cell r="E1230">
            <v>480</v>
          </cell>
          <cell r="F1230">
            <v>43488</v>
          </cell>
          <cell r="G1230" t="str">
            <v>11/27</v>
          </cell>
        </row>
        <row r="1231">
          <cell r="A1231" t="str">
            <v>Y1901-0035</v>
          </cell>
          <cell r="B1231">
            <v>201809</v>
          </cell>
          <cell r="C1231" t="str">
            <v>0100169670</v>
          </cell>
          <cell r="D1231" t="str">
            <v>M9696C</v>
          </cell>
          <cell r="E1231">
            <v>2412</v>
          </cell>
          <cell r="F1231">
            <v>43488</v>
          </cell>
          <cell r="G1231" t="str">
            <v>11/27</v>
          </cell>
        </row>
        <row r="1232">
          <cell r="A1232" t="str">
            <v>Y1901-0036</v>
          </cell>
          <cell r="B1232">
            <v>201809</v>
          </cell>
          <cell r="C1232" t="str">
            <v>0100169671</v>
          </cell>
          <cell r="D1232" t="str">
            <v>M9696C</v>
          </cell>
          <cell r="E1232">
            <v>1704</v>
          </cell>
          <cell r="F1232">
            <v>43488</v>
          </cell>
          <cell r="G1232" t="str">
            <v>11/27</v>
          </cell>
        </row>
        <row r="1233">
          <cell r="A1233" t="str">
            <v>Y1901-0044</v>
          </cell>
          <cell r="B1233">
            <v>201809</v>
          </cell>
          <cell r="C1233" t="str">
            <v>0100169687</v>
          </cell>
          <cell r="D1233" t="str">
            <v>763582C</v>
          </cell>
          <cell r="E1233">
            <v>3804</v>
          </cell>
          <cell r="F1233">
            <v>43469</v>
          </cell>
          <cell r="G1233" t="str">
            <v>11/27</v>
          </cell>
        </row>
        <row r="1234">
          <cell r="A1234" t="str">
            <v>Y1901-0087</v>
          </cell>
          <cell r="B1234">
            <v>201809</v>
          </cell>
          <cell r="C1234" t="str">
            <v>0100169744</v>
          </cell>
          <cell r="D1234" t="str">
            <v>160359C</v>
          </cell>
          <cell r="E1234">
            <v>1812</v>
          </cell>
          <cell r="F1234">
            <v>43481</v>
          </cell>
          <cell r="G1234" t="str">
            <v>11/27</v>
          </cell>
        </row>
        <row r="1235">
          <cell r="A1235" t="str">
            <v>Y1901-0088</v>
          </cell>
          <cell r="B1235">
            <v>201809</v>
          </cell>
          <cell r="C1235" t="str">
            <v>0100169745</v>
          </cell>
          <cell r="D1235" t="str">
            <v>160359C</v>
          </cell>
          <cell r="E1235">
            <v>1764</v>
          </cell>
          <cell r="F1235">
            <v>43481</v>
          </cell>
          <cell r="G1235" t="str">
            <v>11/27</v>
          </cell>
        </row>
        <row r="1236">
          <cell r="A1236" t="str">
            <v>Y1901-0090</v>
          </cell>
          <cell r="B1236">
            <v>201809</v>
          </cell>
          <cell r="C1236" t="str">
            <v>0100169747</v>
          </cell>
          <cell r="D1236" t="str">
            <v>160359C</v>
          </cell>
          <cell r="E1236">
            <v>1404</v>
          </cell>
          <cell r="F1236">
            <v>43481</v>
          </cell>
          <cell r="G1236" t="str">
            <v>11/27</v>
          </cell>
        </row>
        <row r="1237">
          <cell r="A1237" t="str">
            <v>Y1901-0043</v>
          </cell>
          <cell r="B1237">
            <v>201809</v>
          </cell>
          <cell r="C1237" t="str">
            <v>0100169686</v>
          </cell>
          <cell r="D1237" t="str">
            <v>763581C</v>
          </cell>
          <cell r="E1237">
            <v>1104</v>
          </cell>
          <cell r="F1237">
            <v>43469</v>
          </cell>
          <cell r="G1237" t="str">
            <v>11/27</v>
          </cell>
        </row>
        <row r="1238">
          <cell r="A1238" t="str">
            <v>Y1901-0103</v>
          </cell>
          <cell r="B1238">
            <v>201809</v>
          </cell>
          <cell r="C1238" t="str">
            <v>0100171095</v>
          </cell>
          <cell r="D1238" t="str">
            <v>3J236C</v>
          </cell>
          <cell r="E1238">
            <v>372</v>
          </cell>
          <cell r="F1238">
            <v>43495</v>
          </cell>
          <cell r="G1238" t="str">
            <v>11/27</v>
          </cell>
        </row>
        <row r="1239">
          <cell r="A1239" t="str">
            <v>Y1901-0111</v>
          </cell>
          <cell r="B1239">
            <v>201809</v>
          </cell>
          <cell r="C1239" t="str">
            <v>0100171177</v>
          </cell>
          <cell r="D1239" t="str">
            <v>3J238C</v>
          </cell>
          <cell r="E1239">
            <v>360</v>
          </cell>
          <cell r="F1239">
            <v>43495</v>
          </cell>
          <cell r="G1239" t="str">
            <v>11/27</v>
          </cell>
        </row>
        <row r="1240">
          <cell r="A1240" t="str">
            <v>Y1901-0112</v>
          </cell>
          <cell r="B1240">
            <v>201809</v>
          </cell>
          <cell r="C1240" t="str">
            <v>0100171178</v>
          </cell>
          <cell r="D1240" t="str">
            <v>3J253C</v>
          </cell>
          <cell r="E1240">
            <v>360</v>
          </cell>
          <cell r="F1240">
            <v>43495</v>
          </cell>
          <cell r="G1240" t="str">
            <v>11/13</v>
          </cell>
        </row>
        <row r="1241">
          <cell r="A1241" t="str">
            <v>Y1901-0113</v>
          </cell>
          <cell r="B1241">
            <v>201809</v>
          </cell>
          <cell r="C1241" t="str">
            <v>0100171179</v>
          </cell>
          <cell r="D1241" t="str">
            <v>663677C</v>
          </cell>
          <cell r="E1241">
            <v>360</v>
          </cell>
          <cell r="F1241">
            <v>43495</v>
          </cell>
          <cell r="G1241" t="str">
            <v>11/27</v>
          </cell>
        </row>
        <row r="1242">
          <cell r="A1242" t="str">
            <v>Y1901-0127</v>
          </cell>
          <cell r="B1242">
            <v>201809</v>
          </cell>
          <cell r="C1242" t="str">
            <v>0100171347</v>
          </cell>
          <cell r="D1242" t="str">
            <v>763581C</v>
          </cell>
          <cell r="E1242">
            <v>696</v>
          </cell>
          <cell r="F1242">
            <v>43495</v>
          </cell>
          <cell r="G1242" t="str">
            <v>11/27</v>
          </cell>
        </row>
        <row r="1243">
          <cell r="A1243" t="str">
            <v>Y1901-0128</v>
          </cell>
          <cell r="B1243">
            <v>201809</v>
          </cell>
          <cell r="C1243" t="str">
            <v>0100171348</v>
          </cell>
          <cell r="D1243" t="str">
            <v>763582C</v>
          </cell>
          <cell r="E1243">
            <v>372</v>
          </cell>
          <cell r="F1243">
            <v>43495</v>
          </cell>
          <cell r="G1243" t="str">
            <v>11/27</v>
          </cell>
        </row>
        <row r="1244">
          <cell r="A1244" t="str">
            <v>Y1901-0129</v>
          </cell>
          <cell r="B1244">
            <v>201809</v>
          </cell>
          <cell r="C1244" t="str">
            <v>0100171349</v>
          </cell>
          <cell r="D1244" t="str">
            <v>7J232C</v>
          </cell>
          <cell r="E1244">
            <v>372</v>
          </cell>
          <cell r="F1244">
            <v>43495</v>
          </cell>
          <cell r="G1244" t="str">
            <v>OK</v>
          </cell>
        </row>
        <row r="1245">
          <cell r="A1245" t="str">
            <v>Y1901-0130</v>
          </cell>
          <cell r="B1245">
            <v>201809</v>
          </cell>
          <cell r="C1245" t="str">
            <v>0100171350</v>
          </cell>
          <cell r="D1245" t="str">
            <v>7J236C</v>
          </cell>
          <cell r="E1245">
            <v>360</v>
          </cell>
          <cell r="F1245">
            <v>43495</v>
          </cell>
          <cell r="G1245" t="str">
            <v>OK</v>
          </cell>
        </row>
        <row r="1246">
          <cell r="A1246" t="str">
            <v>Y1901-0131</v>
          </cell>
          <cell r="B1246">
            <v>201809</v>
          </cell>
          <cell r="C1246" t="str">
            <v>0100171351</v>
          </cell>
          <cell r="D1246" t="str">
            <v>7J237C</v>
          </cell>
          <cell r="E1246">
            <v>360</v>
          </cell>
          <cell r="F1246">
            <v>43495</v>
          </cell>
          <cell r="G1246" t="str">
            <v>11/06</v>
          </cell>
        </row>
        <row r="1247">
          <cell r="A1247" t="str">
            <v>Y1901-0132</v>
          </cell>
          <cell r="B1247">
            <v>201809</v>
          </cell>
          <cell r="C1247" t="str">
            <v>0100171352</v>
          </cell>
          <cell r="D1247" t="str">
            <v>7J238C</v>
          </cell>
          <cell r="E1247">
            <v>360</v>
          </cell>
          <cell r="F1247">
            <v>43495</v>
          </cell>
          <cell r="G1247" t="str">
            <v>11/06</v>
          </cell>
        </row>
        <row r="1248">
          <cell r="A1248" t="str">
            <v>Y1901-0133</v>
          </cell>
          <cell r="B1248">
            <v>201809</v>
          </cell>
          <cell r="C1248" t="str">
            <v>0100171353</v>
          </cell>
          <cell r="D1248" t="str">
            <v>7J253C</v>
          </cell>
          <cell r="E1248">
            <v>360</v>
          </cell>
          <cell r="F1248">
            <v>43495</v>
          </cell>
          <cell r="G1248" t="str">
            <v>OK</v>
          </cell>
        </row>
        <row r="1249">
          <cell r="A1249" t="str">
            <v>Y1901-0146</v>
          </cell>
          <cell r="B1249">
            <v>201809</v>
          </cell>
          <cell r="C1249" t="str">
            <v>FEB AS KID 01 19</v>
          </cell>
          <cell r="D1249" t="str">
            <v>3J235C</v>
          </cell>
          <cell r="E1249">
            <v>8112</v>
          </cell>
          <cell r="F1249">
            <v>43481</v>
          </cell>
          <cell r="G1249" t="str">
            <v>11/06</v>
          </cell>
        </row>
        <row r="1250">
          <cell r="A1250" t="str">
            <v>Y1901-0147</v>
          </cell>
          <cell r="B1250">
            <v>201809</v>
          </cell>
          <cell r="C1250" t="str">
            <v>FEB AS KID 01 19</v>
          </cell>
          <cell r="D1250" t="str">
            <v>3J231C</v>
          </cell>
          <cell r="E1250">
            <v>732</v>
          </cell>
          <cell r="F1250">
            <v>43481</v>
          </cell>
          <cell r="G1250" t="str">
            <v>11/13</v>
          </cell>
        </row>
        <row r="1251">
          <cell r="A1251" t="str">
            <v>Y1901-0148</v>
          </cell>
          <cell r="B1251">
            <v>201809</v>
          </cell>
          <cell r="C1251" t="str">
            <v>FEB AS 02 19</v>
          </cell>
          <cell r="D1251" t="str">
            <v>M5039C</v>
          </cell>
          <cell r="E1251">
            <v>5400</v>
          </cell>
          <cell r="F1251">
            <v>43481</v>
          </cell>
          <cell r="G1251" t="str">
            <v>11/13</v>
          </cell>
        </row>
        <row r="1252">
          <cell r="A1252" t="str">
            <v>Y1901-0149</v>
          </cell>
          <cell r="B1252">
            <v>201809</v>
          </cell>
          <cell r="C1252" t="str">
            <v>FEB AS 02 19</v>
          </cell>
          <cell r="D1252" t="str">
            <v>M9166C</v>
          </cell>
          <cell r="E1252">
            <v>10152</v>
          </cell>
          <cell r="F1252">
            <v>43481</v>
          </cell>
          <cell r="G1252" t="str">
            <v>11/27</v>
          </cell>
        </row>
        <row r="1253">
          <cell r="A1253" t="str">
            <v>Y1901-0150</v>
          </cell>
          <cell r="B1253">
            <v>201809</v>
          </cell>
          <cell r="C1253" t="str">
            <v>FEB AS 02 19</v>
          </cell>
          <cell r="D1253" t="str">
            <v>M9166C</v>
          </cell>
          <cell r="E1253">
            <v>10032</v>
          </cell>
          <cell r="F1253">
            <v>43481</v>
          </cell>
          <cell r="G1253" t="str">
            <v>OK</v>
          </cell>
        </row>
        <row r="1254">
          <cell r="A1254" t="str">
            <v>Y1901-0151</v>
          </cell>
          <cell r="B1254">
            <v>201809</v>
          </cell>
          <cell r="C1254" t="str">
            <v>FEB AS 01 19</v>
          </cell>
          <cell r="D1254" t="str">
            <v>M7652C</v>
          </cell>
          <cell r="E1254">
            <v>19056</v>
          </cell>
          <cell r="F1254">
            <v>43467</v>
          </cell>
          <cell r="G1254" t="str">
            <v>OK</v>
          </cell>
        </row>
        <row r="1255">
          <cell r="A1255" t="str">
            <v>Y1901-0152</v>
          </cell>
          <cell r="B1255">
            <v>201809</v>
          </cell>
          <cell r="C1255" t="str">
            <v>FEB AS 01 19</v>
          </cell>
          <cell r="D1255" t="str">
            <v>M7650C</v>
          </cell>
          <cell r="E1255">
            <v>3180</v>
          </cell>
          <cell r="F1255">
            <v>43481</v>
          </cell>
          <cell r="G1255" t="str">
            <v>OK</v>
          </cell>
        </row>
        <row r="1256">
          <cell r="A1256" t="str">
            <v>Y1901-0153</v>
          </cell>
          <cell r="B1256">
            <v>201809</v>
          </cell>
          <cell r="C1256" t="str">
            <v>FEB AS INF 01 19</v>
          </cell>
          <cell r="D1256" t="str">
            <v>7J256C</v>
          </cell>
          <cell r="E1256">
            <v>12636</v>
          </cell>
          <cell r="F1256">
            <v>43481</v>
          </cell>
          <cell r="G1256" t="str">
            <v>11/06</v>
          </cell>
        </row>
        <row r="1257">
          <cell r="A1257" t="str">
            <v>Y1901-0154</v>
          </cell>
          <cell r="B1257">
            <v>201809</v>
          </cell>
          <cell r="C1257" t="str">
            <v>FEB AS KID 01 19</v>
          </cell>
          <cell r="D1257" t="str">
            <v>3J256C</v>
          </cell>
          <cell r="E1257">
            <v>12540</v>
          </cell>
          <cell r="F1257">
            <v>43481</v>
          </cell>
          <cell r="G1257" t="str">
            <v>11/27</v>
          </cell>
        </row>
        <row r="1258">
          <cell r="A1258" t="str">
            <v>Y1901-0155</v>
          </cell>
          <cell r="B1258">
            <v>201809</v>
          </cell>
          <cell r="C1258" t="str">
            <v>FEB AS KID 01 19</v>
          </cell>
          <cell r="D1258" t="str">
            <v>3J253C</v>
          </cell>
          <cell r="E1258">
            <v>1788</v>
          </cell>
          <cell r="F1258">
            <v>43481</v>
          </cell>
          <cell r="G1258" t="str">
            <v>11/13</v>
          </cell>
        </row>
        <row r="1259">
          <cell r="A1259" t="str">
            <v>Y1901-0001</v>
          </cell>
          <cell r="B1259">
            <v>201807</v>
          </cell>
          <cell r="C1259" t="str">
            <v>0100160672</v>
          </cell>
          <cell r="D1259" t="str">
            <v>663600C</v>
          </cell>
          <cell r="E1259">
            <v>1140</v>
          </cell>
          <cell r="F1259">
            <v>43481</v>
          </cell>
          <cell r="G1259" t="str">
            <v>OK</v>
          </cell>
        </row>
        <row r="1260">
          <cell r="A1260" t="str">
            <v>Y1812-0095</v>
          </cell>
          <cell r="B1260">
            <v>201807</v>
          </cell>
          <cell r="C1260" t="str">
            <v>4600059635</v>
          </cell>
          <cell r="D1260" t="str">
            <v>161608C</v>
          </cell>
          <cell r="E1260">
            <v>528</v>
          </cell>
          <cell r="F1260">
            <v>43490</v>
          </cell>
          <cell r="G1260" t="str">
            <v>OK</v>
          </cell>
        </row>
        <row r="1261">
          <cell r="A1261" t="str">
            <v>Y1812-0105</v>
          </cell>
          <cell r="B1261">
            <v>201807</v>
          </cell>
          <cell r="C1261" t="str">
            <v>4600059645</v>
          </cell>
          <cell r="D1261" t="str">
            <v>161608C</v>
          </cell>
          <cell r="E1261">
            <v>2112</v>
          </cell>
          <cell r="F1261">
            <v>43490</v>
          </cell>
          <cell r="G1261" t="str">
            <v>OK</v>
          </cell>
        </row>
        <row r="1262">
          <cell r="A1262" t="str">
            <v>Y1812-0107</v>
          </cell>
          <cell r="B1262">
            <v>201807</v>
          </cell>
          <cell r="C1262" t="str">
            <v>4600059647</v>
          </cell>
          <cell r="D1262" t="str">
            <v>163187C</v>
          </cell>
          <cell r="E1262">
            <v>2040</v>
          </cell>
          <cell r="F1262">
            <v>43490</v>
          </cell>
          <cell r="G1262" t="str">
            <v>OK</v>
          </cell>
        </row>
        <row r="1263">
          <cell r="A1263" t="str">
            <v>Y1812-0110</v>
          </cell>
          <cell r="B1263">
            <v>201807</v>
          </cell>
          <cell r="C1263" t="str">
            <v>4600059650</v>
          </cell>
          <cell r="D1263" t="str">
            <v>163202C</v>
          </cell>
          <cell r="E1263">
            <v>504</v>
          </cell>
          <cell r="F1263">
            <v>43490</v>
          </cell>
          <cell r="G1263" t="str">
            <v>OK</v>
          </cell>
        </row>
        <row r="1264">
          <cell r="A1264" t="str">
            <v>Y1812-0113</v>
          </cell>
          <cell r="B1264">
            <v>201807</v>
          </cell>
          <cell r="C1264" t="str">
            <v>4600059653</v>
          </cell>
          <cell r="D1264" t="str">
            <v>163187C</v>
          </cell>
          <cell r="E1264">
            <v>504</v>
          </cell>
          <cell r="F1264">
            <v>43490</v>
          </cell>
          <cell r="G1264" t="str">
            <v>OK</v>
          </cell>
        </row>
        <row r="1265">
          <cell r="A1265" t="str">
            <v>Y1812-0116</v>
          </cell>
          <cell r="B1265">
            <v>201807</v>
          </cell>
          <cell r="C1265" t="str">
            <v>4600059656</v>
          </cell>
          <cell r="D1265" t="str">
            <v>163203C</v>
          </cell>
          <cell r="E1265">
            <v>2016</v>
          </cell>
          <cell r="F1265">
            <v>43490</v>
          </cell>
          <cell r="G1265" t="str">
            <v>OK</v>
          </cell>
        </row>
        <row r="1266">
          <cell r="A1266" t="str">
            <v>Y1812-0117</v>
          </cell>
          <cell r="B1266">
            <v>201807</v>
          </cell>
          <cell r="C1266" t="str">
            <v>4600059657</v>
          </cell>
          <cell r="D1266" t="str">
            <v>663608C</v>
          </cell>
          <cell r="E1266">
            <v>432</v>
          </cell>
          <cell r="F1266">
            <v>43490</v>
          </cell>
          <cell r="G1266" t="str">
            <v>OK</v>
          </cell>
        </row>
        <row r="1267">
          <cell r="A1267" t="str">
            <v>Y1812-0118</v>
          </cell>
          <cell r="B1267">
            <v>201807</v>
          </cell>
          <cell r="C1267" t="str">
            <v>4600059658</v>
          </cell>
          <cell r="D1267" t="str">
            <v>663608C</v>
          </cell>
          <cell r="E1267">
            <v>132</v>
          </cell>
          <cell r="F1267">
            <v>43490</v>
          </cell>
          <cell r="G1267" t="str">
            <v>OK</v>
          </cell>
        </row>
        <row r="1268">
          <cell r="A1268" t="str">
            <v>Y1812-0119</v>
          </cell>
          <cell r="B1268">
            <v>201807</v>
          </cell>
          <cell r="C1268" t="str">
            <v>4600059659</v>
          </cell>
          <cell r="D1268" t="str">
            <v>163370C</v>
          </cell>
          <cell r="E1268">
            <v>924</v>
          </cell>
          <cell r="F1268">
            <v>43488</v>
          </cell>
          <cell r="G1268" t="str">
            <v>OK</v>
          </cell>
        </row>
        <row r="1269">
          <cell r="A1269" t="str">
            <v>Y1812-0120</v>
          </cell>
          <cell r="B1269">
            <v>201807</v>
          </cell>
          <cell r="C1269" t="str">
            <v>4600059660</v>
          </cell>
          <cell r="D1269" t="str">
            <v>163370C</v>
          </cell>
          <cell r="E1269">
            <v>228</v>
          </cell>
          <cell r="F1269">
            <v>43488</v>
          </cell>
          <cell r="G1269" t="str">
            <v>OK</v>
          </cell>
        </row>
        <row r="1270">
          <cell r="A1270" t="str">
            <v>Y1812-0123</v>
          </cell>
          <cell r="B1270">
            <v>201807</v>
          </cell>
          <cell r="C1270" t="str">
            <v>4600059663</v>
          </cell>
          <cell r="D1270" t="str">
            <v>663601C</v>
          </cell>
          <cell r="E1270">
            <v>372</v>
          </cell>
          <cell r="F1270">
            <v>43490</v>
          </cell>
          <cell r="G1270" t="str">
            <v>OK</v>
          </cell>
        </row>
        <row r="1271">
          <cell r="A1271" t="str">
            <v>Y1812-0124</v>
          </cell>
          <cell r="B1271">
            <v>201807</v>
          </cell>
          <cell r="C1271" t="str">
            <v>4600059664</v>
          </cell>
          <cell r="D1271" t="str">
            <v>663601C</v>
          </cell>
          <cell r="E1271">
            <v>132</v>
          </cell>
          <cell r="F1271">
            <v>43490</v>
          </cell>
          <cell r="G1271" t="str">
            <v>OK</v>
          </cell>
        </row>
        <row r="1272">
          <cell r="A1272" t="str">
            <v>Y1812-0130</v>
          </cell>
          <cell r="B1272">
            <v>201807</v>
          </cell>
          <cell r="C1272" t="str">
            <v>4600059673</v>
          </cell>
          <cell r="D1272" t="str">
            <v>163202C</v>
          </cell>
          <cell r="E1272">
            <v>2016</v>
          </cell>
          <cell r="F1272">
            <v>43490</v>
          </cell>
          <cell r="G1272" t="str">
            <v>OK</v>
          </cell>
        </row>
        <row r="1273">
          <cell r="A1273" t="str">
            <v>Y1812-0141</v>
          </cell>
          <cell r="B1273">
            <v>201807</v>
          </cell>
          <cell r="C1273" t="str">
            <v>4600059684</v>
          </cell>
          <cell r="D1273" t="str">
            <v>163368C</v>
          </cell>
          <cell r="E1273">
            <v>888</v>
          </cell>
          <cell r="F1273">
            <v>43488</v>
          </cell>
          <cell r="G1273" t="str">
            <v>OK</v>
          </cell>
        </row>
        <row r="1274">
          <cell r="A1274" t="str">
            <v>Y1812-0142</v>
          </cell>
          <cell r="B1274">
            <v>201807</v>
          </cell>
          <cell r="C1274" t="str">
            <v>4600059685</v>
          </cell>
          <cell r="D1274" t="str">
            <v>163368C</v>
          </cell>
          <cell r="E1274">
            <v>228</v>
          </cell>
          <cell r="F1274">
            <v>43488</v>
          </cell>
          <cell r="G1274" t="str">
            <v>OK</v>
          </cell>
        </row>
        <row r="1275">
          <cell r="A1275" t="str">
            <v>Y1812-0143</v>
          </cell>
          <cell r="B1275">
            <v>201807</v>
          </cell>
          <cell r="C1275" t="str">
            <v>4600059686</v>
          </cell>
          <cell r="D1275" t="str">
            <v>163369C</v>
          </cell>
          <cell r="E1275">
            <v>900</v>
          </cell>
          <cell r="F1275">
            <v>43488</v>
          </cell>
          <cell r="G1275" t="str">
            <v>OK</v>
          </cell>
        </row>
        <row r="1276">
          <cell r="A1276" t="str">
            <v>Y1812-0144</v>
          </cell>
          <cell r="B1276">
            <v>201807</v>
          </cell>
          <cell r="C1276" t="str">
            <v>4600059687</v>
          </cell>
          <cell r="D1276" t="str">
            <v>163369C</v>
          </cell>
          <cell r="E1276">
            <v>228</v>
          </cell>
          <cell r="F1276">
            <v>43488</v>
          </cell>
          <cell r="G1276" t="str">
            <v>OK</v>
          </cell>
        </row>
        <row r="1277">
          <cell r="A1277" t="str">
            <v>Y1812-0094</v>
          </cell>
          <cell r="B1277">
            <v>201807</v>
          </cell>
          <cell r="C1277" t="str">
            <v>4600059634</v>
          </cell>
          <cell r="D1277" t="str">
            <v>163203C</v>
          </cell>
          <cell r="E1277">
            <v>504</v>
          </cell>
          <cell r="F1277">
            <v>43490</v>
          </cell>
          <cell r="G1277" t="str">
            <v>OK</v>
          </cell>
        </row>
        <row r="1278">
          <cell r="A1278" t="str">
            <v>Y1901-0169</v>
          </cell>
          <cell r="B1278">
            <v>201810</v>
          </cell>
          <cell r="C1278" t="str">
            <v>0100174981</v>
          </cell>
          <cell r="D1278" t="str">
            <v>164390C</v>
          </cell>
          <cell r="E1278">
            <v>252</v>
          </cell>
          <cell r="F1278">
            <v>43481</v>
          </cell>
          <cell r="G1278" t="str">
            <v>12/11</v>
          </cell>
        </row>
        <row r="1279">
          <cell r="A1279" t="str">
            <v>Y1901-0170</v>
          </cell>
          <cell r="B1279">
            <v>201810</v>
          </cell>
          <cell r="C1279" t="str">
            <v>0100174983</v>
          </cell>
          <cell r="D1279" t="str">
            <v>M7652C</v>
          </cell>
          <cell r="E1279">
            <v>1632</v>
          </cell>
          <cell r="F1279">
            <v>43481</v>
          </cell>
          <cell r="G1279" t="str">
            <v>12/11</v>
          </cell>
        </row>
        <row r="1280">
          <cell r="A1280" t="str">
            <v>Y1901-0171</v>
          </cell>
          <cell r="B1280">
            <v>201810</v>
          </cell>
          <cell r="C1280" t="str">
            <v>0100174984</v>
          </cell>
          <cell r="D1280" t="str">
            <v>158369C</v>
          </cell>
          <cell r="E1280">
            <v>468</v>
          </cell>
          <cell r="F1280">
            <v>43476</v>
          </cell>
          <cell r="G1280" t="str">
            <v>12/11</v>
          </cell>
        </row>
        <row r="1281">
          <cell r="A1281" t="str">
            <v>Y1901-0172</v>
          </cell>
          <cell r="B1281">
            <v>201810</v>
          </cell>
          <cell r="C1281" t="str">
            <v>0100174986</v>
          </cell>
          <cell r="D1281" t="str">
            <v>M9613C</v>
          </cell>
          <cell r="E1281">
            <v>324</v>
          </cell>
          <cell r="F1281">
            <v>43476</v>
          </cell>
          <cell r="G1281" t="str">
            <v>12/11</v>
          </cell>
        </row>
        <row r="1282">
          <cell r="A1282" t="str">
            <v>Y1901-0173</v>
          </cell>
          <cell r="B1282">
            <v>201810</v>
          </cell>
          <cell r="C1282" t="str">
            <v>0100174990</v>
          </cell>
          <cell r="D1282" t="str">
            <v>164360C</v>
          </cell>
          <cell r="E1282">
            <v>360</v>
          </cell>
          <cell r="F1282">
            <v>43492</v>
          </cell>
          <cell r="G1282" t="str">
            <v>12/11</v>
          </cell>
        </row>
        <row r="1283">
          <cell r="A1283" t="str">
            <v>Y1901-0174</v>
          </cell>
          <cell r="B1283">
            <v>201810</v>
          </cell>
          <cell r="C1283" t="str">
            <v>0100174991</v>
          </cell>
          <cell r="D1283" t="str">
            <v>664184C</v>
          </cell>
          <cell r="E1283">
            <v>576</v>
          </cell>
          <cell r="F1283">
            <v>43481</v>
          </cell>
          <cell r="G1283" t="str">
            <v>12/11</v>
          </cell>
        </row>
        <row r="1284">
          <cell r="A1284" t="str">
            <v>Y1901-0175</v>
          </cell>
          <cell r="B1284">
            <v>201810</v>
          </cell>
          <cell r="C1284" t="str">
            <v>0100174993</v>
          </cell>
          <cell r="D1284" t="str">
            <v>664434C</v>
          </cell>
          <cell r="E1284">
            <v>324</v>
          </cell>
          <cell r="F1284">
            <v>43492</v>
          </cell>
          <cell r="G1284" t="str">
            <v>12/11</v>
          </cell>
        </row>
        <row r="1285">
          <cell r="A1285" t="str">
            <v>Y1901-0176</v>
          </cell>
          <cell r="B1285">
            <v>201810</v>
          </cell>
          <cell r="C1285" t="str">
            <v>0100174995</v>
          </cell>
          <cell r="D1285">
            <v>88871</v>
          </cell>
          <cell r="E1285">
            <v>360</v>
          </cell>
          <cell r="F1285">
            <v>43481</v>
          </cell>
          <cell r="G1285" t="str">
            <v>12/11</v>
          </cell>
        </row>
        <row r="1286">
          <cell r="A1286" t="str">
            <v>Y1901-0177</v>
          </cell>
          <cell r="B1286">
            <v>201810</v>
          </cell>
          <cell r="C1286" t="str">
            <v>0100174997</v>
          </cell>
          <cell r="D1286" t="str">
            <v>158371C</v>
          </cell>
          <cell r="E1286">
            <v>144</v>
          </cell>
          <cell r="F1286">
            <v>43481</v>
          </cell>
          <cell r="G1286" t="str">
            <v>12/11</v>
          </cell>
        </row>
        <row r="1287">
          <cell r="A1287" t="str">
            <v>Y1901-0178</v>
          </cell>
          <cell r="B1287">
            <v>201810</v>
          </cell>
          <cell r="C1287" t="str">
            <v>0100174998</v>
          </cell>
          <cell r="D1287" t="str">
            <v>763527C</v>
          </cell>
          <cell r="E1287">
            <v>420</v>
          </cell>
          <cell r="F1287">
            <v>43481</v>
          </cell>
          <cell r="G1287" t="str">
            <v>12/11</v>
          </cell>
        </row>
        <row r="1288">
          <cell r="A1288" t="str">
            <v>Y1901-0179</v>
          </cell>
          <cell r="B1288">
            <v>201810</v>
          </cell>
          <cell r="C1288" t="str">
            <v>0100174999</v>
          </cell>
          <cell r="D1288" t="str">
            <v>663599C</v>
          </cell>
          <cell r="E1288">
            <v>168</v>
          </cell>
          <cell r="F1288">
            <v>43481</v>
          </cell>
          <cell r="G1288" t="str">
            <v>CFM</v>
          </cell>
        </row>
        <row r="1289">
          <cell r="A1289" t="str">
            <v>Y1901-0180</v>
          </cell>
          <cell r="B1289">
            <v>201810</v>
          </cell>
          <cell r="C1289" t="str">
            <v>0100175001</v>
          </cell>
          <cell r="D1289" t="str">
            <v>565548C</v>
          </cell>
          <cell r="E1289">
            <v>75</v>
          </cell>
          <cell r="F1289">
            <v>43481</v>
          </cell>
          <cell r="G1289" t="str">
            <v>12/11</v>
          </cell>
        </row>
        <row r="1290">
          <cell r="A1290" t="str">
            <v>Y1901-0181</v>
          </cell>
          <cell r="B1290">
            <v>201810</v>
          </cell>
          <cell r="C1290" t="str">
            <v>0100175002</v>
          </cell>
          <cell r="D1290" t="str">
            <v>W9166</v>
          </cell>
          <cell r="E1290">
            <v>2400</v>
          </cell>
          <cell r="F1290">
            <v>43476</v>
          </cell>
          <cell r="G1290" t="str">
            <v>12/11</v>
          </cell>
        </row>
        <row r="1291">
          <cell r="A1291" t="str">
            <v>Y1901-0182</v>
          </cell>
          <cell r="B1291">
            <v>201810</v>
          </cell>
          <cell r="C1291" t="str">
            <v>0100175003</v>
          </cell>
          <cell r="D1291" t="str">
            <v>M7652C</v>
          </cell>
          <cell r="E1291">
            <v>900</v>
          </cell>
          <cell r="F1291">
            <v>43476</v>
          </cell>
          <cell r="G1291" t="str">
            <v>12/11</v>
          </cell>
        </row>
        <row r="1292">
          <cell r="A1292" t="str">
            <v>Y1901-0183</v>
          </cell>
          <cell r="B1292">
            <v>201810</v>
          </cell>
          <cell r="C1292" t="str">
            <v>0100175004</v>
          </cell>
          <cell r="D1292" t="str">
            <v>M7652C</v>
          </cell>
          <cell r="E1292">
            <v>1200</v>
          </cell>
          <cell r="F1292">
            <v>43476</v>
          </cell>
          <cell r="G1292" t="str">
            <v>12/11</v>
          </cell>
        </row>
        <row r="1293">
          <cell r="A1293" t="str">
            <v>Y1901-0184</v>
          </cell>
          <cell r="B1293">
            <v>201810</v>
          </cell>
          <cell r="C1293" t="str">
            <v>0100175005</v>
          </cell>
          <cell r="D1293" t="str">
            <v>M7652C</v>
          </cell>
          <cell r="E1293">
            <v>1200</v>
          </cell>
          <cell r="F1293">
            <v>43476</v>
          </cell>
          <cell r="G1293" t="str">
            <v>12/11</v>
          </cell>
        </row>
        <row r="1294">
          <cell r="A1294" t="str">
            <v>Y1901-0185</v>
          </cell>
          <cell r="B1294">
            <v>201810</v>
          </cell>
          <cell r="C1294" t="str">
            <v>0100175006</v>
          </cell>
          <cell r="D1294" t="str">
            <v>3J256C</v>
          </cell>
          <cell r="E1294">
            <v>252</v>
          </cell>
          <cell r="F1294">
            <v>43475</v>
          </cell>
          <cell r="G1294" t="str">
            <v>12/11</v>
          </cell>
        </row>
        <row r="1295">
          <cell r="A1295" t="str">
            <v>Y1901-0186</v>
          </cell>
          <cell r="B1295">
            <v>201810</v>
          </cell>
          <cell r="C1295" t="str">
            <v>0100175007</v>
          </cell>
          <cell r="D1295" t="str">
            <v>M7652C</v>
          </cell>
          <cell r="E1295">
            <v>1236</v>
          </cell>
          <cell r="F1295">
            <v>43475</v>
          </cell>
          <cell r="G1295" t="str">
            <v>12/11</v>
          </cell>
        </row>
        <row r="1296">
          <cell r="A1296" t="str">
            <v>Y1901-0187</v>
          </cell>
          <cell r="B1296">
            <v>201810</v>
          </cell>
          <cell r="C1296" t="str">
            <v>0100175008</v>
          </cell>
          <cell r="D1296" t="str">
            <v>M9621C</v>
          </cell>
          <cell r="E1296">
            <v>528</v>
          </cell>
          <cell r="F1296">
            <v>43475</v>
          </cell>
          <cell r="G1296" t="str">
            <v>12/11</v>
          </cell>
        </row>
        <row r="1297">
          <cell r="A1297" t="str">
            <v>Y1901-0188</v>
          </cell>
          <cell r="B1297">
            <v>201810</v>
          </cell>
          <cell r="C1297" t="str">
            <v>0100175009</v>
          </cell>
          <cell r="D1297" t="str">
            <v>M9697C</v>
          </cell>
          <cell r="E1297">
            <v>396</v>
          </cell>
          <cell r="F1297">
            <v>43475</v>
          </cell>
          <cell r="G1297" t="str">
            <v>12/11</v>
          </cell>
        </row>
        <row r="1298">
          <cell r="A1298" t="str">
            <v>Y1902-0031</v>
          </cell>
          <cell r="B1298">
            <v>201810</v>
          </cell>
          <cell r="C1298" t="str">
            <v>0100175015</v>
          </cell>
          <cell r="D1298" t="str">
            <v>M8437C</v>
          </cell>
          <cell r="E1298">
            <v>4956</v>
          </cell>
          <cell r="F1298">
            <v>43487</v>
          </cell>
          <cell r="G1298" t="str">
            <v>12/11</v>
          </cell>
        </row>
        <row r="1299">
          <cell r="A1299" t="str">
            <v>Y1902-0034</v>
          </cell>
          <cell r="B1299">
            <v>201810</v>
          </cell>
          <cell r="C1299" t="str">
            <v>0100175019</v>
          </cell>
          <cell r="D1299" t="str">
            <v>158369C</v>
          </cell>
          <cell r="E1299">
            <v>7596</v>
          </cell>
          <cell r="F1299">
            <v>43486</v>
          </cell>
          <cell r="G1299" t="str">
            <v>12/11</v>
          </cell>
        </row>
        <row r="1300">
          <cell r="A1300" t="str">
            <v>Y1902-0035</v>
          </cell>
          <cell r="B1300">
            <v>201810</v>
          </cell>
          <cell r="C1300" t="str">
            <v>0100175020</v>
          </cell>
          <cell r="D1300" t="str">
            <v>761307C</v>
          </cell>
          <cell r="E1300">
            <v>5700</v>
          </cell>
          <cell r="F1300">
            <v>43486</v>
          </cell>
          <cell r="G1300" t="str">
            <v>12/11</v>
          </cell>
        </row>
        <row r="1301">
          <cell r="A1301" t="str">
            <v>Y1902-0036</v>
          </cell>
          <cell r="B1301">
            <v>201810</v>
          </cell>
          <cell r="C1301" t="str">
            <v>0100175021</v>
          </cell>
          <cell r="D1301" t="str">
            <v>761308C</v>
          </cell>
          <cell r="E1301">
            <v>5076</v>
          </cell>
          <cell r="F1301">
            <v>43486</v>
          </cell>
          <cell r="G1301" t="str">
            <v>12/11</v>
          </cell>
        </row>
        <row r="1302">
          <cell r="A1302" t="str">
            <v>Y1902-0040</v>
          </cell>
          <cell r="B1302">
            <v>201810</v>
          </cell>
          <cell r="C1302" t="str">
            <v>0100175027</v>
          </cell>
          <cell r="D1302">
            <v>88875</v>
          </cell>
          <cell r="E1302">
            <v>540</v>
          </cell>
          <cell r="F1302">
            <v>43486</v>
          </cell>
          <cell r="G1302" t="str">
            <v>12/11</v>
          </cell>
        </row>
        <row r="1303">
          <cell r="A1303" t="str">
            <v>Y1902-0041</v>
          </cell>
          <cell r="B1303">
            <v>201810</v>
          </cell>
          <cell r="C1303" t="str">
            <v>0100175028</v>
          </cell>
          <cell r="D1303">
            <v>88877</v>
          </cell>
          <cell r="E1303">
            <v>384</v>
          </cell>
          <cell r="F1303">
            <v>43486</v>
          </cell>
          <cell r="G1303" t="str">
            <v>12/11</v>
          </cell>
        </row>
        <row r="1304">
          <cell r="A1304" t="str">
            <v>Y1902-0042</v>
          </cell>
          <cell r="B1304">
            <v>201810</v>
          </cell>
          <cell r="C1304" t="str">
            <v>0100175029</v>
          </cell>
          <cell r="D1304" t="str">
            <v>8J231</v>
          </cell>
          <cell r="E1304">
            <v>672</v>
          </cell>
          <cell r="F1304">
            <v>43486</v>
          </cell>
          <cell r="G1304" t="str">
            <v>12/11</v>
          </cell>
        </row>
        <row r="1305">
          <cell r="A1305" t="str">
            <v>Y1902-0043</v>
          </cell>
          <cell r="B1305">
            <v>201810</v>
          </cell>
          <cell r="C1305" t="str">
            <v>0100175030</v>
          </cell>
          <cell r="D1305" t="str">
            <v>158371C</v>
          </cell>
          <cell r="E1305">
            <v>252</v>
          </cell>
          <cell r="F1305">
            <v>43486</v>
          </cell>
          <cell r="G1305" t="str">
            <v>12/11</v>
          </cell>
        </row>
        <row r="1306">
          <cell r="A1306" t="str">
            <v>Y1902-0044</v>
          </cell>
          <cell r="B1306">
            <v>201810</v>
          </cell>
          <cell r="C1306" t="str">
            <v>0100175031</v>
          </cell>
          <cell r="D1306" t="str">
            <v>M3494</v>
          </cell>
          <cell r="E1306">
            <v>3804</v>
          </cell>
          <cell r="F1306">
            <v>43486</v>
          </cell>
          <cell r="G1306" t="str">
            <v>CFM</v>
          </cell>
        </row>
        <row r="1307">
          <cell r="A1307" t="str">
            <v>Y1902-0046</v>
          </cell>
          <cell r="B1307">
            <v>201810</v>
          </cell>
          <cell r="C1307" t="str">
            <v>0100175033</v>
          </cell>
          <cell r="D1307" t="str">
            <v>560659C</v>
          </cell>
          <cell r="E1307">
            <v>9348</v>
          </cell>
          <cell r="F1307">
            <v>43486</v>
          </cell>
          <cell r="G1307" t="str">
            <v>12/11</v>
          </cell>
        </row>
        <row r="1308">
          <cell r="A1308" t="str">
            <v>Y1902-0047</v>
          </cell>
          <cell r="B1308">
            <v>201810</v>
          </cell>
          <cell r="C1308" t="str">
            <v>0100175034</v>
          </cell>
          <cell r="D1308" t="str">
            <v>764172C</v>
          </cell>
          <cell r="E1308">
            <v>612</v>
          </cell>
          <cell r="F1308">
            <v>43492</v>
          </cell>
          <cell r="G1308" t="str">
            <v>12/11</v>
          </cell>
        </row>
        <row r="1309">
          <cell r="A1309" t="str">
            <v>Y1902-0048</v>
          </cell>
          <cell r="B1309">
            <v>201810</v>
          </cell>
          <cell r="C1309" t="str">
            <v>0100175035</v>
          </cell>
          <cell r="D1309" t="str">
            <v>764173C</v>
          </cell>
          <cell r="E1309">
            <v>2172</v>
          </cell>
          <cell r="F1309">
            <v>43492</v>
          </cell>
          <cell r="G1309" t="str">
            <v>12/11</v>
          </cell>
        </row>
        <row r="1310">
          <cell r="A1310" t="str">
            <v>Y1902-0049</v>
          </cell>
          <cell r="B1310">
            <v>201810</v>
          </cell>
          <cell r="C1310" t="str">
            <v>0100175036</v>
          </cell>
          <cell r="D1310" t="str">
            <v>764174C</v>
          </cell>
          <cell r="E1310">
            <v>1584</v>
          </cell>
          <cell r="F1310">
            <v>43492</v>
          </cell>
          <cell r="G1310" t="str">
            <v>12/11</v>
          </cell>
        </row>
        <row r="1311">
          <cell r="A1311" t="str">
            <v>Y1902-0050</v>
          </cell>
          <cell r="B1311">
            <v>201810</v>
          </cell>
          <cell r="C1311" t="str">
            <v>0100175037</v>
          </cell>
          <cell r="D1311" t="str">
            <v>764238C</v>
          </cell>
          <cell r="E1311">
            <v>792</v>
          </cell>
          <cell r="F1311">
            <v>43486</v>
          </cell>
          <cell r="G1311" t="str">
            <v>12/11</v>
          </cell>
        </row>
        <row r="1312">
          <cell r="A1312" t="str">
            <v>Y1902-0051</v>
          </cell>
          <cell r="B1312">
            <v>201810</v>
          </cell>
          <cell r="C1312" t="str">
            <v>0100175038</v>
          </cell>
          <cell r="D1312" t="str">
            <v>161577C</v>
          </cell>
          <cell r="E1312">
            <v>168</v>
          </cell>
          <cell r="F1312">
            <v>43486</v>
          </cell>
          <cell r="G1312" t="str">
            <v>12/11</v>
          </cell>
        </row>
        <row r="1313">
          <cell r="A1313" t="str">
            <v>Y1902-0053</v>
          </cell>
          <cell r="B1313">
            <v>201810</v>
          </cell>
          <cell r="C1313" t="str">
            <v>0100175040</v>
          </cell>
          <cell r="D1313" t="str">
            <v>361307C</v>
          </cell>
          <cell r="E1313">
            <v>5868</v>
          </cell>
          <cell r="F1313">
            <v>43486</v>
          </cell>
          <cell r="G1313" t="str">
            <v>12/11</v>
          </cell>
        </row>
        <row r="1314">
          <cell r="A1314" t="str">
            <v>Y1902-0054</v>
          </cell>
          <cell r="B1314">
            <v>201810</v>
          </cell>
          <cell r="C1314" t="str">
            <v>0100175041</v>
          </cell>
          <cell r="D1314" t="str">
            <v>161608C</v>
          </cell>
          <cell r="E1314">
            <v>3420</v>
          </cell>
          <cell r="F1314">
            <v>43486</v>
          </cell>
          <cell r="G1314" t="str">
            <v>CFM</v>
          </cell>
        </row>
        <row r="1315">
          <cell r="A1315" t="str">
            <v>Y1902-0055</v>
          </cell>
          <cell r="B1315">
            <v>201810</v>
          </cell>
          <cell r="C1315" t="str">
            <v>0100175042</v>
          </cell>
          <cell r="D1315" t="str">
            <v>361308C</v>
          </cell>
          <cell r="E1315">
            <v>6012</v>
          </cell>
          <cell r="F1315">
            <v>43486</v>
          </cell>
          <cell r="G1315" t="str">
            <v>12/11</v>
          </cell>
        </row>
        <row r="1316">
          <cell r="A1316" t="str">
            <v>Y1902-0057</v>
          </cell>
          <cell r="B1316">
            <v>201810</v>
          </cell>
          <cell r="C1316" t="str">
            <v>0100175044</v>
          </cell>
          <cell r="D1316" t="str">
            <v>364170C</v>
          </cell>
          <cell r="E1316">
            <v>1272</v>
          </cell>
          <cell r="F1316">
            <v>43492</v>
          </cell>
          <cell r="G1316" t="str">
            <v>12/11</v>
          </cell>
        </row>
        <row r="1317">
          <cell r="A1317" t="str">
            <v>Y1902-0058</v>
          </cell>
          <cell r="B1317">
            <v>201810</v>
          </cell>
          <cell r="C1317" t="str">
            <v>0100175045</v>
          </cell>
          <cell r="D1317" t="str">
            <v>163269C</v>
          </cell>
          <cell r="E1317">
            <v>4140</v>
          </cell>
          <cell r="F1317">
            <v>43486</v>
          </cell>
          <cell r="G1317" t="str">
            <v>12/11</v>
          </cell>
        </row>
        <row r="1318">
          <cell r="A1318" t="str">
            <v>Y1902-0059</v>
          </cell>
          <cell r="B1318">
            <v>201810</v>
          </cell>
          <cell r="C1318" t="str">
            <v>0100175046</v>
          </cell>
          <cell r="D1318" t="str">
            <v>163376C</v>
          </cell>
          <cell r="E1318">
            <v>732</v>
          </cell>
          <cell r="F1318">
            <v>43486</v>
          </cell>
          <cell r="G1318" t="str">
            <v>12/11</v>
          </cell>
        </row>
        <row r="1319">
          <cell r="A1319" t="str">
            <v>Y1902-0060</v>
          </cell>
          <cell r="B1319">
            <v>201810</v>
          </cell>
          <cell r="C1319" t="str">
            <v>0100175047</v>
          </cell>
          <cell r="D1319" t="str">
            <v>564150C</v>
          </cell>
          <cell r="E1319">
            <v>2964</v>
          </cell>
          <cell r="F1319">
            <v>43487</v>
          </cell>
          <cell r="G1319" t="str">
            <v>12/11</v>
          </cell>
        </row>
        <row r="1320">
          <cell r="A1320" t="str">
            <v>Y1902-0062</v>
          </cell>
          <cell r="B1320">
            <v>201810</v>
          </cell>
          <cell r="C1320" t="str">
            <v>0100175049</v>
          </cell>
          <cell r="D1320" t="str">
            <v>564152C</v>
          </cell>
          <cell r="E1320">
            <v>5196</v>
          </cell>
          <cell r="F1320">
            <v>43487</v>
          </cell>
          <cell r="G1320" t="str">
            <v>12/11</v>
          </cell>
        </row>
        <row r="1321">
          <cell r="A1321" t="str">
            <v>Y1902-0063</v>
          </cell>
          <cell r="B1321">
            <v>201810</v>
          </cell>
          <cell r="C1321" t="str">
            <v>0100175050</v>
          </cell>
          <cell r="D1321" t="str">
            <v>564153C</v>
          </cell>
          <cell r="E1321">
            <v>2592</v>
          </cell>
          <cell r="F1321">
            <v>43487</v>
          </cell>
          <cell r="G1321" t="str">
            <v>12/11</v>
          </cell>
        </row>
        <row r="1322">
          <cell r="A1322" t="str">
            <v>Y1902-0065</v>
          </cell>
          <cell r="B1322">
            <v>201810</v>
          </cell>
          <cell r="C1322" t="str">
            <v>0100175056</v>
          </cell>
          <cell r="D1322" t="str">
            <v>564608C</v>
          </cell>
          <cell r="E1322">
            <v>4680</v>
          </cell>
          <cell r="F1322">
            <v>43486</v>
          </cell>
          <cell r="G1322" t="str">
            <v>12/11</v>
          </cell>
        </row>
        <row r="1323">
          <cell r="A1323" t="str">
            <v>Y1902-0066</v>
          </cell>
          <cell r="B1323">
            <v>201810</v>
          </cell>
          <cell r="C1323" t="str">
            <v>0100175057</v>
          </cell>
          <cell r="D1323" t="str">
            <v>564609C</v>
          </cell>
          <cell r="E1323">
            <v>3396</v>
          </cell>
          <cell r="F1323">
            <v>43486</v>
          </cell>
          <cell r="G1323" t="str">
            <v>12/11</v>
          </cell>
        </row>
        <row r="1324">
          <cell r="A1324" t="str">
            <v>Y1902-0067</v>
          </cell>
          <cell r="B1324">
            <v>201810</v>
          </cell>
          <cell r="C1324" t="str">
            <v>0100175058</v>
          </cell>
          <cell r="D1324" t="str">
            <v>163377C</v>
          </cell>
          <cell r="E1324">
            <v>528</v>
          </cell>
          <cell r="F1324">
            <v>43486</v>
          </cell>
          <cell r="G1324" t="str">
            <v>12/11</v>
          </cell>
        </row>
        <row r="1325">
          <cell r="A1325" t="str">
            <v>Y1902-0068</v>
          </cell>
          <cell r="B1325">
            <v>201810</v>
          </cell>
          <cell r="C1325" t="str">
            <v>0100175059</v>
          </cell>
          <cell r="D1325" t="str">
            <v>164060C</v>
          </cell>
          <cell r="E1325">
            <v>360</v>
          </cell>
          <cell r="F1325">
            <v>43486</v>
          </cell>
          <cell r="G1325" t="str">
            <v>12/11</v>
          </cell>
        </row>
        <row r="1326">
          <cell r="A1326" t="str">
            <v>Y1902-0069</v>
          </cell>
          <cell r="B1326">
            <v>201810</v>
          </cell>
          <cell r="C1326" t="str">
            <v>0100175060</v>
          </cell>
          <cell r="D1326" t="str">
            <v>164101C</v>
          </cell>
          <cell r="E1326">
            <v>828</v>
          </cell>
          <cell r="F1326">
            <v>43496</v>
          </cell>
          <cell r="G1326" t="str">
            <v>12/11</v>
          </cell>
        </row>
        <row r="1327">
          <cell r="A1327" t="str">
            <v>Y1902-0070</v>
          </cell>
          <cell r="B1327">
            <v>201810</v>
          </cell>
          <cell r="C1327" t="str">
            <v>0100175061</v>
          </cell>
          <cell r="D1327" t="str">
            <v>164103C</v>
          </cell>
          <cell r="E1327">
            <v>1248</v>
          </cell>
          <cell r="F1327">
            <v>43495</v>
          </cell>
          <cell r="G1327" t="str">
            <v>12/11</v>
          </cell>
        </row>
        <row r="1328">
          <cell r="A1328" t="str">
            <v>Y1902-0074</v>
          </cell>
          <cell r="B1328">
            <v>201810</v>
          </cell>
          <cell r="C1328" t="str">
            <v>0100175065</v>
          </cell>
          <cell r="D1328" t="str">
            <v>164358C</v>
          </cell>
          <cell r="E1328">
            <v>2064</v>
          </cell>
          <cell r="F1328">
            <v>43492</v>
          </cell>
          <cell r="G1328" t="str">
            <v>12/11</v>
          </cell>
        </row>
        <row r="1329">
          <cell r="A1329" t="str">
            <v>Y1902-0076</v>
          </cell>
          <cell r="B1329">
            <v>201810</v>
          </cell>
          <cell r="C1329" t="str">
            <v>0100175067</v>
          </cell>
          <cell r="D1329" t="str">
            <v>164360C</v>
          </cell>
          <cell r="E1329">
            <v>7980</v>
          </cell>
          <cell r="F1329">
            <v>43492</v>
          </cell>
          <cell r="G1329" t="str">
            <v>12/11</v>
          </cell>
        </row>
        <row r="1330">
          <cell r="A1330" t="str">
            <v>Y1902-0077</v>
          </cell>
          <cell r="B1330">
            <v>201810</v>
          </cell>
          <cell r="C1330" t="str">
            <v>0100175068</v>
          </cell>
          <cell r="D1330" t="str">
            <v>164361C</v>
          </cell>
          <cell r="E1330">
            <v>10224</v>
          </cell>
          <cell r="F1330">
            <v>43492</v>
          </cell>
          <cell r="G1330" t="str">
            <v>12/11</v>
          </cell>
        </row>
        <row r="1331">
          <cell r="A1331" t="str">
            <v>Y1902-0078</v>
          </cell>
          <cell r="B1331">
            <v>201810</v>
          </cell>
          <cell r="C1331" t="str">
            <v>0100175069</v>
          </cell>
          <cell r="D1331" t="str">
            <v>164362C</v>
          </cell>
          <cell r="E1331">
            <v>2892</v>
          </cell>
          <cell r="F1331">
            <v>43492</v>
          </cell>
          <cell r="G1331" t="str">
            <v>12/11</v>
          </cell>
        </row>
        <row r="1332">
          <cell r="A1332" t="str">
            <v>Y1902-0079</v>
          </cell>
          <cell r="B1332">
            <v>201810</v>
          </cell>
          <cell r="C1332" t="str">
            <v>0100175070</v>
          </cell>
          <cell r="D1332" t="str">
            <v>164390C</v>
          </cell>
          <cell r="E1332">
            <v>3144</v>
          </cell>
          <cell r="F1332">
            <v>43486</v>
          </cell>
          <cell r="G1332" t="str">
            <v>12/11</v>
          </cell>
        </row>
        <row r="1333">
          <cell r="A1333" t="str">
            <v>Y1902-0080</v>
          </cell>
          <cell r="B1333">
            <v>201810</v>
          </cell>
          <cell r="C1333" t="str">
            <v>0100175071</v>
          </cell>
          <cell r="D1333" t="str">
            <v>164391C</v>
          </cell>
          <cell r="E1333">
            <v>4140</v>
          </cell>
          <cell r="F1333">
            <v>43486</v>
          </cell>
          <cell r="G1333" t="str">
            <v>12/11</v>
          </cell>
        </row>
        <row r="1334">
          <cell r="A1334" t="str">
            <v>Y1902-0081</v>
          </cell>
          <cell r="B1334">
            <v>201810</v>
          </cell>
          <cell r="C1334" t="str">
            <v>0100175072</v>
          </cell>
          <cell r="D1334" t="str">
            <v>164392C</v>
          </cell>
          <cell r="E1334">
            <v>2328</v>
          </cell>
          <cell r="F1334">
            <v>43495</v>
          </cell>
          <cell r="G1334" t="str">
            <v>12/11</v>
          </cell>
        </row>
        <row r="1335">
          <cell r="A1335" t="str">
            <v>Y1902-0082</v>
          </cell>
          <cell r="B1335">
            <v>201810</v>
          </cell>
          <cell r="C1335" t="str">
            <v>0100175073</v>
          </cell>
          <cell r="D1335" t="str">
            <v>164393C</v>
          </cell>
          <cell r="E1335">
            <v>2268</v>
          </cell>
          <cell r="F1335">
            <v>43486</v>
          </cell>
          <cell r="G1335" t="str">
            <v>12/11</v>
          </cell>
        </row>
        <row r="1336">
          <cell r="A1336" t="str">
            <v>Y1902-0083</v>
          </cell>
          <cell r="B1336">
            <v>201810</v>
          </cell>
          <cell r="C1336" t="str">
            <v>0100175074</v>
          </cell>
          <cell r="D1336" t="str">
            <v>164525C</v>
          </cell>
          <cell r="E1336">
            <v>6852</v>
          </cell>
          <cell r="F1336">
            <v>43486</v>
          </cell>
          <cell r="G1336" t="str">
            <v>12/11</v>
          </cell>
        </row>
        <row r="1337">
          <cell r="A1337" t="str">
            <v>Y1902-0084</v>
          </cell>
          <cell r="B1337">
            <v>201810</v>
          </cell>
          <cell r="C1337" t="str">
            <v>0100175075</v>
          </cell>
          <cell r="D1337" t="str">
            <v>162066C</v>
          </cell>
          <cell r="E1337">
            <v>4464</v>
          </cell>
          <cell r="F1337">
            <v>43486</v>
          </cell>
          <cell r="G1337" t="str">
            <v>12/11</v>
          </cell>
        </row>
        <row r="1338">
          <cell r="A1338" t="str">
            <v>Y1902-0085</v>
          </cell>
          <cell r="B1338">
            <v>201810</v>
          </cell>
          <cell r="C1338" t="str">
            <v>0100175076</v>
          </cell>
          <cell r="D1338" t="str">
            <v>162068C</v>
          </cell>
          <cell r="E1338">
            <v>2952</v>
          </cell>
          <cell r="F1338">
            <v>43486</v>
          </cell>
          <cell r="G1338" t="str">
            <v>12/11</v>
          </cell>
        </row>
        <row r="1339">
          <cell r="A1339" t="str">
            <v>Y1902-0086</v>
          </cell>
          <cell r="B1339">
            <v>201810</v>
          </cell>
          <cell r="C1339" t="str">
            <v>0100175077</v>
          </cell>
          <cell r="D1339" t="str">
            <v>162069C</v>
          </cell>
          <cell r="E1339">
            <v>2796</v>
          </cell>
          <cell r="F1339">
            <v>43486</v>
          </cell>
          <cell r="G1339" t="str">
            <v>12/11</v>
          </cell>
        </row>
        <row r="1340">
          <cell r="A1340" t="str">
            <v>Y1902-0089</v>
          </cell>
          <cell r="B1340">
            <v>201810</v>
          </cell>
          <cell r="C1340" t="str">
            <v>0100175081</v>
          </cell>
          <cell r="D1340" t="str">
            <v>565548C</v>
          </cell>
          <cell r="E1340">
            <v>372</v>
          </cell>
          <cell r="F1340">
            <v>43481</v>
          </cell>
          <cell r="G1340" t="str">
            <v>12/11</v>
          </cell>
        </row>
        <row r="1341">
          <cell r="A1341" t="str">
            <v>Y1901-0189</v>
          </cell>
          <cell r="B1341">
            <v>201810</v>
          </cell>
          <cell r="C1341" t="str">
            <v>0100175082</v>
          </cell>
          <cell r="D1341" t="str">
            <v>159484C</v>
          </cell>
          <cell r="E1341">
            <v>1080</v>
          </cell>
          <cell r="F1341">
            <v>43492</v>
          </cell>
          <cell r="G1341" t="str">
            <v>12/11</v>
          </cell>
        </row>
        <row r="1342">
          <cell r="A1342" t="str">
            <v>Y1901-0190</v>
          </cell>
          <cell r="B1342">
            <v>201810</v>
          </cell>
          <cell r="C1342" t="str">
            <v>0100175083</v>
          </cell>
          <cell r="D1342" t="str">
            <v>164058C</v>
          </cell>
          <cell r="E1342">
            <v>1296</v>
          </cell>
          <cell r="F1342">
            <v>43492</v>
          </cell>
          <cell r="G1342" t="str">
            <v>12/11</v>
          </cell>
        </row>
        <row r="1343">
          <cell r="A1343" t="str">
            <v>Y1901-0191</v>
          </cell>
          <cell r="B1343">
            <v>201810</v>
          </cell>
          <cell r="C1343" t="str">
            <v>0100175084</v>
          </cell>
          <cell r="D1343" t="str">
            <v>M7650C</v>
          </cell>
          <cell r="E1343">
            <v>1644</v>
          </cell>
          <cell r="F1343">
            <v>43492</v>
          </cell>
          <cell r="G1343" t="str">
            <v>12/11</v>
          </cell>
        </row>
        <row r="1344">
          <cell r="A1344" t="str">
            <v>Y1901-0192</v>
          </cell>
          <cell r="B1344">
            <v>201810</v>
          </cell>
          <cell r="C1344" t="str">
            <v>0100175085</v>
          </cell>
          <cell r="D1344" t="str">
            <v>155064C</v>
          </cell>
          <cell r="E1344">
            <v>192</v>
          </cell>
          <cell r="F1344">
            <v>43492</v>
          </cell>
          <cell r="G1344" t="str">
            <v>12/11</v>
          </cell>
        </row>
        <row r="1345">
          <cell r="A1345" t="str">
            <v>Y1901-0193</v>
          </cell>
          <cell r="B1345">
            <v>201810</v>
          </cell>
          <cell r="C1345" t="str">
            <v>0100175086</v>
          </cell>
          <cell r="D1345" t="str">
            <v>164217C</v>
          </cell>
          <cell r="E1345">
            <v>120</v>
          </cell>
          <cell r="F1345">
            <v>43492</v>
          </cell>
          <cell r="G1345" t="str">
            <v>12/18</v>
          </cell>
        </row>
        <row r="1346">
          <cell r="A1346" t="str">
            <v>Y1901-0194</v>
          </cell>
          <cell r="B1346">
            <v>201810</v>
          </cell>
          <cell r="C1346" t="str">
            <v>0100175087</v>
          </cell>
          <cell r="D1346" t="str">
            <v>M7652C</v>
          </cell>
          <cell r="E1346">
            <v>1128</v>
          </cell>
          <cell r="F1346">
            <v>43492</v>
          </cell>
          <cell r="G1346" t="str">
            <v>12/11</v>
          </cell>
        </row>
        <row r="1347">
          <cell r="A1347" t="str">
            <v>Y1901-0195</v>
          </cell>
          <cell r="B1347">
            <v>201810</v>
          </cell>
          <cell r="C1347" t="str">
            <v>0100175088</v>
          </cell>
          <cell r="D1347" t="str">
            <v>1J794C</v>
          </cell>
          <cell r="E1347">
            <v>636</v>
          </cell>
          <cell r="F1347">
            <v>43492</v>
          </cell>
          <cell r="G1347" t="str">
            <v>12/11</v>
          </cell>
        </row>
        <row r="1348">
          <cell r="A1348" t="str">
            <v>Y1901-0196</v>
          </cell>
          <cell r="B1348">
            <v>201810</v>
          </cell>
          <cell r="C1348" t="str">
            <v>0100175089</v>
          </cell>
          <cell r="D1348" t="str">
            <v>364169C</v>
          </cell>
          <cell r="E1348">
            <v>180</v>
          </cell>
          <cell r="F1348">
            <v>43492</v>
          </cell>
          <cell r="G1348" t="str">
            <v>12/11</v>
          </cell>
        </row>
        <row r="1349">
          <cell r="A1349" t="str">
            <v>Y1901-0197</v>
          </cell>
          <cell r="B1349">
            <v>201810</v>
          </cell>
          <cell r="C1349" t="str">
            <v>0100175090</v>
          </cell>
          <cell r="D1349" t="str">
            <v>164280C</v>
          </cell>
          <cell r="E1349">
            <v>192</v>
          </cell>
          <cell r="F1349">
            <v>43492</v>
          </cell>
          <cell r="G1349" t="str">
            <v>12/11</v>
          </cell>
        </row>
        <row r="1350">
          <cell r="A1350" t="str">
            <v>Y1901-0198</v>
          </cell>
          <cell r="B1350">
            <v>201810</v>
          </cell>
          <cell r="C1350" t="str">
            <v>0100175091</v>
          </cell>
          <cell r="D1350" t="str">
            <v>164058C</v>
          </cell>
          <cell r="E1350">
            <v>336</v>
          </cell>
          <cell r="F1350">
            <v>43492</v>
          </cell>
          <cell r="G1350" t="str">
            <v>12/11</v>
          </cell>
        </row>
        <row r="1351">
          <cell r="A1351" t="str">
            <v>Y1901-0199</v>
          </cell>
          <cell r="B1351">
            <v>201810</v>
          </cell>
          <cell r="C1351" t="str">
            <v>0100175092</v>
          </cell>
          <cell r="D1351">
            <v>88871</v>
          </cell>
          <cell r="E1351">
            <v>144</v>
          </cell>
          <cell r="F1351">
            <v>43492</v>
          </cell>
          <cell r="G1351" t="str">
            <v>12/11</v>
          </cell>
        </row>
        <row r="1352">
          <cell r="A1352" t="str">
            <v>Y1901-0200</v>
          </cell>
          <cell r="B1352">
            <v>201810</v>
          </cell>
          <cell r="C1352" t="str">
            <v>0100175097</v>
          </cell>
          <cell r="D1352" t="str">
            <v>565548C</v>
          </cell>
          <cell r="E1352">
            <v>21</v>
          </cell>
          <cell r="F1352">
            <v>43492</v>
          </cell>
          <cell r="G1352" t="str">
            <v>CFM</v>
          </cell>
        </row>
        <row r="1353">
          <cell r="A1353" t="str">
            <v>Y1901-0201</v>
          </cell>
          <cell r="B1353">
            <v>201810</v>
          </cell>
          <cell r="C1353" t="str">
            <v>0100175098</v>
          </cell>
          <cell r="D1353" t="str">
            <v>M7652C</v>
          </cell>
          <cell r="E1353">
            <v>14568</v>
          </cell>
          <cell r="F1353">
            <v>43488</v>
          </cell>
          <cell r="G1353" t="str">
            <v>12/11</v>
          </cell>
        </row>
        <row r="1354">
          <cell r="A1354" t="str">
            <v>Y1901-0202</v>
          </cell>
          <cell r="B1354">
            <v>201810</v>
          </cell>
          <cell r="C1354" t="str">
            <v>0100175100</v>
          </cell>
          <cell r="D1354" t="str">
            <v>3J253C</v>
          </cell>
          <cell r="E1354">
            <v>4044</v>
          </cell>
          <cell r="F1354">
            <v>43488</v>
          </cell>
          <cell r="G1354" t="str">
            <v>12/11</v>
          </cell>
        </row>
        <row r="1355">
          <cell r="A1355" t="str">
            <v>Y1901-0203</v>
          </cell>
          <cell r="B1355">
            <v>201810</v>
          </cell>
          <cell r="C1355" t="str">
            <v>0100175102</v>
          </cell>
          <cell r="D1355" t="str">
            <v>3J256C</v>
          </cell>
          <cell r="E1355">
            <v>480</v>
          </cell>
          <cell r="F1355">
            <v>43468</v>
          </cell>
          <cell r="G1355" t="str">
            <v>12/11</v>
          </cell>
        </row>
        <row r="1356">
          <cell r="A1356" t="str">
            <v>Y1901-0204</v>
          </cell>
          <cell r="B1356">
            <v>201810</v>
          </cell>
          <cell r="C1356" t="str">
            <v>0100175103</v>
          </cell>
          <cell r="D1356" t="str">
            <v>3J256C</v>
          </cell>
          <cell r="E1356">
            <v>9492</v>
          </cell>
          <cell r="F1356">
            <v>43488</v>
          </cell>
          <cell r="G1356" t="str">
            <v>12/11</v>
          </cell>
        </row>
        <row r="1357">
          <cell r="A1357" t="str">
            <v>Y1901-0205</v>
          </cell>
          <cell r="B1357">
            <v>201810</v>
          </cell>
          <cell r="C1357" t="str">
            <v>0100175105</v>
          </cell>
          <cell r="D1357" t="str">
            <v>M7650C</v>
          </cell>
          <cell r="E1357">
            <v>19836</v>
          </cell>
          <cell r="F1357">
            <v>43488</v>
          </cell>
          <cell r="G1357" t="str">
            <v>12/11</v>
          </cell>
        </row>
        <row r="1358">
          <cell r="A1358" t="str">
            <v>Y1901-0206</v>
          </cell>
          <cell r="B1358">
            <v>201810</v>
          </cell>
          <cell r="C1358" t="str">
            <v>0100175108</v>
          </cell>
          <cell r="D1358" t="str">
            <v>M8437C</v>
          </cell>
          <cell r="E1358">
            <v>1848</v>
          </cell>
          <cell r="F1358">
            <v>43489</v>
          </cell>
          <cell r="G1358" t="str">
            <v>12/11</v>
          </cell>
        </row>
        <row r="1359">
          <cell r="A1359" t="str">
            <v>Y1901-0207</v>
          </cell>
          <cell r="B1359">
            <v>201810</v>
          </cell>
          <cell r="C1359" t="str">
            <v>0100175109</v>
          </cell>
          <cell r="D1359" t="str">
            <v>M9697C</v>
          </cell>
          <cell r="E1359">
            <v>3114</v>
          </cell>
          <cell r="F1359">
            <v>43468</v>
          </cell>
          <cell r="G1359" t="str">
            <v>12/11</v>
          </cell>
        </row>
        <row r="1360">
          <cell r="A1360" t="str">
            <v>Y1901-0208</v>
          </cell>
          <cell r="B1360">
            <v>201810</v>
          </cell>
          <cell r="C1360" t="str">
            <v>0100175111</v>
          </cell>
          <cell r="D1360" t="str">
            <v>155064C</v>
          </cell>
          <cell r="E1360">
            <v>1128</v>
          </cell>
          <cell r="F1360">
            <v>43488</v>
          </cell>
          <cell r="G1360" t="str">
            <v>12/11</v>
          </cell>
        </row>
        <row r="1361">
          <cell r="A1361" t="str">
            <v>Y1901-0209</v>
          </cell>
          <cell r="B1361">
            <v>201810</v>
          </cell>
          <cell r="C1361" t="str">
            <v>0100175113</v>
          </cell>
          <cell r="D1361" t="str">
            <v>155066C</v>
          </cell>
          <cell r="E1361">
            <v>1128</v>
          </cell>
          <cell r="F1361">
            <v>43488</v>
          </cell>
          <cell r="G1361" t="str">
            <v>12/11</v>
          </cell>
        </row>
        <row r="1362">
          <cell r="A1362" t="str">
            <v>Y1901-0210</v>
          </cell>
          <cell r="B1362">
            <v>201810</v>
          </cell>
          <cell r="C1362" t="str">
            <v>0100175114</v>
          </cell>
          <cell r="D1362" t="str">
            <v>162884C</v>
          </cell>
          <cell r="E1362">
            <v>168</v>
          </cell>
          <cell r="F1362">
            <v>43488</v>
          </cell>
          <cell r="G1362" t="str">
            <v>12/11</v>
          </cell>
        </row>
        <row r="1363">
          <cell r="A1363" t="str">
            <v>Y1901-0211</v>
          </cell>
          <cell r="B1363">
            <v>201810</v>
          </cell>
          <cell r="C1363" t="str">
            <v>0100175115</v>
          </cell>
          <cell r="D1363" t="str">
            <v>144148C</v>
          </cell>
          <cell r="E1363">
            <v>924</v>
          </cell>
          <cell r="F1363">
            <v>43488</v>
          </cell>
          <cell r="G1363" t="str">
            <v>12/11</v>
          </cell>
        </row>
        <row r="1364">
          <cell r="A1364" t="str">
            <v>Y1901-0212</v>
          </cell>
          <cell r="B1364">
            <v>201810</v>
          </cell>
          <cell r="C1364" t="str">
            <v>0100175116</v>
          </cell>
          <cell r="D1364" t="str">
            <v>144150C</v>
          </cell>
          <cell r="E1364">
            <v>5124</v>
          </cell>
          <cell r="F1364">
            <v>43495</v>
          </cell>
          <cell r="G1364" t="str">
            <v>12/11</v>
          </cell>
        </row>
        <row r="1365">
          <cell r="A1365" t="str">
            <v>Y1902-0097</v>
          </cell>
          <cell r="B1365">
            <v>201810</v>
          </cell>
          <cell r="C1365" t="str">
            <v>0100175117</v>
          </cell>
          <cell r="D1365" t="str">
            <v>162950C</v>
          </cell>
          <cell r="E1365">
            <v>1812</v>
          </cell>
          <cell r="F1365">
            <v>43496</v>
          </cell>
          <cell r="G1365" t="str">
            <v>12/11</v>
          </cell>
        </row>
        <row r="1366">
          <cell r="A1366" t="str">
            <v>Y1901-0213</v>
          </cell>
          <cell r="B1366">
            <v>201810</v>
          </cell>
          <cell r="C1366" t="str">
            <v>0100175118</v>
          </cell>
          <cell r="D1366" t="str">
            <v>1J794C</v>
          </cell>
          <cell r="E1366">
            <v>4008</v>
          </cell>
          <cell r="F1366">
            <v>43488</v>
          </cell>
          <cell r="G1366" t="str">
            <v>12/11</v>
          </cell>
        </row>
        <row r="1367">
          <cell r="A1367" t="str">
            <v>Y1901-0214</v>
          </cell>
          <cell r="B1367">
            <v>201810</v>
          </cell>
          <cell r="C1367" t="str">
            <v>0100175120</v>
          </cell>
          <cell r="D1367" t="str">
            <v>663599C</v>
          </cell>
          <cell r="E1367">
            <v>1800</v>
          </cell>
          <cell r="F1367">
            <v>43488</v>
          </cell>
          <cell r="G1367" t="str">
            <v>CFM</v>
          </cell>
        </row>
        <row r="1368">
          <cell r="A1368" t="str">
            <v>Y1901-0215</v>
          </cell>
          <cell r="B1368">
            <v>201810</v>
          </cell>
          <cell r="C1368" t="str">
            <v>0100175121</v>
          </cell>
          <cell r="D1368" t="str">
            <v>144151C</v>
          </cell>
          <cell r="E1368">
            <v>2976</v>
          </cell>
          <cell r="F1368">
            <v>43488</v>
          </cell>
          <cell r="G1368" t="str">
            <v>12/11</v>
          </cell>
        </row>
        <row r="1369">
          <cell r="A1369" t="str">
            <v>Y1901-0216</v>
          </cell>
          <cell r="B1369">
            <v>201810</v>
          </cell>
          <cell r="C1369" t="str">
            <v>0100175124</v>
          </cell>
          <cell r="D1369" t="str">
            <v>651827C</v>
          </cell>
          <cell r="E1369">
            <v>3684</v>
          </cell>
          <cell r="F1369">
            <v>43488</v>
          </cell>
          <cell r="G1369" t="str">
            <v>12/11</v>
          </cell>
        </row>
        <row r="1370">
          <cell r="A1370" t="str">
            <v>Y1901-0217</v>
          </cell>
          <cell r="B1370">
            <v>201810</v>
          </cell>
          <cell r="C1370" t="str">
            <v>0100175125</v>
          </cell>
          <cell r="D1370" t="str">
            <v>161577C</v>
          </cell>
          <cell r="E1370">
            <v>360</v>
          </cell>
          <cell r="F1370">
            <v>43488</v>
          </cell>
          <cell r="G1370" t="str">
            <v>12/11</v>
          </cell>
        </row>
        <row r="1371">
          <cell r="A1371" t="str">
            <v>Y1902-0103</v>
          </cell>
          <cell r="B1371">
            <v>201810</v>
          </cell>
          <cell r="C1371" t="str">
            <v>0100175128</v>
          </cell>
          <cell r="D1371" t="str">
            <v>364170C</v>
          </cell>
          <cell r="E1371">
            <v>384</v>
          </cell>
          <cell r="F1371">
            <v>43492</v>
          </cell>
          <cell r="G1371" t="str">
            <v>12/11</v>
          </cell>
        </row>
        <row r="1372">
          <cell r="A1372" t="str">
            <v>Y1901-0218</v>
          </cell>
          <cell r="B1372">
            <v>201810</v>
          </cell>
          <cell r="C1372" t="str">
            <v>0100175129</v>
          </cell>
          <cell r="D1372" t="str">
            <v>158371C</v>
          </cell>
          <cell r="E1372">
            <v>144</v>
          </cell>
          <cell r="F1372">
            <v>43488</v>
          </cell>
          <cell r="G1372" t="str">
            <v>12/11</v>
          </cell>
        </row>
        <row r="1373">
          <cell r="A1373" t="str">
            <v>Y1901-0219</v>
          </cell>
          <cell r="B1373">
            <v>201810</v>
          </cell>
          <cell r="C1373" t="str">
            <v>0100175131</v>
          </cell>
          <cell r="D1373" t="str">
            <v>161603C</v>
          </cell>
          <cell r="E1373">
            <v>348</v>
          </cell>
          <cell r="F1373">
            <v>43488</v>
          </cell>
          <cell r="G1373" t="str">
            <v>12/11</v>
          </cell>
        </row>
        <row r="1374">
          <cell r="A1374" t="str">
            <v>Y1902-0105</v>
          </cell>
          <cell r="B1374">
            <v>201810</v>
          </cell>
          <cell r="C1374" t="str">
            <v>0100175132</v>
          </cell>
          <cell r="D1374" t="str">
            <v>163269C</v>
          </cell>
          <cell r="E1374">
            <v>336</v>
          </cell>
          <cell r="F1374">
            <v>43486</v>
          </cell>
          <cell r="G1374" t="str">
            <v>12/11</v>
          </cell>
        </row>
        <row r="1375">
          <cell r="A1375" t="str">
            <v>Y1902-0106</v>
          </cell>
          <cell r="B1375">
            <v>201810</v>
          </cell>
          <cell r="C1375" t="str">
            <v>0100175133</v>
          </cell>
          <cell r="D1375" t="str">
            <v>764173C</v>
          </cell>
          <cell r="E1375">
            <v>480</v>
          </cell>
          <cell r="F1375">
            <v>43492</v>
          </cell>
          <cell r="G1375" t="str">
            <v>12/11</v>
          </cell>
        </row>
        <row r="1376">
          <cell r="A1376" t="str">
            <v>Y1902-0107</v>
          </cell>
          <cell r="B1376">
            <v>201810</v>
          </cell>
          <cell r="C1376" t="str">
            <v>0100175134</v>
          </cell>
          <cell r="D1376" t="str">
            <v>764174C</v>
          </cell>
          <cell r="E1376">
            <v>336</v>
          </cell>
          <cell r="F1376">
            <v>43492</v>
          </cell>
          <cell r="G1376" t="str">
            <v>12/11</v>
          </cell>
        </row>
        <row r="1377">
          <cell r="A1377" t="str">
            <v>Y1902-0108</v>
          </cell>
          <cell r="B1377">
            <v>201810</v>
          </cell>
          <cell r="C1377" t="str">
            <v>0100175135</v>
          </cell>
          <cell r="D1377" t="str">
            <v>764236C</v>
          </cell>
          <cell r="E1377">
            <v>1812</v>
          </cell>
          <cell r="F1377">
            <v>43486</v>
          </cell>
          <cell r="G1377" t="str">
            <v>12/11</v>
          </cell>
        </row>
        <row r="1378">
          <cell r="A1378" t="str">
            <v>Y1902-0109</v>
          </cell>
          <cell r="B1378">
            <v>201810</v>
          </cell>
          <cell r="C1378" t="str">
            <v>0100175136</v>
          </cell>
          <cell r="D1378" t="str">
            <v>764237C</v>
          </cell>
          <cell r="E1378">
            <v>1800</v>
          </cell>
          <cell r="F1378">
            <v>43486</v>
          </cell>
          <cell r="G1378" t="str">
            <v>12/11</v>
          </cell>
        </row>
        <row r="1379">
          <cell r="A1379" t="str">
            <v>Y1902-0110</v>
          </cell>
          <cell r="B1379">
            <v>201810</v>
          </cell>
          <cell r="C1379" t="str">
            <v>0100175137</v>
          </cell>
          <cell r="D1379" t="str">
            <v>764238C</v>
          </cell>
          <cell r="E1379">
            <v>1812</v>
          </cell>
          <cell r="F1379">
            <v>43486</v>
          </cell>
          <cell r="G1379" t="str">
            <v>12/11</v>
          </cell>
        </row>
        <row r="1380">
          <cell r="A1380" t="str">
            <v>Y1902-0111</v>
          </cell>
          <cell r="B1380">
            <v>201810</v>
          </cell>
          <cell r="C1380" t="str">
            <v>0100175138</v>
          </cell>
          <cell r="D1380" t="str">
            <v>660740C</v>
          </cell>
          <cell r="E1380">
            <v>5340</v>
          </cell>
          <cell r="F1380">
            <v>43486</v>
          </cell>
          <cell r="G1380" t="str">
            <v>12/11</v>
          </cell>
        </row>
        <row r="1381">
          <cell r="A1381" t="str">
            <v>Y1901-0220</v>
          </cell>
          <cell r="B1381">
            <v>201810</v>
          </cell>
          <cell r="C1381" t="str">
            <v>0100175139</v>
          </cell>
          <cell r="D1381" t="str">
            <v>3J234C</v>
          </cell>
          <cell r="E1381">
            <v>1020</v>
          </cell>
          <cell r="F1381">
            <v>43488</v>
          </cell>
          <cell r="G1381" t="str">
            <v>12/11</v>
          </cell>
        </row>
        <row r="1382">
          <cell r="A1382" t="str">
            <v>Y1901-0221</v>
          </cell>
          <cell r="B1382">
            <v>201810</v>
          </cell>
          <cell r="C1382" t="str">
            <v>0100175140</v>
          </cell>
          <cell r="D1382" t="str">
            <v>159792C</v>
          </cell>
          <cell r="E1382">
            <v>1812</v>
          </cell>
          <cell r="F1382">
            <v>43493</v>
          </cell>
          <cell r="G1382" t="str">
            <v>12/11</v>
          </cell>
        </row>
        <row r="1383">
          <cell r="A1383" t="str">
            <v>Y1902-0112</v>
          </cell>
          <cell r="B1383">
            <v>201810</v>
          </cell>
          <cell r="C1383" t="str">
            <v>0100175141</v>
          </cell>
          <cell r="D1383" t="str">
            <v>660742C</v>
          </cell>
          <cell r="E1383">
            <v>4140</v>
          </cell>
          <cell r="F1383">
            <v>43486</v>
          </cell>
          <cell r="G1383" t="str">
            <v>CFM</v>
          </cell>
        </row>
        <row r="1384">
          <cell r="A1384" t="str">
            <v>Y1901-0222</v>
          </cell>
          <cell r="B1384">
            <v>201810</v>
          </cell>
          <cell r="C1384" t="str">
            <v>0100175149</v>
          </cell>
          <cell r="D1384" t="str">
            <v>163377C</v>
          </cell>
          <cell r="E1384">
            <v>1404</v>
          </cell>
          <cell r="F1384">
            <v>43488</v>
          </cell>
          <cell r="G1384" t="str">
            <v>12/11</v>
          </cell>
        </row>
        <row r="1385">
          <cell r="A1385" t="str">
            <v>Y1901-0223</v>
          </cell>
          <cell r="B1385">
            <v>201810</v>
          </cell>
          <cell r="C1385" t="str">
            <v>0100175150</v>
          </cell>
          <cell r="D1385" t="str">
            <v>163380C</v>
          </cell>
          <cell r="E1385">
            <v>684</v>
          </cell>
          <cell r="F1385">
            <v>43488</v>
          </cell>
          <cell r="G1385" t="str">
            <v>12/11</v>
          </cell>
        </row>
        <row r="1386">
          <cell r="A1386" t="str">
            <v>Y1901-0224</v>
          </cell>
          <cell r="B1386">
            <v>201810</v>
          </cell>
          <cell r="C1386" t="str">
            <v>0100175151</v>
          </cell>
          <cell r="D1386" t="str">
            <v>3J238C</v>
          </cell>
          <cell r="E1386">
            <v>1704</v>
          </cell>
          <cell r="F1386">
            <v>43488</v>
          </cell>
          <cell r="G1386" t="str">
            <v>12/11</v>
          </cell>
        </row>
        <row r="1387">
          <cell r="A1387" t="str">
            <v>Y1901-0225</v>
          </cell>
          <cell r="B1387">
            <v>201810</v>
          </cell>
          <cell r="C1387" t="str">
            <v>0100175152</v>
          </cell>
          <cell r="D1387" t="str">
            <v>7J234C</v>
          </cell>
          <cell r="E1387">
            <v>1032</v>
          </cell>
          <cell r="F1387">
            <v>43488</v>
          </cell>
          <cell r="G1387" t="str">
            <v>12/11</v>
          </cell>
        </row>
        <row r="1388">
          <cell r="A1388" t="str">
            <v>Y1902-0019A</v>
          </cell>
          <cell r="B1388">
            <v>201810</v>
          </cell>
          <cell r="C1388" t="str">
            <v>0100175153</v>
          </cell>
          <cell r="D1388" t="str">
            <v>663998C</v>
          </cell>
          <cell r="E1388">
            <v>1800</v>
          </cell>
          <cell r="F1388">
            <v>43492</v>
          </cell>
          <cell r="G1388" t="str">
            <v>12/18</v>
          </cell>
        </row>
        <row r="1389">
          <cell r="A1389" t="str">
            <v>Y1902-0120</v>
          </cell>
          <cell r="B1389">
            <v>201810</v>
          </cell>
          <cell r="C1389" t="str">
            <v>0100175154</v>
          </cell>
          <cell r="D1389" t="str">
            <v>663999C</v>
          </cell>
          <cell r="E1389">
            <v>1800</v>
          </cell>
          <cell r="F1389">
            <v>43486</v>
          </cell>
          <cell r="G1389" t="str">
            <v>12/18</v>
          </cell>
        </row>
        <row r="1390">
          <cell r="A1390" t="str">
            <v>Y1902-0121</v>
          </cell>
          <cell r="B1390">
            <v>201810</v>
          </cell>
          <cell r="C1390" t="str">
            <v>0100175155</v>
          </cell>
          <cell r="D1390" t="str">
            <v>564150C</v>
          </cell>
          <cell r="E1390">
            <v>564</v>
          </cell>
          <cell r="F1390">
            <v>43487</v>
          </cell>
          <cell r="G1390" t="str">
            <v>12/11</v>
          </cell>
        </row>
        <row r="1391">
          <cell r="A1391" t="str">
            <v>Y1902-0122</v>
          </cell>
          <cell r="B1391">
            <v>201810</v>
          </cell>
          <cell r="C1391" t="str">
            <v>0100175156</v>
          </cell>
          <cell r="D1391" t="str">
            <v>564151C</v>
          </cell>
          <cell r="E1391">
            <v>228</v>
          </cell>
          <cell r="F1391">
            <v>43487</v>
          </cell>
          <cell r="G1391" t="str">
            <v>12/11</v>
          </cell>
        </row>
        <row r="1392">
          <cell r="A1392" t="str">
            <v>Y1902-0123</v>
          </cell>
          <cell r="B1392">
            <v>201810</v>
          </cell>
          <cell r="C1392" t="str">
            <v>0100175157</v>
          </cell>
          <cell r="D1392" t="str">
            <v>564152C</v>
          </cell>
          <cell r="E1392">
            <v>1068</v>
          </cell>
          <cell r="F1392">
            <v>43487</v>
          </cell>
          <cell r="G1392" t="str">
            <v>12/11</v>
          </cell>
        </row>
        <row r="1393">
          <cell r="A1393" t="str">
            <v>Y1902-0124</v>
          </cell>
          <cell r="B1393">
            <v>201810</v>
          </cell>
          <cell r="C1393" t="str">
            <v>0100175158</v>
          </cell>
          <cell r="D1393" t="str">
            <v>564153C</v>
          </cell>
          <cell r="E1393">
            <v>1332</v>
          </cell>
          <cell r="F1393">
            <v>43487</v>
          </cell>
          <cell r="G1393" t="str">
            <v>12/11</v>
          </cell>
        </row>
        <row r="1394">
          <cell r="A1394" t="str">
            <v>Y1902-0125</v>
          </cell>
          <cell r="B1394">
            <v>201810</v>
          </cell>
          <cell r="C1394" t="str">
            <v>0100175159</v>
          </cell>
          <cell r="D1394" t="str">
            <v>564154C</v>
          </cell>
          <cell r="E1394">
            <v>228</v>
          </cell>
          <cell r="F1394">
            <v>43487</v>
          </cell>
          <cell r="G1394" t="str">
            <v>12/11</v>
          </cell>
        </row>
        <row r="1395">
          <cell r="A1395" t="str">
            <v>Y1901-0226</v>
          </cell>
          <cell r="B1395">
            <v>201810</v>
          </cell>
          <cell r="C1395" t="str">
            <v>0100175162</v>
          </cell>
          <cell r="D1395" t="str">
            <v>7J253C</v>
          </cell>
          <cell r="E1395">
            <v>4440</v>
          </cell>
          <cell r="F1395">
            <v>43488</v>
          </cell>
          <cell r="G1395" t="str">
            <v>12/11</v>
          </cell>
        </row>
        <row r="1396">
          <cell r="A1396" t="str">
            <v>Y1901-0227</v>
          </cell>
          <cell r="B1396">
            <v>201810</v>
          </cell>
          <cell r="C1396" t="str">
            <v>0100175166</v>
          </cell>
          <cell r="D1396" t="str">
            <v>7J256C</v>
          </cell>
          <cell r="E1396">
            <v>7992</v>
          </cell>
          <cell r="F1396">
            <v>43488</v>
          </cell>
          <cell r="G1396" t="str">
            <v>12/11</v>
          </cell>
        </row>
        <row r="1397">
          <cell r="A1397" t="str">
            <v>Y1901-0228</v>
          </cell>
          <cell r="B1397">
            <v>201810</v>
          </cell>
          <cell r="C1397" t="str">
            <v>0100175168</v>
          </cell>
          <cell r="D1397">
            <v>88865</v>
          </cell>
          <cell r="E1397">
            <v>7380</v>
          </cell>
          <cell r="F1397">
            <v>43488</v>
          </cell>
          <cell r="G1397" t="str">
            <v>12/11</v>
          </cell>
        </row>
        <row r="1398">
          <cell r="A1398" t="str">
            <v>Y1902-0137</v>
          </cell>
          <cell r="B1398">
            <v>201810</v>
          </cell>
          <cell r="C1398" t="str">
            <v>0100175174</v>
          </cell>
          <cell r="D1398" t="str">
            <v>164217C</v>
          </cell>
          <cell r="E1398">
            <v>1230</v>
          </cell>
          <cell r="F1398">
            <v>43486</v>
          </cell>
          <cell r="G1398" t="str">
            <v>12/18</v>
          </cell>
        </row>
        <row r="1399">
          <cell r="A1399" t="str">
            <v>Y1902-0138</v>
          </cell>
          <cell r="B1399">
            <v>201810</v>
          </cell>
          <cell r="C1399" t="str">
            <v>0100175175</v>
          </cell>
          <cell r="D1399" t="str">
            <v>164218C</v>
          </cell>
          <cell r="E1399">
            <v>1470</v>
          </cell>
          <cell r="F1399">
            <v>43486</v>
          </cell>
          <cell r="G1399" t="str">
            <v>12/18</v>
          </cell>
        </row>
        <row r="1400">
          <cell r="A1400" t="str">
            <v>Y1902-0139</v>
          </cell>
          <cell r="B1400">
            <v>201810</v>
          </cell>
          <cell r="C1400" t="str">
            <v>0100175176</v>
          </cell>
          <cell r="D1400" t="str">
            <v>164219C</v>
          </cell>
          <cell r="E1400">
            <v>1422</v>
          </cell>
          <cell r="F1400">
            <v>43486</v>
          </cell>
          <cell r="G1400" t="str">
            <v>12/18</v>
          </cell>
        </row>
        <row r="1401">
          <cell r="A1401" t="str">
            <v>Y1902-0140</v>
          </cell>
          <cell r="B1401">
            <v>201810</v>
          </cell>
          <cell r="C1401" t="str">
            <v>0100175177</v>
          </cell>
          <cell r="D1401" t="str">
            <v>164220C</v>
          </cell>
          <cell r="E1401">
            <v>762</v>
          </cell>
          <cell r="F1401">
            <v>43486</v>
          </cell>
          <cell r="G1401" t="str">
            <v>12/18</v>
          </cell>
        </row>
        <row r="1402">
          <cell r="A1402" t="str">
            <v>Y1901-0229</v>
          </cell>
          <cell r="B1402">
            <v>201810</v>
          </cell>
          <cell r="C1402" t="str">
            <v>0100175179</v>
          </cell>
          <cell r="D1402">
            <v>88871</v>
          </cell>
          <cell r="E1402">
            <v>5688</v>
          </cell>
          <cell r="F1402">
            <v>43488</v>
          </cell>
          <cell r="G1402" t="str">
            <v>12/11</v>
          </cell>
        </row>
        <row r="1403">
          <cell r="A1403" t="str">
            <v>Y1902-0142</v>
          </cell>
          <cell r="B1403">
            <v>201810</v>
          </cell>
          <cell r="C1403" t="str">
            <v>0100175180</v>
          </cell>
          <cell r="D1403">
            <v>88875</v>
          </cell>
          <cell r="E1403">
            <v>888</v>
          </cell>
          <cell r="F1403">
            <v>43486</v>
          </cell>
          <cell r="G1403" t="str">
            <v>12/11</v>
          </cell>
        </row>
        <row r="1404">
          <cell r="A1404" t="str">
            <v>Y1902-0143</v>
          </cell>
          <cell r="B1404">
            <v>201810</v>
          </cell>
          <cell r="C1404" t="str">
            <v>0100175181</v>
          </cell>
          <cell r="D1404">
            <v>88877</v>
          </cell>
          <cell r="E1404">
            <v>1908</v>
          </cell>
          <cell r="F1404">
            <v>43486</v>
          </cell>
          <cell r="G1404" t="str">
            <v>12/11</v>
          </cell>
        </row>
        <row r="1405">
          <cell r="A1405" t="str">
            <v>Y1901-0230</v>
          </cell>
          <cell r="B1405">
            <v>201810</v>
          </cell>
          <cell r="C1405" t="str">
            <v>0100175182</v>
          </cell>
          <cell r="D1405" t="str">
            <v>8J231</v>
          </cell>
          <cell r="E1405">
            <v>4380</v>
          </cell>
          <cell r="F1405">
            <v>43488</v>
          </cell>
          <cell r="G1405" t="str">
            <v>12/11</v>
          </cell>
        </row>
        <row r="1406">
          <cell r="A1406" t="str">
            <v>Y1902-0144</v>
          </cell>
          <cell r="B1406">
            <v>201810</v>
          </cell>
          <cell r="C1406" t="str">
            <v>0100175183</v>
          </cell>
          <cell r="D1406" t="str">
            <v>164358C</v>
          </cell>
          <cell r="E1406">
            <v>1212</v>
          </cell>
          <cell r="F1406">
            <v>43492</v>
          </cell>
          <cell r="G1406" t="str">
            <v>12/11</v>
          </cell>
        </row>
        <row r="1407">
          <cell r="A1407" t="str">
            <v>Y1902-0145</v>
          </cell>
          <cell r="B1407">
            <v>201810</v>
          </cell>
          <cell r="C1407" t="str">
            <v>0100175184</v>
          </cell>
          <cell r="D1407" t="str">
            <v>164359C</v>
          </cell>
          <cell r="E1407">
            <v>570</v>
          </cell>
          <cell r="F1407">
            <v>43492</v>
          </cell>
          <cell r="G1407" t="str">
            <v>12/11</v>
          </cell>
        </row>
        <row r="1408">
          <cell r="A1408" t="str">
            <v>Y1902-0146</v>
          </cell>
          <cell r="B1408">
            <v>201810</v>
          </cell>
          <cell r="C1408" t="str">
            <v>0100175185</v>
          </cell>
          <cell r="D1408" t="str">
            <v>164360C</v>
          </cell>
          <cell r="E1408">
            <v>1650</v>
          </cell>
          <cell r="F1408">
            <v>43492</v>
          </cell>
          <cell r="G1408" t="str">
            <v>12/11</v>
          </cell>
        </row>
        <row r="1409">
          <cell r="A1409" t="str">
            <v>Y1902-0147</v>
          </cell>
          <cell r="B1409">
            <v>201810</v>
          </cell>
          <cell r="C1409" t="str">
            <v>0100175186</v>
          </cell>
          <cell r="D1409" t="str">
            <v>164361C</v>
          </cell>
          <cell r="E1409">
            <v>1026</v>
          </cell>
          <cell r="F1409">
            <v>43492</v>
          </cell>
          <cell r="G1409" t="str">
            <v>12/11</v>
          </cell>
        </row>
        <row r="1410">
          <cell r="A1410" t="str">
            <v>Y1902-0148</v>
          </cell>
          <cell r="B1410">
            <v>201810</v>
          </cell>
          <cell r="C1410" t="str">
            <v>0100175187</v>
          </cell>
          <cell r="D1410" t="str">
            <v>164362C</v>
          </cell>
          <cell r="E1410">
            <v>708</v>
          </cell>
          <cell r="F1410">
            <v>43492</v>
          </cell>
          <cell r="G1410" t="str">
            <v>12/11</v>
          </cell>
        </row>
        <row r="1411">
          <cell r="A1411" t="str">
            <v>Y1902-0150</v>
          </cell>
          <cell r="B1411">
            <v>201810</v>
          </cell>
          <cell r="C1411" t="str">
            <v>0100175189</v>
          </cell>
          <cell r="D1411" t="str">
            <v>164390C</v>
          </cell>
          <cell r="E1411">
            <v>1044</v>
          </cell>
          <cell r="F1411">
            <v>43486</v>
          </cell>
          <cell r="G1411" t="str">
            <v>12/11</v>
          </cell>
        </row>
        <row r="1412">
          <cell r="A1412" t="str">
            <v>Y1902-0151</v>
          </cell>
          <cell r="B1412">
            <v>201810</v>
          </cell>
          <cell r="C1412" t="str">
            <v>0100175190</v>
          </cell>
          <cell r="D1412" t="str">
            <v>164391C</v>
          </cell>
          <cell r="E1412">
            <v>432</v>
          </cell>
          <cell r="F1412">
            <v>43486</v>
          </cell>
          <cell r="G1412" t="str">
            <v>12/11</v>
          </cell>
        </row>
        <row r="1413">
          <cell r="A1413" t="str">
            <v>Y1902-0153</v>
          </cell>
          <cell r="B1413">
            <v>201810</v>
          </cell>
          <cell r="C1413" t="str">
            <v>0100175192</v>
          </cell>
          <cell r="D1413" t="str">
            <v>164393C</v>
          </cell>
          <cell r="E1413">
            <v>852</v>
          </cell>
          <cell r="F1413">
            <v>43486</v>
          </cell>
          <cell r="G1413" t="str">
            <v>12/11</v>
          </cell>
        </row>
        <row r="1414">
          <cell r="A1414" t="str">
            <v>Y1901-0231</v>
          </cell>
          <cell r="B1414">
            <v>201810</v>
          </cell>
          <cell r="C1414" t="str">
            <v>0100175193</v>
          </cell>
          <cell r="D1414" t="str">
            <v>636930C</v>
          </cell>
          <cell r="E1414">
            <v>2772</v>
          </cell>
          <cell r="F1414">
            <v>43488</v>
          </cell>
          <cell r="G1414" t="str">
            <v>12/11</v>
          </cell>
        </row>
        <row r="1415">
          <cell r="A1415" t="str">
            <v>Y1901-0232</v>
          </cell>
          <cell r="B1415">
            <v>201810</v>
          </cell>
          <cell r="C1415" t="str">
            <v>0100175194</v>
          </cell>
          <cell r="D1415" t="str">
            <v>164525C</v>
          </cell>
          <cell r="E1415">
            <v>684</v>
          </cell>
          <cell r="F1415">
            <v>43488</v>
          </cell>
          <cell r="G1415" t="str">
            <v>12/11</v>
          </cell>
        </row>
        <row r="1416">
          <cell r="A1416" t="str">
            <v>Y1902-0155</v>
          </cell>
          <cell r="B1416">
            <v>201810</v>
          </cell>
          <cell r="C1416" t="str">
            <v>0100175196</v>
          </cell>
          <cell r="D1416">
            <v>81229</v>
          </cell>
          <cell r="E1416">
            <v>3000</v>
          </cell>
          <cell r="F1416">
            <v>43492</v>
          </cell>
          <cell r="G1416" t="str">
            <v>12/11</v>
          </cell>
        </row>
        <row r="1417">
          <cell r="A1417" t="str">
            <v>Y1902-0156</v>
          </cell>
          <cell r="B1417">
            <v>201810</v>
          </cell>
          <cell r="C1417" t="str">
            <v>0100175197</v>
          </cell>
          <cell r="D1417" t="str">
            <v>151202C</v>
          </cell>
          <cell r="E1417">
            <v>14988</v>
          </cell>
          <cell r="F1417">
            <v>43486</v>
          </cell>
          <cell r="G1417" t="str">
            <v>12/11</v>
          </cell>
        </row>
        <row r="1418">
          <cell r="A1418" t="str">
            <v>Y1902-0157</v>
          </cell>
          <cell r="B1418">
            <v>201810</v>
          </cell>
          <cell r="C1418" t="str">
            <v>0100175198</v>
          </cell>
          <cell r="D1418" t="str">
            <v>157607C</v>
          </cell>
          <cell r="E1418">
            <v>5976</v>
          </cell>
          <cell r="F1418">
            <v>43486</v>
          </cell>
          <cell r="G1418" t="str">
            <v>12/11</v>
          </cell>
        </row>
        <row r="1419">
          <cell r="A1419" t="str">
            <v>Y1902-0158</v>
          </cell>
          <cell r="B1419">
            <v>201810</v>
          </cell>
          <cell r="C1419" t="str">
            <v>0100175199</v>
          </cell>
          <cell r="D1419" t="str">
            <v>560628C</v>
          </cell>
          <cell r="E1419">
            <v>3888</v>
          </cell>
          <cell r="F1419">
            <v>43486</v>
          </cell>
          <cell r="G1419" t="str">
            <v>CFM</v>
          </cell>
        </row>
        <row r="1420">
          <cell r="A1420" t="str">
            <v>Y1902-0159</v>
          </cell>
          <cell r="B1420">
            <v>201810</v>
          </cell>
          <cell r="C1420" t="str">
            <v>0100175200</v>
          </cell>
          <cell r="D1420" t="str">
            <v>560629C</v>
          </cell>
          <cell r="E1420">
            <v>4260</v>
          </cell>
          <cell r="F1420">
            <v>43486</v>
          </cell>
          <cell r="G1420" t="str">
            <v>CFM</v>
          </cell>
        </row>
        <row r="1421">
          <cell r="A1421" t="str">
            <v>Y1902-0160</v>
          </cell>
          <cell r="B1421">
            <v>201810</v>
          </cell>
          <cell r="C1421" t="str">
            <v>0100175201</v>
          </cell>
          <cell r="D1421" t="str">
            <v>560630C</v>
          </cell>
          <cell r="E1421">
            <v>2964</v>
          </cell>
          <cell r="F1421">
            <v>43486</v>
          </cell>
          <cell r="G1421" t="str">
            <v>12/11</v>
          </cell>
        </row>
        <row r="1422">
          <cell r="A1422" t="str">
            <v>Y1901-0233</v>
          </cell>
          <cell r="B1422">
            <v>201810</v>
          </cell>
          <cell r="C1422" t="str">
            <v>0100175202</v>
          </cell>
          <cell r="D1422" t="str">
            <v>560633C</v>
          </cell>
          <cell r="E1422">
            <v>4692</v>
          </cell>
          <cell r="F1422">
            <v>43493</v>
          </cell>
          <cell r="G1422" t="str">
            <v>12/11</v>
          </cell>
        </row>
        <row r="1423">
          <cell r="A1423" t="str">
            <v>Y1902-0187</v>
          </cell>
          <cell r="B1423">
            <v>201810</v>
          </cell>
          <cell r="C1423" t="str">
            <v>0100175229</v>
          </cell>
          <cell r="D1423" t="str">
            <v>158369C</v>
          </cell>
          <cell r="E1423">
            <v>372</v>
          </cell>
          <cell r="F1423">
            <v>43486</v>
          </cell>
          <cell r="G1423" t="str">
            <v>12/11</v>
          </cell>
        </row>
        <row r="1424">
          <cell r="A1424" t="str">
            <v>Y1902-0197</v>
          </cell>
          <cell r="B1424">
            <v>201810</v>
          </cell>
          <cell r="C1424" t="str">
            <v>0100175239</v>
          </cell>
          <cell r="D1424" t="str">
            <v>158371C</v>
          </cell>
          <cell r="E1424">
            <v>1176</v>
          </cell>
          <cell r="F1424">
            <v>43486</v>
          </cell>
          <cell r="G1424" t="str">
            <v>12/11</v>
          </cell>
        </row>
        <row r="1425">
          <cell r="A1425" t="str">
            <v>Y1902-0212</v>
          </cell>
          <cell r="B1425">
            <v>201810</v>
          </cell>
          <cell r="C1425" t="str">
            <v>0100175258</v>
          </cell>
          <cell r="D1425" t="str">
            <v>1J794C</v>
          </cell>
          <cell r="E1425">
            <v>204</v>
          </cell>
          <cell r="F1425">
            <v>43474</v>
          </cell>
          <cell r="G1425" t="str">
            <v>CFM</v>
          </cell>
        </row>
        <row r="1426">
          <cell r="A1426" t="str">
            <v>Y1901-0234</v>
          </cell>
          <cell r="B1426">
            <v>201810</v>
          </cell>
          <cell r="C1426" t="str">
            <v>0100175356</v>
          </cell>
          <cell r="D1426" t="str">
            <v>565548C</v>
          </cell>
          <cell r="E1426">
            <v>91</v>
          </cell>
          <cell r="F1426">
            <v>43481</v>
          </cell>
          <cell r="G1426" t="str">
            <v>CFM</v>
          </cell>
        </row>
        <row r="1427">
          <cell r="A1427" t="str">
            <v>Y1901-0235</v>
          </cell>
          <cell r="B1427">
            <v>201810</v>
          </cell>
          <cell r="C1427" t="str">
            <v>0100175357</v>
          </cell>
          <cell r="D1427" t="str">
            <v>764173C</v>
          </cell>
          <cell r="E1427">
            <v>120</v>
          </cell>
          <cell r="F1427">
            <v>43486</v>
          </cell>
          <cell r="G1427" t="str">
            <v>CFM</v>
          </cell>
        </row>
        <row r="1428">
          <cell r="A1428" t="str">
            <v>Y1901-0236</v>
          </cell>
          <cell r="B1428">
            <v>201810</v>
          </cell>
          <cell r="C1428" t="str">
            <v>0100175392</v>
          </cell>
          <cell r="D1428" t="str">
            <v>617663F</v>
          </cell>
          <cell r="E1428">
            <v>1116</v>
          </cell>
          <cell r="F1428">
            <v>43484</v>
          </cell>
          <cell r="G1428" t="str">
            <v>12/11</v>
          </cell>
        </row>
        <row r="1429">
          <cell r="A1429" t="str">
            <v>Y1901-0237</v>
          </cell>
          <cell r="B1429">
            <v>201810</v>
          </cell>
          <cell r="C1429" t="str">
            <v>0100175393</v>
          </cell>
          <cell r="D1429" t="str">
            <v>161599C</v>
          </cell>
          <cell r="E1429">
            <v>204</v>
          </cell>
          <cell r="F1429">
            <v>43490</v>
          </cell>
          <cell r="G1429" t="str">
            <v>12/11</v>
          </cell>
        </row>
        <row r="1430">
          <cell r="A1430" t="str">
            <v>Y1901-0238</v>
          </cell>
          <cell r="B1430">
            <v>201810</v>
          </cell>
          <cell r="C1430" t="str">
            <v>0100175394</v>
          </cell>
          <cell r="D1430" t="str">
            <v>162884C</v>
          </cell>
          <cell r="E1430">
            <v>468</v>
          </cell>
          <cell r="F1430">
            <v>43475</v>
          </cell>
          <cell r="G1430" t="str">
            <v>12/11</v>
          </cell>
        </row>
        <row r="1431">
          <cell r="A1431" t="str">
            <v>Y1901-0239</v>
          </cell>
          <cell r="B1431">
            <v>201810</v>
          </cell>
          <cell r="C1431" t="str">
            <v>0100175395</v>
          </cell>
          <cell r="D1431" t="str">
            <v>162580C</v>
          </cell>
          <cell r="E1431">
            <v>120</v>
          </cell>
          <cell r="F1431">
            <v>43490</v>
          </cell>
          <cell r="G1431" t="str">
            <v>12/11</v>
          </cell>
        </row>
        <row r="1432">
          <cell r="A1432" t="str">
            <v>Y1901-0240</v>
          </cell>
          <cell r="B1432">
            <v>201810</v>
          </cell>
          <cell r="C1432" t="str">
            <v>0100175396</v>
          </cell>
          <cell r="D1432" t="str">
            <v>164058C</v>
          </cell>
          <cell r="E1432">
            <v>1980</v>
          </cell>
          <cell r="F1432">
            <v>43475</v>
          </cell>
          <cell r="G1432" t="str">
            <v>12/11</v>
          </cell>
        </row>
        <row r="1433">
          <cell r="A1433" t="str">
            <v>Y1901-0241</v>
          </cell>
          <cell r="B1433">
            <v>201810</v>
          </cell>
          <cell r="C1433" t="str">
            <v>0100175398</v>
          </cell>
          <cell r="D1433" t="str">
            <v>3J237</v>
          </cell>
          <cell r="E1433">
            <v>1248</v>
          </cell>
          <cell r="F1433">
            <v>43490</v>
          </cell>
          <cell r="G1433" t="str">
            <v>12/11</v>
          </cell>
        </row>
        <row r="1434">
          <cell r="A1434" t="str">
            <v>Y1901-0242</v>
          </cell>
          <cell r="B1434">
            <v>201810</v>
          </cell>
          <cell r="C1434" t="str">
            <v>0100175399</v>
          </cell>
          <cell r="D1434">
            <v>88871</v>
          </cell>
          <cell r="E1434">
            <v>1860</v>
          </cell>
          <cell r="F1434">
            <v>43486</v>
          </cell>
          <cell r="G1434" t="str">
            <v>12/11</v>
          </cell>
        </row>
        <row r="1435">
          <cell r="A1435" t="str">
            <v>Y1901-0243</v>
          </cell>
          <cell r="B1435">
            <v>201810</v>
          </cell>
          <cell r="C1435" t="str">
            <v>0100175400</v>
          </cell>
          <cell r="D1435" t="str">
            <v>3J253</v>
          </cell>
          <cell r="E1435">
            <v>1932</v>
          </cell>
          <cell r="F1435">
            <v>43486</v>
          </cell>
          <cell r="G1435" t="str">
            <v>12/11</v>
          </cell>
        </row>
        <row r="1436">
          <cell r="A1436" t="str">
            <v>Y1901-0244</v>
          </cell>
          <cell r="B1436">
            <v>201810</v>
          </cell>
          <cell r="C1436" t="str">
            <v>0100175401</v>
          </cell>
          <cell r="D1436" t="str">
            <v>3J256</v>
          </cell>
          <cell r="E1436">
            <v>1812</v>
          </cell>
          <cell r="F1436">
            <v>43472</v>
          </cell>
          <cell r="G1436" t="str">
            <v>12/11</v>
          </cell>
        </row>
        <row r="1437">
          <cell r="A1437" t="str">
            <v>Y1901-0245</v>
          </cell>
          <cell r="B1437">
            <v>201810</v>
          </cell>
          <cell r="C1437" t="str">
            <v>0100175402</v>
          </cell>
          <cell r="D1437" t="str">
            <v>3J256</v>
          </cell>
          <cell r="E1437">
            <v>948</v>
          </cell>
          <cell r="F1437">
            <v>43477</v>
          </cell>
          <cell r="G1437" t="str">
            <v>12/11</v>
          </cell>
        </row>
        <row r="1438">
          <cell r="A1438" t="str">
            <v>Y1901-0246</v>
          </cell>
          <cell r="B1438">
            <v>201810</v>
          </cell>
          <cell r="C1438" t="str">
            <v>0100175405</v>
          </cell>
          <cell r="D1438" t="str">
            <v>159484F</v>
          </cell>
          <cell r="E1438">
            <v>990</v>
          </cell>
          <cell r="F1438">
            <v>43490</v>
          </cell>
          <cell r="G1438" t="str">
            <v>12/11</v>
          </cell>
        </row>
        <row r="1439">
          <cell r="A1439" t="str">
            <v>Y1901-0247</v>
          </cell>
          <cell r="B1439">
            <v>201810</v>
          </cell>
          <cell r="C1439" t="str">
            <v>0100175406</v>
          </cell>
          <cell r="D1439" t="str">
            <v>163269C</v>
          </cell>
          <cell r="E1439">
            <v>300</v>
          </cell>
          <cell r="F1439">
            <v>43490</v>
          </cell>
          <cell r="G1439" t="str">
            <v>12/11</v>
          </cell>
        </row>
        <row r="1440">
          <cell r="A1440" t="str">
            <v>Y1901-0248</v>
          </cell>
          <cell r="B1440">
            <v>201810</v>
          </cell>
          <cell r="C1440" t="str">
            <v>0100175407</v>
          </cell>
          <cell r="D1440" t="str">
            <v>158371C</v>
          </cell>
          <cell r="E1440">
            <v>144</v>
          </cell>
          <cell r="F1440">
            <v>43490</v>
          </cell>
          <cell r="G1440" t="str">
            <v>12/11</v>
          </cell>
        </row>
        <row r="1441">
          <cell r="A1441" t="str">
            <v>Y1901-0249</v>
          </cell>
          <cell r="B1441">
            <v>201810</v>
          </cell>
          <cell r="C1441" t="str">
            <v>0100175408</v>
          </cell>
          <cell r="D1441" t="str">
            <v>163380C</v>
          </cell>
          <cell r="E1441">
            <v>1020</v>
          </cell>
          <cell r="F1441">
            <v>43490</v>
          </cell>
          <cell r="G1441" t="str">
            <v>12/11</v>
          </cell>
        </row>
        <row r="1442">
          <cell r="A1442" t="str">
            <v>Y1901-0250</v>
          </cell>
          <cell r="B1442">
            <v>201810</v>
          </cell>
          <cell r="C1442" t="str">
            <v>0100175409</v>
          </cell>
          <cell r="D1442" t="str">
            <v>663605C</v>
          </cell>
          <cell r="E1442">
            <v>828</v>
          </cell>
          <cell r="F1442">
            <v>43475</v>
          </cell>
          <cell r="G1442" t="str">
            <v>CFM</v>
          </cell>
        </row>
        <row r="1443">
          <cell r="A1443" t="str">
            <v>Y1901-0251</v>
          </cell>
          <cell r="B1443">
            <v>201810</v>
          </cell>
          <cell r="C1443" t="str">
            <v>0100175410</v>
          </cell>
          <cell r="D1443" t="str">
            <v>663605C</v>
          </cell>
          <cell r="E1443">
            <v>624</v>
          </cell>
          <cell r="F1443">
            <v>43490</v>
          </cell>
          <cell r="G1443" t="str">
            <v>CFM</v>
          </cell>
        </row>
        <row r="1444">
          <cell r="A1444" t="str">
            <v>Y1901-0252</v>
          </cell>
          <cell r="B1444">
            <v>201810</v>
          </cell>
          <cell r="C1444" t="str">
            <v>0100175412</v>
          </cell>
          <cell r="D1444" t="str">
            <v>663608C</v>
          </cell>
          <cell r="E1444">
            <v>1512</v>
          </cell>
          <cell r="F1444">
            <v>43475</v>
          </cell>
          <cell r="G1444" t="str">
            <v>CFM</v>
          </cell>
        </row>
        <row r="1445">
          <cell r="A1445" t="str">
            <v>Y1901-0253</v>
          </cell>
          <cell r="B1445">
            <v>201810</v>
          </cell>
          <cell r="C1445" t="str">
            <v>0100175413</v>
          </cell>
          <cell r="D1445" t="str">
            <v>663608C</v>
          </cell>
          <cell r="E1445">
            <v>732</v>
          </cell>
          <cell r="F1445">
            <v>43490</v>
          </cell>
          <cell r="G1445" t="str">
            <v>CFM</v>
          </cell>
        </row>
        <row r="1446">
          <cell r="A1446" t="str">
            <v>Y1901-0254</v>
          </cell>
          <cell r="B1446">
            <v>201810</v>
          </cell>
          <cell r="C1446" t="str">
            <v>0100175415</v>
          </cell>
          <cell r="D1446" t="str">
            <v>W9160</v>
          </cell>
          <cell r="E1446">
            <v>2736</v>
          </cell>
          <cell r="F1446">
            <v>43490</v>
          </cell>
          <cell r="G1446" t="str">
            <v>12/11</v>
          </cell>
        </row>
        <row r="1447">
          <cell r="A1447" t="str">
            <v>Y1901-0255</v>
          </cell>
          <cell r="B1447">
            <v>201810</v>
          </cell>
          <cell r="C1447" t="str">
            <v>0100175416</v>
          </cell>
          <cell r="D1447" t="str">
            <v>W9160</v>
          </cell>
          <cell r="E1447">
            <v>420</v>
          </cell>
          <cell r="F1447">
            <v>43490</v>
          </cell>
          <cell r="G1447" t="str">
            <v>12/11</v>
          </cell>
        </row>
        <row r="1448">
          <cell r="A1448" t="str">
            <v>Y1901-0256</v>
          </cell>
          <cell r="B1448">
            <v>201810</v>
          </cell>
          <cell r="C1448" t="str">
            <v>0100175417</v>
          </cell>
          <cell r="D1448" t="str">
            <v>W9166</v>
          </cell>
          <cell r="E1448">
            <v>6732</v>
          </cell>
          <cell r="F1448">
            <v>43490</v>
          </cell>
          <cell r="G1448" t="str">
            <v>12/11</v>
          </cell>
        </row>
        <row r="1449">
          <cell r="A1449" t="str">
            <v>Y1901-0257</v>
          </cell>
          <cell r="B1449">
            <v>201810</v>
          </cell>
          <cell r="C1449" t="str">
            <v>0100175418</v>
          </cell>
          <cell r="D1449" t="str">
            <v>W9166</v>
          </cell>
          <cell r="E1449">
            <v>3480</v>
          </cell>
          <cell r="F1449">
            <v>43490</v>
          </cell>
          <cell r="G1449" t="str">
            <v>12/11</v>
          </cell>
        </row>
        <row r="1450">
          <cell r="A1450" t="str">
            <v>Y1901-0258</v>
          </cell>
          <cell r="B1450">
            <v>201810</v>
          </cell>
          <cell r="C1450" t="str">
            <v>0100175419</v>
          </cell>
          <cell r="D1450" t="str">
            <v>164058C</v>
          </cell>
          <cell r="E1450">
            <v>1116</v>
          </cell>
          <cell r="F1450">
            <v>43490</v>
          </cell>
          <cell r="G1450" t="str">
            <v>12/11</v>
          </cell>
        </row>
        <row r="1451">
          <cell r="A1451" t="str">
            <v>Y1901-0259</v>
          </cell>
          <cell r="B1451">
            <v>201810</v>
          </cell>
          <cell r="C1451" t="str">
            <v>0100175420</v>
          </cell>
          <cell r="D1451" t="str">
            <v>164059C</v>
          </cell>
          <cell r="E1451">
            <v>804</v>
          </cell>
          <cell r="F1451">
            <v>43475</v>
          </cell>
          <cell r="G1451" t="str">
            <v>12/11</v>
          </cell>
        </row>
        <row r="1452">
          <cell r="A1452" t="str">
            <v>Y1901-0260</v>
          </cell>
          <cell r="B1452">
            <v>201810</v>
          </cell>
          <cell r="C1452" t="str">
            <v>0100175421</v>
          </cell>
          <cell r="D1452" t="str">
            <v>764437C</v>
          </cell>
          <cell r="E1452">
            <v>168</v>
          </cell>
          <cell r="F1452">
            <v>43490</v>
          </cell>
          <cell r="G1452" t="str">
            <v>12/11</v>
          </cell>
        </row>
        <row r="1453">
          <cell r="A1453" t="str">
            <v>Y1901-0261</v>
          </cell>
          <cell r="B1453">
            <v>201810</v>
          </cell>
          <cell r="C1453" t="str">
            <v>0100175422</v>
          </cell>
          <cell r="D1453" t="str">
            <v>764438C</v>
          </cell>
          <cell r="E1453">
            <v>168</v>
          </cell>
          <cell r="F1453">
            <v>43490</v>
          </cell>
          <cell r="G1453" t="str">
            <v>12/11</v>
          </cell>
        </row>
        <row r="1454">
          <cell r="A1454" t="str">
            <v>Y1901-0262</v>
          </cell>
          <cell r="B1454">
            <v>201810</v>
          </cell>
          <cell r="C1454" t="str">
            <v>0100175423</v>
          </cell>
          <cell r="D1454" t="str">
            <v>764439C</v>
          </cell>
          <cell r="E1454">
            <v>168</v>
          </cell>
          <cell r="F1454">
            <v>43490</v>
          </cell>
          <cell r="G1454" t="str">
            <v>12/11</v>
          </cell>
        </row>
        <row r="1455">
          <cell r="A1455" t="str">
            <v>Y1901-0263</v>
          </cell>
          <cell r="B1455">
            <v>201810</v>
          </cell>
          <cell r="C1455" t="str">
            <v>0100175424</v>
          </cell>
          <cell r="D1455" t="str">
            <v>164060C</v>
          </cell>
          <cell r="E1455">
            <v>720</v>
          </cell>
          <cell r="F1455">
            <v>43490</v>
          </cell>
          <cell r="G1455" t="str">
            <v>12/11</v>
          </cell>
        </row>
        <row r="1456">
          <cell r="A1456" t="str">
            <v>Y1901-0264</v>
          </cell>
          <cell r="B1456">
            <v>201810</v>
          </cell>
          <cell r="C1456" t="str">
            <v>0100175425</v>
          </cell>
          <cell r="D1456" t="str">
            <v>660747C</v>
          </cell>
          <cell r="E1456">
            <v>4044</v>
          </cell>
          <cell r="F1456">
            <v>43490</v>
          </cell>
          <cell r="G1456" t="str">
            <v>12/11</v>
          </cell>
        </row>
        <row r="1457">
          <cell r="A1457" t="str">
            <v>Y1901-0265</v>
          </cell>
          <cell r="B1457">
            <v>201810</v>
          </cell>
          <cell r="C1457" t="str">
            <v>0100175427</v>
          </cell>
          <cell r="D1457" t="str">
            <v>3J234</v>
          </cell>
          <cell r="E1457">
            <v>456</v>
          </cell>
          <cell r="F1457">
            <v>43490</v>
          </cell>
          <cell r="G1457" t="str">
            <v>12/11</v>
          </cell>
        </row>
        <row r="1458">
          <cell r="A1458" t="str">
            <v>Y1901-0266</v>
          </cell>
          <cell r="B1458">
            <v>201810</v>
          </cell>
          <cell r="C1458" t="str">
            <v>0100175428</v>
          </cell>
          <cell r="D1458" t="str">
            <v>3J234</v>
          </cell>
          <cell r="E1458">
            <v>1308</v>
          </cell>
          <cell r="F1458">
            <v>43490</v>
          </cell>
          <cell r="G1458" t="str">
            <v>12/11</v>
          </cell>
        </row>
        <row r="1459">
          <cell r="A1459" t="str">
            <v>Y1901-0267</v>
          </cell>
          <cell r="B1459">
            <v>201810</v>
          </cell>
          <cell r="C1459" t="str">
            <v>0100175429</v>
          </cell>
          <cell r="D1459" t="str">
            <v>760971C</v>
          </cell>
          <cell r="E1459">
            <v>4020</v>
          </cell>
          <cell r="F1459">
            <v>43490</v>
          </cell>
          <cell r="G1459" t="str">
            <v>12/18</v>
          </cell>
        </row>
        <row r="1460">
          <cell r="A1460" t="str">
            <v>Y1901-0268</v>
          </cell>
          <cell r="B1460">
            <v>201810</v>
          </cell>
          <cell r="C1460" t="str">
            <v>0100175430</v>
          </cell>
          <cell r="D1460" t="str">
            <v>164101C</v>
          </cell>
          <cell r="E1460">
            <v>360</v>
          </cell>
          <cell r="F1460">
            <v>43492</v>
          </cell>
          <cell r="G1460" t="str">
            <v>12/11</v>
          </cell>
        </row>
        <row r="1461">
          <cell r="A1461" t="str">
            <v>Y1901-0269</v>
          </cell>
          <cell r="B1461">
            <v>201810</v>
          </cell>
          <cell r="C1461" t="str">
            <v>0100175431</v>
          </cell>
          <cell r="D1461" t="str">
            <v>164101C</v>
          </cell>
          <cell r="E1461">
            <v>660</v>
          </cell>
          <cell r="F1461">
            <v>43492</v>
          </cell>
          <cell r="G1461" t="str">
            <v>12/11</v>
          </cell>
        </row>
        <row r="1462">
          <cell r="A1462" t="str">
            <v>Y1901-0270</v>
          </cell>
          <cell r="B1462">
            <v>201810</v>
          </cell>
          <cell r="C1462" t="str">
            <v>0100175432</v>
          </cell>
          <cell r="D1462" t="str">
            <v>164103C</v>
          </cell>
          <cell r="E1462">
            <v>1134</v>
          </cell>
          <cell r="F1462">
            <v>43492</v>
          </cell>
          <cell r="G1462" t="str">
            <v>12/11</v>
          </cell>
        </row>
        <row r="1463">
          <cell r="A1463" t="str">
            <v>Y1901-0271</v>
          </cell>
          <cell r="B1463">
            <v>201810</v>
          </cell>
          <cell r="C1463" t="str">
            <v>0100175433</v>
          </cell>
          <cell r="D1463" t="str">
            <v>660971C</v>
          </cell>
          <cell r="E1463">
            <v>4416</v>
          </cell>
          <cell r="F1463">
            <v>43490</v>
          </cell>
          <cell r="G1463" t="str">
            <v>12/18</v>
          </cell>
        </row>
        <row r="1464">
          <cell r="A1464" t="str">
            <v>Y1901-0272</v>
          </cell>
          <cell r="B1464">
            <v>201810</v>
          </cell>
          <cell r="C1464" t="str">
            <v>0100175434</v>
          </cell>
          <cell r="D1464" t="str">
            <v>564204C</v>
          </cell>
          <cell r="E1464">
            <v>336</v>
          </cell>
          <cell r="F1464">
            <v>43490</v>
          </cell>
          <cell r="G1464" t="str">
            <v>12/11</v>
          </cell>
        </row>
        <row r="1465">
          <cell r="A1465" t="str">
            <v>Y1901-0273</v>
          </cell>
          <cell r="B1465">
            <v>201810</v>
          </cell>
          <cell r="C1465" t="str">
            <v>0100175435</v>
          </cell>
          <cell r="D1465" t="str">
            <v>564205C</v>
          </cell>
          <cell r="E1465">
            <v>576</v>
          </cell>
          <cell r="F1465">
            <v>43490</v>
          </cell>
          <cell r="G1465" t="str">
            <v>12/11</v>
          </cell>
        </row>
        <row r="1466">
          <cell r="A1466" t="str">
            <v>Y1901-0274</v>
          </cell>
          <cell r="B1466">
            <v>201810</v>
          </cell>
          <cell r="C1466" t="str">
            <v>0100175436</v>
          </cell>
          <cell r="D1466" t="str">
            <v>564206C</v>
          </cell>
          <cell r="E1466">
            <v>900</v>
          </cell>
          <cell r="F1466">
            <v>43483</v>
          </cell>
          <cell r="G1466" t="str">
            <v>12/11</v>
          </cell>
        </row>
        <row r="1467">
          <cell r="A1467" t="str">
            <v>Y1901-0275</v>
          </cell>
          <cell r="B1467">
            <v>201810</v>
          </cell>
          <cell r="C1467" t="str">
            <v>0100175437</v>
          </cell>
          <cell r="D1467" t="str">
            <v>564207C</v>
          </cell>
          <cell r="E1467">
            <v>336</v>
          </cell>
          <cell r="F1467">
            <v>43490</v>
          </cell>
          <cell r="G1467" t="str">
            <v>12/11</v>
          </cell>
        </row>
        <row r="1468">
          <cell r="A1468" t="str">
            <v>Y1901-0276</v>
          </cell>
          <cell r="B1468">
            <v>201810</v>
          </cell>
          <cell r="C1468" t="str">
            <v>0100175438</v>
          </cell>
          <cell r="D1468" t="str">
            <v>7J234</v>
          </cell>
          <cell r="E1468">
            <v>612</v>
          </cell>
          <cell r="F1468">
            <v>43490</v>
          </cell>
          <cell r="G1468" t="str">
            <v>12/11</v>
          </cell>
        </row>
        <row r="1469">
          <cell r="A1469" t="str">
            <v>Y1901-0277</v>
          </cell>
          <cell r="B1469">
            <v>201810</v>
          </cell>
          <cell r="C1469" t="str">
            <v>0100175439</v>
          </cell>
          <cell r="D1469" t="str">
            <v>7J234</v>
          </cell>
          <cell r="E1469">
            <v>972</v>
          </cell>
          <cell r="F1469">
            <v>43490</v>
          </cell>
          <cell r="G1469" t="str">
            <v>12/11</v>
          </cell>
        </row>
        <row r="1470">
          <cell r="A1470" t="str">
            <v>Y1901-0278</v>
          </cell>
          <cell r="B1470">
            <v>201810</v>
          </cell>
          <cell r="C1470" t="str">
            <v>0100175440</v>
          </cell>
          <cell r="D1470" t="str">
            <v>664184F</v>
          </cell>
          <cell r="E1470">
            <v>276</v>
          </cell>
          <cell r="F1470">
            <v>43490</v>
          </cell>
          <cell r="G1470" t="str">
            <v>12/11</v>
          </cell>
        </row>
        <row r="1471">
          <cell r="A1471" t="str">
            <v>Y1901-0279</v>
          </cell>
          <cell r="B1471">
            <v>201810</v>
          </cell>
          <cell r="C1471" t="str">
            <v>0100175441</v>
          </cell>
          <cell r="D1471" t="str">
            <v>164217C</v>
          </cell>
          <cell r="E1471">
            <v>216</v>
          </cell>
          <cell r="F1471">
            <v>43490</v>
          </cell>
          <cell r="G1471" t="str">
            <v>12/18</v>
          </cell>
        </row>
        <row r="1472">
          <cell r="A1472" t="str">
            <v>Y1901-0280</v>
          </cell>
          <cell r="B1472">
            <v>201810</v>
          </cell>
          <cell r="C1472" t="str">
            <v>0100175442</v>
          </cell>
          <cell r="D1472" t="str">
            <v>164218C</v>
          </cell>
          <cell r="E1472">
            <v>216</v>
          </cell>
          <cell r="F1472">
            <v>43490</v>
          </cell>
          <cell r="G1472" t="str">
            <v>12/18</v>
          </cell>
        </row>
        <row r="1473">
          <cell r="A1473" t="str">
            <v>Y1901-0281</v>
          </cell>
          <cell r="B1473">
            <v>201810</v>
          </cell>
          <cell r="C1473" t="str">
            <v>0100175443</v>
          </cell>
          <cell r="D1473" t="str">
            <v>164219C</v>
          </cell>
          <cell r="E1473">
            <v>216</v>
          </cell>
          <cell r="F1473">
            <v>43490</v>
          </cell>
          <cell r="G1473" t="str">
            <v>12/18</v>
          </cell>
        </row>
        <row r="1474">
          <cell r="A1474" t="str">
            <v>Y1901-0282</v>
          </cell>
          <cell r="B1474">
            <v>201810</v>
          </cell>
          <cell r="C1474" t="str">
            <v>0100175444</v>
          </cell>
          <cell r="D1474" t="str">
            <v>164220C</v>
          </cell>
          <cell r="E1474">
            <v>216</v>
          </cell>
          <cell r="F1474">
            <v>43490</v>
          </cell>
          <cell r="G1474" t="str">
            <v>12/18</v>
          </cell>
        </row>
        <row r="1475">
          <cell r="A1475" t="str">
            <v>Y1901-0283</v>
          </cell>
          <cell r="B1475">
            <v>201810</v>
          </cell>
          <cell r="C1475" t="str">
            <v>0100175445</v>
          </cell>
          <cell r="D1475" t="str">
            <v>664434C</v>
          </cell>
          <cell r="E1475">
            <v>168</v>
          </cell>
          <cell r="F1475">
            <v>43490</v>
          </cell>
          <cell r="G1475" t="str">
            <v>12/11</v>
          </cell>
        </row>
        <row r="1476">
          <cell r="A1476" t="str">
            <v>Y1901-0284</v>
          </cell>
          <cell r="B1476">
            <v>201810</v>
          </cell>
          <cell r="C1476" t="str">
            <v>0100175446</v>
          </cell>
          <cell r="D1476" t="str">
            <v>664436C</v>
          </cell>
          <cell r="E1476">
            <v>168</v>
          </cell>
          <cell r="F1476">
            <v>43490</v>
          </cell>
          <cell r="G1476" t="str">
            <v>12/11</v>
          </cell>
        </row>
        <row r="1477">
          <cell r="A1477" t="str">
            <v>Y1901-0285</v>
          </cell>
          <cell r="B1477">
            <v>201810</v>
          </cell>
          <cell r="C1477" t="str">
            <v>0100175447</v>
          </cell>
          <cell r="D1477" t="str">
            <v>3J237</v>
          </cell>
          <cell r="E1477">
            <v>1920</v>
          </cell>
          <cell r="F1477">
            <v>43490</v>
          </cell>
          <cell r="G1477" t="str">
            <v>12/11</v>
          </cell>
        </row>
        <row r="1478">
          <cell r="A1478" t="str">
            <v>Y1901-0286</v>
          </cell>
          <cell r="B1478">
            <v>201810</v>
          </cell>
          <cell r="C1478" t="str">
            <v>0100175448</v>
          </cell>
          <cell r="D1478" t="str">
            <v>3J238</v>
          </cell>
          <cell r="E1478">
            <v>1572</v>
          </cell>
          <cell r="F1478">
            <v>43490</v>
          </cell>
          <cell r="G1478" t="str">
            <v>12/11</v>
          </cell>
        </row>
        <row r="1479">
          <cell r="A1479" t="str">
            <v>Y1901-0287</v>
          </cell>
          <cell r="B1479">
            <v>201810</v>
          </cell>
          <cell r="C1479" t="str">
            <v>0100175449</v>
          </cell>
          <cell r="D1479" t="str">
            <v>3J238</v>
          </cell>
          <cell r="E1479">
            <v>1620</v>
          </cell>
          <cell r="F1479">
            <v>43490</v>
          </cell>
          <cell r="G1479" t="str">
            <v>12/11</v>
          </cell>
        </row>
        <row r="1480">
          <cell r="A1480" t="str">
            <v>Y1901-0288</v>
          </cell>
          <cell r="B1480">
            <v>201810</v>
          </cell>
          <cell r="C1480" t="str">
            <v>0100175450</v>
          </cell>
          <cell r="D1480" t="str">
            <v>164358C</v>
          </cell>
          <cell r="E1480">
            <v>1326</v>
          </cell>
          <cell r="F1480">
            <v>43483</v>
          </cell>
          <cell r="G1480" t="str">
            <v>12/11</v>
          </cell>
        </row>
        <row r="1481">
          <cell r="A1481" t="str">
            <v>Y1901-0289</v>
          </cell>
          <cell r="B1481">
            <v>201810</v>
          </cell>
          <cell r="C1481" t="str">
            <v>0100175451</v>
          </cell>
          <cell r="D1481" t="str">
            <v>164359C</v>
          </cell>
          <cell r="E1481">
            <v>960</v>
          </cell>
          <cell r="F1481">
            <v>43490</v>
          </cell>
          <cell r="G1481" t="str">
            <v>12/11</v>
          </cell>
        </row>
        <row r="1482">
          <cell r="A1482" t="str">
            <v>Y1901-0290</v>
          </cell>
          <cell r="B1482">
            <v>201810</v>
          </cell>
          <cell r="C1482" t="str">
            <v>0100175452</v>
          </cell>
          <cell r="D1482" t="str">
            <v>164360C</v>
          </cell>
          <cell r="E1482">
            <v>1734</v>
          </cell>
          <cell r="F1482">
            <v>43483</v>
          </cell>
          <cell r="G1482" t="str">
            <v>12/11</v>
          </cell>
        </row>
        <row r="1483">
          <cell r="A1483" t="str">
            <v>Y1901-0291</v>
          </cell>
          <cell r="B1483">
            <v>201810</v>
          </cell>
          <cell r="C1483" t="str">
            <v>0100175453</v>
          </cell>
          <cell r="D1483" t="str">
            <v>164361C</v>
          </cell>
          <cell r="E1483">
            <v>1026</v>
          </cell>
          <cell r="F1483">
            <v>43490</v>
          </cell>
          <cell r="G1483" t="str">
            <v>12/11</v>
          </cell>
        </row>
        <row r="1484">
          <cell r="A1484" t="str">
            <v>Y1901-0292</v>
          </cell>
          <cell r="B1484">
            <v>201810</v>
          </cell>
          <cell r="C1484" t="str">
            <v>0100175454</v>
          </cell>
          <cell r="D1484" t="str">
            <v>164362C</v>
          </cell>
          <cell r="E1484">
            <v>1374</v>
          </cell>
          <cell r="F1484">
            <v>43483</v>
          </cell>
          <cell r="G1484" t="str">
            <v>12/11</v>
          </cell>
        </row>
        <row r="1485">
          <cell r="A1485" t="str">
            <v>Y1901-0293</v>
          </cell>
          <cell r="B1485">
            <v>201810</v>
          </cell>
          <cell r="C1485" t="str">
            <v>0100175455</v>
          </cell>
          <cell r="D1485" t="str">
            <v>164363C</v>
          </cell>
          <cell r="E1485">
            <v>216</v>
          </cell>
          <cell r="F1485">
            <v>43490</v>
          </cell>
          <cell r="G1485" t="str">
            <v>12/11</v>
          </cell>
        </row>
        <row r="1486">
          <cell r="A1486" t="str">
            <v>Y1901-0294</v>
          </cell>
          <cell r="B1486">
            <v>201810</v>
          </cell>
          <cell r="C1486" t="str">
            <v>0100175456</v>
          </cell>
          <cell r="D1486" t="str">
            <v>164390C</v>
          </cell>
          <cell r="E1486">
            <v>216</v>
          </cell>
          <cell r="F1486">
            <v>43490</v>
          </cell>
          <cell r="G1486" t="str">
            <v>12/11</v>
          </cell>
        </row>
        <row r="1487">
          <cell r="A1487" t="str">
            <v>Y1901-0295</v>
          </cell>
          <cell r="B1487">
            <v>201810</v>
          </cell>
          <cell r="C1487" t="str">
            <v>0100175457</v>
          </cell>
          <cell r="D1487" t="str">
            <v>617660F</v>
          </cell>
          <cell r="E1487">
            <v>1116</v>
          </cell>
          <cell r="F1487">
            <v>43482</v>
          </cell>
          <cell r="G1487" t="str">
            <v>12/11</v>
          </cell>
        </row>
        <row r="1488">
          <cell r="A1488" t="str">
            <v>Y1901-0296</v>
          </cell>
          <cell r="B1488">
            <v>201810</v>
          </cell>
          <cell r="C1488" t="str">
            <v>0100175458</v>
          </cell>
          <cell r="D1488" t="str">
            <v>617660F</v>
          </cell>
          <cell r="E1488">
            <v>468</v>
          </cell>
          <cell r="F1488">
            <v>43490</v>
          </cell>
          <cell r="G1488" t="str">
            <v>12/11</v>
          </cell>
        </row>
        <row r="1489">
          <cell r="A1489" t="str">
            <v>Y1901-0297</v>
          </cell>
          <cell r="B1489">
            <v>201810</v>
          </cell>
          <cell r="C1489" t="str">
            <v>0100175460</v>
          </cell>
          <cell r="D1489" t="str">
            <v>164392C</v>
          </cell>
          <cell r="E1489">
            <v>450</v>
          </cell>
          <cell r="F1489">
            <v>43486</v>
          </cell>
          <cell r="G1489" t="str">
            <v>12/11</v>
          </cell>
        </row>
        <row r="1490">
          <cell r="A1490" t="str">
            <v>Y1901-0298</v>
          </cell>
          <cell r="B1490">
            <v>201810</v>
          </cell>
          <cell r="C1490" t="str">
            <v>0100175461</v>
          </cell>
          <cell r="D1490" t="str">
            <v>164392C</v>
          </cell>
          <cell r="E1490">
            <v>396</v>
          </cell>
          <cell r="F1490">
            <v>43490</v>
          </cell>
          <cell r="G1490" t="str">
            <v>12/11</v>
          </cell>
        </row>
        <row r="1491">
          <cell r="A1491" t="str">
            <v>Y1901-0299</v>
          </cell>
          <cell r="B1491">
            <v>201810</v>
          </cell>
          <cell r="C1491" t="str">
            <v>0100175462</v>
          </cell>
          <cell r="D1491" t="str">
            <v>617663F</v>
          </cell>
          <cell r="E1491">
            <v>588</v>
          </cell>
          <cell r="F1491">
            <v>43490</v>
          </cell>
          <cell r="G1491" t="str">
            <v>12/11</v>
          </cell>
        </row>
        <row r="1492">
          <cell r="A1492" t="str">
            <v>Y1901-0300</v>
          </cell>
          <cell r="B1492">
            <v>201810</v>
          </cell>
          <cell r="C1492" t="str">
            <v>0100175464</v>
          </cell>
          <cell r="D1492" t="str">
            <v>164393C</v>
          </cell>
          <cell r="E1492">
            <v>288</v>
          </cell>
          <cell r="F1492">
            <v>43475</v>
          </cell>
          <cell r="G1492" t="str">
            <v>12/11</v>
          </cell>
        </row>
        <row r="1493">
          <cell r="A1493" t="str">
            <v>Y1901-0301</v>
          </cell>
          <cell r="B1493">
            <v>201810</v>
          </cell>
          <cell r="C1493" t="str">
            <v>0100175465</v>
          </cell>
          <cell r="D1493" t="str">
            <v>164393C</v>
          </cell>
          <cell r="E1493">
            <v>402</v>
          </cell>
          <cell r="F1493">
            <v>43490</v>
          </cell>
          <cell r="G1493" t="str">
            <v>12/11</v>
          </cell>
        </row>
        <row r="1494">
          <cell r="A1494" t="str">
            <v>Y1901-0302</v>
          </cell>
          <cell r="B1494">
            <v>201810</v>
          </cell>
          <cell r="C1494" t="str">
            <v>0100175466</v>
          </cell>
          <cell r="D1494" t="str">
            <v>3J256</v>
          </cell>
          <cell r="E1494">
            <v>12660</v>
          </cell>
          <cell r="F1494">
            <v>43484</v>
          </cell>
          <cell r="G1494" t="str">
            <v>12/11</v>
          </cell>
        </row>
        <row r="1495">
          <cell r="A1495" t="str">
            <v>Y1901-0303</v>
          </cell>
          <cell r="B1495">
            <v>201810</v>
          </cell>
          <cell r="C1495" t="str">
            <v>0100175467</v>
          </cell>
          <cell r="D1495" t="str">
            <v>7J253</v>
          </cell>
          <cell r="E1495">
            <v>1344</v>
          </cell>
          <cell r="F1495">
            <v>43490</v>
          </cell>
          <cell r="G1495" t="str">
            <v>12/11</v>
          </cell>
        </row>
        <row r="1496">
          <cell r="A1496" t="str">
            <v>Y1901-0304</v>
          </cell>
          <cell r="B1496">
            <v>201810</v>
          </cell>
          <cell r="C1496" t="str">
            <v>0100175468</v>
          </cell>
          <cell r="D1496" t="str">
            <v>7J256</v>
          </cell>
          <cell r="E1496">
            <v>3900</v>
          </cell>
          <cell r="F1496">
            <v>43490</v>
          </cell>
          <cell r="G1496" t="str">
            <v>12/11</v>
          </cell>
        </row>
        <row r="1497">
          <cell r="A1497" t="str">
            <v>Y1901-0305</v>
          </cell>
          <cell r="B1497">
            <v>201810</v>
          </cell>
          <cell r="C1497" t="str">
            <v>0100175469</v>
          </cell>
          <cell r="D1497" t="str">
            <v>7J256</v>
          </cell>
          <cell r="E1497">
            <v>4140</v>
          </cell>
          <cell r="F1497">
            <v>43490</v>
          </cell>
          <cell r="G1497" t="str">
            <v>12/11</v>
          </cell>
        </row>
        <row r="1498">
          <cell r="A1498" t="str">
            <v>Y1901-0306</v>
          </cell>
          <cell r="B1498">
            <v>201810</v>
          </cell>
          <cell r="C1498" t="str">
            <v>0100175470</v>
          </cell>
          <cell r="D1498">
            <v>81229</v>
          </cell>
          <cell r="E1498">
            <v>1740</v>
          </cell>
          <cell r="F1498">
            <v>43490</v>
          </cell>
          <cell r="G1498" t="str">
            <v>12/11</v>
          </cell>
        </row>
        <row r="1499">
          <cell r="A1499" t="str">
            <v>Y1901-0307</v>
          </cell>
          <cell r="B1499">
            <v>201810</v>
          </cell>
          <cell r="C1499" t="str">
            <v>0100175471</v>
          </cell>
          <cell r="D1499">
            <v>81229</v>
          </cell>
          <cell r="E1499">
            <v>1308</v>
          </cell>
          <cell r="F1499">
            <v>43490</v>
          </cell>
          <cell r="G1499" t="str">
            <v>12/11</v>
          </cell>
        </row>
        <row r="1500">
          <cell r="A1500" t="str">
            <v>Y1901-0308</v>
          </cell>
          <cell r="B1500">
            <v>201810</v>
          </cell>
          <cell r="C1500" t="str">
            <v>0100175472</v>
          </cell>
          <cell r="D1500">
            <v>88865</v>
          </cell>
          <cell r="E1500">
            <v>1020</v>
          </cell>
          <cell r="F1500">
            <v>43490</v>
          </cell>
          <cell r="G1500" t="str">
            <v>12/11</v>
          </cell>
        </row>
        <row r="1501">
          <cell r="A1501" t="str">
            <v>Y1901-0309</v>
          </cell>
          <cell r="B1501">
            <v>201810</v>
          </cell>
          <cell r="C1501" t="str">
            <v>0100175473</v>
          </cell>
          <cell r="D1501">
            <v>88865</v>
          </cell>
          <cell r="E1501">
            <v>744</v>
          </cell>
          <cell r="F1501">
            <v>43490</v>
          </cell>
          <cell r="G1501" t="str">
            <v>12/11</v>
          </cell>
        </row>
        <row r="1502">
          <cell r="A1502" t="str">
            <v>Y1901-0310</v>
          </cell>
          <cell r="B1502">
            <v>201810</v>
          </cell>
          <cell r="C1502" t="str">
            <v>0100175474</v>
          </cell>
          <cell r="D1502">
            <v>88871</v>
          </cell>
          <cell r="E1502">
            <v>924</v>
          </cell>
          <cell r="F1502">
            <v>43486</v>
          </cell>
          <cell r="G1502" t="str">
            <v>12/11</v>
          </cell>
        </row>
        <row r="1503">
          <cell r="A1503" t="str">
            <v>Y1901-0311</v>
          </cell>
          <cell r="B1503">
            <v>201810</v>
          </cell>
          <cell r="C1503" t="str">
            <v>0100175475</v>
          </cell>
          <cell r="D1503">
            <v>88875</v>
          </cell>
          <cell r="E1503">
            <v>960</v>
          </cell>
          <cell r="F1503">
            <v>43490</v>
          </cell>
          <cell r="G1503" t="str">
            <v>12/11</v>
          </cell>
        </row>
        <row r="1504">
          <cell r="A1504" t="str">
            <v>Y1901-0312</v>
          </cell>
          <cell r="B1504">
            <v>201810</v>
          </cell>
          <cell r="C1504" t="str">
            <v>0100175476</v>
          </cell>
          <cell r="D1504" t="str">
            <v>8J231</v>
          </cell>
          <cell r="E1504">
            <v>3000</v>
          </cell>
          <cell r="F1504">
            <v>43490</v>
          </cell>
          <cell r="G1504" t="str">
            <v>12/11</v>
          </cell>
        </row>
        <row r="1505">
          <cell r="A1505" t="str">
            <v>Y1901-0313</v>
          </cell>
          <cell r="B1505">
            <v>201810</v>
          </cell>
          <cell r="C1505" t="str">
            <v>0100175477</v>
          </cell>
          <cell r="D1505" t="str">
            <v>8J231</v>
          </cell>
          <cell r="E1505">
            <v>1104</v>
          </cell>
          <cell r="F1505">
            <v>43490</v>
          </cell>
          <cell r="G1505" t="str">
            <v>12/11</v>
          </cell>
        </row>
        <row r="1506">
          <cell r="A1506" t="str">
            <v>Y1901-0314</v>
          </cell>
          <cell r="B1506">
            <v>201810</v>
          </cell>
          <cell r="C1506" t="str">
            <v>0100175478</v>
          </cell>
          <cell r="D1506" t="str">
            <v>M9613</v>
          </cell>
          <cell r="E1506">
            <v>612</v>
          </cell>
          <cell r="F1506">
            <v>43490</v>
          </cell>
          <cell r="G1506" t="str">
            <v>12/11</v>
          </cell>
        </row>
        <row r="1507">
          <cell r="A1507" t="str">
            <v>Y1901-0315</v>
          </cell>
          <cell r="B1507">
            <v>201810</v>
          </cell>
          <cell r="C1507" t="str">
            <v>0100175479</v>
          </cell>
          <cell r="D1507" t="str">
            <v>M9613</v>
          </cell>
          <cell r="E1507">
            <v>2238</v>
          </cell>
          <cell r="F1507">
            <v>43490</v>
          </cell>
          <cell r="G1507" t="str">
            <v>12/11</v>
          </cell>
        </row>
        <row r="1508">
          <cell r="A1508" t="str">
            <v>Y1901-0316</v>
          </cell>
          <cell r="B1508">
            <v>201810</v>
          </cell>
          <cell r="C1508" t="str">
            <v>0100175480</v>
          </cell>
          <cell r="D1508" t="str">
            <v>M9621</v>
          </cell>
          <cell r="E1508">
            <v>456</v>
          </cell>
          <cell r="F1508">
            <v>43490</v>
          </cell>
          <cell r="G1508" t="str">
            <v>12/11</v>
          </cell>
        </row>
        <row r="1509">
          <cell r="A1509" t="str">
            <v>Y1901-0317</v>
          </cell>
          <cell r="B1509">
            <v>201810</v>
          </cell>
          <cell r="C1509" t="str">
            <v>0100175481</v>
          </cell>
          <cell r="D1509" t="str">
            <v>M9696</v>
          </cell>
          <cell r="E1509">
            <v>3156</v>
          </cell>
          <cell r="F1509">
            <v>43490</v>
          </cell>
          <cell r="G1509" t="str">
            <v>12/11</v>
          </cell>
        </row>
        <row r="1510">
          <cell r="A1510" t="str">
            <v>Y1901-0318</v>
          </cell>
          <cell r="B1510">
            <v>201810</v>
          </cell>
          <cell r="C1510" t="str">
            <v>0100175482</v>
          </cell>
          <cell r="D1510" t="str">
            <v>560643C</v>
          </cell>
          <cell r="E1510">
            <v>15600</v>
          </cell>
          <cell r="F1510">
            <v>43490</v>
          </cell>
          <cell r="G1510" t="str">
            <v>12/11</v>
          </cell>
        </row>
        <row r="1511">
          <cell r="A1511" t="str">
            <v>Y1901-0319</v>
          </cell>
          <cell r="B1511">
            <v>201810</v>
          </cell>
          <cell r="C1511" t="str">
            <v>0100175483</v>
          </cell>
          <cell r="D1511" t="str">
            <v>560644C</v>
          </cell>
          <cell r="E1511">
            <v>11208</v>
          </cell>
          <cell r="F1511">
            <v>43490</v>
          </cell>
          <cell r="G1511" t="str">
            <v>12/11</v>
          </cell>
        </row>
        <row r="1512">
          <cell r="A1512" t="str">
            <v>Y1901-0320</v>
          </cell>
          <cell r="B1512">
            <v>201810</v>
          </cell>
          <cell r="C1512" t="str">
            <v>0100175485</v>
          </cell>
          <cell r="D1512" t="str">
            <v>560630C</v>
          </cell>
          <cell r="E1512">
            <v>2736</v>
          </cell>
          <cell r="F1512">
            <v>43490</v>
          </cell>
          <cell r="G1512" t="str">
            <v>12/11</v>
          </cell>
        </row>
        <row r="1513">
          <cell r="A1513" t="str">
            <v>Y1901-0321</v>
          </cell>
          <cell r="B1513">
            <v>201810</v>
          </cell>
          <cell r="C1513" t="str">
            <v>0100175486</v>
          </cell>
          <cell r="D1513" t="str">
            <v>560629F</v>
          </cell>
          <cell r="E1513">
            <v>5124</v>
          </cell>
          <cell r="F1513">
            <v>43490</v>
          </cell>
          <cell r="G1513" t="str">
            <v>12/11</v>
          </cell>
        </row>
        <row r="1514">
          <cell r="A1514" t="str">
            <v>Y1901-0322</v>
          </cell>
          <cell r="B1514">
            <v>201810</v>
          </cell>
          <cell r="C1514" t="str">
            <v>0100175487</v>
          </cell>
          <cell r="D1514" t="str">
            <v>M8437</v>
          </cell>
          <cell r="E1514">
            <v>624</v>
          </cell>
          <cell r="F1514">
            <v>43483</v>
          </cell>
          <cell r="G1514" t="str">
            <v>12/11</v>
          </cell>
        </row>
        <row r="1515">
          <cell r="A1515" t="str">
            <v>Y1901-0323</v>
          </cell>
          <cell r="B1515">
            <v>201810</v>
          </cell>
          <cell r="C1515" t="str">
            <v>0100175488</v>
          </cell>
          <cell r="D1515" t="str">
            <v>M8437</v>
          </cell>
          <cell r="E1515">
            <v>3732</v>
          </cell>
          <cell r="F1515">
            <v>43490</v>
          </cell>
          <cell r="G1515" t="str">
            <v>12/11</v>
          </cell>
        </row>
        <row r="1516">
          <cell r="A1516" t="str">
            <v>Y1901-0324</v>
          </cell>
          <cell r="B1516">
            <v>201810</v>
          </cell>
          <cell r="C1516" t="str">
            <v>0100175489</v>
          </cell>
          <cell r="D1516" t="str">
            <v>M3494</v>
          </cell>
          <cell r="E1516">
            <v>3732</v>
          </cell>
          <cell r="F1516">
            <v>43490</v>
          </cell>
          <cell r="G1516" t="str">
            <v>12/11</v>
          </cell>
        </row>
        <row r="1517">
          <cell r="A1517" t="str">
            <v>Y1901-0325</v>
          </cell>
          <cell r="B1517">
            <v>201810</v>
          </cell>
          <cell r="C1517" t="str">
            <v>0100175490</v>
          </cell>
          <cell r="D1517" t="str">
            <v>660727F</v>
          </cell>
          <cell r="E1517">
            <v>3864</v>
          </cell>
          <cell r="F1517">
            <v>43490</v>
          </cell>
          <cell r="G1517" t="str">
            <v>12/18</v>
          </cell>
        </row>
        <row r="1518">
          <cell r="A1518" t="str">
            <v>Y1901-0326</v>
          </cell>
          <cell r="B1518">
            <v>201810</v>
          </cell>
          <cell r="C1518" t="str">
            <v>0100175491</v>
          </cell>
          <cell r="D1518" t="str">
            <v>660728F</v>
          </cell>
          <cell r="E1518">
            <v>3852</v>
          </cell>
          <cell r="F1518">
            <v>43490</v>
          </cell>
          <cell r="G1518" t="str">
            <v>12/18</v>
          </cell>
        </row>
        <row r="1519">
          <cell r="A1519" t="str">
            <v>Y1901-0327</v>
          </cell>
          <cell r="B1519">
            <v>201810</v>
          </cell>
          <cell r="C1519" t="str">
            <v>0100175492</v>
          </cell>
          <cell r="D1519" t="str">
            <v>565548C</v>
          </cell>
          <cell r="E1519">
            <v>312</v>
          </cell>
          <cell r="F1519">
            <v>43481</v>
          </cell>
          <cell r="G1519" t="str">
            <v>12/11</v>
          </cell>
        </row>
        <row r="1520">
          <cell r="A1520" t="str">
            <v>Y1901-0328</v>
          </cell>
          <cell r="B1520">
            <v>201810</v>
          </cell>
          <cell r="C1520" t="str">
            <v>0100175493</v>
          </cell>
          <cell r="D1520" t="str">
            <v>163377C</v>
          </cell>
          <cell r="E1520">
            <v>684</v>
          </cell>
          <cell r="F1520">
            <v>43490</v>
          </cell>
          <cell r="G1520" t="str">
            <v>12/11</v>
          </cell>
        </row>
        <row r="1521">
          <cell r="A1521" t="str">
            <v>Y1901-0329</v>
          </cell>
          <cell r="B1521">
            <v>201810</v>
          </cell>
          <cell r="C1521" t="str">
            <v>0100175494</v>
          </cell>
          <cell r="D1521" t="str">
            <v>7J256</v>
          </cell>
          <cell r="E1521">
            <v>900</v>
          </cell>
          <cell r="F1521">
            <v>43479</v>
          </cell>
          <cell r="G1521" t="str">
            <v>12/11</v>
          </cell>
        </row>
        <row r="1522">
          <cell r="A1522" t="str">
            <v>Y1901-0330</v>
          </cell>
          <cell r="B1522">
            <v>201810</v>
          </cell>
          <cell r="C1522" t="str">
            <v>0100175495</v>
          </cell>
          <cell r="D1522" t="str">
            <v>3J253</v>
          </cell>
          <cell r="E1522">
            <v>900</v>
          </cell>
          <cell r="F1522">
            <v>43479</v>
          </cell>
          <cell r="G1522" t="str">
            <v>12/11</v>
          </cell>
        </row>
        <row r="1523">
          <cell r="A1523" t="str">
            <v>Y1901-0331</v>
          </cell>
          <cell r="B1523">
            <v>201810</v>
          </cell>
          <cell r="C1523" t="str">
            <v>0100175496</v>
          </cell>
          <cell r="D1523" t="str">
            <v>3J256</v>
          </cell>
          <cell r="E1523">
            <v>1200</v>
          </cell>
          <cell r="F1523">
            <v>43479</v>
          </cell>
          <cell r="G1523" t="str">
            <v>12/11</v>
          </cell>
        </row>
        <row r="1524">
          <cell r="A1524" t="str">
            <v>Y1901-0332</v>
          </cell>
          <cell r="B1524">
            <v>201810</v>
          </cell>
          <cell r="C1524" t="str">
            <v>0100175497</v>
          </cell>
          <cell r="D1524" t="str">
            <v>3J238</v>
          </cell>
          <cell r="E1524">
            <v>1212</v>
          </cell>
          <cell r="F1524">
            <v>43479</v>
          </cell>
          <cell r="G1524" t="str">
            <v>12/11</v>
          </cell>
        </row>
        <row r="1525">
          <cell r="A1525" t="str">
            <v>Y1901-0333</v>
          </cell>
          <cell r="B1525">
            <v>201810</v>
          </cell>
          <cell r="C1525" t="str">
            <v>0100175498</v>
          </cell>
          <cell r="D1525" t="str">
            <v>7J256</v>
          </cell>
          <cell r="E1525">
            <v>900</v>
          </cell>
          <cell r="F1525">
            <v>43468</v>
          </cell>
          <cell r="G1525" t="str">
            <v>12/11</v>
          </cell>
        </row>
        <row r="1526">
          <cell r="A1526" t="str">
            <v>Y1901-0334</v>
          </cell>
          <cell r="B1526">
            <v>201810</v>
          </cell>
          <cell r="C1526" t="str">
            <v>0100175499</v>
          </cell>
          <cell r="D1526" t="str">
            <v>M7652</v>
          </cell>
          <cell r="E1526">
            <v>1196</v>
          </cell>
          <cell r="F1526">
            <v>43468</v>
          </cell>
          <cell r="G1526" t="str">
            <v>CFM</v>
          </cell>
        </row>
        <row r="1527">
          <cell r="A1527" t="str">
            <v>Y1901-0335</v>
          </cell>
          <cell r="B1527">
            <v>201810</v>
          </cell>
          <cell r="C1527" t="str">
            <v>0100175500</v>
          </cell>
          <cell r="D1527" t="str">
            <v>M7650</v>
          </cell>
          <cell r="E1527">
            <v>3600</v>
          </cell>
          <cell r="F1527">
            <v>43479</v>
          </cell>
          <cell r="G1527" t="str">
            <v>12/11</v>
          </cell>
        </row>
        <row r="1528">
          <cell r="A1528" t="str">
            <v>Y1901-0336</v>
          </cell>
          <cell r="B1528">
            <v>201810</v>
          </cell>
          <cell r="C1528" t="str">
            <v>0100175501</v>
          </cell>
          <cell r="D1528" t="str">
            <v>M7652</v>
          </cell>
          <cell r="E1528">
            <v>6000</v>
          </cell>
          <cell r="F1528">
            <v>43479</v>
          </cell>
          <cell r="G1528" t="str">
            <v>CFM</v>
          </cell>
        </row>
        <row r="1529">
          <cell r="A1529" t="str">
            <v>Y1901-0337</v>
          </cell>
          <cell r="B1529">
            <v>201810</v>
          </cell>
          <cell r="C1529" t="str">
            <v>0100175502</v>
          </cell>
          <cell r="D1529" t="str">
            <v>3J238</v>
          </cell>
          <cell r="E1529">
            <v>900</v>
          </cell>
          <cell r="F1529">
            <v>43468</v>
          </cell>
          <cell r="G1529" t="str">
            <v>12/11</v>
          </cell>
        </row>
        <row r="1530">
          <cell r="A1530" t="str">
            <v>Y1901-0338</v>
          </cell>
          <cell r="B1530">
            <v>201810</v>
          </cell>
          <cell r="C1530" t="str">
            <v>0100175503</v>
          </cell>
          <cell r="D1530" t="str">
            <v>M7652</v>
          </cell>
          <cell r="E1530">
            <v>1200</v>
          </cell>
          <cell r="F1530">
            <v>43479</v>
          </cell>
          <cell r="G1530" t="str">
            <v>12/11</v>
          </cell>
        </row>
        <row r="1531">
          <cell r="A1531" t="str">
            <v>Y1901-0339</v>
          </cell>
          <cell r="B1531">
            <v>201810</v>
          </cell>
          <cell r="C1531" t="str">
            <v>0100175504</v>
          </cell>
          <cell r="D1531" t="str">
            <v>M9697</v>
          </cell>
          <cell r="E1531">
            <v>900</v>
          </cell>
          <cell r="F1531">
            <v>43479</v>
          </cell>
          <cell r="G1531" t="str">
            <v>12/11</v>
          </cell>
        </row>
        <row r="1532">
          <cell r="A1532" t="str">
            <v>Y1901-0340</v>
          </cell>
          <cell r="B1532">
            <v>201810</v>
          </cell>
          <cell r="C1532" t="str">
            <v>0100175505</v>
          </cell>
          <cell r="D1532" t="str">
            <v>M7652</v>
          </cell>
          <cell r="E1532">
            <v>2256</v>
          </cell>
          <cell r="F1532">
            <v>43479</v>
          </cell>
          <cell r="G1532" t="str">
            <v>12/11</v>
          </cell>
        </row>
        <row r="1533">
          <cell r="A1533" t="str">
            <v>Y1901-0341</v>
          </cell>
          <cell r="B1533">
            <v>201810</v>
          </cell>
          <cell r="C1533" t="str">
            <v>0100175506</v>
          </cell>
          <cell r="D1533" t="str">
            <v>M9621</v>
          </cell>
          <cell r="E1533">
            <v>696</v>
          </cell>
          <cell r="F1533">
            <v>43479</v>
          </cell>
          <cell r="G1533" t="str">
            <v>12/11</v>
          </cell>
        </row>
        <row r="1534">
          <cell r="A1534" t="str">
            <v>Y1901-0342</v>
          </cell>
          <cell r="B1534">
            <v>201810</v>
          </cell>
          <cell r="C1534" t="str">
            <v>0100175507</v>
          </cell>
          <cell r="D1534" t="str">
            <v>M7650</v>
          </cell>
          <cell r="E1534">
            <v>1356</v>
          </cell>
          <cell r="F1534">
            <v>43479</v>
          </cell>
          <cell r="G1534" t="str">
            <v>12/11</v>
          </cell>
        </row>
        <row r="1535">
          <cell r="A1535" t="str">
            <v>Y1901-0343</v>
          </cell>
          <cell r="B1535">
            <v>201810</v>
          </cell>
          <cell r="C1535" t="str">
            <v>0100175508</v>
          </cell>
          <cell r="D1535" t="str">
            <v>M9696</v>
          </cell>
          <cell r="E1535">
            <v>900</v>
          </cell>
          <cell r="F1535">
            <v>43479</v>
          </cell>
          <cell r="G1535" t="str">
            <v>12/11</v>
          </cell>
        </row>
        <row r="1536">
          <cell r="A1536" t="str">
            <v>Y1901-0344</v>
          </cell>
          <cell r="B1536">
            <v>201810</v>
          </cell>
          <cell r="C1536" t="str">
            <v>0100175509</v>
          </cell>
          <cell r="D1536" t="str">
            <v>M7650</v>
          </cell>
          <cell r="E1536">
            <v>360</v>
          </cell>
          <cell r="F1536">
            <v>43479</v>
          </cell>
          <cell r="G1536" t="str">
            <v>12/11</v>
          </cell>
        </row>
        <row r="1537">
          <cell r="A1537" t="str">
            <v>Y1901-0345</v>
          </cell>
          <cell r="B1537">
            <v>201810</v>
          </cell>
          <cell r="C1537" t="str">
            <v>0100175510</v>
          </cell>
          <cell r="D1537" t="str">
            <v>M7650</v>
          </cell>
          <cell r="E1537">
            <v>420</v>
          </cell>
          <cell r="F1537">
            <v>43479</v>
          </cell>
          <cell r="G1537" t="str">
            <v>12/11</v>
          </cell>
        </row>
        <row r="1538">
          <cell r="A1538" t="str">
            <v>Y1901-0346</v>
          </cell>
          <cell r="B1538">
            <v>201810</v>
          </cell>
          <cell r="C1538" t="str">
            <v>0100175511</v>
          </cell>
          <cell r="D1538" t="str">
            <v>M9696</v>
          </cell>
          <cell r="E1538">
            <v>360</v>
          </cell>
          <cell r="F1538">
            <v>43479</v>
          </cell>
          <cell r="G1538" t="str">
            <v>12/11</v>
          </cell>
        </row>
        <row r="1539">
          <cell r="A1539" t="str">
            <v>Y1901-0347</v>
          </cell>
          <cell r="B1539">
            <v>201810</v>
          </cell>
          <cell r="C1539" t="str">
            <v>0100175512</v>
          </cell>
          <cell r="D1539" t="str">
            <v>M7652</v>
          </cell>
          <cell r="E1539">
            <v>588</v>
          </cell>
          <cell r="F1539">
            <v>43479</v>
          </cell>
          <cell r="G1539" t="str">
            <v>12/11</v>
          </cell>
        </row>
        <row r="1540">
          <cell r="A1540" t="str">
            <v>Y1901-0348</v>
          </cell>
          <cell r="B1540">
            <v>201810</v>
          </cell>
          <cell r="C1540" t="str">
            <v>0100175513</v>
          </cell>
          <cell r="D1540" t="str">
            <v>M7652</v>
          </cell>
          <cell r="E1540">
            <v>612</v>
          </cell>
          <cell r="F1540">
            <v>43479</v>
          </cell>
          <cell r="G1540" t="str">
            <v>CFM</v>
          </cell>
        </row>
        <row r="1541">
          <cell r="A1541" t="str">
            <v>Y1901-0349</v>
          </cell>
          <cell r="B1541">
            <v>201810</v>
          </cell>
          <cell r="C1541" t="str">
            <v>0100175514</v>
          </cell>
          <cell r="D1541" t="str">
            <v>M7652</v>
          </cell>
          <cell r="E1541">
            <v>360</v>
          </cell>
          <cell r="F1541">
            <v>43475</v>
          </cell>
          <cell r="G1541" t="str">
            <v>CFM</v>
          </cell>
        </row>
        <row r="1542">
          <cell r="A1542" t="str">
            <v>Y1901-0350</v>
          </cell>
          <cell r="B1542">
            <v>201810</v>
          </cell>
          <cell r="C1542" t="str">
            <v>0100175515</v>
          </cell>
          <cell r="D1542" t="str">
            <v>W9166</v>
          </cell>
          <cell r="E1542">
            <v>2808</v>
          </cell>
          <cell r="F1542">
            <v>43475</v>
          </cell>
          <cell r="G1542" t="str">
            <v>12/11</v>
          </cell>
        </row>
        <row r="1543">
          <cell r="A1543" t="str">
            <v>Y1901-0351</v>
          </cell>
          <cell r="B1543">
            <v>201810</v>
          </cell>
          <cell r="C1543" t="str">
            <v>0100175516</v>
          </cell>
          <cell r="D1543" t="str">
            <v>7J256</v>
          </cell>
          <cell r="E1543">
            <v>360</v>
          </cell>
          <cell r="F1543">
            <v>43479</v>
          </cell>
          <cell r="G1543" t="str">
            <v>12/11</v>
          </cell>
        </row>
        <row r="1544">
          <cell r="A1544" t="str">
            <v>Y1901-0610</v>
          </cell>
          <cell r="B1544">
            <v>201810</v>
          </cell>
          <cell r="C1544" t="str">
            <v>0100175517</v>
          </cell>
          <cell r="D1544">
            <v>88871</v>
          </cell>
          <cell r="E1544">
            <v>360</v>
          </cell>
          <cell r="F1544">
            <v>43477</v>
          </cell>
          <cell r="G1544" t="str">
            <v>12/11</v>
          </cell>
        </row>
        <row r="1545">
          <cell r="A1545" t="str">
            <v>Y1901-0352</v>
          </cell>
          <cell r="B1545">
            <v>201810</v>
          </cell>
          <cell r="C1545" t="str">
            <v>0100175518</v>
          </cell>
          <cell r="D1545" t="str">
            <v>1J794</v>
          </cell>
          <cell r="E1545">
            <v>552</v>
          </cell>
          <cell r="F1545">
            <v>43479</v>
          </cell>
          <cell r="G1545" t="str">
            <v>12/11</v>
          </cell>
        </row>
        <row r="1546">
          <cell r="A1546" t="str">
            <v>Y1901-0353</v>
          </cell>
          <cell r="B1546">
            <v>201810</v>
          </cell>
          <cell r="C1546" t="str">
            <v>0100175519</v>
          </cell>
          <cell r="D1546" t="str">
            <v>1J794</v>
          </cell>
          <cell r="E1546">
            <v>612</v>
          </cell>
          <cell r="F1546">
            <v>43479</v>
          </cell>
          <cell r="G1546" t="str">
            <v>12/11</v>
          </cell>
        </row>
        <row r="1547">
          <cell r="A1547" t="str">
            <v>Y1901-0354</v>
          </cell>
          <cell r="B1547">
            <v>201810</v>
          </cell>
          <cell r="C1547" t="str">
            <v>0100175520</v>
          </cell>
          <cell r="D1547" t="str">
            <v>M9621</v>
          </cell>
          <cell r="E1547">
            <v>456</v>
          </cell>
          <cell r="F1547">
            <v>43479</v>
          </cell>
          <cell r="G1547" t="str">
            <v>12/11</v>
          </cell>
        </row>
        <row r="1548">
          <cell r="A1548" t="str">
            <v>Y1901-0355</v>
          </cell>
          <cell r="B1548">
            <v>201810</v>
          </cell>
          <cell r="C1548" t="str">
            <v>0100175521</v>
          </cell>
          <cell r="D1548" t="str">
            <v>M9697</v>
          </cell>
          <cell r="E1548">
            <v>432</v>
          </cell>
          <cell r="F1548">
            <v>43479</v>
          </cell>
          <cell r="G1548" t="str">
            <v>12/11</v>
          </cell>
        </row>
        <row r="1549">
          <cell r="A1549" t="str">
            <v>Y1901-0356</v>
          </cell>
          <cell r="B1549">
            <v>201810</v>
          </cell>
          <cell r="C1549" t="str">
            <v>0100175522</v>
          </cell>
          <cell r="D1549" t="str">
            <v>M9697</v>
          </cell>
          <cell r="E1549">
            <v>624</v>
          </cell>
          <cell r="F1549">
            <v>43479</v>
          </cell>
          <cell r="G1549" t="str">
            <v>12/11</v>
          </cell>
        </row>
        <row r="1550">
          <cell r="A1550" t="str">
            <v>Y1901-0357</v>
          </cell>
          <cell r="B1550">
            <v>201810</v>
          </cell>
          <cell r="C1550" t="str">
            <v>0100175523</v>
          </cell>
          <cell r="D1550" t="str">
            <v>M9696</v>
          </cell>
          <cell r="E1550">
            <v>624</v>
          </cell>
          <cell r="F1550">
            <v>43479</v>
          </cell>
          <cell r="G1550" t="str">
            <v>12/11</v>
          </cell>
        </row>
        <row r="1551">
          <cell r="A1551" t="str">
            <v>Y1901-0358</v>
          </cell>
          <cell r="B1551">
            <v>201810</v>
          </cell>
          <cell r="C1551" t="str">
            <v>0100175524</v>
          </cell>
          <cell r="D1551" t="str">
            <v>M9696</v>
          </cell>
          <cell r="E1551">
            <v>468</v>
          </cell>
          <cell r="F1551">
            <v>43479</v>
          </cell>
          <cell r="G1551" t="str">
            <v>12/11</v>
          </cell>
        </row>
        <row r="1552">
          <cell r="A1552" t="str">
            <v>Y1901-0359</v>
          </cell>
          <cell r="B1552">
            <v>201810</v>
          </cell>
          <cell r="C1552" t="str">
            <v>0100175525</v>
          </cell>
          <cell r="D1552" t="str">
            <v>3J256</v>
          </cell>
          <cell r="E1552">
            <v>1200</v>
          </cell>
          <cell r="F1552">
            <v>43479</v>
          </cell>
          <cell r="G1552" t="str">
            <v>12/11</v>
          </cell>
        </row>
        <row r="1553">
          <cell r="A1553" t="str">
            <v>Y1901-0360</v>
          </cell>
          <cell r="B1553">
            <v>201810</v>
          </cell>
          <cell r="C1553" t="str">
            <v>0100175526</v>
          </cell>
          <cell r="D1553" t="str">
            <v>7J256</v>
          </cell>
          <cell r="E1553">
            <v>1500</v>
          </cell>
          <cell r="F1553">
            <v>43479</v>
          </cell>
          <cell r="G1553" t="str">
            <v>12/11</v>
          </cell>
        </row>
        <row r="1554">
          <cell r="A1554" t="str">
            <v>Y1901-0361</v>
          </cell>
          <cell r="B1554">
            <v>201810</v>
          </cell>
          <cell r="C1554" t="str">
            <v>0100175527</v>
          </cell>
          <cell r="D1554" t="str">
            <v>3J256</v>
          </cell>
          <cell r="E1554">
            <v>6012</v>
          </cell>
          <cell r="F1554">
            <v>43483</v>
          </cell>
          <cell r="G1554" t="str">
            <v>12/11</v>
          </cell>
        </row>
        <row r="1555">
          <cell r="A1555" t="str">
            <v>Y1901-0362</v>
          </cell>
          <cell r="B1555">
            <v>201810</v>
          </cell>
          <cell r="C1555" t="str">
            <v>0100175528</v>
          </cell>
          <cell r="D1555" t="str">
            <v>107469F</v>
          </cell>
          <cell r="E1555">
            <v>3000</v>
          </cell>
          <cell r="F1555">
            <v>43493</v>
          </cell>
          <cell r="G1555" t="str">
            <v>12/11</v>
          </cell>
        </row>
        <row r="1556">
          <cell r="A1556" t="str">
            <v>Y1901-0363</v>
          </cell>
          <cell r="B1556">
            <v>201810</v>
          </cell>
          <cell r="C1556" t="str">
            <v>0100175529</v>
          </cell>
          <cell r="D1556" t="str">
            <v>3J253</v>
          </cell>
          <cell r="E1556">
            <v>384</v>
          </cell>
          <cell r="F1556">
            <v>43483</v>
          </cell>
          <cell r="G1556" t="str">
            <v>12/11</v>
          </cell>
        </row>
        <row r="1557">
          <cell r="A1557" t="str">
            <v>Y1901-0364</v>
          </cell>
          <cell r="B1557">
            <v>201810</v>
          </cell>
          <cell r="C1557" t="str">
            <v>0100175530</v>
          </cell>
          <cell r="D1557" t="str">
            <v>7J256</v>
          </cell>
          <cell r="E1557">
            <v>576</v>
          </cell>
          <cell r="F1557">
            <v>43490</v>
          </cell>
          <cell r="G1557" t="str">
            <v>12/11</v>
          </cell>
        </row>
        <row r="1558">
          <cell r="A1558" t="str">
            <v>Y1901-0365</v>
          </cell>
          <cell r="B1558">
            <v>201810</v>
          </cell>
          <cell r="C1558" t="str">
            <v>0100175531</v>
          </cell>
          <cell r="D1558" t="str">
            <v>7J256</v>
          </cell>
          <cell r="E1558">
            <v>924</v>
          </cell>
          <cell r="F1558">
            <v>43490</v>
          </cell>
          <cell r="G1558" t="str">
            <v>12/11</v>
          </cell>
        </row>
        <row r="1559">
          <cell r="A1559" t="str">
            <v>Y1901-0366</v>
          </cell>
          <cell r="B1559">
            <v>201810</v>
          </cell>
          <cell r="C1559" t="str">
            <v>0100175532</v>
          </cell>
          <cell r="D1559" t="str">
            <v>8J231</v>
          </cell>
          <cell r="E1559">
            <v>1500</v>
          </cell>
          <cell r="F1559">
            <v>43483</v>
          </cell>
          <cell r="G1559" t="str">
            <v>12/11</v>
          </cell>
        </row>
        <row r="1560">
          <cell r="A1560" t="str">
            <v>Y1901-0367</v>
          </cell>
          <cell r="B1560">
            <v>201810</v>
          </cell>
          <cell r="C1560" t="str">
            <v>0100175533</v>
          </cell>
          <cell r="D1560" t="str">
            <v>7J256</v>
          </cell>
          <cell r="E1560">
            <v>9480</v>
          </cell>
          <cell r="F1560">
            <v>43483</v>
          </cell>
          <cell r="G1560" t="str">
            <v>12/11</v>
          </cell>
        </row>
        <row r="1561">
          <cell r="A1561" t="str">
            <v>Y1901-0368</v>
          </cell>
          <cell r="B1561">
            <v>201810</v>
          </cell>
          <cell r="C1561" t="str">
            <v>0100175534</v>
          </cell>
          <cell r="D1561" t="str">
            <v>3J256</v>
          </cell>
          <cell r="E1561">
            <v>720</v>
          </cell>
          <cell r="F1561">
            <v>43490</v>
          </cell>
          <cell r="G1561" t="str">
            <v>12/11</v>
          </cell>
        </row>
        <row r="1562">
          <cell r="A1562" t="str">
            <v>Y1901-0369</v>
          </cell>
          <cell r="B1562">
            <v>201810</v>
          </cell>
          <cell r="C1562" t="str">
            <v>0100175535</v>
          </cell>
          <cell r="D1562" t="str">
            <v>3J256</v>
          </cell>
          <cell r="E1562">
            <v>768</v>
          </cell>
          <cell r="F1562">
            <v>43490</v>
          </cell>
          <cell r="G1562" t="str">
            <v>12/11</v>
          </cell>
        </row>
        <row r="1563">
          <cell r="A1563" t="str">
            <v>Y1901-0370</v>
          </cell>
          <cell r="B1563">
            <v>201810</v>
          </cell>
          <cell r="C1563" t="str">
            <v>0100175536</v>
          </cell>
          <cell r="D1563" t="str">
            <v>M9621</v>
          </cell>
          <cell r="E1563">
            <v>4008</v>
          </cell>
          <cell r="F1563">
            <v>43479</v>
          </cell>
          <cell r="G1563" t="str">
            <v>12/11</v>
          </cell>
        </row>
        <row r="1564">
          <cell r="A1564" t="str">
            <v>Y1901-0371</v>
          </cell>
          <cell r="B1564">
            <v>201810</v>
          </cell>
          <cell r="C1564" t="str">
            <v>0100175537</v>
          </cell>
          <cell r="D1564" t="str">
            <v>M9696</v>
          </cell>
          <cell r="E1564">
            <v>4008</v>
          </cell>
          <cell r="F1564">
            <v>43479</v>
          </cell>
          <cell r="G1564" t="str">
            <v>12/11</v>
          </cell>
        </row>
        <row r="1565">
          <cell r="A1565" t="str">
            <v>Y1902-0298</v>
          </cell>
          <cell r="B1565">
            <v>201810</v>
          </cell>
          <cell r="C1565" t="str">
            <v>0100175538</v>
          </cell>
          <cell r="D1565" t="str">
            <v>549700F</v>
          </cell>
          <cell r="E1565">
            <v>402</v>
          </cell>
          <cell r="F1565">
            <v>43487</v>
          </cell>
          <cell r="G1565" t="str">
            <v>CFM</v>
          </cell>
        </row>
        <row r="1566">
          <cell r="A1566" t="str">
            <v>Y1902-0299</v>
          </cell>
          <cell r="B1566">
            <v>201810</v>
          </cell>
          <cell r="C1566" t="str">
            <v>0100175539</v>
          </cell>
          <cell r="D1566" t="str">
            <v>549700F</v>
          </cell>
          <cell r="E1566">
            <v>690</v>
          </cell>
          <cell r="F1566">
            <v>43487</v>
          </cell>
          <cell r="G1566" t="str">
            <v>CFM</v>
          </cell>
        </row>
        <row r="1567">
          <cell r="A1567" t="str">
            <v>Y1902-0300</v>
          </cell>
          <cell r="B1567">
            <v>201810</v>
          </cell>
          <cell r="C1567" t="str">
            <v>0100175540</v>
          </cell>
          <cell r="D1567" t="str">
            <v>549700F</v>
          </cell>
          <cell r="E1567">
            <v>408</v>
          </cell>
          <cell r="F1567">
            <v>43487</v>
          </cell>
          <cell r="G1567" t="str">
            <v>CFM</v>
          </cell>
        </row>
        <row r="1568">
          <cell r="A1568" t="str">
            <v>Y1901-0372</v>
          </cell>
          <cell r="B1568">
            <v>201810</v>
          </cell>
          <cell r="C1568" t="str">
            <v>0100177693</v>
          </cell>
          <cell r="D1568" t="str">
            <v>565536C</v>
          </cell>
          <cell r="E1568">
            <v>105</v>
          </cell>
          <cell r="F1568">
            <v>43481</v>
          </cell>
          <cell r="G1568" t="str">
            <v>12/11</v>
          </cell>
        </row>
        <row r="1569">
          <cell r="A1569" t="str">
            <v>Y1901-0373</v>
          </cell>
          <cell r="B1569">
            <v>201810</v>
          </cell>
          <cell r="C1569" t="str">
            <v>0100177694</v>
          </cell>
          <cell r="D1569" t="str">
            <v>M9621C</v>
          </cell>
          <cell r="E1569">
            <v>360</v>
          </cell>
          <cell r="F1569">
            <v>43476</v>
          </cell>
          <cell r="G1569" t="str">
            <v>12/11</v>
          </cell>
        </row>
        <row r="1570">
          <cell r="A1570" t="str">
            <v>Y1902-0302</v>
          </cell>
          <cell r="B1570">
            <v>201810</v>
          </cell>
          <cell r="C1570" t="str">
            <v>0100177695</v>
          </cell>
          <cell r="D1570" t="str">
            <v>565536C</v>
          </cell>
          <cell r="E1570">
            <v>564</v>
          </cell>
          <cell r="F1570">
            <v>43481</v>
          </cell>
          <cell r="G1570" t="str">
            <v>12/11</v>
          </cell>
        </row>
        <row r="1571">
          <cell r="A1571" t="str">
            <v>Y1901-0374</v>
          </cell>
          <cell r="B1571">
            <v>201810</v>
          </cell>
          <cell r="C1571" t="str">
            <v>0100177696</v>
          </cell>
          <cell r="D1571" t="str">
            <v>164060C</v>
          </cell>
          <cell r="E1571">
            <v>1296</v>
          </cell>
          <cell r="F1571">
            <v>43492</v>
          </cell>
          <cell r="G1571" t="str">
            <v>12/11</v>
          </cell>
        </row>
        <row r="1572">
          <cell r="A1572" t="str">
            <v>Y1901-0375</v>
          </cell>
          <cell r="B1572">
            <v>201810</v>
          </cell>
          <cell r="C1572" t="str">
            <v>0100177697</v>
          </cell>
          <cell r="D1572" t="str">
            <v>M7652C</v>
          </cell>
          <cell r="E1572">
            <v>2436</v>
          </cell>
          <cell r="F1572">
            <v>43492</v>
          </cell>
          <cell r="G1572" t="str">
            <v>12/11</v>
          </cell>
        </row>
        <row r="1573">
          <cell r="A1573" t="str">
            <v>Y1901-0376</v>
          </cell>
          <cell r="B1573">
            <v>201810</v>
          </cell>
          <cell r="C1573" t="str">
            <v>0100177698</v>
          </cell>
          <cell r="D1573" t="str">
            <v>364170C</v>
          </cell>
          <cell r="E1573">
            <v>180</v>
          </cell>
          <cell r="F1573">
            <v>43492</v>
          </cell>
          <cell r="G1573" t="str">
            <v>12/11</v>
          </cell>
        </row>
        <row r="1574">
          <cell r="A1574" t="str">
            <v>Y1901-0377</v>
          </cell>
          <cell r="B1574">
            <v>201810</v>
          </cell>
          <cell r="C1574" t="str">
            <v>0100177699</v>
          </cell>
          <cell r="D1574" t="str">
            <v>164281C</v>
          </cell>
          <cell r="E1574">
            <v>264</v>
          </cell>
          <cell r="F1574">
            <v>43492</v>
          </cell>
          <cell r="G1574" t="str">
            <v>12/11</v>
          </cell>
        </row>
        <row r="1575">
          <cell r="A1575" t="str">
            <v>Y1901-0378</v>
          </cell>
          <cell r="B1575">
            <v>201810</v>
          </cell>
          <cell r="C1575" t="str">
            <v>0100177700</v>
          </cell>
          <cell r="D1575" t="str">
            <v>164059C</v>
          </cell>
          <cell r="E1575">
            <v>264</v>
          </cell>
          <cell r="F1575">
            <v>43492</v>
          </cell>
          <cell r="G1575" t="str">
            <v>12/11</v>
          </cell>
        </row>
        <row r="1576">
          <cell r="A1576" t="str">
            <v>Y1901-0379</v>
          </cell>
          <cell r="B1576">
            <v>201810</v>
          </cell>
          <cell r="C1576" t="str">
            <v>0100177701</v>
          </cell>
          <cell r="D1576">
            <v>88875</v>
          </cell>
          <cell r="E1576">
            <v>360</v>
          </cell>
          <cell r="F1576">
            <v>43492</v>
          </cell>
          <cell r="G1576" t="str">
            <v>12/11</v>
          </cell>
        </row>
        <row r="1577">
          <cell r="A1577" t="str">
            <v>Y1901-0380</v>
          </cell>
          <cell r="B1577">
            <v>201810</v>
          </cell>
          <cell r="C1577" t="str">
            <v>0100177702</v>
          </cell>
          <cell r="D1577" t="str">
            <v>565536C</v>
          </cell>
          <cell r="E1577">
            <v>21</v>
          </cell>
          <cell r="F1577">
            <v>43492</v>
          </cell>
          <cell r="G1577" t="str">
            <v>CFM</v>
          </cell>
        </row>
        <row r="1578">
          <cell r="A1578" t="str">
            <v>Y1902-0307</v>
          </cell>
          <cell r="B1578">
            <v>201810</v>
          </cell>
          <cell r="C1578" t="str">
            <v>0100177707</v>
          </cell>
          <cell r="D1578" t="str">
            <v>158369C</v>
          </cell>
          <cell r="E1578">
            <v>1692</v>
          </cell>
          <cell r="F1578">
            <v>43486</v>
          </cell>
          <cell r="G1578" t="str">
            <v>12/11</v>
          </cell>
        </row>
        <row r="1579">
          <cell r="A1579" t="str">
            <v>Y1901-0381</v>
          </cell>
          <cell r="B1579">
            <v>201810</v>
          </cell>
          <cell r="C1579" t="str">
            <v>0100177709</v>
          </cell>
          <cell r="D1579" t="str">
            <v>565536C</v>
          </cell>
          <cell r="E1579">
            <v>172</v>
          </cell>
          <cell r="F1579">
            <v>43481</v>
          </cell>
          <cell r="G1579" t="str">
            <v>CFM</v>
          </cell>
        </row>
        <row r="1580">
          <cell r="A1580" t="str">
            <v>Y1901-0382</v>
          </cell>
          <cell r="B1580">
            <v>201810</v>
          </cell>
          <cell r="C1580" t="str">
            <v>0100177710</v>
          </cell>
          <cell r="D1580" t="str">
            <v>565548C</v>
          </cell>
          <cell r="E1580">
            <v>196</v>
          </cell>
          <cell r="F1580">
            <v>43481</v>
          </cell>
          <cell r="G1580" t="str">
            <v>12/11</v>
          </cell>
        </row>
        <row r="1581">
          <cell r="A1581" t="str">
            <v>Y1901-0383</v>
          </cell>
          <cell r="B1581">
            <v>201810</v>
          </cell>
          <cell r="C1581" t="str">
            <v>0100177839</v>
          </cell>
          <cell r="D1581" t="str">
            <v>3J238C</v>
          </cell>
          <cell r="E1581">
            <v>300</v>
          </cell>
          <cell r="F1581">
            <v>43476</v>
          </cell>
          <cell r="G1581" t="str">
            <v>12/11</v>
          </cell>
        </row>
        <row r="1582">
          <cell r="A1582" t="str">
            <v>Y1901-0384</v>
          </cell>
          <cell r="B1582">
            <v>201810</v>
          </cell>
          <cell r="C1582" t="str">
            <v>0100177840</v>
          </cell>
          <cell r="D1582" t="str">
            <v>164280C</v>
          </cell>
          <cell r="E1582">
            <v>1296</v>
          </cell>
          <cell r="F1582">
            <v>43492</v>
          </cell>
          <cell r="G1582" t="str">
            <v>12/11</v>
          </cell>
        </row>
        <row r="1583">
          <cell r="A1583" t="str">
            <v>Y1901-0385</v>
          </cell>
          <cell r="B1583">
            <v>201810</v>
          </cell>
          <cell r="C1583" t="str">
            <v>0100177841</v>
          </cell>
          <cell r="D1583" t="str">
            <v>M7650C</v>
          </cell>
          <cell r="E1583">
            <v>1188</v>
          </cell>
          <cell r="F1583">
            <v>43492</v>
          </cell>
          <cell r="G1583" t="str">
            <v>12/11</v>
          </cell>
        </row>
        <row r="1584">
          <cell r="A1584" t="str">
            <v>Y1901-0386</v>
          </cell>
          <cell r="B1584">
            <v>201810</v>
          </cell>
          <cell r="C1584" t="str">
            <v>0100177842</v>
          </cell>
          <cell r="D1584" t="str">
            <v>3J256C</v>
          </cell>
          <cell r="E1584">
            <v>144</v>
          </cell>
          <cell r="F1584">
            <v>43492</v>
          </cell>
          <cell r="G1584" t="str">
            <v>12/11</v>
          </cell>
        </row>
        <row r="1585">
          <cell r="A1585" t="str">
            <v>Y1901-0387</v>
          </cell>
          <cell r="B1585">
            <v>201810</v>
          </cell>
          <cell r="C1585" t="str">
            <v>0100177843</v>
          </cell>
          <cell r="D1585" t="str">
            <v>164358C</v>
          </cell>
          <cell r="E1585">
            <v>168</v>
          </cell>
          <cell r="F1585">
            <v>43492</v>
          </cell>
          <cell r="G1585" t="str">
            <v>12/11</v>
          </cell>
        </row>
        <row r="1586">
          <cell r="A1586" t="str">
            <v>Y1901-0388</v>
          </cell>
          <cell r="B1586">
            <v>201810</v>
          </cell>
          <cell r="C1586" t="str">
            <v>0100177844</v>
          </cell>
          <cell r="D1586" t="str">
            <v>764172C</v>
          </cell>
          <cell r="E1586">
            <v>204</v>
          </cell>
          <cell r="F1586">
            <v>43492</v>
          </cell>
          <cell r="G1586" t="str">
            <v>12/11</v>
          </cell>
        </row>
        <row r="1587">
          <cell r="A1587" t="str">
            <v>Y1901-0389</v>
          </cell>
          <cell r="B1587">
            <v>201810</v>
          </cell>
          <cell r="C1587" t="str">
            <v>0100177845</v>
          </cell>
          <cell r="D1587" t="str">
            <v>164282C</v>
          </cell>
          <cell r="E1587">
            <v>120</v>
          </cell>
          <cell r="F1587">
            <v>43492</v>
          </cell>
          <cell r="G1587" t="str">
            <v>12/11</v>
          </cell>
        </row>
        <row r="1588">
          <cell r="A1588" t="str">
            <v>Y1901-0390</v>
          </cell>
          <cell r="B1588">
            <v>201810</v>
          </cell>
          <cell r="C1588" t="str">
            <v>0100177846</v>
          </cell>
          <cell r="D1588" t="str">
            <v>M7650C</v>
          </cell>
          <cell r="E1588">
            <v>204</v>
          </cell>
          <cell r="F1588">
            <v>43492</v>
          </cell>
          <cell r="G1588" t="str">
            <v>12/11</v>
          </cell>
        </row>
        <row r="1589">
          <cell r="A1589" t="str">
            <v>Y1901-0391</v>
          </cell>
          <cell r="B1589">
            <v>201810</v>
          </cell>
          <cell r="C1589" t="str">
            <v>0100177847</v>
          </cell>
          <cell r="D1589" t="str">
            <v>164060C</v>
          </cell>
          <cell r="E1589">
            <v>324</v>
          </cell>
          <cell r="F1589">
            <v>43492</v>
          </cell>
          <cell r="G1589" t="str">
            <v>12/11</v>
          </cell>
        </row>
        <row r="1590">
          <cell r="A1590" t="str">
            <v>Y1901-0392</v>
          </cell>
          <cell r="B1590">
            <v>201810</v>
          </cell>
          <cell r="C1590" t="str">
            <v>0100177848</v>
          </cell>
          <cell r="D1590" t="str">
            <v>M7652C</v>
          </cell>
          <cell r="E1590">
            <v>1104</v>
          </cell>
          <cell r="F1590">
            <v>43492</v>
          </cell>
          <cell r="G1590" t="str">
            <v>12/11</v>
          </cell>
        </row>
        <row r="1591">
          <cell r="A1591" t="str">
            <v>Y1901-0393</v>
          </cell>
          <cell r="B1591">
            <v>201810</v>
          </cell>
          <cell r="C1591" t="str">
            <v>0100177849</v>
          </cell>
          <cell r="D1591" t="str">
            <v>M7652C</v>
          </cell>
          <cell r="E1591">
            <v>3360</v>
          </cell>
          <cell r="F1591">
            <v>43492</v>
          </cell>
          <cell r="G1591" t="str">
            <v>12/11</v>
          </cell>
        </row>
        <row r="1592">
          <cell r="A1592" t="str">
            <v>Y1901-0394</v>
          </cell>
          <cell r="B1592">
            <v>201810</v>
          </cell>
          <cell r="C1592" t="str">
            <v>0100177856</v>
          </cell>
          <cell r="D1592" t="str">
            <v>565536C</v>
          </cell>
          <cell r="E1592">
            <v>24</v>
          </cell>
          <cell r="F1592">
            <v>43481</v>
          </cell>
          <cell r="G1592" t="str">
            <v>12/11</v>
          </cell>
        </row>
        <row r="1593">
          <cell r="A1593" t="str">
            <v>Y1901-0395</v>
          </cell>
          <cell r="B1593">
            <v>201810</v>
          </cell>
          <cell r="C1593" t="str">
            <v>0100177930</v>
          </cell>
          <cell r="D1593" t="str">
            <v>162580C</v>
          </cell>
          <cell r="E1593">
            <v>2304</v>
          </cell>
          <cell r="F1593">
            <v>43492</v>
          </cell>
          <cell r="G1593" t="str">
            <v>12/11</v>
          </cell>
        </row>
        <row r="1594">
          <cell r="A1594" t="str">
            <v>Y1901-0396</v>
          </cell>
          <cell r="B1594">
            <v>201810</v>
          </cell>
          <cell r="C1594" t="str">
            <v>0100177931</v>
          </cell>
          <cell r="D1594" t="str">
            <v>164281C</v>
          </cell>
          <cell r="E1594">
            <v>864</v>
          </cell>
          <cell r="F1594">
            <v>43492</v>
          </cell>
          <cell r="G1594" t="str">
            <v>12/11</v>
          </cell>
        </row>
        <row r="1595">
          <cell r="A1595" t="str">
            <v>Y1901-0397</v>
          </cell>
          <cell r="B1595">
            <v>201810</v>
          </cell>
          <cell r="C1595" t="str">
            <v>0100177932</v>
          </cell>
          <cell r="D1595" t="str">
            <v>M7652C</v>
          </cell>
          <cell r="E1595">
            <v>948</v>
          </cell>
          <cell r="F1595">
            <v>43492</v>
          </cell>
          <cell r="G1595" t="str">
            <v>12/11</v>
          </cell>
        </row>
        <row r="1596">
          <cell r="A1596" t="str">
            <v>Y1901-0398</v>
          </cell>
          <cell r="B1596">
            <v>201810</v>
          </cell>
          <cell r="C1596" t="str">
            <v>0100177933</v>
          </cell>
          <cell r="D1596" t="str">
            <v>164359C</v>
          </cell>
          <cell r="E1596">
            <v>120</v>
          </cell>
          <cell r="F1596">
            <v>43492</v>
          </cell>
          <cell r="G1596" t="str">
            <v>12/11</v>
          </cell>
        </row>
        <row r="1597">
          <cell r="A1597" t="str">
            <v>Y1901-0399</v>
          </cell>
          <cell r="B1597">
            <v>201810</v>
          </cell>
          <cell r="C1597" t="str">
            <v>0100177934</v>
          </cell>
          <cell r="D1597" t="str">
            <v>564151C</v>
          </cell>
          <cell r="E1597">
            <v>216</v>
          </cell>
          <cell r="F1597">
            <v>43492</v>
          </cell>
          <cell r="G1597" t="str">
            <v>12/11</v>
          </cell>
        </row>
        <row r="1598">
          <cell r="A1598" t="str">
            <v>Y1901-0400</v>
          </cell>
          <cell r="B1598">
            <v>201810</v>
          </cell>
          <cell r="C1598" t="str">
            <v>0100177935</v>
          </cell>
          <cell r="D1598" t="str">
            <v>764173C</v>
          </cell>
          <cell r="E1598">
            <v>204</v>
          </cell>
          <cell r="F1598">
            <v>43492</v>
          </cell>
          <cell r="G1598" t="str">
            <v>12/11</v>
          </cell>
        </row>
        <row r="1599">
          <cell r="A1599" t="str">
            <v>Y1901-0401</v>
          </cell>
          <cell r="B1599">
            <v>201810</v>
          </cell>
          <cell r="C1599" t="str">
            <v>0100177940</v>
          </cell>
          <cell r="D1599" t="str">
            <v>565536C</v>
          </cell>
          <cell r="E1599">
            <v>194</v>
          </cell>
          <cell r="F1599">
            <v>43481</v>
          </cell>
          <cell r="G1599" t="str">
            <v>12/11</v>
          </cell>
        </row>
        <row r="1600">
          <cell r="A1600" t="str">
            <v>Y1901-0402</v>
          </cell>
          <cell r="B1600">
            <v>201810</v>
          </cell>
          <cell r="C1600" t="str">
            <v>0100178001</v>
          </cell>
          <cell r="D1600" t="str">
            <v>164219C</v>
          </cell>
          <cell r="E1600">
            <v>120</v>
          </cell>
          <cell r="F1600">
            <v>43492</v>
          </cell>
          <cell r="G1600" t="str">
            <v>12/18</v>
          </cell>
        </row>
        <row r="1601">
          <cell r="A1601" t="str">
            <v>Y1901-0403</v>
          </cell>
          <cell r="B1601">
            <v>201810</v>
          </cell>
          <cell r="C1601" t="str">
            <v>0100178002</v>
          </cell>
          <cell r="D1601" t="str">
            <v>164360C</v>
          </cell>
          <cell r="E1601">
            <v>300</v>
          </cell>
          <cell r="F1601">
            <v>43492</v>
          </cell>
          <cell r="G1601" t="str">
            <v>12/11</v>
          </cell>
        </row>
        <row r="1602">
          <cell r="A1602" t="str">
            <v>Y1901-0404</v>
          </cell>
          <cell r="B1602">
            <v>201810</v>
          </cell>
          <cell r="C1602" t="str">
            <v>0100178003</v>
          </cell>
          <cell r="D1602" t="str">
            <v>564152C</v>
          </cell>
          <cell r="E1602">
            <v>168</v>
          </cell>
          <cell r="F1602">
            <v>43492</v>
          </cell>
          <cell r="G1602" t="str">
            <v>12/11</v>
          </cell>
        </row>
        <row r="1603">
          <cell r="A1603" t="str">
            <v>Y1901-0405</v>
          </cell>
          <cell r="B1603">
            <v>201810</v>
          </cell>
          <cell r="C1603" t="str">
            <v>0100178004</v>
          </cell>
          <cell r="D1603" t="str">
            <v>M7652C</v>
          </cell>
          <cell r="E1603">
            <v>1908</v>
          </cell>
          <cell r="F1603">
            <v>43492</v>
          </cell>
          <cell r="G1603" t="str">
            <v>12/11</v>
          </cell>
        </row>
        <row r="1604">
          <cell r="A1604" t="str">
            <v>Y1901-0406</v>
          </cell>
          <cell r="B1604">
            <v>201810</v>
          </cell>
          <cell r="C1604" t="str">
            <v>0100178005</v>
          </cell>
          <cell r="D1604" t="str">
            <v>163376C</v>
          </cell>
          <cell r="E1604">
            <v>144</v>
          </cell>
          <cell r="F1604">
            <v>43492</v>
          </cell>
          <cell r="G1604" t="str">
            <v>12/11</v>
          </cell>
        </row>
        <row r="1605">
          <cell r="A1605" t="str">
            <v>Y1902-0320</v>
          </cell>
          <cell r="B1605">
            <v>201810</v>
          </cell>
          <cell r="C1605" t="str">
            <v>0100178007</v>
          </cell>
          <cell r="D1605" t="str">
            <v>158369C</v>
          </cell>
          <cell r="E1605">
            <v>1668</v>
          </cell>
          <cell r="F1605">
            <v>43486</v>
          </cell>
          <cell r="G1605" t="str">
            <v>12/11</v>
          </cell>
        </row>
        <row r="1606">
          <cell r="A1606" t="str">
            <v>Y1902-0321</v>
          </cell>
          <cell r="B1606">
            <v>201810</v>
          </cell>
          <cell r="C1606" t="str">
            <v>0100178008</v>
          </cell>
          <cell r="D1606" t="str">
            <v>M7652C</v>
          </cell>
          <cell r="E1606">
            <v>288</v>
          </cell>
          <cell r="F1606">
            <v>43474</v>
          </cell>
          <cell r="G1606" t="str">
            <v>CFM</v>
          </cell>
        </row>
        <row r="1607">
          <cell r="A1607" t="str">
            <v>Y1901-0407</v>
          </cell>
          <cell r="B1607">
            <v>201810</v>
          </cell>
          <cell r="C1607" t="str">
            <v>0100178065</v>
          </cell>
          <cell r="D1607" t="str">
            <v>164359C</v>
          </cell>
          <cell r="E1607">
            <v>120</v>
          </cell>
          <cell r="F1607">
            <v>43492</v>
          </cell>
          <cell r="G1607" t="str">
            <v>12/11</v>
          </cell>
        </row>
        <row r="1608">
          <cell r="A1608" t="str">
            <v>Y1901-0408</v>
          </cell>
          <cell r="B1608">
            <v>201810</v>
          </cell>
          <cell r="C1608" t="str">
            <v>0100178066</v>
          </cell>
          <cell r="D1608" t="str">
            <v>164361C</v>
          </cell>
          <cell r="E1608">
            <v>120</v>
          </cell>
          <cell r="F1608">
            <v>43492</v>
          </cell>
          <cell r="G1608" t="str">
            <v>12/11</v>
          </cell>
        </row>
        <row r="1609">
          <cell r="A1609" t="str">
            <v>Y1901-0409</v>
          </cell>
          <cell r="B1609">
            <v>201810</v>
          </cell>
          <cell r="C1609" t="str">
            <v>0100178067</v>
          </cell>
          <cell r="D1609" t="str">
            <v>164280C</v>
          </cell>
          <cell r="E1609">
            <v>120</v>
          </cell>
          <cell r="F1609">
            <v>43492</v>
          </cell>
          <cell r="G1609" t="str">
            <v>12/11</v>
          </cell>
        </row>
        <row r="1610">
          <cell r="A1610" t="str">
            <v>Y1901-0410</v>
          </cell>
          <cell r="B1610">
            <v>201810</v>
          </cell>
          <cell r="C1610" t="str">
            <v>0100178068</v>
          </cell>
          <cell r="D1610" t="str">
            <v>164360C</v>
          </cell>
          <cell r="E1610">
            <v>192</v>
          </cell>
          <cell r="F1610">
            <v>43492</v>
          </cell>
          <cell r="G1610" t="str">
            <v>12/11</v>
          </cell>
        </row>
        <row r="1611">
          <cell r="A1611" t="str">
            <v>Y1901-0411</v>
          </cell>
          <cell r="B1611">
            <v>201810</v>
          </cell>
          <cell r="C1611" t="str">
            <v>0100178069</v>
          </cell>
          <cell r="D1611" t="str">
            <v>164361C</v>
          </cell>
          <cell r="E1611">
            <v>192</v>
          </cell>
          <cell r="F1611">
            <v>43492</v>
          </cell>
          <cell r="G1611" t="str">
            <v>12/11</v>
          </cell>
        </row>
        <row r="1612">
          <cell r="A1612" t="str">
            <v>Y1901-0412</v>
          </cell>
          <cell r="B1612">
            <v>201810</v>
          </cell>
          <cell r="C1612" t="str">
            <v>0100178070</v>
          </cell>
          <cell r="D1612" t="str">
            <v>7J256C</v>
          </cell>
          <cell r="E1612">
            <v>120</v>
          </cell>
          <cell r="F1612">
            <v>43492</v>
          </cell>
          <cell r="G1612" t="str">
            <v>12/11</v>
          </cell>
        </row>
        <row r="1613">
          <cell r="A1613" t="str">
            <v>Y1901-0413</v>
          </cell>
          <cell r="B1613">
            <v>201810</v>
          </cell>
          <cell r="C1613" t="str">
            <v>0100178071</v>
          </cell>
          <cell r="D1613" t="str">
            <v>164361C</v>
          </cell>
          <cell r="E1613">
            <v>348</v>
          </cell>
          <cell r="F1613">
            <v>43492</v>
          </cell>
          <cell r="G1613" t="str">
            <v>12/11</v>
          </cell>
        </row>
        <row r="1614">
          <cell r="A1614" t="str">
            <v>Y1901-0414</v>
          </cell>
          <cell r="B1614">
            <v>201810</v>
          </cell>
          <cell r="C1614" t="str">
            <v>0100178072</v>
          </cell>
          <cell r="D1614" t="str">
            <v>564154C</v>
          </cell>
          <cell r="E1614">
            <v>180</v>
          </cell>
          <cell r="F1614">
            <v>43492</v>
          </cell>
          <cell r="G1614" t="str">
            <v>12/11</v>
          </cell>
        </row>
        <row r="1615">
          <cell r="A1615" t="str">
            <v>Y1901-0415</v>
          </cell>
          <cell r="B1615">
            <v>201810</v>
          </cell>
          <cell r="C1615" t="str">
            <v>0100178073</v>
          </cell>
          <cell r="D1615" t="str">
            <v>163377C</v>
          </cell>
          <cell r="E1615">
            <v>144</v>
          </cell>
          <cell r="F1615">
            <v>43492</v>
          </cell>
          <cell r="G1615" t="str">
            <v>12/11</v>
          </cell>
        </row>
        <row r="1616">
          <cell r="A1616" t="str">
            <v>Y1901-0416</v>
          </cell>
          <cell r="B1616">
            <v>201810</v>
          </cell>
          <cell r="C1616" t="str">
            <v>0100178075</v>
          </cell>
          <cell r="D1616" t="str">
            <v>163376C</v>
          </cell>
          <cell r="E1616">
            <v>300</v>
          </cell>
          <cell r="F1616">
            <v>43492</v>
          </cell>
          <cell r="G1616" t="str">
            <v>12/11</v>
          </cell>
        </row>
        <row r="1617">
          <cell r="A1617" t="str">
            <v>Y1901-0417</v>
          </cell>
          <cell r="B1617">
            <v>201810</v>
          </cell>
          <cell r="C1617" t="str">
            <v>0100178076</v>
          </cell>
          <cell r="D1617" t="str">
            <v>163377C</v>
          </cell>
          <cell r="E1617">
            <v>252</v>
          </cell>
          <cell r="F1617">
            <v>43492</v>
          </cell>
          <cell r="G1617" t="str">
            <v>12/11</v>
          </cell>
        </row>
        <row r="1618">
          <cell r="A1618" t="str">
            <v>Y1901-0418</v>
          </cell>
          <cell r="B1618">
            <v>201810</v>
          </cell>
          <cell r="C1618" t="str">
            <v>0100178077</v>
          </cell>
          <cell r="D1618" t="str">
            <v>164058C</v>
          </cell>
          <cell r="E1618">
            <v>600</v>
          </cell>
          <cell r="F1618">
            <v>43492</v>
          </cell>
          <cell r="G1618" t="str">
            <v>12/11</v>
          </cell>
        </row>
        <row r="1619">
          <cell r="A1619" t="str">
            <v>Y1902-0327</v>
          </cell>
          <cell r="B1619">
            <v>201810</v>
          </cell>
          <cell r="C1619" t="str">
            <v>0100178083</v>
          </cell>
          <cell r="D1619" t="str">
            <v>158371C</v>
          </cell>
          <cell r="E1619">
            <v>1140</v>
          </cell>
          <cell r="F1619">
            <v>43486</v>
          </cell>
          <cell r="G1619" t="str">
            <v>12/11</v>
          </cell>
        </row>
        <row r="1620">
          <cell r="A1620" t="str">
            <v>Y1902-0330</v>
          </cell>
          <cell r="B1620">
            <v>201810</v>
          </cell>
          <cell r="C1620" t="str">
            <v>0100178086</v>
          </cell>
          <cell r="D1620" t="str">
            <v>161577C</v>
          </cell>
          <cell r="E1620">
            <v>252</v>
          </cell>
          <cell r="F1620">
            <v>43486</v>
          </cell>
          <cell r="G1620" t="str">
            <v>12/11</v>
          </cell>
        </row>
        <row r="1621">
          <cell r="A1621" t="str">
            <v>Y1902-0331</v>
          </cell>
          <cell r="B1621">
            <v>201810</v>
          </cell>
          <cell r="C1621" t="str">
            <v>0100178087</v>
          </cell>
          <cell r="D1621" t="str">
            <v>161577C</v>
          </cell>
          <cell r="E1621">
            <v>204</v>
          </cell>
          <cell r="F1621">
            <v>43486</v>
          </cell>
          <cell r="G1621" t="str">
            <v>12/11</v>
          </cell>
        </row>
        <row r="1622">
          <cell r="A1622" t="str">
            <v>Y1902-0334</v>
          </cell>
          <cell r="B1622">
            <v>201810</v>
          </cell>
          <cell r="C1622" t="str">
            <v>0100178090</v>
          </cell>
          <cell r="D1622" t="str">
            <v>3J256C</v>
          </cell>
          <cell r="E1622">
            <v>120</v>
          </cell>
          <cell r="F1622">
            <v>43474</v>
          </cell>
          <cell r="G1622" t="str">
            <v>CFM</v>
          </cell>
        </row>
        <row r="1623">
          <cell r="A1623" t="str">
            <v>Y1902-0335</v>
          </cell>
          <cell r="B1623">
            <v>201810</v>
          </cell>
          <cell r="C1623" t="str">
            <v>0100178091</v>
          </cell>
          <cell r="D1623" t="str">
            <v>7J253C</v>
          </cell>
          <cell r="E1623">
            <v>120</v>
          </cell>
          <cell r="F1623">
            <v>43474</v>
          </cell>
          <cell r="G1623" t="str">
            <v>12/11</v>
          </cell>
        </row>
        <row r="1624">
          <cell r="A1624" t="str">
            <v>Y1901-0419</v>
          </cell>
          <cell r="B1624">
            <v>201810</v>
          </cell>
          <cell r="C1624" t="str">
            <v>0100178223</v>
          </cell>
          <cell r="D1624" t="str">
            <v>564154C</v>
          </cell>
          <cell r="E1624">
            <v>120</v>
          </cell>
          <cell r="F1624">
            <v>43492</v>
          </cell>
          <cell r="G1624" t="str">
            <v>12/11</v>
          </cell>
        </row>
        <row r="1625">
          <cell r="A1625" t="str">
            <v>Y1901-0420</v>
          </cell>
          <cell r="B1625">
            <v>201810</v>
          </cell>
          <cell r="C1625" t="str">
            <v>0100178224</v>
          </cell>
          <cell r="D1625" t="str">
            <v>164281C</v>
          </cell>
          <cell r="E1625">
            <v>120</v>
          </cell>
          <cell r="F1625">
            <v>43492</v>
          </cell>
          <cell r="G1625" t="str">
            <v>12/11</v>
          </cell>
        </row>
        <row r="1626">
          <cell r="A1626" t="str">
            <v>Y1901-0421</v>
          </cell>
          <cell r="B1626">
            <v>201810</v>
          </cell>
          <cell r="C1626" t="str">
            <v>0100178225</v>
          </cell>
          <cell r="D1626" t="str">
            <v>164282C</v>
          </cell>
          <cell r="E1626">
            <v>120</v>
          </cell>
          <cell r="F1626">
            <v>43492</v>
          </cell>
          <cell r="G1626" t="str">
            <v>12/11</v>
          </cell>
        </row>
        <row r="1627">
          <cell r="A1627" t="str">
            <v>Y1901-0422</v>
          </cell>
          <cell r="B1627">
            <v>201810</v>
          </cell>
          <cell r="C1627" t="str">
            <v>0100178226</v>
          </cell>
          <cell r="D1627" t="str">
            <v>164359C</v>
          </cell>
          <cell r="E1627">
            <v>120</v>
          </cell>
          <cell r="F1627">
            <v>43492</v>
          </cell>
          <cell r="G1627" t="str">
            <v>12/11</v>
          </cell>
        </row>
        <row r="1628">
          <cell r="A1628" t="str">
            <v>Y1901-0423</v>
          </cell>
          <cell r="B1628">
            <v>201810</v>
          </cell>
          <cell r="C1628" t="str">
            <v>0100178227</v>
          </cell>
          <cell r="D1628" t="str">
            <v>164360C</v>
          </cell>
          <cell r="E1628">
            <v>120</v>
          </cell>
          <cell r="F1628">
            <v>43492</v>
          </cell>
          <cell r="G1628" t="str">
            <v>12/11</v>
          </cell>
        </row>
        <row r="1629">
          <cell r="A1629" t="str">
            <v>Y1901-0424</v>
          </cell>
          <cell r="B1629">
            <v>201810</v>
          </cell>
          <cell r="C1629" t="str">
            <v>0100178228</v>
          </cell>
          <cell r="D1629" t="str">
            <v>364169C</v>
          </cell>
          <cell r="E1629">
            <v>180</v>
          </cell>
          <cell r="F1629">
            <v>43492</v>
          </cell>
          <cell r="G1629" t="str">
            <v>12/11</v>
          </cell>
        </row>
        <row r="1630">
          <cell r="A1630" t="str">
            <v>Y1901-0425</v>
          </cell>
          <cell r="B1630">
            <v>201810</v>
          </cell>
          <cell r="C1630" t="str">
            <v>0100178229</v>
          </cell>
          <cell r="D1630" t="str">
            <v>364170C</v>
          </cell>
          <cell r="E1630">
            <v>168</v>
          </cell>
          <cell r="F1630">
            <v>43492</v>
          </cell>
          <cell r="G1630" t="str">
            <v>12/11</v>
          </cell>
        </row>
        <row r="1631">
          <cell r="A1631" t="str">
            <v>Y1901-0426</v>
          </cell>
          <cell r="B1631">
            <v>201810</v>
          </cell>
          <cell r="C1631" t="str">
            <v>0100178230</v>
          </cell>
          <cell r="D1631" t="str">
            <v>164393C</v>
          </cell>
          <cell r="E1631">
            <v>144</v>
          </cell>
          <cell r="F1631">
            <v>43492</v>
          </cell>
          <cell r="G1631" t="str">
            <v>12/11</v>
          </cell>
        </row>
        <row r="1632">
          <cell r="A1632" t="str">
            <v>Y1901-0427</v>
          </cell>
          <cell r="B1632">
            <v>201810</v>
          </cell>
          <cell r="C1632" t="str">
            <v>0100178231</v>
          </cell>
          <cell r="D1632" t="str">
            <v>364169C</v>
          </cell>
          <cell r="E1632">
            <v>144</v>
          </cell>
          <cell r="F1632">
            <v>43492</v>
          </cell>
          <cell r="G1632" t="str">
            <v>12/11</v>
          </cell>
        </row>
        <row r="1633">
          <cell r="A1633" t="str">
            <v>Y1901-0428</v>
          </cell>
          <cell r="B1633">
            <v>201810</v>
          </cell>
          <cell r="C1633" t="str">
            <v>0100178232</v>
          </cell>
          <cell r="D1633" t="str">
            <v>364170C</v>
          </cell>
          <cell r="E1633">
            <v>144</v>
          </cell>
          <cell r="F1633">
            <v>43492</v>
          </cell>
          <cell r="G1633" t="str">
            <v>12/11</v>
          </cell>
        </row>
        <row r="1634">
          <cell r="A1634" t="str">
            <v>Y1901-0429</v>
          </cell>
          <cell r="B1634">
            <v>201810</v>
          </cell>
          <cell r="C1634" t="str">
            <v>0100178233</v>
          </cell>
          <cell r="D1634" t="str">
            <v>164059C</v>
          </cell>
          <cell r="E1634">
            <v>516</v>
          </cell>
          <cell r="F1634">
            <v>43492</v>
          </cell>
          <cell r="G1634" t="str">
            <v>12/11</v>
          </cell>
        </row>
        <row r="1635">
          <cell r="A1635" t="str">
            <v>Y1901-0430</v>
          </cell>
          <cell r="B1635">
            <v>201810</v>
          </cell>
          <cell r="C1635" t="str">
            <v>0100178234</v>
          </cell>
          <cell r="D1635" t="str">
            <v>164060C</v>
          </cell>
          <cell r="E1635">
            <v>528</v>
          </cell>
          <cell r="F1635">
            <v>43492</v>
          </cell>
          <cell r="G1635" t="str">
            <v>12/11</v>
          </cell>
        </row>
        <row r="1636">
          <cell r="A1636" t="str">
            <v>Y1902-0345</v>
          </cell>
          <cell r="B1636">
            <v>201810</v>
          </cell>
          <cell r="C1636" t="str">
            <v>0100178243</v>
          </cell>
          <cell r="D1636" t="str">
            <v>7J256C</v>
          </cell>
          <cell r="E1636">
            <v>120</v>
          </cell>
          <cell r="F1636">
            <v>43474</v>
          </cell>
          <cell r="G1636" t="str">
            <v>CFM</v>
          </cell>
        </row>
        <row r="1637">
          <cell r="A1637" t="str">
            <v>Y1902-0346</v>
          </cell>
          <cell r="B1637">
            <v>201810</v>
          </cell>
          <cell r="C1637" t="str">
            <v>0100178244</v>
          </cell>
          <cell r="D1637" t="str">
            <v>M3310C</v>
          </cell>
          <cell r="E1637">
            <v>180</v>
          </cell>
          <cell r="F1637">
            <v>43474</v>
          </cell>
          <cell r="G1637" t="str">
            <v>12/11</v>
          </cell>
        </row>
        <row r="1638">
          <cell r="A1638" t="str">
            <v>Y1902-0347</v>
          </cell>
          <cell r="B1638">
            <v>201810</v>
          </cell>
          <cell r="C1638" t="str">
            <v>0100178245</v>
          </cell>
          <cell r="D1638" t="str">
            <v>M7650C</v>
          </cell>
          <cell r="E1638">
            <v>300</v>
          </cell>
          <cell r="F1638">
            <v>43474</v>
          </cell>
          <cell r="G1638" t="str">
            <v>12/11</v>
          </cell>
        </row>
        <row r="1639">
          <cell r="A1639" t="str">
            <v>Y1902-0348</v>
          </cell>
          <cell r="B1639">
            <v>201810</v>
          </cell>
          <cell r="C1639" t="str">
            <v>0100178246</v>
          </cell>
          <cell r="D1639" t="str">
            <v>M7652C</v>
          </cell>
          <cell r="E1639">
            <v>492</v>
          </cell>
          <cell r="F1639">
            <v>43474</v>
          </cell>
          <cell r="G1639" t="str">
            <v>CFM</v>
          </cell>
        </row>
        <row r="1640">
          <cell r="A1640" t="str">
            <v>Y1901-0431</v>
          </cell>
          <cell r="B1640">
            <v>201810</v>
          </cell>
          <cell r="C1640" t="str">
            <v>0100178314</v>
          </cell>
          <cell r="D1640" t="str">
            <v>164219C</v>
          </cell>
          <cell r="E1640">
            <v>240</v>
          </cell>
          <cell r="F1640">
            <v>43492</v>
          </cell>
          <cell r="G1640" t="str">
            <v>12/18</v>
          </cell>
        </row>
        <row r="1641">
          <cell r="A1641" t="str">
            <v>Y1901-0432</v>
          </cell>
          <cell r="B1641">
            <v>201810</v>
          </cell>
          <cell r="C1641" t="str">
            <v>0100178315</v>
          </cell>
          <cell r="D1641" t="str">
            <v>164220C</v>
          </cell>
          <cell r="E1641">
            <v>216</v>
          </cell>
          <cell r="F1641">
            <v>43492</v>
          </cell>
          <cell r="G1641" t="str">
            <v>12/18</v>
          </cell>
        </row>
        <row r="1642">
          <cell r="A1642" t="str">
            <v>Y1901-0433</v>
          </cell>
          <cell r="B1642">
            <v>201810</v>
          </cell>
          <cell r="C1642" t="str">
            <v>0100178316</v>
          </cell>
          <cell r="D1642" t="str">
            <v>1J794C</v>
          </cell>
          <cell r="E1642">
            <v>552</v>
          </cell>
          <cell r="F1642">
            <v>43492</v>
          </cell>
          <cell r="G1642" t="str">
            <v>12/11</v>
          </cell>
        </row>
        <row r="1643">
          <cell r="A1643" t="str">
            <v>Y1901-0434</v>
          </cell>
          <cell r="B1643">
            <v>201810</v>
          </cell>
          <cell r="C1643" t="str">
            <v>0100178317</v>
          </cell>
          <cell r="D1643" t="str">
            <v>164362C</v>
          </cell>
          <cell r="E1643">
            <v>120</v>
          </cell>
          <cell r="F1643">
            <v>43492</v>
          </cell>
          <cell r="G1643" t="str">
            <v>12/11</v>
          </cell>
        </row>
        <row r="1644">
          <cell r="A1644" t="str">
            <v>Y1901-0435</v>
          </cell>
          <cell r="B1644">
            <v>201810</v>
          </cell>
          <cell r="C1644" t="str">
            <v>0100178318</v>
          </cell>
          <cell r="D1644" t="str">
            <v>3J238C</v>
          </cell>
          <cell r="E1644">
            <v>120</v>
          </cell>
          <cell r="F1644">
            <v>43492</v>
          </cell>
          <cell r="G1644" t="str">
            <v>12/11</v>
          </cell>
        </row>
        <row r="1645">
          <cell r="A1645" t="str">
            <v>Y1901-0436</v>
          </cell>
          <cell r="B1645">
            <v>201810</v>
          </cell>
          <cell r="C1645" t="str">
            <v>0100178319</v>
          </cell>
          <cell r="D1645" t="str">
            <v>3J256C</v>
          </cell>
          <cell r="E1645">
            <v>180</v>
          </cell>
          <cell r="F1645">
            <v>43492</v>
          </cell>
          <cell r="G1645" t="str">
            <v>12/11</v>
          </cell>
        </row>
        <row r="1646">
          <cell r="A1646" t="str">
            <v>Y1901-0437</v>
          </cell>
          <cell r="B1646">
            <v>201810</v>
          </cell>
          <cell r="C1646" t="str">
            <v>0100178320</v>
          </cell>
          <cell r="D1646" t="str">
            <v>564072C</v>
          </cell>
          <cell r="E1646">
            <v>156</v>
          </cell>
          <cell r="F1646">
            <v>43492</v>
          </cell>
          <cell r="G1646" t="str">
            <v>12/11</v>
          </cell>
        </row>
        <row r="1647">
          <cell r="A1647" t="str">
            <v>Y1901-0438</v>
          </cell>
          <cell r="B1647">
            <v>201810</v>
          </cell>
          <cell r="C1647" t="str">
            <v>0100178321</v>
          </cell>
          <cell r="D1647" t="str">
            <v>3J238C</v>
          </cell>
          <cell r="E1647">
            <v>144</v>
          </cell>
          <cell r="F1647">
            <v>43492</v>
          </cell>
          <cell r="G1647" t="str">
            <v>12/11</v>
          </cell>
        </row>
        <row r="1648">
          <cell r="A1648" t="str">
            <v>Y1901-0439</v>
          </cell>
          <cell r="B1648">
            <v>201810</v>
          </cell>
          <cell r="C1648" t="str">
            <v>0100178322</v>
          </cell>
          <cell r="D1648" t="str">
            <v>3J253C</v>
          </cell>
          <cell r="E1648">
            <v>144</v>
          </cell>
          <cell r="F1648">
            <v>43492</v>
          </cell>
          <cell r="G1648" t="str">
            <v>12/11</v>
          </cell>
        </row>
        <row r="1649">
          <cell r="A1649" t="str">
            <v>Y1901-0440</v>
          </cell>
          <cell r="B1649">
            <v>201810</v>
          </cell>
          <cell r="C1649" t="str">
            <v>0100178324</v>
          </cell>
          <cell r="D1649" t="str">
            <v>164359C</v>
          </cell>
          <cell r="E1649">
            <v>276</v>
          </cell>
          <cell r="F1649">
            <v>43492</v>
          </cell>
          <cell r="G1649" t="str">
            <v>12/11</v>
          </cell>
        </row>
        <row r="1650">
          <cell r="A1650" t="str">
            <v>Y1901-0441</v>
          </cell>
          <cell r="B1650">
            <v>201810</v>
          </cell>
          <cell r="C1650" t="str">
            <v>0100178388</v>
          </cell>
          <cell r="D1650" t="str">
            <v>M3310C</v>
          </cell>
          <cell r="E1650">
            <v>552</v>
          </cell>
          <cell r="F1650">
            <v>43492</v>
          </cell>
          <cell r="G1650" t="str">
            <v>12/11</v>
          </cell>
        </row>
        <row r="1651">
          <cell r="A1651" t="str">
            <v>Y1901-0442</v>
          </cell>
          <cell r="B1651">
            <v>201810</v>
          </cell>
          <cell r="C1651" t="str">
            <v>0100178389</v>
          </cell>
          <cell r="D1651" t="str">
            <v>M7652C</v>
          </cell>
          <cell r="E1651">
            <v>528</v>
          </cell>
          <cell r="F1651">
            <v>43492</v>
          </cell>
          <cell r="G1651" t="str">
            <v>12/11</v>
          </cell>
        </row>
        <row r="1652">
          <cell r="A1652" t="str">
            <v>Y1901-0443</v>
          </cell>
          <cell r="B1652">
            <v>201810</v>
          </cell>
          <cell r="C1652" t="str">
            <v>0100178390</v>
          </cell>
          <cell r="D1652" t="str">
            <v>3J256C</v>
          </cell>
          <cell r="E1652">
            <v>132</v>
          </cell>
          <cell r="F1652">
            <v>43492</v>
          </cell>
          <cell r="G1652" t="str">
            <v>12/11</v>
          </cell>
        </row>
        <row r="1653">
          <cell r="A1653" t="str">
            <v>Y1901-0444</v>
          </cell>
          <cell r="B1653">
            <v>201810</v>
          </cell>
          <cell r="C1653" t="str">
            <v>0100178391</v>
          </cell>
          <cell r="D1653" t="str">
            <v>564071C</v>
          </cell>
          <cell r="E1653">
            <v>132</v>
          </cell>
          <cell r="F1653">
            <v>43492</v>
          </cell>
          <cell r="G1653" t="str">
            <v>12/11</v>
          </cell>
        </row>
        <row r="1654">
          <cell r="A1654" t="str">
            <v>Y1901-0445</v>
          </cell>
          <cell r="B1654">
            <v>201810</v>
          </cell>
          <cell r="C1654" t="str">
            <v>0100178392</v>
          </cell>
          <cell r="D1654" t="str">
            <v>564072C</v>
          </cell>
          <cell r="E1654">
            <v>120</v>
          </cell>
          <cell r="F1654">
            <v>43492</v>
          </cell>
          <cell r="G1654" t="str">
            <v>12/11</v>
          </cell>
        </row>
        <row r="1655">
          <cell r="A1655" t="str">
            <v>Y1901-0446</v>
          </cell>
          <cell r="B1655">
            <v>201810</v>
          </cell>
          <cell r="C1655" t="str">
            <v>0100178393</v>
          </cell>
          <cell r="D1655" t="str">
            <v>764172C</v>
          </cell>
          <cell r="E1655">
            <v>180</v>
          </cell>
          <cell r="F1655">
            <v>43492</v>
          </cell>
          <cell r="G1655" t="str">
            <v>12/11</v>
          </cell>
        </row>
        <row r="1656">
          <cell r="A1656" t="str">
            <v>Y1901-0447</v>
          </cell>
          <cell r="B1656">
            <v>201810</v>
          </cell>
          <cell r="C1656" t="str">
            <v>0100178394</v>
          </cell>
          <cell r="D1656" t="str">
            <v>764173C</v>
          </cell>
          <cell r="E1656">
            <v>180</v>
          </cell>
          <cell r="F1656">
            <v>43492</v>
          </cell>
          <cell r="G1656" t="str">
            <v>12/11</v>
          </cell>
        </row>
        <row r="1657">
          <cell r="A1657" t="str">
            <v>Y1901-0448</v>
          </cell>
          <cell r="B1657">
            <v>201810</v>
          </cell>
          <cell r="C1657" t="str">
            <v>0100178395</v>
          </cell>
          <cell r="D1657" t="str">
            <v>164361C</v>
          </cell>
          <cell r="E1657">
            <v>120</v>
          </cell>
          <cell r="F1657">
            <v>43492</v>
          </cell>
          <cell r="G1657" t="str">
            <v>12/11</v>
          </cell>
        </row>
        <row r="1658">
          <cell r="A1658" t="str">
            <v>Y1901-0449</v>
          </cell>
          <cell r="B1658">
            <v>201810</v>
          </cell>
          <cell r="C1658" t="str">
            <v>0100178396</v>
          </cell>
          <cell r="D1658" t="str">
            <v>164362C</v>
          </cell>
          <cell r="E1658">
            <v>120</v>
          </cell>
          <cell r="F1658">
            <v>43492</v>
          </cell>
          <cell r="G1658" t="str">
            <v>12/11</v>
          </cell>
        </row>
        <row r="1659">
          <cell r="A1659" t="str">
            <v>Y1901-0450</v>
          </cell>
          <cell r="B1659">
            <v>201810</v>
          </cell>
          <cell r="C1659" t="str">
            <v>0100178397</v>
          </cell>
          <cell r="D1659" t="str">
            <v>164219C</v>
          </cell>
          <cell r="E1659">
            <v>120</v>
          </cell>
          <cell r="F1659">
            <v>43492</v>
          </cell>
          <cell r="G1659" t="str">
            <v>12/18</v>
          </cell>
        </row>
        <row r="1660">
          <cell r="A1660" t="str">
            <v>Y1901-0451</v>
          </cell>
          <cell r="B1660">
            <v>201810</v>
          </cell>
          <cell r="C1660" t="str">
            <v>0100178398</v>
          </cell>
          <cell r="D1660" t="str">
            <v>164361C</v>
          </cell>
          <cell r="E1660">
            <v>276</v>
          </cell>
          <cell r="F1660">
            <v>43492</v>
          </cell>
          <cell r="G1660" t="str">
            <v>12/11</v>
          </cell>
        </row>
        <row r="1661">
          <cell r="A1661" t="str">
            <v>Y1901-0452</v>
          </cell>
          <cell r="B1661">
            <v>201810</v>
          </cell>
          <cell r="C1661" t="str">
            <v>0100178399</v>
          </cell>
          <cell r="D1661" t="str">
            <v>3J256C</v>
          </cell>
          <cell r="E1661">
            <v>204</v>
          </cell>
          <cell r="F1661">
            <v>43492</v>
          </cell>
          <cell r="G1661" t="str">
            <v>12/11</v>
          </cell>
        </row>
        <row r="1662">
          <cell r="A1662" t="str">
            <v>Y1902-0360</v>
          </cell>
          <cell r="B1662">
            <v>201810</v>
          </cell>
          <cell r="C1662" t="str">
            <v>0100178401</v>
          </cell>
          <cell r="D1662" t="str">
            <v>164359C</v>
          </cell>
          <cell r="E1662">
            <v>192</v>
          </cell>
          <cell r="F1662">
            <v>43492</v>
          </cell>
          <cell r="G1662" t="str">
            <v>12/11</v>
          </cell>
        </row>
        <row r="1663">
          <cell r="A1663" t="str">
            <v>Y1902-0361</v>
          </cell>
          <cell r="B1663">
            <v>201810</v>
          </cell>
          <cell r="C1663" t="str">
            <v>0100178402</v>
          </cell>
          <cell r="D1663" t="str">
            <v>164360C</v>
          </cell>
          <cell r="E1663">
            <v>192</v>
          </cell>
          <cell r="F1663">
            <v>43492</v>
          </cell>
          <cell r="G1663" t="str">
            <v>12/11</v>
          </cell>
        </row>
        <row r="1664">
          <cell r="A1664" t="str">
            <v>Y1902-0362</v>
          </cell>
          <cell r="B1664">
            <v>201810</v>
          </cell>
          <cell r="C1664" t="str">
            <v>0100178403</v>
          </cell>
          <cell r="D1664" t="str">
            <v>164393C</v>
          </cell>
          <cell r="E1664">
            <v>132</v>
          </cell>
          <cell r="F1664">
            <v>43486</v>
          </cell>
          <cell r="G1664" t="str">
            <v>12/11</v>
          </cell>
        </row>
        <row r="1665">
          <cell r="A1665" t="str">
            <v>Y1902-0363</v>
          </cell>
          <cell r="B1665">
            <v>201810</v>
          </cell>
          <cell r="C1665" t="str">
            <v>0100178404</v>
          </cell>
          <cell r="D1665" t="str">
            <v>M9697C</v>
          </cell>
          <cell r="E1665">
            <v>144</v>
          </cell>
          <cell r="F1665">
            <v>43474</v>
          </cell>
          <cell r="G1665" t="str">
            <v>CFM</v>
          </cell>
        </row>
        <row r="1666">
          <cell r="A1666" t="str">
            <v>Y1901-0453</v>
          </cell>
          <cell r="B1666">
            <v>201810</v>
          </cell>
          <cell r="C1666" t="str">
            <v>0100178405</v>
          </cell>
          <cell r="D1666" t="str">
            <v>165524C</v>
          </cell>
          <cell r="E1666">
            <v>149</v>
          </cell>
          <cell r="F1666">
            <v>43486</v>
          </cell>
          <cell r="G1666" t="str">
            <v>CFM</v>
          </cell>
        </row>
        <row r="1667">
          <cell r="A1667" t="str">
            <v>Y1901-0454</v>
          </cell>
          <cell r="B1667">
            <v>201810</v>
          </cell>
          <cell r="C1667" t="str">
            <v>0100178406</v>
          </cell>
          <cell r="D1667" t="str">
            <v>165524C</v>
          </cell>
          <cell r="E1667">
            <v>184</v>
          </cell>
          <cell r="F1667">
            <v>43486</v>
          </cell>
          <cell r="G1667" t="str">
            <v>CFM</v>
          </cell>
        </row>
        <row r="1668">
          <cell r="A1668" t="str">
            <v>Y1901-0455</v>
          </cell>
          <cell r="B1668">
            <v>201810</v>
          </cell>
          <cell r="C1668" t="str">
            <v>0100178407</v>
          </cell>
          <cell r="D1668" t="str">
            <v>165525C</v>
          </cell>
          <cell r="E1668">
            <v>149</v>
          </cell>
          <cell r="F1668">
            <v>43486</v>
          </cell>
          <cell r="G1668" t="str">
            <v>CFM</v>
          </cell>
        </row>
        <row r="1669">
          <cell r="A1669" t="str">
            <v>Y1901-0456</v>
          </cell>
          <cell r="B1669">
            <v>201810</v>
          </cell>
          <cell r="C1669" t="str">
            <v>0100178448</v>
          </cell>
          <cell r="D1669" t="str">
            <v>361817C</v>
          </cell>
          <cell r="E1669">
            <v>324</v>
          </cell>
          <cell r="F1669">
            <v>43492</v>
          </cell>
          <cell r="G1669" t="str">
            <v>12/11</v>
          </cell>
        </row>
        <row r="1670">
          <cell r="A1670" t="str">
            <v>Y1901-0457</v>
          </cell>
          <cell r="B1670">
            <v>201810</v>
          </cell>
          <cell r="C1670" t="str">
            <v>0100178451</v>
          </cell>
          <cell r="D1670" t="str">
            <v>M7652C</v>
          </cell>
          <cell r="E1670">
            <v>1776</v>
          </cell>
          <cell r="F1670">
            <v>43492</v>
          </cell>
          <cell r="G1670" t="str">
            <v>12/11</v>
          </cell>
        </row>
        <row r="1671">
          <cell r="A1671" t="str">
            <v>Y1901-0458</v>
          </cell>
          <cell r="B1671">
            <v>201810</v>
          </cell>
          <cell r="C1671" t="str">
            <v>0100178452</v>
          </cell>
          <cell r="D1671" t="str">
            <v>164217C</v>
          </cell>
          <cell r="E1671">
            <v>120</v>
          </cell>
          <cell r="F1671">
            <v>43492</v>
          </cell>
          <cell r="G1671" t="str">
            <v>12/18</v>
          </cell>
        </row>
        <row r="1672">
          <cell r="A1672" t="str">
            <v>Y1901-0459</v>
          </cell>
          <cell r="B1672">
            <v>201810</v>
          </cell>
          <cell r="C1672" t="str">
            <v>0100178453</v>
          </cell>
          <cell r="D1672" t="str">
            <v>164220C</v>
          </cell>
          <cell r="E1672">
            <v>120</v>
          </cell>
          <cell r="F1672">
            <v>43492</v>
          </cell>
          <cell r="G1672" t="str">
            <v>12/18</v>
          </cell>
        </row>
        <row r="1673">
          <cell r="A1673" t="str">
            <v>Y1901-0460</v>
          </cell>
          <cell r="B1673">
            <v>201810</v>
          </cell>
          <cell r="C1673" t="str">
            <v>0100178454</v>
          </cell>
          <cell r="D1673" t="str">
            <v>564151C</v>
          </cell>
          <cell r="E1673">
            <v>132</v>
          </cell>
          <cell r="F1673">
            <v>43492</v>
          </cell>
          <cell r="G1673" t="str">
            <v>12/11</v>
          </cell>
        </row>
        <row r="1674">
          <cell r="A1674" t="str">
            <v>Y1901-0461</v>
          </cell>
          <cell r="B1674">
            <v>201810</v>
          </cell>
          <cell r="C1674" t="str">
            <v>0100178455</v>
          </cell>
          <cell r="D1674" t="str">
            <v>564153C</v>
          </cell>
          <cell r="E1674">
            <v>132</v>
          </cell>
          <cell r="F1674">
            <v>43492</v>
          </cell>
          <cell r="G1674" t="str">
            <v>12/11</v>
          </cell>
        </row>
        <row r="1675">
          <cell r="A1675" t="str">
            <v>Y1901-0462</v>
          </cell>
          <cell r="B1675">
            <v>201810</v>
          </cell>
          <cell r="C1675" t="str">
            <v>0100178458</v>
          </cell>
          <cell r="D1675" t="str">
            <v>165525C</v>
          </cell>
          <cell r="E1675">
            <v>184</v>
          </cell>
          <cell r="F1675">
            <v>43486</v>
          </cell>
          <cell r="G1675" t="str">
            <v>CFM</v>
          </cell>
        </row>
        <row r="1676">
          <cell r="A1676" t="str">
            <v>Y1901-0463</v>
          </cell>
          <cell r="B1676">
            <v>201810</v>
          </cell>
          <cell r="C1676" t="str">
            <v>0100178459</v>
          </cell>
          <cell r="D1676" t="str">
            <v>165526C</v>
          </cell>
          <cell r="E1676">
            <v>149</v>
          </cell>
          <cell r="F1676">
            <v>43486</v>
          </cell>
          <cell r="G1676" t="str">
            <v>CFM</v>
          </cell>
        </row>
        <row r="1677">
          <cell r="A1677" t="str">
            <v>Y1901-0464</v>
          </cell>
          <cell r="B1677">
            <v>201810</v>
          </cell>
          <cell r="C1677" t="str">
            <v>0100178460</v>
          </cell>
          <cell r="D1677" t="str">
            <v>165526C</v>
          </cell>
          <cell r="E1677">
            <v>184</v>
          </cell>
          <cell r="F1677">
            <v>43486</v>
          </cell>
          <cell r="G1677" t="str">
            <v>CFM</v>
          </cell>
        </row>
        <row r="1678">
          <cell r="A1678" t="str">
            <v>Y1901-0465</v>
          </cell>
          <cell r="B1678">
            <v>201810</v>
          </cell>
          <cell r="C1678" t="str">
            <v>0100178515</v>
          </cell>
          <cell r="D1678" t="str">
            <v>564071C</v>
          </cell>
          <cell r="E1678">
            <v>156</v>
          </cell>
          <cell r="F1678">
            <v>43492</v>
          </cell>
          <cell r="G1678" t="str">
            <v>12/11</v>
          </cell>
        </row>
        <row r="1679">
          <cell r="A1679" t="str">
            <v>Y1901-0466</v>
          </cell>
          <cell r="B1679">
            <v>201810</v>
          </cell>
          <cell r="C1679" t="str">
            <v>0100178516</v>
          </cell>
          <cell r="D1679" t="str">
            <v>564072C</v>
          </cell>
          <cell r="E1679">
            <v>408</v>
          </cell>
          <cell r="F1679">
            <v>43492</v>
          </cell>
          <cell r="G1679" t="str">
            <v>12/11</v>
          </cell>
        </row>
        <row r="1680">
          <cell r="A1680" t="str">
            <v>Y1901-0467</v>
          </cell>
          <cell r="B1680">
            <v>201810</v>
          </cell>
          <cell r="C1680" t="str">
            <v>0100178517</v>
          </cell>
          <cell r="D1680" t="str">
            <v>M7650C</v>
          </cell>
          <cell r="E1680">
            <v>252</v>
          </cell>
          <cell r="F1680">
            <v>43492</v>
          </cell>
          <cell r="G1680" t="str">
            <v>12/11</v>
          </cell>
        </row>
        <row r="1681">
          <cell r="A1681" t="str">
            <v>Y1901-0468</v>
          </cell>
          <cell r="B1681">
            <v>201810</v>
          </cell>
          <cell r="C1681" t="str">
            <v>0100178518</v>
          </cell>
          <cell r="D1681" t="str">
            <v>M7652C</v>
          </cell>
          <cell r="E1681">
            <v>1224</v>
          </cell>
          <cell r="F1681">
            <v>43492</v>
          </cell>
          <cell r="G1681" t="str">
            <v>12/11</v>
          </cell>
        </row>
        <row r="1682">
          <cell r="A1682" t="str">
            <v>Y1901-0469</v>
          </cell>
          <cell r="B1682">
            <v>201810</v>
          </cell>
          <cell r="C1682" t="str">
            <v>0100178519</v>
          </cell>
          <cell r="D1682" t="str">
            <v>M9697C</v>
          </cell>
          <cell r="E1682">
            <v>840</v>
          </cell>
          <cell r="F1682">
            <v>43492</v>
          </cell>
          <cell r="G1682" t="str">
            <v>12/11</v>
          </cell>
        </row>
        <row r="1683">
          <cell r="A1683" t="str">
            <v>Y1901-0470</v>
          </cell>
          <cell r="B1683">
            <v>201810</v>
          </cell>
          <cell r="C1683" t="str">
            <v>0100178520</v>
          </cell>
          <cell r="D1683" t="str">
            <v>564154C</v>
          </cell>
          <cell r="E1683">
            <v>132</v>
          </cell>
          <cell r="F1683">
            <v>43492</v>
          </cell>
          <cell r="G1683" t="str">
            <v>12/11</v>
          </cell>
        </row>
        <row r="1684">
          <cell r="A1684" t="str">
            <v>Y1901-0471</v>
          </cell>
          <cell r="B1684">
            <v>201810</v>
          </cell>
          <cell r="C1684" t="str">
            <v>0100178521</v>
          </cell>
          <cell r="D1684" t="str">
            <v>M3310C</v>
          </cell>
          <cell r="E1684">
            <v>540</v>
          </cell>
          <cell r="F1684">
            <v>43492</v>
          </cell>
          <cell r="G1684" t="str">
            <v>12/11</v>
          </cell>
        </row>
        <row r="1685">
          <cell r="A1685" t="str">
            <v>Y1902-0368</v>
          </cell>
          <cell r="B1685">
            <v>201810</v>
          </cell>
          <cell r="C1685" t="str">
            <v>0100178524</v>
          </cell>
          <cell r="D1685" t="str">
            <v>3J256C</v>
          </cell>
          <cell r="E1685">
            <v>780</v>
          </cell>
          <cell r="F1685">
            <v>43474</v>
          </cell>
          <cell r="G1685" t="str">
            <v>CFM</v>
          </cell>
        </row>
        <row r="1686">
          <cell r="A1686" t="str">
            <v>Y1901-0472</v>
          </cell>
          <cell r="B1686">
            <v>201810</v>
          </cell>
          <cell r="C1686" t="str">
            <v>0100178615</v>
          </cell>
          <cell r="D1686" t="str">
            <v>164358C</v>
          </cell>
          <cell r="E1686">
            <v>216</v>
          </cell>
          <cell r="F1686">
            <v>43492</v>
          </cell>
          <cell r="G1686" t="str">
            <v>CFM</v>
          </cell>
        </row>
        <row r="1687">
          <cell r="A1687" t="str">
            <v>Y1901-0473</v>
          </cell>
          <cell r="B1687">
            <v>201810</v>
          </cell>
          <cell r="C1687" t="str">
            <v>0100178616</v>
          </cell>
          <cell r="D1687" t="str">
            <v>164359C</v>
          </cell>
          <cell r="E1687">
            <v>216</v>
          </cell>
          <cell r="F1687">
            <v>43492</v>
          </cell>
          <cell r="G1687" t="str">
            <v>CFM</v>
          </cell>
        </row>
        <row r="1688">
          <cell r="A1688" t="str">
            <v>Y1901-0474</v>
          </cell>
          <cell r="B1688">
            <v>201810</v>
          </cell>
          <cell r="C1688" t="str">
            <v>0100178617</v>
          </cell>
          <cell r="D1688" t="str">
            <v>164360C</v>
          </cell>
          <cell r="E1688">
            <v>216</v>
          </cell>
          <cell r="F1688">
            <v>43492</v>
          </cell>
          <cell r="G1688" t="str">
            <v>CFM</v>
          </cell>
        </row>
        <row r="1689">
          <cell r="A1689" t="str">
            <v>Y1901-0475</v>
          </cell>
          <cell r="B1689">
            <v>201810</v>
          </cell>
          <cell r="C1689" t="str">
            <v>0100178618</v>
          </cell>
          <cell r="D1689" t="str">
            <v>764172C</v>
          </cell>
          <cell r="E1689">
            <v>144</v>
          </cell>
          <cell r="F1689">
            <v>43492</v>
          </cell>
          <cell r="G1689" t="str">
            <v>12/11</v>
          </cell>
        </row>
        <row r="1690">
          <cell r="A1690" t="str">
            <v>Y1901-0476</v>
          </cell>
          <cell r="B1690">
            <v>201810</v>
          </cell>
          <cell r="C1690" t="str">
            <v>0100178619</v>
          </cell>
          <cell r="D1690" t="str">
            <v>764173C</v>
          </cell>
          <cell r="E1690">
            <v>144</v>
          </cell>
          <cell r="F1690">
            <v>43492</v>
          </cell>
          <cell r="G1690" t="str">
            <v>12/11</v>
          </cell>
        </row>
        <row r="1691">
          <cell r="A1691" t="str">
            <v>Y1901-0477</v>
          </cell>
          <cell r="B1691">
            <v>201810</v>
          </cell>
          <cell r="C1691" t="str">
            <v>0100178620</v>
          </cell>
          <cell r="D1691" t="str">
            <v>764173C</v>
          </cell>
          <cell r="E1691">
            <v>120</v>
          </cell>
          <cell r="F1691">
            <v>43492</v>
          </cell>
          <cell r="G1691" t="str">
            <v>12/11</v>
          </cell>
        </row>
        <row r="1692">
          <cell r="A1692" t="str">
            <v>Y1901-0478</v>
          </cell>
          <cell r="B1692">
            <v>201810</v>
          </cell>
          <cell r="C1692" t="str">
            <v>0100178621</v>
          </cell>
          <cell r="D1692" t="str">
            <v>7J256C</v>
          </cell>
          <cell r="E1692">
            <v>120</v>
          </cell>
          <cell r="F1692">
            <v>43492</v>
          </cell>
          <cell r="G1692" t="str">
            <v>12/11</v>
          </cell>
        </row>
        <row r="1693">
          <cell r="A1693" t="str">
            <v>Y1901-0479</v>
          </cell>
          <cell r="B1693">
            <v>201810</v>
          </cell>
          <cell r="C1693" t="str">
            <v>0100178622</v>
          </cell>
          <cell r="D1693" t="str">
            <v>M7650C</v>
          </cell>
          <cell r="E1693">
            <v>516</v>
          </cell>
          <cell r="F1693">
            <v>43492</v>
          </cell>
          <cell r="G1693" t="str">
            <v>12/11</v>
          </cell>
        </row>
        <row r="1694">
          <cell r="A1694" t="str">
            <v>Y1901-0480</v>
          </cell>
          <cell r="B1694">
            <v>201810</v>
          </cell>
          <cell r="C1694" t="str">
            <v>0100178623</v>
          </cell>
          <cell r="D1694" t="str">
            <v>M7652C</v>
          </cell>
          <cell r="E1694">
            <v>1944</v>
          </cell>
          <cell r="F1694">
            <v>43492</v>
          </cell>
          <cell r="G1694" t="str">
            <v>12/11</v>
          </cell>
        </row>
        <row r="1695">
          <cell r="A1695" t="str">
            <v>Y1901-0481</v>
          </cell>
          <cell r="B1695">
            <v>201810</v>
          </cell>
          <cell r="C1695" t="str">
            <v>0100178624</v>
          </cell>
          <cell r="D1695" t="str">
            <v>M9697C</v>
          </cell>
          <cell r="E1695">
            <v>708</v>
          </cell>
          <cell r="F1695">
            <v>43492</v>
          </cell>
          <cell r="G1695" t="str">
            <v>12/11</v>
          </cell>
        </row>
        <row r="1696">
          <cell r="A1696" t="str">
            <v>Y1902-0378</v>
          </cell>
          <cell r="B1696">
            <v>201810</v>
          </cell>
          <cell r="C1696" t="str">
            <v>0100178634</v>
          </cell>
          <cell r="D1696" t="str">
            <v>564152C</v>
          </cell>
          <cell r="E1696">
            <v>204</v>
          </cell>
          <cell r="F1696">
            <v>43487</v>
          </cell>
          <cell r="G1696" t="str">
            <v>12/11</v>
          </cell>
        </row>
        <row r="1697">
          <cell r="A1697" t="str">
            <v>Y1901-0482</v>
          </cell>
          <cell r="B1697">
            <v>201810</v>
          </cell>
          <cell r="C1697" t="str">
            <v>0100178684</v>
          </cell>
          <cell r="D1697">
            <v>88865</v>
          </cell>
          <cell r="E1697">
            <v>144</v>
          </cell>
          <cell r="F1697">
            <v>43492</v>
          </cell>
          <cell r="G1697" t="str">
            <v>12/11</v>
          </cell>
        </row>
        <row r="1698">
          <cell r="A1698" t="str">
            <v>Y1901-0483</v>
          </cell>
          <cell r="B1698">
            <v>201810</v>
          </cell>
          <cell r="C1698" t="str">
            <v>0100178685</v>
          </cell>
          <cell r="D1698">
            <v>88877</v>
          </cell>
          <cell r="E1698">
            <v>360</v>
          </cell>
          <cell r="F1698">
            <v>43492</v>
          </cell>
          <cell r="G1698" t="str">
            <v>12/11</v>
          </cell>
        </row>
        <row r="1699">
          <cell r="A1699" t="str">
            <v>Y1901-0484</v>
          </cell>
          <cell r="B1699">
            <v>201810</v>
          </cell>
          <cell r="C1699" t="str">
            <v>0100178686</v>
          </cell>
          <cell r="D1699" t="str">
            <v>164360C</v>
          </cell>
          <cell r="E1699">
            <v>132</v>
          </cell>
          <cell r="F1699">
            <v>43492</v>
          </cell>
          <cell r="G1699" t="str">
            <v>12/11</v>
          </cell>
        </row>
        <row r="1700">
          <cell r="A1700" t="str">
            <v>Y1901-0485</v>
          </cell>
          <cell r="B1700">
            <v>201810</v>
          </cell>
          <cell r="C1700" t="str">
            <v>0100178687</v>
          </cell>
          <cell r="D1700" t="str">
            <v>164358C</v>
          </cell>
          <cell r="E1700">
            <v>120</v>
          </cell>
          <cell r="F1700">
            <v>43492</v>
          </cell>
          <cell r="G1700" t="str">
            <v>12/11</v>
          </cell>
        </row>
        <row r="1701">
          <cell r="A1701" t="str">
            <v>Y1901-0486</v>
          </cell>
          <cell r="B1701">
            <v>201810</v>
          </cell>
          <cell r="C1701" t="str">
            <v>0100178732</v>
          </cell>
          <cell r="D1701" t="str">
            <v>564151C</v>
          </cell>
          <cell r="E1701">
            <v>132</v>
          </cell>
          <cell r="F1701">
            <v>43492</v>
          </cell>
          <cell r="G1701" t="str">
            <v>CFM</v>
          </cell>
        </row>
        <row r="1702">
          <cell r="A1702" t="str">
            <v>Y1901-0487</v>
          </cell>
          <cell r="B1702">
            <v>201810</v>
          </cell>
          <cell r="C1702" t="str">
            <v>0100178733</v>
          </cell>
          <cell r="D1702" t="str">
            <v>564152C</v>
          </cell>
          <cell r="E1702">
            <v>132</v>
          </cell>
          <cell r="F1702">
            <v>43492</v>
          </cell>
          <cell r="G1702" t="str">
            <v>CFM</v>
          </cell>
        </row>
        <row r="1703">
          <cell r="A1703" t="str">
            <v>Y1901-0488</v>
          </cell>
          <cell r="B1703">
            <v>201810</v>
          </cell>
          <cell r="C1703" t="str">
            <v>0100178734</v>
          </cell>
          <cell r="D1703" t="str">
            <v>564154C</v>
          </cell>
          <cell r="E1703">
            <v>132</v>
          </cell>
          <cell r="F1703">
            <v>43492</v>
          </cell>
          <cell r="G1703" t="str">
            <v>CFM</v>
          </cell>
        </row>
        <row r="1704">
          <cell r="A1704" t="str">
            <v>Y1901-0489</v>
          </cell>
          <cell r="B1704">
            <v>201810</v>
          </cell>
          <cell r="C1704" t="str">
            <v>0100178735</v>
          </cell>
          <cell r="D1704" t="str">
            <v>564205C</v>
          </cell>
          <cell r="E1704">
            <v>132</v>
          </cell>
          <cell r="F1704">
            <v>43492</v>
          </cell>
          <cell r="G1704" t="str">
            <v>CFM</v>
          </cell>
        </row>
        <row r="1705">
          <cell r="A1705" t="str">
            <v>Y1901-0490</v>
          </cell>
          <cell r="B1705">
            <v>201810</v>
          </cell>
          <cell r="C1705" t="str">
            <v>0100178736</v>
          </cell>
          <cell r="D1705" t="str">
            <v>564206C</v>
          </cell>
          <cell r="E1705">
            <v>168</v>
          </cell>
          <cell r="F1705">
            <v>43492</v>
          </cell>
          <cell r="G1705" t="str">
            <v>CFM</v>
          </cell>
        </row>
        <row r="1706">
          <cell r="A1706" t="str">
            <v>Y1901-0491</v>
          </cell>
          <cell r="B1706">
            <v>201810</v>
          </cell>
          <cell r="C1706" t="str">
            <v>0100178737</v>
          </cell>
          <cell r="D1706" t="str">
            <v>564207C</v>
          </cell>
          <cell r="E1706">
            <v>168</v>
          </cell>
          <cell r="F1706">
            <v>43492</v>
          </cell>
          <cell r="G1706" t="str">
            <v>CFM</v>
          </cell>
        </row>
        <row r="1707">
          <cell r="A1707" t="str">
            <v>Y1901-0492</v>
          </cell>
          <cell r="B1707">
            <v>201810</v>
          </cell>
          <cell r="C1707" t="str">
            <v>0100178738</v>
          </cell>
          <cell r="D1707" t="str">
            <v>8J231</v>
          </cell>
          <cell r="E1707">
            <v>360</v>
          </cell>
          <cell r="F1707">
            <v>43492</v>
          </cell>
          <cell r="G1707" t="str">
            <v>12/11</v>
          </cell>
        </row>
        <row r="1708">
          <cell r="A1708" t="str">
            <v>Y1902-0386</v>
          </cell>
          <cell r="B1708">
            <v>201810</v>
          </cell>
          <cell r="C1708" t="str">
            <v>0100178743</v>
          </cell>
          <cell r="D1708" t="str">
            <v>7J256C</v>
          </cell>
          <cell r="E1708">
            <v>228</v>
          </cell>
          <cell r="F1708">
            <v>43474</v>
          </cell>
          <cell r="G1708" t="str">
            <v>CFM</v>
          </cell>
        </row>
        <row r="1709">
          <cell r="A1709" t="str">
            <v>Y1902-0387</v>
          </cell>
          <cell r="B1709">
            <v>201810</v>
          </cell>
          <cell r="C1709" t="str">
            <v>0100178744</v>
          </cell>
          <cell r="D1709" t="str">
            <v>M7652C</v>
          </cell>
          <cell r="E1709">
            <v>1500</v>
          </cell>
          <cell r="F1709">
            <v>43474</v>
          </cell>
          <cell r="G1709" t="str">
            <v>CFM</v>
          </cell>
        </row>
        <row r="1710">
          <cell r="A1710" t="str">
            <v>Y1901-0493</v>
          </cell>
          <cell r="B1710">
            <v>201810</v>
          </cell>
          <cell r="C1710" t="str">
            <v>0100178834</v>
          </cell>
          <cell r="D1710" t="str">
            <v>M7652C</v>
          </cell>
          <cell r="E1710">
            <v>264</v>
          </cell>
          <cell r="F1710">
            <v>43492</v>
          </cell>
          <cell r="G1710" t="str">
            <v>CFM</v>
          </cell>
        </row>
        <row r="1711">
          <cell r="A1711" t="str">
            <v>Y1901-0494</v>
          </cell>
          <cell r="B1711">
            <v>201810</v>
          </cell>
          <cell r="C1711" t="str">
            <v>0100178835</v>
          </cell>
          <cell r="D1711" t="str">
            <v>M9697C</v>
          </cell>
          <cell r="E1711">
            <v>288</v>
          </cell>
          <cell r="F1711">
            <v>43492</v>
          </cell>
          <cell r="G1711" t="str">
            <v>CFM</v>
          </cell>
        </row>
        <row r="1712">
          <cell r="A1712" t="str">
            <v>Y1901-0495</v>
          </cell>
          <cell r="B1712">
            <v>201810</v>
          </cell>
          <cell r="C1712" t="str">
            <v>0100178849</v>
          </cell>
          <cell r="D1712" t="str">
            <v>564206C</v>
          </cell>
          <cell r="E1712">
            <v>180</v>
          </cell>
          <cell r="F1712">
            <v>43492</v>
          </cell>
          <cell r="G1712" t="str">
            <v>12/11</v>
          </cell>
        </row>
        <row r="1713">
          <cell r="A1713" t="str">
            <v>Y1901-0496</v>
          </cell>
          <cell r="B1713">
            <v>201810</v>
          </cell>
          <cell r="C1713" t="str">
            <v>0100178850</v>
          </cell>
          <cell r="D1713" t="str">
            <v>564204C</v>
          </cell>
          <cell r="E1713">
            <v>180</v>
          </cell>
          <cell r="F1713">
            <v>43492</v>
          </cell>
          <cell r="G1713" t="str">
            <v>12/11</v>
          </cell>
        </row>
        <row r="1714">
          <cell r="A1714" t="str">
            <v>Y1901-0497</v>
          </cell>
          <cell r="B1714">
            <v>201810</v>
          </cell>
          <cell r="C1714" t="str">
            <v>0100178851</v>
          </cell>
          <cell r="D1714" t="str">
            <v>564205C</v>
          </cell>
          <cell r="E1714">
            <v>156</v>
          </cell>
          <cell r="F1714">
            <v>43492</v>
          </cell>
          <cell r="G1714" t="str">
            <v>12/11</v>
          </cell>
        </row>
        <row r="1715">
          <cell r="A1715" t="str">
            <v>Y1901-0498</v>
          </cell>
          <cell r="B1715">
            <v>201810</v>
          </cell>
          <cell r="C1715" t="str">
            <v>0100178852</v>
          </cell>
          <cell r="D1715" t="str">
            <v>564207C</v>
          </cell>
          <cell r="E1715">
            <v>120</v>
          </cell>
          <cell r="F1715">
            <v>43492</v>
          </cell>
          <cell r="G1715" t="str">
            <v>12/11</v>
          </cell>
        </row>
        <row r="1716">
          <cell r="A1716" t="str">
            <v>Y1901-0499</v>
          </cell>
          <cell r="B1716">
            <v>201810</v>
          </cell>
          <cell r="C1716" t="str">
            <v>0100178853</v>
          </cell>
          <cell r="D1716" t="str">
            <v>361818C</v>
          </cell>
          <cell r="E1716">
            <v>120</v>
          </cell>
          <cell r="F1716">
            <v>43492</v>
          </cell>
          <cell r="G1716" t="str">
            <v>12/11</v>
          </cell>
        </row>
        <row r="1717">
          <cell r="A1717" t="str">
            <v>Y1901-0500</v>
          </cell>
          <cell r="B1717">
            <v>201810</v>
          </cell>
          <cell r="C1717" t="str">
            <v>0100178854</v>
          </cell>
          <cell r="D1717" t="str">
            <v>361817C</v>
          </cell>
          <cell r="E1717">
            <v>120</v>
          </cell>
          <cell r="F1717">
            <v>43492</v>
          </cell>
          <cell r="G1717" t="str">
            <v>12/11</v>
          </cell>
        </row>
        <row r="1718">
          <cell r="A1718" t="str">
            <v>Y1901-0501</v>
          </cell>
          <cell r="B1718">
            <v>201810</v>
          </cell>
          <cell r="C1718" t="str">
            <v>4600064484</v>
          </cell>
          <cell r="D1718" t="str">
            <v>8J231</v>
          </cell>
          <cell r="E1718">
            <v>564</v>
          </cell>
          <cell r="F1718">
            <v>43484</v>
          </cell>
          <cell r="G1718" t="str">
            <v>12/11</v>
          </cell>
        </row>
        <row r="1719">
          <cell r="A1719" t="str">
            <v>Y1901-0502</v>
          </cell>
          <cell r="B1719">
            <v>201810</v>
          </cell>
          <cell r="C1719" t="str">
            <v>4600064485</v>
          </cell>
          <cell r="D1719" t="str">
            <v>155066C</v>
          </cell>
          <cell r="E1719">
            <v>720</v>
          </cell>
          <cell r="F1719">
            <v>43484</v>
          </cell>
          <cell r="G1719" t="str">
            <v>12/11</v>
          </cell>
        </row>
        <row r="1720">
          <cell r="A1720" t="str">
            <v>Y1901-0503</v>
          </cell>
          <cell r="B1720">
            <v>201810</v>
          </cell>
          <cell r="C1720" t="str">
            <v>4600064486</v>
          </cell>
          <cell r="D1720" t="str">
            <v>155064C</v>
          </cell>
          <cell r="E1720">
            <v>720</v>
          </cell>
          <cell r="F1720">
            <v>43484</v>
          </cell>
          <cell r="G1720" t="str">
            <v>12/11</v>
          </cell>
        </row>
        <row r="1721">
          <cell r="A1721" t="str">
            <v>Y1901-0504</v>
          </cell>
          <cell r="B1721">
            <v>201810</v>
          </cell>
          <cell r="C1721" t="str">
            <v>4600064487</v>
          </cell>
          <cell r="D1721">
            <v>88871</v>
          </cell>
          <cell r="E1721">
            <v>492</v>
          </cell>
          <cell r="F1721">
            <v>43484</v>
          </cell>
          <cell r="G1721" t="str">
            <v>12/11</v>
          </cell>
        </row>
        <row r="1722">
          <cell r="A1722" t="str">
            <v>Y1901-0505</v>
          </cell>
          <cell r="B1722">
            <v>201810</v>
          </cell>
          <cell r="C1722" t="str">
            <v>4600064488</v>
          </cell>
          <cell r="D1722">
            <v>88865</v>
          </cell>
          <cell r="E1722">
            <v>648</v>
          </cell>
          <cell r="F1722">
            <v>43484</v>
          </cell>
          <cell r="G1722" t="str">
            <v>12/11</v>
          </cell>
        </row>
        <row r="1723">
          <cell r="A1723" t="str">
            <v>Y1902-0405</v>
          </cell>
          <cell r="B1723">
            <v>201810</v>
          </cell>
          <cell r="C1723" t="str">
            <v>4600064491</v>
          </cell>
          <cell r="D1723" t="str">
            <v>164059C</v>
          </cell>
          <cell r="E1723">
            <v>1908</v>
          </cell>
          <cell r="F1723">
            <v>43490</v>
          </cell>
          <cell r="G1723" t="str">
            <v>12/11</v>
          </cell>
        </row>
        <row r="1724">
          <cell r="A1724" t="str">
            <v>Y1902-0406</v>
          </cell>
          <cell r="B1724">
            <v>201810</v>
          </cell>
          <cell r="C1724" t="str">
            <v>4600064493</v>
          </cell>
          <cell r="D1724" t="str">
            <v>164058C</v>
          </cell>
          <cell r="E1724">
            <v>1440</v>
          </cell>
          <cell r="F1724">
            <v>43490</v>
          </cell>
          <cell r="G1724" t="str">
            <v>12/11</v>
          </cell>
        </row>
        <row r="1725">
          <cell r="A1725" t="str">
            <v>Y1901-0506</v>
          </cell>
          <cell r="B1725">
            <v>201810</v>
          </cell>
          <cell r="C1725" t="str">
            <v>4600064496</v>
          </cell>
          <cell r="D1725" t="str">
            <v>164217C</v>
          </cell>
          <cell r="E1725">
            <v>120</v>
          </cell>
          <cell r="F1725">
            <v>43484</v>
          </cell>
          <cell r="G1725" t="str">
            <v>12/18</v>
          </cell>
        </row>
        <row r="1726">
          <cell r="A1726" t="str">
            <v>Y1902-0407</v>
          </cell>
          <cell r="B1726">
            <v>201810</v>
          </cell>
          <cell r="C1726" t="str">
            <v>4600064497</v>
          </cell>
          <cell r="D1726" t="str">
            <v>564206C</v>
          </cell>
          <cell r="E1726">
            <v>156</v>
          </cell>
          <cell r="F1726">
            <v>43492</v>
          </cell>
          <cell r="G1726" t="str">
            <v>12/11</v>
          </cell>
        </row>
        <row r="1727">
          <cell r="A1727" t="str">
            <v>Y1902-0408</v>
          </cell>
          <cell r="B1727">
            <v>201810</v>
          </cell>
          <cell r="C1727" t="str">
            <v>4600064498</v>
          </cell>
          <cell r="D1727" t="str">
            <v>564205C</v>
          </cell>
          <cell r="E1727">
            <v>156</v>
          </cell>
          <cell r="F1727">
            <v>43492</v>
          </cell>
          <cell r="G1727" t="str">
            <v>12/11</v>
          </cell>
        </row>
        <row r="1728">
          <cell r="A1728" t="str">
            <v>Y1902-0409</v>
          </cell>
          <cell r="B1728">
            <v>201810</v>
          </cell>
          <cell r="C1728" t="str">
            <v>4600064499</v>
          </cell>
          <cell r="D1728" t="str">
            <v>564151C</v>
          </cell>
          <cell r="E1728">
            <v>1020</v>
          </cell>
          <cell r="F1728">
            <v>43490</v>
          </cell>
          <cell r="G1728" t="str">
            <v>12/11</v>
          </cell>
        </row>
        <row r="1729">
          <cell r="A1729" t="str">
            <v>Y1901-0507</v>
          </cell>
          <cell r="B1729">
            <v>201810</v>
          </cell>
          <cell r="C1729" t="str">
            <v>4600064502</v>
          </cell>
          <cell r="D1729" t="str">
            <v>164220C</v>
          </cell>
          <cell r="E1729">
            <v>120</v>
          </cell>
          <cell r="F1729">
            <v>43484</v>
          </cell>
          <cell r="G1729" t="str">
            <v>12/18</v>
          </cell>
        </row>
        <row r="1730">
          <cell r="A1730" t="str">
            <v>Y1901-0508</v>
          </cell>
          <cell r="B1730">
            <v>201810</v>
          </cell>
          <cell r="C1730" t="str">
            <v>4600064503</v>
          </cell>
          <cell r="D1730" t="str">
            <v>164219C</v>
          </cell>
          <cell r="E1730">
            <v>120</v>
          </cell>
          <cell r="F1730">
            <v>43484</v>
          </cell>
          <cell r="G1730" t="str">
            <v>12/18</v>
          </cell>
        </row>
        <row r="1731">
          <cell r="A1731" t="str">
            <v>Y1901-0509</v>
          </cell>
          <cell r="B1731">
            <v>201810</v>
          </cell>
          <cell r="C1731" t="str">
            <v>4600064506</v>
          </cell>
          <cell r="D1731" t="str">
            <v>565536C</v>
          </cell>
          <cell r="E1731">
            <v>48</v>
          </cell>
          <cell r="F1731">
            <v>43484</v>
          </cell>
          <cell r="G1731" t="str">
            <v>12/11</v>
          </cell>
        </row>
        <row r="1732">
          <cell r="A1732" t="str">
            <v>Y1901-0510</v>
          </cell>
          <cell r="B1732">
            <v>201810</v>
          </cell>
          <cell r="C1732" t="str">
            <v>4600064507</v>
          </cell>
          <cell r="D1732" t="str">
            <v>164391C</v>
          </cell>
          <cell r="E1732">
            <v>420</v>
          </cell>
          <cell r="F1732">
            <v>43484</v>
          </cell>
          <cell r="G1732" t="str">
            <v>12/11</v>
          </cell>
        </row>
        <row r="1733">
          <cell r="A1733" t="str">
            <v>Y1901-0511</v>
          </cell>
          <cell r="B1733">
            <v>201810</v>
          </cell>
          <cell r="C1733" t="str">
            <v>4600064508</v>
          </cell>
          <cell r="D1733" t="str">
            <v>164390C</v>
          </cell>
          <cell r="E1733">
            <v>300</v>
          </cell>
          <cell r="F1733">
            <v>43484</v>
          </cell>
          <cell r="G1733" t="str">
            <v>12/11</v>
          </cell>
        </row>
        <row r="1734">
          <cell r="A1734" t="str">
            <v>Y1901-0512</v>
          </cell>
          <cell r="B1734">
            <v>201810</v>
          </cell>
          <cell r="C1734" t="str">
            <v>4600064509</v>
          </cell>
          <cell r="D1734" t="str">
            <v>163269C</v>
          </cell>
          <cell r="E1734">
            <v>1104</v>
          </cell>
          <cell r="F1734">
            <v>43484</v>
          </cell>
          <cell r="G1734" t="str">
            <v>12/11</v>
          </cell>
        </row>
        <row r="1735">
          <cell r="A1735" t="str">
            <v>Y1901-0513</v>
          </cell>
          <cell r="B1735">
            <v>201810</v>
          </cell>
          <cell r="C1735" t="str">
            <v>4600064510</v>
          </cell>
          <cell r="D1735" t="str">
            <v>158369C</v>
          </cell>
          <cell r="E1735">
            <v>936</v>
          </cell>
          <cell r="F1735">
            <v>43484</v>
          </cell>
          <cell r="G1735" t="str">
            <v>12/11</v>
          </cell>
        </row>
        <row r="1736">
          <cell r="A1736" t="str">
            <v>Y1902-0410</v>
          </cell>
          <cell r="B1736">
            <v>201810</v>
          </cell>
          <cell r="C1736" t="str">
            <v>4600064511</v>
          </cell>
          <cell r="D1736" t="str">
            <v>564204C</v>
          </cell>
          <cell r="E1736">
            <v>156</v>
          </cell>
          <cell r="F1736">
            <v>43492</v>
          </cell>
          <cell r="G1736" t="str">
            <v>12/11</v>
          </cell>
        </row>
        <row r="1737">
          <cell r="A1737" t="str">
            <v>Y1902-0411</v>
          </cell>
          <cell r="B1737">
            <v>201810</v>
          </cell>
          <cell r="C1737" t="str">
            <v>4600064512</v>
          </cell>
          <cell r="D1737" t="str">
            <v>564154C</v>
          </cell>
          <cell r="E1737">
            <v>1020</v>
          </cell>
          <cell r="F1737">
            <v>43490</v>
          </cell>
          <cell r="G1737" t="str">
            <v>12/11</v>
          </cell>
        </row>
        <row r="1738">
          <cell r="A1738" t="str">
            <v>Y1902-0412</v>
          </cell>
          <cell r="B1738">
            <v>201810</v>
          </cell>
          <cell r="C1738" t="str">
            <v>4600064513</v>
          </cell>
          <cell r="D1738" t="str">
            <v>564153C</v>
          </cell>
          <cell r="E1738">
            <v>1020</v>
          </cell>
          <cell r="F1738">
            <v>43490</v>
          </cell>
          <cell r="G1738" t="str">
            <v>12/11</v>
          </cell>
        </row>
        <row r="1739">
          <cell r="A1739" t="str">
            <v>Y1902-0413</v>
          </cell>
          <cell r="B1739">
            <v>201810</v>
          </cell>
          <cell r="C1739" t="str">
            <v>4600064514</v>
          </cell>
          <cell r="D1739" t="str">
            <v>564152C</v>
          </cell>
          <cell r="E1739">
            <v>1020</v>
          </cell>
          <cell r="F1739">
            <v>43490</v>
          </cell>
          <cell r="G1739" t="str">
            <v>12/11</v>
          </cell>
        </row>
        <row r="1740">
          <cell r="A1740" t="str">
            <v>Y1901-0514</v>
          </cell>
          <cell r="B1740">
            <v>201810</v>
          </cell>
          <cell r="C1740" t="str">
            <v>4600064520</v>
          </cell>
          <cell r="D1740" t="str">
            <v>161599C</v>
          </cell>
          <cell r="E1740">
            <v>156</v>
          </cell>
          <cell r="F1740">
            <v>43484</v>
          </cell>
          <cell r="G1740" t="str">
            <v>12/11</v>
          </cell>
        </row>
        <row r="1741">
          <cell r="A1741" t="str">
            <v>Y1901-0515</v>
          </cell>
          <cell r="B1741">
            <v>201810</v>
          </cell>
          <cell r="C1741" t="str">
            <v>4600064522</v>
          </cell>
          <cell r="D1741">
            <v>88877</v>
          </cell>
          <cell r="E1741">
            <v>864</v>
          </cell>
          <cell r="F1741">
            <v>43484</v>
          </cell>
          <cell r="G1741" t="str">
            <v>12/11</v>
          </cell>
        </row>
        <row r="1742">
          <cell r="A1742" t="str">
            <v>Y1901-0516</v>
          </cell>
          <cell r="B1742">
            <v>201810</v>
          </cell>
          <cell r="C1742" t="str">
            <v>4600064523</v>
          </cell>
          <cell r="D1742" t="str">
            <v>159786C</v>
          </cell>
          <cell r="E1742">
            <v>468</v>
          </cell>
          <cell r="F1742">
            <v>43484</v>
          </cell>
          <cell r="G1742" t="str">
            <v>12/11</v>
          </cell>
        </row>
        <row r="1743">
          <cell r="A1743" t="str">
            <v>Y1902-0414</v>
          </cell>
          <cell r="B1743">
            <v>201810</v>
          </cell>
          <cell r="C1743" t="str">
            <v>4600064524</v>
          </cell>
          <cell r="D1743" t="str">
            <v>161603C</v>
          </cell>
          <cell r="E1743">
            <v>2544</v>
          </cell>
          <cell r="F1743">
            <v>43490</v>
          </cell>
          <cell r="G1743" t="str">
            <v>12/11</v>
          </cell>
        </row>
        <row r="1744">
          <cell r="A1744" t="str">
            <v>Y1901-0517</v>
          </cell>
          <cell r="B1744">
            <v>201810</v>
          </cell>
          <cell r="C1744" t="str">
            <v>4600064530</v>
          </cell>
          <cell r="D1744" t="str">
            <v>164525C</v>
          </cell>
          <cell r="E1744">
            <v>1344</v>
          </cell>
          <cell r="F1744">
            <v>43484</v>
          </cell>
          <cell r="G1744" t="str">
            <v>12/11</v>
          </cell>
        </row>
        <row r="1745">
          <cell r="A1745" t="str">
            <v>Y1901-0518</v>
          </cell>
          <cell r="B1745">
            <v>201810</v>
          </cell>
          <cell r="C1745" t="str">
            <v>4600064531</v>
          </cell>
          <cell r="D1745" t="str">
            <v>164393C</v>
          </cell>
          <cell r="E1745">
            <v>600</v>
          </cell>
          <cell r="F1745">
            <v>43484</v>
          </cell>
          <cell r="G1745" t="str">
            <v>12/11</v>
          </cell>
        </row>
        <row r="1746">
          <cell r="A1746" t="str">
            <v>Y1902-0415</v>
          </cell>
          <cell r="B1746">
            <v>201810</v>
          </cell>
          <cell r="C1746" t="str">
            <v>4600064533</v>
          </cell>
          <cell r="D1746" t="str">
            <v>164058C</v>
          </cell>
          <cell r="E1746">
            <v>360</v>
          </cell>
          <cell r="F1746">
            <v>43490</v>
          </cell>
          <cell r="G1746" t="str">
            <v>12/11</v>
          </cell>
        </row>
        <row r="1747">
          <cell r="A1747" t="str">
            <v>Y1902-0416</v>
          </cell>
          <cell r="B1747">
            <v>201810</v>
          </cell>
          <cell r="C1747" t="str">
            <v>4600064541</v>
          </cell>
          <cell r="D1747" t="str">
            <v>564153C</v>
          </cell>
          <cell r="E1747">
            <v>204</v>
          </cell>
          <cell r="F1747">
            <v>43490</v>
          </cell>
          <cell r="G1747" t="str">
            <v>12/11</v>
          </cell>
        </row>
        <row r="1748">
          <cell r="A1748" t="str">
            <v>Y1902-0417</v>
          </cell>
          <cell r="B1748">
            <v>201810</v>
          </cell>
          <cell r="C1748" t="str">
            <v>4600064544</v>
          </cell>
          <cell r="D1748" t="str">
            <v>161603C</v>
          </cell>
          <cell r="E1748">
            <v>384</v>
          </cell>
          <cell r="F1748">
            <v>43490</v>
          </cell>
          <cell r="G1748" t="str">
            <v>12/11</v>
          </cell>
        </row>
        <row r="1749">
          <cell r="A1749" t="str">
            <v>Y1902-0418</v>
          </cell>
          <cell r="B1749">
            <v>201810</v>
          </cell>
          <cell r="C1749" t="str">
            <v>4600064545</v>
          </cell>
          <cell r="D1749" t="str">
            <v>164059C</v>
          </cell>
          <cell r="E1749">
            <v>216</v>
          </cell>
          <cell r="F1749">
            <v>43490</v>
          </cell>
          <cell r="G1749" t="str">
            <v>12/11</v>
          </cell>
        </row>
        <row r="1750">
          <cell r="A1750" t="str">
            <v>Y1902-0419</v>
          </cell>
          <cell r="B1750">
            <v>201810</v>
          </cell>
          <cell r="C1750" t="str">
            <v>4600064546</v>
          </cell>
          <cell r="D1750" t="str">
            <v>564154C</v>
          </cell>
          <cell r="E1750">
            <v>312</v>
          </cell>
          <cell r="F1750">
            <v>43490</v>
          </cell>
          <cell r="G1750" t="str">
            <v>12/11</v>
          </cell>
        </row>
        <row r="1751">
          <cell r="A1751" t="str">
            <v>Y1902-0420</v>
          </cell>
          <cell r="B1751">
            <v>201810</v>
          </cell>
          <cell r="C1751" t="str">
            <v>4600064547</v>
          </cell>
          <cell r="D1751" t="str">
            <v>564152C</v>
          </cell>
          <cell r="E1751">
            <v>204</v>
          </cell>
          <cell r="F1751">
            <v>43490</v>
          </cell>
          <cell r="G1751" t="str">
            <v>12/11</v>
          </cell>
        </row>
        <row r="1752">
          <cell r="A1752" t="str">
            <v>Y1902-0421</v>
          </cell>
          <cell r="B1752">
            <v>201810</v>
          </cell>
          <cell r="C1752" t="str">
            <v>4600064548</v>
          </cell>
          <cell r="D1752" t="str">
            <v>564151C</v>
          </cell>
          <cell r="E1752">
            <v>312</v>
          </cell>
          <cell r="F1752">
            <v>43490</v>
          </cell>
          <cell r="G1752" t="str">
            <v>12/11</v>
          </cell>
        </row>
        <row r="1753">
          <cell r="A1753" t="str">
            <v>Y1902-0422</v>
          </cell>
          <cell r="B1753">
            <v>201810</v>
          </cell>
          <cell r="C1753" t="str">
            <v>4600064550</v>
          </cell>
          <cell r="D1753" t="str">
            <v>155064C</v>
          </cell>
          <cell r="E1753">
            <v>192</v>
          </cell>
          <cell r="F1753">
            <v>43490</v>
          </cell>
          <cell r="G1753" t="str">
            <v>12/11</v>
          </cell>
        </row>
        <row r="1754">
          <cell r="A1754" t="str">
            <v>Y1901-0519</v>
          </cell>
          <cell r="B1754">
            <v>201810</v>
          </cell>
          <cell r="C1754" t="str">
            <v>4600064563</v>
          </cell>
          <cell r="D1754" t="str">
            <v>164359C</v>
          </cell>
          <cell r="E1754">
            <v>120</v>
          </cell>
          <cell r="F1754">
            <v>43490</v>
          </cell>
          <cell r="G1754" t="str">
            <v>12/11</v>
          </cell>
        </row>
        <row r="1755">
          <cell r="A1755" t="str">
            <v>Y1901-0520</v>
          </cell>
          <cell r="B1755">
            <v>201810</v>
          </cell>
          <cell r="C1755" t="str">
            <v>4600064564</v>
          </cell>
          <cell r="D1755" t="str">
            <v>164360C</v>
          </cell>
          <cell r="E1755">
            <v>120</v>
          </cell>
          <cell r="F1755">
            <v>43490</v>
          </cell>
          <cell r="G1755" t="str">
            <v>12/11</v>
          </cell>
        </row>
        <row r="1756">
          <cell r="A1756" t="str">
            <v>Y1901-0521</v>
          </cell>
          <cell r="B1756">
            <v>201810</v>
          </cell>
          <cell r="C1756" t="str">
            <v>4600064565</v>
          </cell>
          <cell r="D1756" t="str">
            <v>164219C</v>
          </cell>
          <cell r="E1756">
            <v>120</v>
          </cell>
          <cell r="F1756">
            <v>43486</v>
          </cell>
          <cell r="G1756" t="str">
            <v>12/18</v>
          </cell>
        </row>
        <row r="1757">
          <cell r="A1757" t="str">
            <v>Y1901-0522</v>
          </cell>
          <cell r="B1757">
            <v>201810</v>
          </cell>
          <cell r="C1757" t="str">
            <v>4600064566</v>
          </cell>
          <cell r="D1757" t="str">
            <v>161577C</v>
          </cell>
          <cell r="E1757">
            <v>120</v>
          </cell>
          <cell r="F1757">
            <v>43486</v>
          </cell>
          <cell r="G1757" t="str">
            <v>12/11</v>
          </cell>
        </row>
        <row r="1758">
          <cell r="A1758" t="str">
            <v>Y1901-0523</v>
          </cell>
          <cell r="B1758">
            <v>201810</v>
          </cell>
          <cell r="C1758" t="str">
            <v>4600064567</v>
          </cell>
          <cell r="D1758" t="str">
            <v>164220C</v>
          </cell>
          <cell r="E1758">
            <v>120</v>
          </cell>
          <cell r="F1758">
            <v>43486</v>
          </cell>
          <cell r="G1758" t="str">
            <v>12/18</v>
          </cell>
        </row>
        <row r="1759">
          <cell r="A1759" t="str">
            <v>Y1901-0524</v>
          </cell>
          <cell r="B1759">
            <v>201810</v>
          </cell>
          <cell r="C1759" t="str">
            <v>4600064569</v>
          </cell>
          <cell r="D1759" t="str">
            <v>164280C</v>
          </cell>
          <cell r="E1759">
            <v>456</v>
          </cell>
          <cell r="F1759">
            <v>43484</v>
          </cell>
          <cell r="G1759" t="str">
            <v>CFM</v>
          </cell>
        </row>
        <row r="1760">
          <cell r="A1760" t="str">
            <v>Y1901-0525</v>
          </cell>
          <cell r="B1760">
            <v>201810</v>
          </cell>
          <cell r="C1760" t="str">
            <v>4600064570</v>
          </cell>
          <cell r="D1760" t="str">
            <v>364170C</v>
          </cell>
          <cell r="E1760">
            <v>144</v>
          </cell>
          <cell r="F1760">
            <v>43490</v>
          </cell>
          <cell r="G1760" t="str">
            <v>CFM</v>
          </cell>
        </row>
        <row r="1761">
          <cell r="A1761" t="str">
            <v>Y1901-0526</v>
          </cell>
          <cell r="B1761">
            <v>201810</v>
          </cell>
          <cell r="C1761" t="str">
            <v>4600064571</v>
          </cell>
          <cell r="D1761" t="str">
            <v>361818C</v>
          </cell>
          <cell r="E1761">
            <v>144</v>
          </cell>
          <cell r="F1761">
            <v>43486</v>
          </cell>
          <cell r="G1761" t="str">
            <v>12/11</v>
          </cell>
        </row>
        <row r="1762">
          <cell r="A1762" t="str">
            <v>Y1901-0527</v>
          </cell>
          <cell r="B1762">
            <v>201810</v>
          </cell>
          <cell r="C1762" t="str">
            <v>4600064572</v>
          </cell>
          <cell r="D1762" t="str">
            <v>164060C</v>
          </cell>
          <cell r="E1762">
            <v>192</v>
          </cell>
          <cell r="F1762">
            <v>43484</v>
          </cell>
          <cell r="G1762" t="str">
            <v>CFM</v>
          </cell>
        </row>
        <row r="1763">
          <cell r="A1763" t="str">
            <v>Y1901-0528</v>
          </cell>
          <cell r="B1763">
            <v>201810</v>
          </cell>
          <cell r="C1763" t="str">
            <v>4600064573</v>
          </cell>
          <cell r="D1763" t="str">
            <v>663605C</v>
          </cell>
          <cell r="E1763">
            <v>252</v>
          </cell>
          <cell r="F1763">
            <v>43484</v>
          </cell>
          <cell r="G1763" t="str">
            <v>CFM</v>
          </cell>
        </row>
        <row r="1764">
          <cell r="A1764" t="str">
            <v>Y1901-0529</v>
          </cell>
          <cell r="B1764">
            <v>201810</v>
          </cell>
          <cell r="C1764" t="str">
            <v>4600064574</v>
          </cell>
          <cell r="D1764" t="str">
            <v>564072C</v>
          </cell>
          <cell r="E1764">
            <v>1692</v>
          </cell>
          <cell r="F1764">
            <v>43486</v>
          </cell>
          <cell r="G1764" t="str">
            <v>CFM</v>
          </cell>
        </row>
        <row r="1765">
          <cell r="A1765" t="str">
            <v>Y1901-0530</v>
          </cell>
          <cell r="B1765">
            <v>201810</v>
          </cell>
          <cell r="C1765" t="str">
            <v>4600064575</v>
          </cell>
          <cell r="D1765" t="str">
            <v>164360C</v>
          </cell>
          <cell r="E1765">
            <v>324</v>
          </cell>
          <cell r="F1765">
            <v>43490</v>
          </cell>
          <cell r="G1765" t="str">
            <v>CFM</v>
          </cell>
        </row>
        <row r="1766">
          <cell r="A1766" t="str">
            <v>Y1901-0531</v>
          </cell>
          <cell r="B1766">
            <v>201810</v>
          </cell>
          <cell r="C1766" t="str">
            <v>4600064576</v>
          </cell>
          <cell r="D1766" t="str">
            <v>564071C</v>
          </cell>
          <cell r="E1766">
            <v>1344</v>
          </cell>
          <cell r="F1766">
            <v>43486</v>
          </cell>
          <cell r="G1766" t="str">
            <v>CFM</v>
          </cell>
        </row>
        <row r="1767">
          <cell r="A1767" t="str">
            <v>Y1901-0532</v>
          </cell>
          <cell r="B1767">
            <v>201810</v>
          </cell>
          <cell r="C1767" t="str">
            <v>4600064577</v>
          </cell>
          <cell r="D1767" t="str">
            <v>161603C</v>
          </cell>
          <cell r="E1767">
            <v>456</v>
          </cell>
          <cell r="F1767">
            <v>43484</v>
          </cell>
          <cell r="G1767" t="str">
            <v>12/11</v>
          </cell>
        </row>
        <row r="1768">
          <cell r="A1768" t="str">
            <v>Y1901-0533</v>
          </cell>
          <cell r="B1768">
            <v>201810</v>
          </cell>
          <cell r="C1768" t="str">
            <v>4600064578</v>
          </cell>
          <cell r="D1768" t="str">
            <v>564151C</v>
          </cell>
          <cell r="E1768">
            <v>1428</v>
          </cell>
          <cell r="F1768">
            <v>43486</v>
          </cell>
          <cell r="G1768" t="str">
            <v>CFM</v>
          </cell>
        </row>
        <row r="1769">
          <cell r="A1769" t="str">
            <v>Y1901-0534</v>
          </cell>
          <cell r="B1769">
            <v>201810</v>
          </cell>
          <cell r="C1769" t="str">
            <v>4600064579</v>
          </cell>
          <cell r="D1769" t="str">
            <v>164361C</v>
          </cell>
          <cell r="E1769">
            <v>120</v>
          </cell>
          <cell r="F1769">
            <v>43490</v>
          </cell>
          <cell r="G1769" t="str">
            <v>CFM</v>
          </cell>
        </row>
        <row r="1770">
          <cell r="A1770" t="str">
            <v>Y1901-0535</v>
          </cell>
          <cell r="B1770">
            <v>201810</v>
          </cell>
          <cell r="C1770" t="str">
            <v>4600064580</v>
          </cell>
          <cell r="D1770" t="str">
            <v>564070C</v>
          </cell>
          <cell r="E1770">
            <v>792</v>
          </cell>
          <cell r="F1770">
            <v>43486</v>
          </cell>
          <cell r="G1770" t="str">
            <v>CFM</v>
          </cell>
        </row>
        <row r="1771">
          <cell r="A1771" t="str">
            <v>Y1901-0536</v>
          </cell>
          <cell r="B1771">
            <v>201810</v>
          </cell>
          <cell r="C1771" t="str">
            <v>4600064581</v>
          </cell>
          <cell r="D1771" t="str">
            <v>164281C</v>
          </cell>
          <cell r="E1771">
            <v>456</v>
          </cell>
          <cell r="F1771">
            <v>43484</v>
          </cell>
          <cell r="G1771" t="str">
            <v>CFM</v>
          </cell>
        </row>
        <row r="1772">
          <cell r="A1772" t="str">
            <v>Y1901-0537</v>
          </cell>
          <cell r="B1772">
            <v>201810</v>
          </cell>
          <cell r="C1772" t="str">
            <v>4600064582</v>
          </cell>
          <cell r="D1772" t="str">
            <v>564072C</v>
          </cell>
          <cell r="E1772">
            <v>120</v>
          </cell>
          <cell r="F1772">
            <v>43486</v>
          </cell>
          <cell r="G1772" t="str">
            <v>CFM</v>
          </cell>
        </row>
        <row r="1773">
          <cell r="A1773" t="str">
            <v>Y1901-0538</v>
          </cell>
          <cell r="B1773">
            <v>201810</v>
          </cell>
          <cell r="C1773" t="str">
            <v>4600064583</v>
          </cell>
          <cell r="D1773" t="str">
            <v>564070C</v>
          </cell>
          <cell r="E1773">
            <v>120</v>
          </cell>
          <cell r="F1773">
            <v>43486</v>
          </cell>
          <cell r="G1773" t="str">
            <v>CFM</v>
          </cell>
        </row>
        <row r="1774">
          <cell r="A1774" t="str">
            <v>Y1901-0539</v>
          </cell>
          <cell r="B1774">
            <v>201810</v>
          </cell>
          <cell r="C1774" t="str">
            <v>4600064584</v>
          </cell>
          <cell r="D1774" t="str">
            <v>164390C</v>
          </cell>
          <cell r="E1774">
            <v>144</v>
          </cell>
          <cell r="F1774">
            <v>43486</v>
          </cell>
          <cell r="G1774" t="str">
            <v>CFM</v>
          </cell>
        </row>
        <row r="1775">
          <cell r="A1775" t="str">
            <v>Y1901-0540</v>
          </cell>
          <cell r="B1775">
            <v>201810</v>
          </cell>
          <cell r="C1775" t="str">
            <v>4600064585</v>
          </cell>
          <cell r="D1775" t="str">
            <v>164393C</v>
          </cell>
          <cell r="E1775">
            <v>144</v>
          </cell>
          <cell r="F1775">
            <v>43486</v>
          </cell>
          <cell r="G1775" t="str">
            <v>CFM</v>
          </cell>
        </row>
        <row r="1776">
          <cell r="A1776" t="str">
            <v>Y1901-0611</v>
          </cell>
          <cell r="B1776">
            <v>201810</v>
          </cell>
          <cell r="C1776" t="str">
            <v>4600064586</v>
          </cell>
          <cell r="D1776" t="str">
            <v>150767C</v>
          </cell>
          <cell r="E1776">
            <v>3600</v>
          </cell>
          <cell r="F1776">
            <v>43480</v>
          </cell>
          <cell r="G1776" t="str">
            <v>12/11</v>
          </cell>
        </row>
        <row r="1777">
          <cell r="A1777" t="str">
            <v>Y1901-0541</v>
          </cell>
          <cell r="B1777">
            <v>201810</v>
          </cell>
          <cell r="C1777" t="str">
            <v>4600064587</v>
          </cell>
          <cell r="D1777" t="str">
            <v>150765C</v>
          </cell>
          <cell r="E1777">
            <v>1848</v>
          </cell>
          <cell r="F1777">
            <v>43480</v>
          </cell>
          <cell r="G1777" t="str">
            <v>12/11</v>
          </cell>
        </row>
        <row r="1778">
          <cell r="A1778" t="str">
            <v>Y1901-0612</v>
          </cell>
          <cell r="B1778">
            <v>201810</v>
          </cell>
          <cell r="C1778" t="str">
            <v>4600064588</v>
          </cell>
          <cell r="D1778" t="str">
            <v>150764C</v>
          </cell>
          <cell r="E1778">
            <v>1848</v>
          </cell>
          <cell r="F1778">
            <v>43480</v>
          </cell>
          <cell r="G1778" t="str">
            <v>12/11</v>
          </cell>
        </row>
        <row r="1779">
          <cell r="A1779" t="str">
            <v>Y1901-0613</v>
          </cell>
          <cell r="B1779">
            <v>201810</v>
          </cell>
          <cell r="C1779" t="str">
            <v>4600064589</v>
          </cell>
          <cell r="D1779" t="str">
            <v>150763C</v>
          </cell>
          <cell r="E1779">
            <v>1860</v>
          </cell>
          <cell r="F1779">
            <v>43480</v>
          </cell>
          <cell r="G1779" t="str">
            <v>12/11</v>
          </cell>
        </row>
        <row r="1780">
          <cell r="A1780" t="str">
            <v>Y1901-0614</v>
          </cell>
          <cell r="B1780">
            <v>201810</v>
          </cell>
          <cell r="C1780" t="str">
            <v>4600064590</v>
          </cell>
          <cell r="D1780" t="str">
            <v>150760C</v>
          </cell>
          <cell r="E1780">
            <v>1848</v>
          </cell>
          <cell r="F1780">
            <v>43480</v>
          </cell>
          <cell r="G1780" t="str">
            <v>12/11</v>
          </cell>
        </row>
        <row r="1781">
          <cell r="A1781" t="str">
            <v>Y1901-0615</v>
          </cell>
          <cell r="B1781">
            <v>201810</v>
          </cell>
          <cell r="C1781" t="str">
            <v>4600064591</v>
          </cell>
          <cell r="D1781" t="str">
            <v>150759C</v>
          </cell>
          <cell r="E1781">
            <v>1848</v>
          </cell>
          <cell r="F1781">
            <v>43480</v>
          </cell>
          <cell r="G1781" t="str">
            <v>12/11</v>
          </cell>
        </row>
        <row r="1782">
          <cell r="A1782" t="str">
            <v>Y1901-0616</v>
          </cell>
          <cell r="B1782">
            <v>201810</v>
          </cell>
          <cell r="C1782" t="str">
            <v>4600064592</v>
          </cell>
          <cell r="D1782" t="str">
            <v>150756C</v>
          </cell>
          <cell r="E1782">
            <v>1848</v>
          </cell>
          <cell r="F1782">
            <v>43480</v>
          </cell>
          <cell r="G1782" t="str">
            <v>12/11</v>
          </cell>
        </row>
        <row r="1783">
          <cell r="A1783" t="str">
            <v>Y1901-0617</v>
          </cell>
          <cell r="B1783">
            <v>201810</v>
          </cell>
          <cell r="C1783" t="str">
            <v>4600064598</v>
          </cell>
          <cell r="D1783" t="str">
            <v>150768C</v>
          </cell>
          <cell r="E1783">
            <v>2388</v>
          </cell>
          <cell r="F1783">
            <v>43480</v>
          </cell>
          <cell r="G1783" t="str">
            <v>CFM</v>
          </cell>
        </row>
        <row r="1784">
          <cell r="A1784" t="str">
            <v>Y1901-0542</v>
          </cell>
          <cell r="B1784">
            <v>201810</v>
          </cell>
          <cell r="C1784" t="str">
            <v>4600064618</v>
          </cell>
          <cell r="D1784" t="str">
            <v>161603C</v>
          </cell>
          <cell r="E1784">
            <v>2400</v>
          </cell>
          <cell r="F1784">
            <v>43493</v>
          </cell>
          <cell r="G1784" t="str">
            <v>CFM</v>
          </cell>
        </row>
        <row r="1785">
          <cell r="A1785" t="str">
            <v>Y1901-0543</v>
          </cell>
          <cell r="B1785">
            <v>201810</v>
          </cell>
          <cell r="C1785" t="str">
            <v>4600064619</v>
          </cell>
          <cell r="D1785" t="str">
            <v>161599C</v>
          </cell>
          <cell r="E1785">
            <v>1224</v>
          </cell>
          <cell r="F1785">
            <v>43493</v>
          </cell>
          <cell r="G1785" t="str">
            <v>CFM</v>
          </cell>
        </row>
        <row r="1786">
          <cell r="A1786" t="str">
            <v>Y1902-0427</v>
          </cell>
          <cell r="B1786">
            <v>201810</v>
          </cell>
          <cell r="C1786" t="str">
            <v>4600064655</v>
          </cell>
          <cell r="D1786" t="str">
            <v>163380C</v>
          </cell>
          <cell r="E1786">
            <v>420</v>
          </cell>
          <cell r="F1786">
            <v>43493</v>
          </cell>
          <cell r="G1786" t="str">
            <v>12/11</v>
          </cell>
        </row>
        <row r="1787">
          <cell r="A1787" t="str">
            <v>Y1902-0439</v>
          </cell>
          <cell r="B1787">
            <v>201810</v>
          </cell>
          <cell r="C1787" t="str">
            <v>4600064667</v>
          </cell>
          <cell r="D1787" t="str">
            <v>651830C</v>
          </cell>
          <cell r="E1787">
            <v>1164</v>
          </cell>
          <cell r="F1787">
            <v>43493</v>
          </cell>
          <cell r="G1787" t="str">
            <v>CFM</v>
          </cell>
        </row>
        <row r="1788">
          <cell r="A1788" t="str">
            <v>Y1902-0440</v>
          </cell>
          <cell r="B1788">
            <v>201810</v>
          </cell>
          <cell r="C1788" t="str">
            <v>4600064668</v>
          </cell>
          <cell r="D1788" t="str">
            <v>651827C</v>
          </cell>
          <cell r="E1788">
            <v>2292</v>
          </cell>
          <cell r="F1788">
            <v>43493</v>
          </cell>
          <cell r="G1788" t="str">
            <v>CFM</v>
          </cell>
        </row>
        <row r="1789">
          <cell r="A1789" t="str">
            <v>Y1902-0441</v>
          </cell>
          <cell r="B1789">
            <v>201810</v>
          </cell>
          <cell r="C1789" t="str">
            <v>4600064669</v>
          </cell>
          <cell r="D1789" t="str">
            <v>651827C</v>
          </cell>
          <cell r="E1789">
            <v>1260</v>
          </cell>
          <cell r="F1789">
            <v>43493</v>
          </cell>
          <cell r="G1789" t="str">
            <v>CFM</v>
          </cell>
        </row>
        <row r="1790">
          <cell r="A1790" t="str">
            <v>Y1902-0448</v>
          </cell>
          <cell r="B1790">
            <v>201810</v>
          </cell>
          <cell r="C1790" t="str">
            <v>4600064677</v>
          </cell>
          <cell r="D1790" t="str">
            <v>751878C</v>
          </cell>
          <cell r="E1790">
            <v>1800</v>
          </cell>
          <cell r="F1790">
            <v>43493</v>
          </cell>
          <cell r="G1790" t="str">
            <v>CFM</v>
          </cell>
        </row>
        <row r="1791">
          <cell r="A1791" t="str">
            <v>Y1902-0451</v>
          </cell>
          <cell r="B1791">
            <v>201810</v>
          </cell>
          <cell r="C1791" t="str">
            <v>4600064680</v>
          </cell>
          <cell r="D1791" t="str">
            <v>651830C</v>
          </cell>
          <cell r="E1791">
            <v>1284</v>
          </cell>
          <cell r="F1791">
            <v>43493</v>
          </cell>
          <cell r="G1791" t="str">
            <v>CFM</v>
          </cell>
        </row>
        <row r="1792">
          <cell r="A1792" t="str">
            <v>Y1902-0452</v>
          </cell>
          <cell r="B1792">
            <v>201810</v>
          </cell>
          <cell r="C1792" t="str">
            <v>4600064681</v>
          </cell>
          <cell r="D1792" t="str">
            <v>651830C</v>
          </cell>
          <cell r="E1792">
            <v>336</v>
          </cell>
          <cell r="F1792">
            <v>43493</v>
          </cell>
          <cell r="G1792" t="str">
            <v>CFM</v>
          </cell>
        </row>
        <row r="1793">
          <cell r="A1793" t="str">
            <v>Y1902-0454</v>
          </cell>
          <cell r="B1793">
            <v>201810</v>
          </cell>
          <cell r="C1793" t="str">
            <v>4600064683</v>
          </cell>
          <cell r="D1793" t="str">
            <v>651830C</v>
          </cell>
          <cell r="E1793">
            <v>336</v>
          </cell>
          <cell r="F1793">
            <v>43493</v>
          </cell>
          <cell r="G1793" t="str">
            <v>CFM</v>
          </cell>
        </row>
        <row r="1794">
          <cell r="A1794" t="str">
            <v>Y1902-0457</v>
          </cell>
          <cell r="B1794">
            <v>201810</v>
          </cell>
          <cell r="C1794" t="str">
            <v>4600064686</v>
          </cell>
          <cell r="D1794" t="str">
            <v>564153C</v>
          </cell>
          <cell r="E1794">
            <v>228</v>
          </cell>
          <cell r="F1794">
            <v>43493</v>
          </cell>
          <cell r="G1794" t="str">
            <v>CFM</v>
          </cell>
        </row>
        <row r="1795">
          <cell r="A1795" t="str">
            <v>Y1902-0459</v>
          </cell>
          <cell r="B1795">
            <v>201810</v>
          </cell>
          <cell r="C1795" t="str">
            <v>4600064688</v>
          </cell>
          <cell r="D1795" t="str">
            <v>158369C</v>
          </cell>
          <cell r="E1795">
            <v>600</v>
          </cell>
          <cell r="F1795">
            <v>43493</v>
          </cell>
          <cell r="G1795" t="str">
            <v>12/11</v>
          </cell>
        </row>
        <row r="1796">
          <cell r="A1796" t="str">
            <v>Y1902-0462</v>
          </cell>
          <cell r="B1796">
            <v>201810</v>
          </cell>
          <cell r="C1796" t="str">
            <v>4600064691</v>
          </cell>
          <cell r="D1796" t="str">
            <v>651827C</v>
          </cell>
          <cell r="E1796">
            <v>1260</v>
          </cell>
          <cell r="F1796">
            <v>43493</v>
          </cell>
          <cell r="G1796" t="str">
            <v>CFM</v>
          </cell>
        </row>
        <row r="1797">
          <cell r="A1797" t="str">
            <v>Y1902-0472</v>
          </cell>
          <cell r="B1797">
            <v>201810</v>
          </cell>
          <cell r="C1797" t="str">
            <v>4600064701</v>
          </cell>
          <cell r="D1797" t="str">
            <v>158371C</v>
          </cell>
          <cell r="E1797">
            <v>600</v>
          </cell>
          <cell r="F1797">
            <v>43493</v>
          </cell>
          <cell r="G1797" t="str">
            <v>CFM</v>
          </cell>
        </row>
        <row r="1798">
          <cell r="A1798" t="str">
            <v>Y1902-0480</v>
          </cell>
          <cell r="B1798">
            <v>201810</v>
          </cell>
          <cell r="C1798" t="str">
            <v>4600064709</v>
          </cell>
          <cell r="D1798" t="str">
            <v>163377C</v>
          </cell>
          <cell r="E1798">
            <v>420</v>
          </cell>
          <cell r="F1798">
            <v>43493</v>
          </cell>
          <cell r="G1798" t="str">
            <v>12/11</v>
          </cell>
        </row>
        <row r="1799">
          <cell r="A1799" t="str">
            <v>Y1901-0544</v>
          </cell>
          <cell r="B1799">
            <v>201810</v>
          </cell>
          <cell r="C1799" t="str">
            <v>4600064715</v>
          </cell>
          <cell r="D1799" t="str">
            <v>564071C</v>
          </cell>
          <cell r="E1799">
            <v>432</v>
          </cell>
          <cell r="F1799">
            <v>43484</v>
          </cell>
          <cell r="G1799" t="str">
            <v>12/11</v>
          </cell>
        </row>
        <row r="1800">
          <cell r="A1800" t="str">
            <v>Y1901-0545</v>
          </cell>
          <cell r="B1800">
            <v>201810</v>
          </cell>
          <cell r="C1800" t="str">
            <v>4600064721</v>
          </cell>
          <cell r="D1800" t="str">
            <v>564072C</v>
          </cell>
          <cell r="E1800">
            <v>432</v>
          </cell>
          <cell r="F1800">
            <v>43484</v>
          </cell>
          <cell r="G1800" t="str">
            <v>12/11</v>
          </cell>
        </row>
        <row r="1801">
          <cell r="A1801" t="str">
            <v>Y1901-0546</v>
          </cell>
          <cell r="B1801">
            <v>201810</v>
          </cell>
          <cell r="C1801" t="str">
            <v>4600064722</v>
          </cell>
          <cell r="D1801" t="str">
            <v>564070C</v>
          </cell>
          <cell r="E1801">
            <v>288</v>
          </cell>
          <cell r="F1801">
            <v>43484</v>
          </cell>
          <cell r="G1801" t="str">
            <v>12/11</v>
          </cell>
        </row>
        <row r="1802">
          <cell r="A1802" t="str">
            <v>Y1901-0547</v>
          </cell>
          <cell r="B1802">
            <v>201810</v>
          </cell>
          <cell r="C1802" t="str">
            <v>4600064727</v>
          </cell>
          <cell r="D1802" t="str">
            <v>164059C</v>
          </cell>
          <cell r="E1802">
            <v>396</v>
          </cell>
          <cell r="F1802">
            <v>43484</v>
          </cell>
          <cell r="G1802" t="str">
            <v>12/11</v>
          </cell>
        </row>
        <row r="1803">
          <cell r="A1803" t="str">
            <v>Y1901-0548</v>
          </cell>
          <cell r="B1803">
            <v>201810</v>
          </cell>
          <cell r="C1803" t="str">
            <v>4600064728</v>
          </cell>
          <cell r="D1803" t="str">
            <v>164060C</v>
          </cell>
          <cell r="E1803">
            <v>360</v>
          </cell>
          <cell r="F1803">
            <v>43484</v>
          </cell>
          <cell r="G1803" t="str">
            <v>12/11</v>
          </cell>
        </row>
        <row r="1804">
          <cell r="A1804" t="str">
            <v>Y1901-0549</v>
          </cell>
          <cell r="B1804">
            <v>201810</v>
          </cell>
          <cell r="C1804" t="str">
            <v>4600064729</v>
          </cell>
          <cell r="D1804" t="str">
            <v>164280C</v>
          </cell>
          <cell r="E1804">
            <v>1164</v>
          </cell>
          <cell r="F1804">
            <v>43484</v>
          </cell>
          <cell r="G1804" t="str">
            <v>12/11</v>
          </cell>
        </row>
        <row r="1805">
          <cell r="A1805" t="str">
            <v>Y1901-0550</v>
          </cell>
          <cell r="B1805">
            <v>201810</v>
          </cell>
          <cell r="C1805" t="str">
            <v>4600064730</v>
          </cell>
          <cell r="D1805" t="str">
            <v>164220C</v>
          </cell>
          <cell r="E1805">
            <v>228</v>
          </cell>
          <cell r="F1805">
            <v>43484</v>
          </cell>
          <cell r="G1805" t="str">
            <v>12/18</v>
          </cell>
        </row>
        <row r="1806">
          <cell r="A1806" t="str">
            <v>Y1901-0551</v>
          </cell>
          <cell r="B1806">
            <v>201810</v>
          </cell>
          <cell r="C1806" t="str">
            <v>4600064731</v>
          </cell>
          <cell r="D1806" t="str">
            <v>164219C</v>
          </cell>
          <cell r="E1806">
            <v>120</v>
          </cell>
          <cell r="F1806">
            <v>43484</v>
          </cell>
          <cell r="G1806" t="str">
            <v>12/18</v>
          </cell>
        </row>
        <row r="1807">
          <cell r="A1807" t="str">
            <v>Y1901-0552</v>
          </cell>
          <cell r="B1807">
            <v>201810</v>
          </cell>
          <cell r="C1807" t="str">
            <v>4600064740</v>
          </cell>
          <cell r="D1807" t="str">
            <v>564072C</v>
          </cell>
          <cell r="E1807">
            <v>336</v>
          </cell>
          <cell r="F1807">
            <v>43484</v>
          </cell>
          <cell r="G1807" t="str">
            <v>12/11</v>
          </cell>
        </row>
        <row r="1808">
          <cell r="A1808" t="str">
            <v>Y1901-0553</v>
          </cell>
          <cell r="B1808">
            <v>201810</v>
          </cell>
          <cell r="C1808" t="str">
            <v>4600064741</v>
          </cell>
          <cell r="D1808" t="str">
            <v>564070C</v>
          </cell>
          <cell r="E1808">
            <v>672</v>
          </cell>
          <cell r="F1808">
            <v>43484</v>
          </cell>
          <cell r="G1808" t="str">
            <v>12/11</v>
          </cell>
        </row>
        <row r="1809">
          <cell r="A1809" t="str">
            <v>Y1901-0554</v>
          </cell>
          <cell r="B1809">
            <v>201810</v>
          </cell>
          <cell r="C1809" t="str">
            <v>4600064742</v>
          </cell>
          <cell r="D1809" t="str">
            <v>364169C</v>
          </cell>
          <cell r="E1809">
            <v>288</v>
          </cell>
          <cell r="F1809">
            <v>43490</v>
          </cell>
          <cell r="G1809" t="str">
            <v>12/11</v>
          </cell>
        </row>
        <row r="1810">
          <cell r="A1810" t="str">
            <v>Y1901-0555</v>
          </cell>
          <cell r="B1810">
            <v>201810</v>
          </cell>
          <cell r="C1810" t="str">
            <v>4600064743</v>
          </cell>
          <cell r="D1810" t="str">
            <v>364170C</v>
          </cell>
          <cell r="E1810">
            <v>300</v>
          </cell>
          <cell r="F1810">
            <v>43490</v>
          </cell>
          <cell r="G1810" t="str">
            <v>12/11</v>
          </cell>
        </row>
        <row r="1811">
          <cell r="A1811" t="str">
            <v>Y1901-0556</v>
          </cell>
          <cell r="B1811">
            <v>201810</v>
          </cell>
          <cell r="C1811" t="str">
            <v>4600064744</v>
          </cell>
          <cell r="D1811" t="str">
            <v>164217C</v>
          </cell>
          <cell r="E1811">
            <v>192</v>
          </cell>
          <cell r="F1811">
            <v>43484</v>
          </cell>
          <cell r="G1811" t="str">
            <v>12/18</v>
          </cell>
        </row>
        <row r="1812">
          <cell r="A1812" t="str">
            <v>Y1901-0557</v>
          </cell>
          <cell r="B1812">
            <v>201810</v>
          </cell>
          <cell r="C1812" t="str">
            <v>4600064746</v>
          </cell>
          <cell r="D1812" t="str">
            <v>164058C</v>
          </cell>
          <cell r="E1812">
            <v>768</v>
          </cell>
          <cell r="F1812">
            <v>43484</v>
          </cell>
          <cell r="G1812" t="str">
            <v>12/11</v>
          </cell>
        </row>
        <row r="1813">
          <cell r="A1813" t="str">
            <v>Y1901-0558</v>
          </cell>
          <cell r="B1813">
            <v>201810</v>
          </cell>
          <cell r="C1813" t="str">
            <v>4600064747</v>
          </cell>
          <cell r="D1813" t="str">
            <v>164282C</v>
          </cell>
          <cell r="E1813">
            <v>936</v>
          </cell>
          <cell r="F1813">
            <v>43484</v>
          </cell>
          <cell r="G1813" t="str">
            <v>12/11</v>
          </cell>
        </row>
        <row r="1814">
          <cell r="A1814" t="str">
            <v>Y1901-0559</v>
          </cell>
          <cell r="B1814">
            <v>201810</v>
          </cell>
          <cell r="C1814" t="str">
            <v>4600064748</v>
          </cell>
          <cell r="D1814" t="str">
            <v>164281C</v>
          </cell>
          <cell r="E1814">
            <v>216</v>
          </cell>
          <cell r="F1814">
            <v>43484</v>
          </cell>
          <cell r="G1814" t="str">
            <v>12/11</v>
          </cell>
        </row>
        <row r="1815">
          <cell r="A1815" t="str">
            <v>Y1901-0560</v>
          </cell>
          <cell r="B1815">
            <v>201810</v>
          </cell>
          <cell r="C1815" t="str">
            <v>4600064749</v>
          </cell>
          <cell r="D1815" t="str">
            <v>164218C</v>
          </cell>
          <cell r="E1815">
            <v>144</v>
          </cell>
          <cell r="F1815">
            <v>43484</v>
          </cell>
          <cell r="G1815" t="str">
            <v>12/18</v>
          </cell>
        </row>
        <row r="1816">
          <cell r="A1816" t="str">
            <v>Y1901-0561</v>
          </cell>
          <cell r="B1816">
            <v>201810</v>
          </cell>
          <cell r="C1816" t="str">
            <v>4600064750</v>
          </cell>
          <cell r="D1816" t="str">
            <v>164390C</v>
          </cell>
          <cell r="E1816">
            <v>204</v>
          </cell>
          <cell r="F1816">
            <v>43484</v>
          </cell>
          <cell r="G1816" t="str">
            <v>12/11</v>
          </cell>
        </row>
        <row r="1817">
          <cell r="A1817" t="str">
            <v>Y1901-0562</v>
          </cell>
          <cell r="B1817">
            <v>201810</v>
          </cell>
          <cell r="C1817" t="str">
            <v>4600064751</v>
          </cell>
          <cell r="D1817" t="str">
            <v>164392C</v>
          </cell>
          <cell r="E1817">
            <v>168</v>
          </cell>
          <cell r="F1817">
            <v>43495</v>
          </cell>
          <cell r="G1817" t="str">
            <v>12/11</v>
          </cell>
        </row>
        <row r="1818">
          <cell r="A1818" t="str">
            <v>Y1901-0563</v>
          </cell>
          <cell r="B1818">
            <v>201810</v>
          </cell>
          <cell r="C1818" t="str">
            <v>4600064752</v>
          </cell>
          <cell r="D1818" t="str">
            <v>164393C</v>
          </cell>
          <cell r="E1818">
            <v>156</v>
          </cell>
          <cell r="F1818">
            <v>43484</v>
          </cell>
          <cell r="G1818" t="str">
            <v>12/11</v>
          </cell>
        </row>
        <row r="1819">
          <cell r="A1819" t="str">
            <v>Y1901-0564</v>
          </cell>
          <cell r="B1819">
            <v>201810</v>
          </cell>
          <cell r="C1819" t="str">
            <v>4600064753</v>
          </cell>
          <cell r="D1819" t="str">
            <v>164391C</v>
          </cell>
          <cell r="E1819">
            <v>144</v>
          </cell>
          <cell r="F1819">
            <v>43484</v>
          </cell>
          <cell r="G1819" t="str">
            <v>12/11</v>
          </cell>
        </row>
        <row r="1820">
          <cell r="A1820" t="str">
            <v>Y1901-0565</v>
          </cell>
          <cell r="B1820">
            <v>201810</v>
          </cell>
          <cell r="C1820" t="str">
            <v>4600064754</v>
          </cell>
          <cell r="D1820" t="str">
            <v>164362C</v>
          </cell>
          <cell r="E1820">
            <v>144</v>
          </cell>
          <cell r="F1820">
            <v>43490</v>
          </cell>
          <cell r="G1820" t="str">
            <v>12/11</v>
          </cell>
        </row>
        <row r="1821">
          <cell r="A1821" t="str">
            <v>Y1901-0566</v>
          </cell>
          <cell r="B1821">
            <v>201810</v>
          </cell>
          <cell r="C1821" t="str">
            <v>4600064755</v>
          </cell>
          <cell r="D1821" t="str">
            <v>164359C</v>
          </cell>
          <cell r="E1821">
            <v>204</v>
          </cell>
          <cell r="F1821">
            <v>43490</v>
          </cell>
          <cell r="G1821" t="str">
            <v>12/11</v>
          </cell>
        </row>
        <row r="1822">
          <cell r="A1822" t="str">
            <v>Y1901-0567</v>
          </cell>
          <cell r="B1822">
            <v>201810</v>
          </cell>
          <cell r="C1822" t="str">
            <v>4600064756</v>
          </cell>
          <cell r="D1822" t="str">
            <v>164361C</v>
          </cell>
          <cell r="E1822">
            <v>360</v>
          </cell>
          <cell r="F1822">
            <v>43490</v>
          </cell>
          <cell r="G1822" t="str">
            <v>12/11</v>
          </cell>
        </row>
        <row r="1823">
          <cell r="A1823" t="str">
            <v>Y1901-0568</v>
          </cell>
          <cell r="B1823">
            <v>201810</v>
          </cell>
          <cell r="C1823" t="str">
            <v>4600064757</v>
          </cell>
          <cell r="D1823" t="str">
            <v>164358C</v>
          </cell>
          <cell r="E1823">
            <v>120</v>
          </cell>
          <cell r="F1823">
            <v>43490</v>
          </cell>
          <cell r="G1823" t="str">
            <v>12/11</v>
          </cell>
        </row>
        <row r="1824">
          <cell r="A1824" t="str">
            <v>Y1901-0569</v>
          </cell>
          <cell r="B1824">
            <v>201810</v>
          </cell>
          <cell r="C1824" t="str">
            <v>4600064758</v>
          </cell>
          <cell r="D1824" t="str">
            <v>164360C</v>
          </cell>
          <cell r="E1824">
            <v>432</v>
          </cell>
          <cell r="F1824">
            <v>43490</v>
          </cell>
          <cell r="G1824" t="str">
            <v>12/11</v>
          </cell>
        </row>
        <row r="1825">
          <cell r="A1825" t="str">
            <v>Y1901-0570</v>
          </cell>
          <cell r="B1825">
            <v>201810</v>
          </cell>
          <cell r="C1825" t="str">
            <v>4600064759</v>
          </cell>
          <cell r="D1825" t="str">
            <v>564154C</v>
          </cell>
          <cell r="E1825">
            <v>252</v>
          </cell>
          <cell r="F1825">
            <v>43485</v>
          </cell>
          <cell r="G1825" t="str">
            <v>12/11</v>
          </cell>
        </row>
        <row r="1826">
          <cell r="A1826" t="str">
            <v>Y1901-0571</v>
          </cell>
          <cell r="B1826">
            <v>201810</v>
          </cell>
          <cell r="C1826" t="str">
            <v>4600064760</v>
          </cell>
          <cell r="D1826" t="str">
            <v>564152C</v>
          </cell>
          <cell r="E1826">
            <v>336</v>
          </cell>
          <cell r="F1826">
            <v>43485</v>
          </cell>
          <cell r="G1826" t="str">
            <v>12/11</v>
          </cell>
        </row>
        <row r="1827">
          <cell r="A1827" t="str">
            <v>Y1901-0572</v>
          </cell>
          <cell r="B1827">
            <v>201810</v>
          </cell>
          <cell r="C1827" t="str">
            <v>4600064761</v>
          </cell>
          <cell r="D1827" t="str">
            <v>564153C</v>
          </cell>
          <cell r="E1827">
            <v>156</v>
          </cell>
          <cell r="F1827">
            <v>43485</v>
          </cell>
          <cell r="G1827" t="str">
            <v>12/11</v>
          </cell>
        </row>
        <row r="1828">
          <cell r="A1828" t="str">
            <v>Y1901-0573</v>
          </cell>
          <cell r="B1828">
            <v>201810</v>
          </cell>
          <cell r="C1828" t="str">
            <v>4600064762</v>
          </cell>
          <cell r="D1828" t="str">
            <v>564151C</v>
          </cell>
          <cell r="E1828">
            <v>360</v>
          </cell>
          <cell r="F1828">
            <v>43485</v>
          </cell>
          <cell r="G1828" t="str">
            <v>12/11</v>
          </cell>
        </row>
        <row r="1829">
          <cell r="A1829" t="str">
            <v>Y1901-0574</v>
          </cell>
          <cell r="B1829">
            <v>201810</v>
          </cell>
          <cell r="C1829" t="str">
            <v>4600064796</v>
          </cell>
          <cell r="D1829" t="str">
            <v>158371C</v>
          </cell>
          <cell r="E1829">
            <v>288</v>
          </cell>
          <cell r="F1829">
            <v>43484</v>
          </cell>
          <cell r="G1829" t="str">
            <v>12/11</v>
          </cell>
        </row>
        <row r="1830">
          <cell r="A1830" t="str">
            <v>Y1901-0575</v>
          </cell>
          <cell r="B1830">
            <v>201810</v>
          </cell>
          <cell r="C1830" t="str">
            <v>4600064797</v>
          </cell>
          <cell r="D1830" t="str">
            <v>164218C</v>
          </cell>
          <cell r="E1830">
            <v>120</v>
          </cell>
          <cell r="F1830">
            <v>43484</v>
          </cell>
          <cell r="G1830" t="str">
            <v>12/18</v>
          </cell>
        </row>
        <row r="1831">
          <cell r="A1831" t="str">
            <v>Y1901-0576</v>
          </cell>
          <cell r="B1831">
            <v>201810</v>
          </cell>
          <cell r="C1831" t="str">
            <v>4600064798</v>
          </cell>
          <cell r="D1831" t="str">
            <v>164220C</v>
          </cell>
          <cell r="E1831">
            <v>120</v>
          </cell>
          <cell r="F1831">
            <v>43484</v>
          </cell>
          <cell r="G1831" t="str">
            <v>12/18</v>
          </cell>
        </row>
        <row r="1832">
          <cell r="A1832" t="str">
            <v>Y1901-0577</v>
          </cell>
          <cell r="B1832">
            <v>201810</v>
          </cell>
          <cell r="C1832" t="str">
            <v>4600064799</v>
          </cell>
          <cell r="D1832" t="str">
            <v>164217C</v>
          </cell>
          <cell r="E1832">
            <v>120</v>
          </cell>
          <cell r="F1832">
            <v>43484</v>
          </cell>
          <cell r="G1832" t="str">
            <v>12/18</v>
          </cell>
        </row>
        <row r="1833">
          <cell r="A1833" t="str">
            <v>Y1901-0578</v>
          </cell>
          <cell r="B1833">
            <v>201810</v>
          </cell>
          <cell r="C1833" t="str">
            <v>4600064800</v>
          </cell>
          <cell r="D1833" t="str">
            <v>158369C</v>
          </cell>
          <cell r="E1833">
            <v>972</v>
          </cell>
          <cell r="F1833">
            <v>43484</v>
          </cell>
          <cell r="G1833" t="str">
            <v>12/11</v>
          </cell>
        </row>
        <row r="1834">
          <cell r="A1834" t="str">
            <v>Y1901-0579</v>
          </cell>
          <cell r="B1834">
            <v>201810</v>
          </cell>
          <cell r="C1834" t="str">
            <v>4600064801</v>
          </cell>
          <cell r="D1834" t="str">
            <v>144148C</v>
          </cell>
          <cell r="E1834">
            <v>3096</v>
          </cell>
          <cell r="F1834">
            <v>43484</v>
          </cell>
          <cell r="G1834" t="str">
            <v>12/11</v>
          </cell>
        </row>
        <row r="1835">
          <cell r="A1835" t="str">
            <v>Y1901-0580</v>
          </cell>
          <cell r="B1835">
            <v>201810</v>
          </cell>
          <cell r="C1835" t="str">
            <v>4600064802</v>
          </cell>
          <cell r="D1835" t="str">
            <v>164281C</v>
          </cell>
          <cell r="E1835">
            <v>1044</v>
          </cell>
          <cell r="F1835">
            <v>43484</v>
          </cell>
          <cell r="G1835" t="str">
            <v>12/11</v>
          </cell>
        </row>
        <row r="1836">
          <cell r="A1836" t="str">
            <v>Y1901-0581</v>
          </cell>
          <cell r="B1836">
            <v>201810</v>
          </cell>
          <cell r="C1836" t="str">
            <v>4600064803</v>
          </cell>
          <cell r="D1836" t="str">
            <v>164280C</v>
          </cell>
          <cell r="E1836">
            <v>1980</v>
          </cell>
          <cell r="F1836">
            <v>43484</v>
          </cell>
          <cell r="G1836" t="str">
            <v>12/11</v>
          </cell>
        </row>
        <row r="1837">
          <cell r="A1837" t="str">
            <v>Y1901-0582</v>
          </cell>
          <cell r="B1837">
            <v>201810</v>
          </cell>
          <cell r="C1837" t="str">
            <v>4600064804</v>
          </cell>
          <cell r="D1837" t="str">
            <v>164282C</v>
          </cell>
          <cell r="E1837">
            <v>1620</v>
          </cell>
          <cell r="F1837">
            <v>43484</v>
          </cell>
          <cell r="G1837" t="str">
            <v>12/11</v>
          </cell>
        </row>
        <row r="1838">
          <cell r="A1838" t="str">
            <v>Y1901-0583</v>
          </cell>
          <cell r="B1838">
            <v>201810</v>
          </cell>
          <cell r="C1838" t="str">
            <v>4600064805</v>
          </cell>
          <cell r="D1838" t="str">
            <v>164060C</v>
          </cell>
          <cell r="E1838">
            <v>576</v>
          </cell>
          <cell r="F1838">
            <v>43484</v>
          </cell>
          <cell r="G1838" t="str">
            <v>12/11</v>
          </cell>
        </row>
        <row r="1839">
          <cell r="A1839" t="str">
            <v>Y1901-0584</v>
          </cell>
          <cell r="B1839">
            <v>201810</v>
          </cell>
          <cell r="C1839" t="str">
            <v>4600064806</v>
          </cell>
          <cell r="D1839" t="str">
            <v>164392C</v>
          </cell>
          <cell r="E1839">
            <v>180</v>
          </cell>
          <cell r="F1839">
            <v>43495</v>
          </cell>
          <cell r="G1839" t="str">
            <v>12/11</v>
          </cell>
        </row>
        <row r="1840">
          <cell r="A1840" t="str">
            <v>Y1901-0585</v>
          </cell>
          <cell r="B1840">
            <v>201810</v>
          </cell>
          <cell r="C1840" t="str">
            <v>4600064807</v>
          </cell>
          <cell r="D1840" t="str">
            <v>164393C</v>
          </cell>
          <cell r="E1840">
            <v>228</v>
          </cell>
          <cell r="F1840">
            <v>43484</v>
          </cell>
          <cell r="G1840" t="str">
            <v>12/11</v>
          </cell>
        </row>
        <row r="1841">
          <cell r="A1841" t="str">
            <v>Y1901-0586</v>
          </cell>
          <cell r="B1841">
            <v>201810</v>
          </cell>
          <cell r="C1841" t="str">
            <v>4600064808</v>
          </cell>
          <cell r="D1841" t="str">
            <v>164390C</v>
          </cell>
          <cell r="E1841">
            <v>216</v>
          </cell>
          <cell r="F1841">
            <v>43484</v>
          </cell>
          <cell r="G1841" t="str">
            <v>12/11</v>
          </cell>
        </row>
        <row r="1842">
          <cell r="A1842" t="str">
            <v>Y1901-0587</v>
          </cell>
          <cell r="B1842">
            <v>201810</v>
          </cell>
          <cell r="C1842" t="str">
            <v>4600064809</v>
          </cell>
          <cell r="D1842" t="str">
            <v>164360C</v>
          </cell>
          <cell r="E1842">
            <v>336</v>
          </cell>
          <cell r="F1842">
            <v>43490</v>
          </cell>
          <cell r="G1842" t="str">
            <v>12/11</v>
          </cell>
        </row>
        <row r="1843">
          <cell r="A1843" t="str">
            <v>Y1901-0588</v>
          </cell>
          <cell r="B1843">
            <v>201810</v>
          </cell>
          <cell r="C1843" t="str">
            <v>4600064810</v>
          </cell>
          <cell r="D1843" t="str">
            <v>164361C</v>
          </cell>
          <cell r="E1843">
            <v>324</v>
          </cell>
          <cell r="F1843">
            <v>43490</v>
          </cell>
          <cell r="G1843" t="str">
            <v>12/11</v>
          </cell>
        </row>
        <row r="1844">
          <cell r="A1844" t="str">
            <v>Y1901-0589</v>
          </cell>
          <cell r="B1844">
            <v>201810</v>
          </cell>
          <cell r="C1844" t="str">
            <v>4600064811</v>
          </cell>
          <cell r="D1844" t="str">
            <v>164359C</v>
          </cell>
          <cell r="E1844">
            <v>132</v>
          </cell>
          <cell r="F1844">
            <v>43490</v>
          </cell>
          <cell r="G1844" t="str">
            <v>12/11</v>
          </cell>
        </row>
        <row r="1845">
          <cell r="A1845" t="str">
            <v>Y1901-0590</v>
          </cell>
          <cell r="B1845">
            <v>201810</v>
          </cell>
          <cell r="C1845" t="str">
            <v>4600064812</v>
          </cell>
          <cell r="D1845" t="str">
            <v>164358C</v>
          </cell>
          <cell r="E1845">
            <v>180</v>
          </cell>
          <cell r="F1845">
            <v>43490</v>
          </cell>
          <cell r="G1845" t="str">
            <v>12/11</v>
          </cell>
        </row>
        <row r="1846">
          <cell r="A1846" t="str">
            <v>Y1901-0591</v>
          </cell>
          <cell r="B1846">
            <v>201810</v>
          </cell>
          <cell r="C1846" t="str">
            <v>4600064813</v>
          </cell>
          <cell r="D1846" t="str">
            <v>164219C</v>
          </cell>
          <cell r="E1846">
            <v>120</v>
          </cell>
          <cell r="F1846">
            <v>43484</v>
          </cell>
          <cell r="G1846" t="str">
            <v>12/18</v>
          </cell>
        </row>
        <row r="1847">
          <cell r="A1847" t="str">
            <v>Y1901-0592</v>
          </cell>
          <cell r="B1847">
            <v>201810</v>
          </cell>
          <cell r="C1847" t="str">
            <v>4600064814</v>
          </cell>
          <cell r="D1847" t="str">
            <v>M7650C</v>
          </cell>
          <cell r="E1847">
            <v>384</v>
          </cell>
          <cell r="F1847">
            <v>43484</v>
          </cell>
          <cell r="G1847" t="str">
            <v>12/11</v>
          </cell>
        </row>
        <row r="1848">
          <cell r="A1848" t="str">
            <v>Y1901-0593</v>
          </cell>
          <cell r="B1848">
            <v>201810</v>
          </cell>
          <cell r="C1848" t="str">
            <v>4600064815</v>
          </cell>
          <cell r="D1848" t="str">
            <v>144151C</v>
          </cell>
          <cell r="E1848">
            <v>5940</v>
          </cell>
          <cell r="F1848">
            <v>43484</v>
          </cell>
          <cell r="G1848" t="str">
            <v>12/11</v>
          </cell>
        </row>
        <row r="1849">
          <cell r="A1849" t="str">
            <v>Y1901-0594</v>
          </cell>
          <cell r="B1849">
            <v>201810</v>
          </cell>
          <cell r="C1849" t="str">
            <v>4600064817</v>
          </cell>
          <cell r="D1849" t="str">
            <v>564072C</v>
          </cell>
          <cell r="E1849">
            <v>1296</v>
          </cell>
          <cell r="F1849">
            <v>43484</v>
          </cell>
          <cell r="G1849" t="str">
            <v>12/11</v>
          </cell>
        </row>
        <row r="1850">
          <cell r="A1850" t="str">
            <v>Y1901-0595</v>
          </cell>
          <cell r="B1850">
            <v>201810</v>
          </cell>
          <cell r="C1850" t="str">
            <v>4600064818</v>
          </cell>
          <cell r="D1850" t="str">
            <v>564070C</v>
          </cell>
          <cell r="E1850">
            <v>1080</v>
          </cell>
          <cell r="F1850">
            <v>43484</v>
          </cell>
          <cell r="G1850" t="str">
            <v>12/11</v>
          </cell>
        </row>
        <row r="1851">
          <cell r="A1851" t="str">
            <v>Y1901-0596</v>
          </cell>
          <cell r="B1851">
            <v>201810</v>
          </cell>
          <cell r="C1851" t="str">
            <v>4600064819</v>
          </cell>
          <cell r="D1851" t="str">
            <v>564071C</v>
          </cell>
          <cell r="E1851">
            <v>1164</v>
          </cell>
          <cell r="F1851">
            <v>43484</v>
          </cell>
          <cell r="G1851" t="str">
            <v>12/11</v>
          </cell>
        </row>
        <row r="1852">
          <cell r="A1852" t="str">
            <v>Y1901-0597</v>
          </cell>
          <cell r="B1852">
            <v>201810</v>
          </cell>
          <cell r="C1852" t="str">
            <v>4600064820</v>
          </cell>
          <cell r="D1852" t="str">
            <v>164058C</v>
          </cell>
          <cell r="E1852">
            <v>576</v>
          </cell>
          <cell r="F1852">
            <v>43484</v>
          </cell>
          <cell r="G1852" t="str">
            <v>12/11</v>
          </cell>
        </row>
        <row r="1853">
          <cell r="A1853" t="str">
            <v>Y1901-0598</v>
          </cell>
          <cell r="B1853">
            <v>201810</v>
          </cell>
          <cell r="C1853" t="str">
            <v>4600064821</v>
          </cell>
          <cell r="D1853" t="str">
            <v>164219C</v>
          </cell>
          <cell r="E1853">
            <v>120</v>
          </cell>
          <cell r="F1853">
            <v>43484</v>
          </cell>
          <cell r="G1853" t="str">
            <v>12/18</v>
          </cell>
        </row>
        <row r="1854">
          <cell r="A1854" t="str">
            <v>Y1901-0599</v>
          </cell>
          <cell r="B1854">
            <v>201810</v>
          </cell>
          <cell r="C1854" t="str">
            <v>4600064822</v>
          </cell>
          <cell r="D1854" t="str">
            <v>164217C</v>
          </cell>
          <cell r="E1854">
            <v>120</v>
          </cell>
          <cell r="F1854">
            <v>43484</v>
          </cell>
          <cell r="G1854" t="str">
            <v>12/18</v>
          </cell>
        </row>
        <row r="1855">
          <cell r="A1855" t="str">
            <v>Y1901-0600</v>
          </cell>
          <cell r="B1855">
            <v>201810</v>
          </cell>
          <cell r="C1855" t="str">
            <v>4600064823</v>
          </cell>
          <cell r="D1855" t="str">
            <v>163380C</v>
          </cell>
          <cell r="E1855">
            <v>192</v>
          </cell>
          <cell r="F1855">
            <v>43484</v>
          </cell>
          <cell r="G1855" t="str">
            <v>12/11</v>
          </cell>
        </row>
        <row r="1856">
          <cell r="A1856" t="str">
            <v>Y1901-0601</v>
          </cell>
          <cell r="B1856">
            <v>201810</v>
          </cell>
          <cell r="C1856" t="str">
            <v>4600064824</v>
          </cell>
          <cell r="D1856" t="str">
            <v>564152C</v>
          </cell>
          <cell r="E1856">
            <v>120</v>
          </cell>
          <cell r="F1856">
            <v>43485</v>
          </cell>
          <cell r="G1856" t="str">
            <v>12/11</v>
          </cell>
        </row>
        <row r="1857">
          <cell r="A1857" t="str">
            <v>Y1901-0602</v>
          </cell>
          <cell r="B1857">
            <v>201810</v>
          </cell>
          <cell r="C1857" t="str">
            <v>4600064825</v>
          </cell>
          <cell r="D1857" t="str">
            <v>164361C</v>
          </cell>
          <cell r="E1857">
            <v>120</v>
          </cell>
          <cell r="F1857">
            <v>43490</v>
          </cell>
          <cell r="G1857" t="str">
            <v>12/11</v>
          </cell>
        </row>
        <row r="1858">
          <cell r="A1858" t="str">
            <v>Y1901-0603</v>
          </cell>
          <cell r="B1858">
            <v>201810</v>
          </cell>
          <cell r="C1858" t="str">
            <v>4600064826</v>
          </cell>
          <cell r="D1858" t="str">
            <v>164360C</v>
          </cell>
          <cell r="E1858">
            <v>120</v>
          </cell>
          <cell r="F1858">
            <v>43490</v>
          </cell>
          <cell r="G1858" t="str">
            <v>12/11</v>
          </cell>
        </row>
        <row r="1859">
          <cell r="A1859" t="str">
            <v>Y1901-0604</v>
          </cell>
          <cell r="B1859">
            <v>201810</v>
          </cell>
          <cell r="C1859" t="str">
            <v>4600064836</v>
          </cell>
          <cell r="D1859" t="str">
            <v>164359C</v>
          </cell>
          <cell r="E1859">
            <v>120</v>
          </cell>
          <cell r="F1859">
            <v>43490</v>
          </cell>
          <cell r="G1859" t="str">
            <v>12/11</v>
          </cell>
        </row>
        <row r="1860">
          <cell r="A1860" t="str">
            <v>Y1901-0605</v>
          </cell>
          <cell r="B1860">
            <v>201810</v>
          </cell>
          <cell r="C1860" t="str">
            <v>4600064837</v>
          </cell>
          <cell r="D1860" t="str">
            <v>564154C</v>
          </cell>
          <cell r="E1860">
            <v>120</v>
          </cell>
          <cell r="F1860">
            <v>43485</v>
          </cell>
          <cell r="G1860" t="str">
            <v>12/11</v>
          </cell>
        </row>
        <row r="1861">
          <cell r="A1861" t="str">
            <v>Y1901-0606</v>
          </cell>
          <cell r="B1861">
            <v>201810</v>
          </cell>
          <cell r="C1861" t="str">
            <v>4600064838</v>
          </cell>
          <cell r="D1861" t="str">
            <v>564153C</v>
          </cell>
          <cell r="E1861">
            <v>120</v>
          </cell>
          <cell r="F1861">
            <v>43485</v>
          </cell>
          <cell r="G1861" t="str">
            <v>12/11</v>
          </cell>
        </row>
        <row r="1862">
          <cell r="A1862" t="str">
            <v>Y1901-0607</v>
          </cell>
          <cell r="B1862">
            <v>201810</v>
          </cell>
          <cell r="C1862" t="str">
            <v>4600064839</v>
          </cell>
          <cell r="D1862" t="str">
            <v>564151C</v>
          </cell>
          <cell r="E1862">
            <v>120</v>
          </cell>
          <cell r="F1862">
            <v>43485</v>
          </cell>
          <cell r="G1862" t="str">
            <v>12/11</v>
          </cell>
        </row>
        <row r="1863">
          <cell r="A1863" t="str">
            <v>Y1901-0608</v>
          </cell>
          <cell r="B1863">
            <v>201810</v>
          </cell>
          <cell r="C1863" t="str">
            <v>4600064840</v>
          </cell>
          <cell r="D1863" t="str">
            <v>164220C</v>
          </cell>
          <cell r="E1863">
            <v>120</v>
          </cell>
          <cell r="F1863">
            <v>43484</v>
          </cell>
          <cell r="G1863" t="str">
            <v>12/18</v>
          </cell>
        </row>
        <row r="1864">
          <cell r="A1864" t="str">
            <v>Y1901-0609</v>
          </cell>
          <cell r="B1864">
            <v>201810</v>
          </cell>
          <cell r="C1864" t="str">
            <v>4600064841</v>
          </cell>
          <cell r="D1864" t="str">
            <v>163377C</v>
          </cell>
          <cell r="E1864">
            <v>192</v>
          </cell>
          <cell r="F1864">
            <v>43484</v>
          </cell>
          <cell r="G1864" t="str">
            <v>12/11</v>
          </cell>
        </row>
        <row r="1865">
          <cell r="A1865" t="str">
            <v>Y1901-0618</v>
          </cell>
          <cell r="B1865">
            <v>201810</v>
          </cell>
          <cell r="C1865" t="str">
            <v>1000002724</v>
          </cell>
          <cell r="D1865" t="str">
            <v>565536C</v>
          </cell>
          <cell r="E1865">
            <v>78</v>
          </cell>
          <cell r="F1865">
            <v>43481</v>
          </cell>
          <cell r="G1865" t="str">
            <v>CFM</v>
          </cell>
        </row>
        <row r="1866">
          <cell r="A1866" t="str">
            <v>Y1901-0619</v>
          </cell>
          <cell r="B1866">
            <v>201810</v>
          </cell>
          <cell r="C1866" t="str">
            <v>1000002725</v>
          </cell>
          <cell r="D1866" t="str">
            <v>565548C</v>
          </cell>
          <cell r="E1866">
            <v>55</v>
          </cell>
          <cell r="F1866">
            <v>43481</v>
          </cell>
          <cell r="G1866" t="str">
            <v>CFM</v>
          </cell>
        </row>
        <row r="1867">
          <cell r="A1867" t="str">
            <v>Y1812-0167</v>
          </cell>
          <cell r="B1867">
            <v>201808</v>
          </cell>
          <cell r="C1867" t="str">
            <v>0100166089</v>
          </cell>
          <cell r="D1867" t="str">
            <v>M9621C</v>
          </cell>
          <cell r="E1867">
            <v>12900</v>
          </cell>
          <cell r="F1867">
            <v>43460</v>
          </cell>
          <cell r="G1867" t="str">
            <v>OK</v>
          </cell>
        </row>
        <row r="1868">
          <cell r="A1868" t="str">
            <v>Y1812-0169</v>
          </cell>
          <cell r="B1868">
            <v>201808</v>
          </cell>
          <cell r="C1868" t="str">
            <v>0100166094</v>
          </cell>
          <cell r="D1868" t="str">
            <v>M7650C</v>
          </cell>
          <cell r="E1868">
            <v>17904</v>
          </cell>
          <cell r="F1868">
            <v>43460</v>
          </cell>
          <cell r="G1868" t="str">
            <v>OK</v>
          </cell>
        </row>
        <row r="1869">
          <cell r="A1869" t="str">
            <v>Y1812-0170</v>
          </cell>
          <cell r="B1869">
            <v>201808</v>
          </cell>
          <cell r="C1869" t="str">
            <v>0100166096</v>
          </cell>
          <cell r="D1869" t="str">
            <v>M7652C</v>
          </cell>
          <cell r="E1869">
            <v>14340</v>
          </cell>
          <cell r="F1869">
            <v>43460</v>
          </cell>
          <cell r="G1869" t="str">
            <v>OK</v>
          </cell>
        </row>
        <row r="1870">
          <cell r="A1870" t="str">
            <v>Y1812-0171</v>
          </cell>
          <cell r="B1870">
            <v>201808</v>
          </cell>
          <cell r="C1870" t="str">
            <v>0100166099</v>
          </cell>
          <cell r="D1870" t="str">
            <v>M9160C</v>
          </cell>
          <cell r="E1870">
            <v>15792</v>
          </cell>
          <cell r="F1870">
            <v>43460</v>
          </cell>
          <cell r="G1870" t="str">
            <v>OK</v>
          </cell>
        </row>
        <row r="1871">
          <cell r="A1871" t="str">
            <v>Y1812-0240</v>
          </cell>
          <cell r="B1871">
            <v>201808</v>
          </cell>
          <cell r="C1871" t="str">
            <v>0100166186</v>
          </cell>
          <cell r="D1871" t="str">
            <v>M9621C</v>
          </cell>
          <cell r="E1871">
            <v>492</v>
          </cell>
          <cell r="F1871">
            <v>43453</v>
          </cell>
          <cell r="G1871" t="str">
            <v>OK</v>
          </cell>
        </row>
        <row r="1872">
          <cell r="A1872" t="str">
            <v>Y1812-0241</v>
          </cell>
          <cell r="B1872">
            <v>201808</v>
          </cell>
          <cell r="C1872" t="str">
            <v>0100166187</v>
          </cell>
          <cell r="D1872" t="str">
            <v>M9160C</v>
          </cell>
          <cell r="E1872">
            <v>840</v>
          </cell>
          <cell r="F1872">
            <v>43453</v>
          </cell>
          <cell r="G1872" t="str">
            <v>OK</v>
          </cell>
        </row>
        <row r="1873">
          <cell r="A1873" t="str">
            <v>Y1812-0249</v>
          </cell>
          <cell r="B1873">
            <v>201808</v>
          </cell>
          <cell r="C1873" t="str">
            <v>0100166195</v>
          </cell>
          <cell r="D1873" t="str">
            <v>M9160C</v>
          </cell>
          <cell r="E1873">
            <v>924</v>
          </cell>
          <cell r="F1873">
            <v>43453</v>
          </cell>
          <cell r="G1873" t="str">
            <v>OK</v>
          </cell>
        </row>
        <row r="1874">
          <cell r="A1874" t="str">
            <v>Y1812-0250</v>
          </cell>
          <cell r="B1874">
            <v>201808</v>
          </cell>
          <cell r="C1874" t="str">
            <v>0100166196</v>
          </cell>
          <cell r="D1874" t="str">
            <v>M3310C</v>
          </cell>
          <cell r="E1874">
            <v>468</v>
          </cell>
          <cell r="F1874">
            <v>43453</v>
          </cell>
          <cell r="G1874" t="str">
            <v>OK</v>
          </cell>
        </row>
        <row r="1875">
          <cell r="A1875" t="str">
            <v>Y1812-0251</v>
          </cell>
          <cell r="B1875">
            <v>201808</v>
          </cell>
          <cell r="C1875" t="str">
            <v>0100166197</v>
          </cell>
          <cell r="D1875" t="str">
            <v>M9621C</v>
          </cell>
          <cell r="E1875">
            <v>444</v>
          </cell>
          <cell r="F1875">
            <v>43453</v>
          </cell>
          <cell r="G1875" t="str">
            <v>OK</v>
          </cell>
        </row>
        <row r="1876">
          <cell r="A1876" t="str">
            <v>Y1812-0252</v>
          </cell>
          <cell r="B1876">
            <v>201808</v>
          </cell>
          <cell r="C1876" t="str">
            <v>0100166198</v>
          </cell>
          <cell r="D1876" t="str">
            <v>M9697C</v>
          </cell>
          <cell r="E1876">
            <v>816</v>
          </cell>
          <cell r="F1876">
            <v>43453</v>
          </cell>
          <cell r="G1876" t="str">
            <v>OK</v>
          </cell>
        </row>
        <row r="1877">
          <cell r="A1877" t="str">
            <v>Y1812-0253</v>
          </cell>
          <cell r="B1877">
            <v>201808</v>
          </cell>
          <cell r="C1877" t="str">
            <v>0100166199</v>
          </cell>
          <cell r="D1877" t="str">
            <v>M9622C</v>
          </cell>
          <cell r="E1877">
            <v>372</v>
          </cell>
          <cell r="F1877">
            <v>43453</v>
          </cell>
          <cell r="G1877" t="str">
            <v>OK</v>
          </cell>
        </row>
        <row r="1878">
          <cell r="A1878" t="str">
            <v>Y1812-0257</v>
          </cell>
          <cell r="B1878">
            <v>201808</v>
          </cell>
          <cell r="C1878" t="str">
            <v>0100166203</v>
          </cell>
          <cell r="D1878" t="str">
            <v>M3310C</v>
          </cell>
          <cell r="E1878">
            <v>696</v>
          </cell>
          <cell r="F1878">
            <v>43453</v>
          </cell>
          <cell r="G1878" t="str">
            <v>OK</v>
          </cell>
        </row>
        <row r="1879">
          <cell r="A1879" t="str">
            <v>Y1812-0258</v>
          </cell>
          <cell r="B1879">
            <v>201808</v>
          </cell>
          <cell r="C1879" t="str">
            <v>0100166204</v>
          </cell>
          <cell r="D1879" t="str">
            <v>M9697C</v>
          </cell>
          <cell r="E1879">
            <v>408</v>
          </cell>
          <cell r="F1879">
            <v>43453</v>
          </cell>
          <cell r="G1879" t="str">
            <v>OK</v>
          </cell>
        </row>
        <row r="1880">
          <cell r="A1880" t="str">
            <v>Y1812-0259</v>
          </cell>
          <cell r="B1880">
            <v>201808</v>
          </cell>
          <cell r="C1880" t="str">
            <v>0100166206</v>
          </cell>
          <cell r="D1880" t="str">
            <v>M3310C</v>
          </cell>
          <cell r="E1880">
            <v>1008</v>
          </cell>
          <cell r="F1880">
            <v>43453</v>
          </cell>
          <cell r="G1880" t="str">
            <v>OK</v>
          </cell>
        </row>
        <row r="1881">
          <cell r="A1881" t="str">
            <v>Y1812-0260</v>
          </cell>
          <cell r="B1881">
            <v>201808</v>
          </cell>
          <cell r="C1881" t="str">
            <v>0100166207</v>
          </cell>
          <cell r="D1881" t="str">
            <v>M9160C</v>
          </cell>
          <cell r="E1881">
            <v>2208</v>
          </cell>
          <cell r="F1881">
            <v>43453</v>
          </cell>
          <cell r="G1881" t="str">
            <v>OK</v>
          </cell>
        </row>
        <row r="1882">
          <cell r="A1882" t="str">
            <v>Y1812-0261</v>
          </cell>
          <cell r="B1882">
            <v>201808</v>
          </cell>
          <cell r="C1882" t="str">
            <v>0100166208</v>
          </cell>
          <cell r="D1882" t="str">
            <v>M9696C</v>
          </cell>
          <cell r="E1882">
            <v>1008</v>
          </cell>
          <cell r="F1882">
            <v>43453</v>
          </cell>
          <cell r="G1882" t="str">
            <v>11/13</v>
          </cell>
        </row>
        <row r="1883">
          <cell r="A1883" t="str">
            <v>Y1812-0262</v>
          </cell>
          <cell r="B1883">
            <v>201808</v>
          </cell>
          <cell r="C1883" t="str">
            <v>0100166209</v>
          </cell>
          <cell r="D1883" t="str">
            <v>M9160C</v>
          </cell>
          <cell r="E1883">
            <v>504</v>
          </cell>
          <cell r="F1883">
            <v>43453</v>
          </cell>
          <cell r="G1883" t="str">
            <v>OK</v>
          </cell>
        </row>
        <row r="1884">
          <cell r="A1884" t="str">
            <v>Y1812-0271</v>
          </cell>
          <cell r="B1884">
            <v>201808</v>
          </cell>
          <cell r="C1884" t="str">
            <v>0100166218</v>
          </cell>
          <cell r="D1884" t="str">
            <v>M9697C</v>
          </cell>
          <cell r="E1884">
            <v>312</v>
          </cell>
          <cell r="F1884">
            <v>43453</v>
          </cell>
          <cell r="G1884" t="str">
            <v>OK</v>
          </cell>
        </row>
        <row r="1885">
          <cell r="A1885" t="str">
            <v>Y1812-0275</v>
          </cell>
          <cell r="B1885">
            <v>201808</v>
          </cell>
          <cell r="C1885" t="str">
            <v>0100166222</v>
          </cell>
          <cell r="D1885" t="str">
            <v>M9160C</v>
          </cell>
          <cell r="E1885">
            <v>1080</v>
          </cell>
          <cell r="F1885">
            <v>43453</v>
          </cell>
          <cell r="G1885" t="str">
            <v>OK</v>
          </cell>
        </row>
        <row r="1886">
          <cell r="A1886" t="str">
            <v>Y1812-0276</v>
          </cell>
          <cell r="B1886">
            <v>201808</v>
          </cell>
          <cell r="C1886" t="str">
            <v>0100166224</v>
          </cell>
          <cell r="D1886" t="str">
            <v>M9621C</v>
          </cell>
          <cell r="E1886">
            <v>900</v>
          </cell>
          <cell r="F1886">
            <v>43453</v>
          </cell>
          <cell r="G1886" t="str">
            <v>OK</v>
          </cell>
        </row>
        <row r="1887">
          <cell r="A1887" t="str">
            <v>Y1812-0281</v>
          </cell>
          <cell r="B1887">
            <v>201808</v>
          </cell>
          <cell r="C1887" t="str">
            <v>0100166259</v>
          </cell>
          <cell r="D1887" t="str">
            <v>M9160</v>
          </cell>
          <cell r="E1887">
            <v>366</v>
          </cell>
          <cell r="F1887">
            <v>43443</v>
          </cell>
          <cell r="G1887" t="str">
            <v>OK</v>
          </cell>
        </row>
        <row r="1888">
          <cell r="A1888" t="str">
            <v>Y1812-0286</v>
          </cell>
          <cell r="B1888">
            <v>201808</v>
          </cell>
          <cell r="C1888" t="str">
            <v>0100166282</v>
          </cell>
          <cell r="D1888" t="str">
            <v>M7650</v>
          </cell>
          <cell r="E1888">
            <v>3000</v>
          </cell>
          <cell r="F1888">
            <v>43444</v>
          </cell>
          <cell r="G1888" t="str">
            <v>OK</v>
          </cell>
        </row>
        <row r="1889">
          <cell r="A1889" t="str">
            <v>Y1812-0292</v>
          </cell>
          <cell r="B1889">
            <v>201808</v>
          </cell>
          <cell r="C1889" t="str">
            <v>0100167903</v>
          </cell>
          <cell r="D1889" t="str">
            <v>M7650C</v>
          </cell>
          <cell r="E1889">
            <v>19260</v>
          </cell>
          <cell r="F1889">
            <v>43460</v>
          </cell>
          <cell r="G1889" t="str">
            <v>OK</v>
          </cell>
        </row>
        <row r="1890">
          <cell r="A1890" t="str">
            <v>Y1812-0293</v>
          </cell>
          <cell r="B1890">
            <v>201808</v>
          </cell>
          <cell r="C1890" t="str">
            <v>0100167904</v>
          </cell>
          <cell r="D1890" t="str">
            <v>M7652C</v>
          </cell>
          <cell r="E1890">
            <v>14472</v>
          </cell>
          <cell r="F1890">
            <v>43460</v>
          </cell>
          <cell r="G1890" t="str">
            <v>OK</v>
          </cell>
        </row>
        <row r="1891">
          <cell r="A1891" t="str">
            <v>Y1812-0294</v>
          </cell>
          <cell r="B1891">
            <v>201808</v>
          </cell>
          <cell r="C1891" t="str">
            <v>0100167906</v>
          </cell>
          <cell r="D1891" t="str">
            <v>M9160C</v>
          </cell>
          <cell r="E1891">
            <v>17880</v>
          </cell>
          <cell r="F1891">
            <v>43460</v>
          </cell>
          <cell r="G1891" t="str">
            <v>OK</v>
          </cell>
        </row>
        <row r="1892">
          <cell r="A1892" t="str">
            <v>Y1812-0301</v>
          </cell>
          <cell r="B1892">
            <v>201808</v>
          </cell>
          <cell r="C1892" t="str">
            <v>0100168124</v>
          </cell>
          <cell r="D1892" t="str">
            <v>M7650C</v>
          </cell>
          <cell r="E1892">
            <v>6690</v>
          </cell>
          <cell r="F1892">
            <v>43460</v>
          </cell>
          <cell r="G1892" t="str">
            <v>OK</v>
          </cell>
        </row>
        <row r="1893">
          <cell r="A1893" t="str">
            <v>Y1812-0302</v>
          </cell>
          <cell r="B1893">
            <v>201808</v>
          </cell>
          <cell r="C1893" t="str">
            <v>0100168125</v>
          </cell>
          <cell r="D1893" t="str">
            <v>M7652C</v>
          </cell>
          <cell r="E1893">
            <v>8316</v>
          </cell>
          <cell r="F1893">
            <v>43460</v>
          </cell>
          <cell r="G1893" t="str">
            <v>OK</v>
          </cell>
        </row>
        <row r="1894">
          <cell r="A1894" t="str">
            <v>Y1812-0303</v>
          </cell>
          <cell r="B1894">
            <v>201808</v>
          </cell>
          <cell r="C1894" t="str">
            <v>0100168127</v>
          </cell>
          <cell r="D1894" t="str">
            <v>M9160C</v>
          </cell>
          <cell r="E1894">
            <v>6786</v>
          </cell>
          <cell r="F1894">
            <v>43460</v>
          </cell>
          <cell r="G1894" t="str">
            <v>OK</v>
          </cell>
        </row>
        <row r="1895">
          <cell r="A1895" t="str">
            <v>Y1812-0308</v>
          </cell>
          <cell r="B1895">
            <v>201808</v>
          </cell>
          <cell r="C1895" t="str">
            <v>0100168258</v>
          </cell>
          <cell r="D1895" t="str">
            <v>M7652C</v>
          </cell>
          <cell r="E1895">
            <v>17796</v>
          </cell>
          <cell r="F1895">
            <v>43460</v>
          </cell>
          <cell r="G1895" t="str">
            <v>OK</v>
          </cell>
        </row>
        <row r="1896">
          <cell r="A1896" t="str">
            <v>Y1812-0315</v>
          </cell>
          <cell r="B1896">
            <v>201808</v>
          </cell>
          <cell r="C1896" t="str">
            <v>0100168412</v>
          </cell>
          <cell r="D1896" t="str">
            <v>M7652C</v>
          </cell>
          <cell r="E1896">
            <v>19104</v>
          </cell>
          <cell r="F1896">
            <v>43460</v>
          </cell>
          <cell r="G1896" t="str">
            <v>OK</v>
          </cell>
        </row>
        <row r="1897">
          <cell r="A1897" t="str">
            <v>Y1812-0316</v>
          </cell>
          <cell r="B1897">
            <v>201808</v>
          </cell>
          <cell r="C1897" t="str">
            <v>0100168413</v>
          </cell>
          <cell r="D1897" t="str">
            <v>M7652C</v>
          </cell>
          <cell r="E1897">
            <v>18060</v>
          </cell>
          <cell r="F1897">
            <v>43460</v>
          </cell>
          <cell r="G1897" t="str">
            <v>OK</v>
          </cell>
        </row>
        <row r="1898">
          <cell r="A1898" t="str">
            <v>Y1812-0317</v>
          </cell>
          <cell r="B1898">
            <v>201808</v>
          </cell>
          <cell r="C1898" t="str">
            <v>0100168414</v>
          </cell>
          <cell r="D1898" t="str">
            <v>M7652C</v>
          </cell>
          <cell r="E1898">
            <v>3330</v>
          </cell>
          <cell r="F1898">
            <v>43460</v>
          </cell>
          <cell r="G1898" t="str">
            <v>OK</v>
          </cell>
        </row>
        <row r="1899">
          <cell r="A1899" t="str">
            <v>Y1812-0318</v>
          </cell>
          <cell r="B1899">
            <v>201808</v>
          </cell>
          <cell r="C1899" t="str">
            <v>0100168415</v>
          </cell>
          <cell r="D1899" t="str">
            <v>M7652C</v>
          </cell>
          <cell r="E1899">
            <v>18492</v>
          </cell>
          <cell r="F1899">
            <v>43460</v>
          </cell>
          <cell r="G1899" t="str">
            <v>OK</v>
          </cell>
        </row>
        <row r="1900">
          <cell r="A1900" t="str">
            <v>Y1812-0322</v>
          </cell>
          <cell r="B1900">
            <v>201808</v>
          </cell>
          <cell r="C1900" t="str">
            <v>0100168419</v>
          </cell>
          <cell r="D1900" t="str">
            <v>M3310C</v>
          </cell>
          <cell r="E1900">
            <v>1032</v>
          </cell>
          <cell r="F1900">
            <v>43448</v>
          </cell>
          <cell r="G1900" t="str">
            <v>OK</v>
          </cell>
        </row>
        <row r="1901">
          <cell r="A1901" t="str">
            <v>Y1812-0328</v>
          </cell>
          <cell r="B1901">
            <v>201808</v>
          </cell>
          <cell r="C1901" t="str">
            <v>0100168425</v>
          </cell>
          <cell r="D1901" t="str">
            <v>M3310C</v>
          </cell>
          <cell r="E1901">
            <v>912</v>
          </cell>
          <cell r="F1901">
            <v>43447</v>
          </cell>
          <cell r="G1901" t="str">
            <v>OK</v>
          </cell>
        </row>
        <row r="1902">
          <cell r="A1902" t="str">
            <v>Y1812-0329</v>
          </cell>
          <cell r="B1902">
            <v>201808</v>
          </cell>
          <cell r="C1902" t="str">
            <v>0100168426</v>
          </cell>
          <cell r="D1902" t="str">
            <v>M9696C</v>
          </cell>
          <cell r="E1902">
            <v>2388</v>
          </cell>
          <cell r="F1902">
            <v>43448</v>
          </cell>
          <cell r="G1902" t="str">
            <v>11/13</v>
          </cell>
        </row>
        <row r="1903">
          <cell r="A1903" t="str">
            <v>Y1812-0330</v>
          </cell>
          <cell r="B1903">
            <v>201808</v>
          </cell>
          <cell r="C1903" t="str">
            <v>0100168427</v>
          </cell>
          <cell r="D1903" t="str">
            <v>M9697C</v>
          </cell>
          <cell r="E1903">
            <v>1608</v>
          </cell>
          <cell r="F1903">
            <v>43448</v>
          </cell>
          <cell r="G1903" t="str">
            <v>OK</v>
          </cell>
        </row>
        <row r="1904">
          <cell r="A1904" t="str">
            <v>Y1812-0338</v>
          </cell>
          <cell r="B1904">
            <v>201808</v>
          </cell>
          <cell r="C1904" t="str">
            <v>0100168669</v>
          </cell>
          <cell r="D1904" t="str">
            <v>M9160C</v>
          </cell>
          <cell r="E1904">
            <v>1092</v>
          </cell>
          <cell r="F1904">
            <v>43448</v>
          </cell>
          <cell r="G1904" t="str">
            <v>OK</v>
          </cell>
        </row>
        <row r="1905">
          <cell r="A1905" t="str">
            <v>Y1812-0339</v>
          </cell>
          <cell r="B1905">
            <v>201808</v>
          </cell>
          <cell r="C1905" t="str">
            <v>0100168670</v>
          </cell>
          <cell r="D1905" t="str">
            <v>M9696C</v>
          </cell>
          <cell r="E1905">
            <v>636</v>
          </cell>
          <cell r="F1905">
            <v>43448</v>
          </cell>
          <cell r="G1905" t="str">
            <v>11/13</v>
          </cell>
        </row>
        <row r="1906">
          <cell r="A1906" t="str">
            <v>Y1812-0340</v>
          </cell>
          <cell r="B1906">
            <v>201808</v>
          </cell>
          <cell r="C1906" t="str">
            <v>0100168671</v>
          </cell>
          <cell r="D1906" t="str">
            <v>M9697C</v>
          </cell>
          <cell r="E1906">
            <v>660</v>
          </cell>
          <cell r="F1906">
            <v>43448</v>
          </cell>
          <cell r="G1906" t="str">
            <v>OK</v>
          </cell>
        </row>
        <row r="1907">
          <cell r="A1907" t="str">
            <v>Y1812-0342</v>
          </cell>
          <cell r="B1907">
            <v>201808</v>
          </cell>
          <cell r="C1907" t="str">
            <v>0100168676</v>
          </cell>
          <cell r="D1907" t="str">
            <v>M9621C</v>
          </cell>
          <cell r="E1907">
            <v>840</v>
          </cell>
          <cell r="F1907">
            <v>43447</v>
          </cell>
          <cell r="G1907" t="str">
            <v>OK</v>
          </cell>
        </row>
        <row r="1908">
          <cell r="A1908" t="str">
            <v>Y1812-0343</v>
          </cell>
          <cell r="B1908">
            <v>201808</v>
          </cell>
          <cell r="C1908" t="str">
            <v>0100168677</v>
          </cell>
          <cell r="D1908" t="str">
            <v>M9622C</v>
          </cell>
          <cell r="E1908">
            <v>564</v>
          </cell>
          <cell r="F1908">
            <v>43447</v>
          </cell>
          <cell r="G1908" t="str">
            <v>OK</v>
          </cell>
        </row>
        <row r="1909">
          <cell r="A1909" t="str">
            <v>Y1812-0344</v>
          </cell>
          <cell r="B1909">
            <v>201808</v>
          </cell>
          <cell r="C1909" t="str">
            <v>0100168678</v>
          </cell>
          <cell r="D1909" t="str">
            <v>M9160C</v>
          </cell>
          <cell r="E1909">
            <v>1416</v>
          </cell>
          <cell r="F1909">
            <v>43447</v>
          </cell>
          <cell r="G1909" t="str">
            <v>OK</v>
          </cell>
        </row>
        <row r="1910">
          <cell r="A1910" t="str">
            <v>Y1812-0358</v>
          </cell>
          <cell r="B1910">
            <v>201808</v>
          </cell>
          <cell r="C1910" t="str">
            <v>0100168769</v>
          </cell>
          <cell r="D1910" t="str">
            <v>M9696C</v>
          </cell>
          <cell r="E1910">
            <v>1560</v>
          </cell>
          <cell r="F1910">
            <v>43447</v>
          </cell>
          <cell r="G1910" t="str">
            <v>11/13</v>
          </cell>
        </row>
        <row r="1911">
          <cell r="A1911" t="str">
            <v>Y1812-0359</v>
          </cell>
          <cell r="B1911">
            <v>201808</v>
          </cell>
          <cell r="C1911" t="str">
            <v>0100168770</v>
          </cell>
          <cell r="D1911" t="str">
            <v>M9697C</v>
          </cell>
          <cell r="E1911">
            <v>2016</v>
          </cell>
          <cell r="F1911">
            <v>43447</v>
          </cell>
          <cell r="G1911" t="str">
            <v>OK</v>
          </cell>
        </row>
        <row r="1912">
          <cell r="A1912" t="str">
            <v>Y1812-0369</v>
          </cell>
          <cell r="B1912">
            <v>201808</v>
          </cell>
          <cell r="C1912" t="str">
            <v>0100168842</v>
          </cell>
          <cell r="D1912" t="str">
            <v>M3310C</v>
          </cell>
          <cell r="E1912">
            <v>1392</v>
          </cell>
          <cell r="F1912">
            <v>43452</v>
          </cell>
          <cell r="G1912" t="str">
            <v>OK</v>
          </cell>
        </row>
        <row r="1913">
          <cell r="A1913" t="str">
            <v>Y1812-0370</v>
          </cell>
          <cell r="B1913">
            <v>201808</v>
          </cell>
          <cell r="C1913" t="str">
            <v>0100168843</v>
          </cell>
          <cell r="D1913" t="str">
            <v>M9160C</v>
          </cell>
          <cell r="E1913">
            <v>2688</v>
          </cell>
          <cell r="F1913">
            <v>43452</v>
          </cell>
          <cell r="G1913" t="str">
            <v>OK</v>
          </cell>
        </row>
        <row r="1914">
          <cell r="A1914" t="str">
            <v>Y1812-0371</v>
          </cell>
          <cell r="B1914">
            <v>201808</v>
          </cell>
          <cell r="C1914" t="str">
            <v>0100168844</v>
          </cell>
          <cell r="D1914" t="str">
            <v>M3310C</v>
          </cell>
          <cell r="E1914">
            <v>828</v>
          </cell>
          <cell r="F1914">
            <v>43448</v>
          </cell>
          <cell r="G1914" t="str">
            <v>OK</v>
          </cell>
        </row>
        <row r="1915">
          <cell r="A1915" t="str">
            <v>Y1812-0372</v>
          </cell>
          <cell r="B1915">
            <v>201808</v>
          </cell>
          <cell r="C1915" t="str">
            <v>0100168845</v>
          </cell>
          <cell r="D1915" t="str">
            <v>M9160C</v>
          </cell>
          <cell r="E1915">
            <v>1908</v>
          </cell>
          <cell r="F1915">
            <v>43448</v>
          </cell>
          <cell r="G1915" t="str">
            <v>OK</v>
          </cell>
        </row>
        <row r="1916">
          <cell r="A1916" t="str">
            <v>Y1812-0379</v>
          </cell>
          <cell r="B1916">
            <v>201808</v>
          </cell>
          <cell r="C1916" t="str">
            <v>0100168935</v>
          </cell>
          <cell r="D1916" t="str">
            <v>M9160C</v>
          </cell>
          <cell r="E1916">
            <v>228</v>
          </cell>
          <cell r="F1916">
            <v>43455</v>
          </cell>
          <cell r="G1916" t="str">
            <v>OK</v>
          </cell>
        </row>
        <row r="1917">
          <cell r="A1917" t="str">
            <v>Y1812-0382</v>
          </cell>
          <cell r="B1917">
            <v>201808</v>
          </cell>
          <cell r="C1917" t="str">
            <v>0100168938</v>
          </cell>
          <cell r="D1917" t="str">
            <v>M9621C</v>
          </cell>
          <cell r="E1917">
            <v>828</v>
          </cell>
          <cell r="F1917">
            <v>43452</v>
          </cell>
          <cell r="G1917" t="str">
            <v>OK</v>
          </cell>
        </row>
        <row r="1918">
          <cell r="A1918" t="str">
            <v>Y1812-0383</v>
          </cell>
          <cell r="B1918">
            <v>201808</v>
          </cell>
          <cell r="C1918" t="str">
            <v>0100168939</v>
          </cell>
          <cell r="D1918" t="str">
            <v>M9622C</v>
          </cell>
          <cell r="E1918">
            <v>828</v>
          </cell>
          <cell r="F1918">
            <v>43452</v>
          </cell>
          <cell r="G1918" t="str">
            <v>OK</v>
          </cell>
        </row>
        <row r="1919">
          <cell r="A1919" t="str">
            <v>Y1812-0384</v>
          </cell>
          <cell r="B1919">
            <v>201808</v>
          </cell>
          <cell r="C1919" t="str">
            <v>0100168940</v>
          </cell>
          <cell r="D1919" t="str">
            <v>M9696C</v>
          </cell>
          <cell r="E1919">
            <v>1488</v>
          </cell>
          <cell r="F1919">
            <v>43452</v>
          </cell>
          <cell r="G1919" t="str">
            <v>11/13</v>
          </cell>
        </row>
        <row r="1920">
          <cell r="A1920" t="str">
            <v>Y1812-0385</v>
          </cell>
          <cell r="B1920">
            <v>201808</v>
          </cell>
          <cell r="C1920" t="str">
            <v>0100168941</v>
          </cell>
          <cell r="D1920" t="str">
            <v>M9697C</v>
          </cell>
          <cell r="E1920">
            <v>1872</v>
          </cell>
          <cell r="F1920">
            <v>43452</v>
          </cell>
          <cell r="G1920" t="str">
            <v>OK</v>
          </cell>
        </row>
        <row r="1921">
          <cell r="A1921" t="str">
            <v>Y1812-0386</v>
          </cell>
          <cell r="B1921">
            <v>201808</v>
          </cell>
          <cell r="C1921" t="str">
            <v>0100168942</v>
          </cell>
          <cell r="D1921" t="str">
            <v>M3310C</v>
          </cell>
          <cell r="E1921">
            <v>372</v>
          </cell>
          <cell r="F1921">
            <v>43447</v>
          </cell>
          <cell r="G1921" t="str">
            <v>OK</v>
          </cell>
        </row>
        <row r="1922">
          <cell r="A1922" t="str">
            <v>Y1812-0387</v>
          </cell>
          <cell r="B1922">
            <v>201808</v>
          </cell>
          <cell r="C1922" t="str">
            <v>0100168943</v>
          </cell>
          <cell r="D1922" t="str">
            <v>M9160C</v>
          </cell>
          <cell r="E1922">
            <v>360</v>
          </cell>
          <cell r="F1922">
            <v>43447</v>
          </cell>
          <cell r="G1922" t="str">
            <v>OK</v>
          </cell>
        </row>
        <row r="1923">
          <cell r="A1923" t="str">
            <v>Y1812-0391</v>
          </cell>
          <cell r="B1923">
            <v>201808</v>
          </cell>
          <cell r="C1923" t="str">
            <v>0100169011</v>
          </cell>
          <cell r="D1923" t="str">
            <v>M9697C</v>
          </cell>
          <cell r="E1923">
            <v>336</v>
          </cell>
          <cell r="F1923">
            <v>43447</v>
          </cell>
          <cell r="G1923" t="str">
            <v>OK</v>
          </cell>
        </row>
        <row r="1924">
          <cell r="A1924" t="str">
            <v>Y1812-0392</v>
          </cell>
          <cell r="B1924">
            <v>201808</v>
          </cell>
          <cell r="C1924" t="str">
            <v>0100169012</v>
          </cell>
          <cell r="D1924" t="str">
            <v>M9621C</v>
          </cell>
          <cell r="E1924">
            <v>684</v>
          </cell>
          <cell r="F1924">
            <v>43448</v>
          </cell>
          <cell r="G1924" t="str">
            <v>OK</v>
          </cell>
        </row>
        <row r="1925">
          <cell r="A1925" t="str">
            <v>Y1812-0393</v>
          </cell>
          <cell r="B1925">
            <v>201808</v>
          </cell>
          <cell r="C1925" t="str">
            <v>0100169013</v>
          </cell>
          <cell r="D1925" t="str">
            <v>M9622C</v>
          </cell>
          <cell r="E1925">
            <v>432</v>
          </cell>
          <cell r="F1925">
            <v>43448</v>
          </cell>
          <cell r="G1925" t="str">
            <v>OK</v>
          </cell>
        </row>
        <row r="1926">
          <cell r="A1926" t="str">
            <v>Y1812-0431</v>
          </cell>
          <cell r="B1926">
            <v>201808</v>
          </cell>
          <cell r="C1926" t="str">
            <v>4600062685</v>
          </cell>
          <cell r="D1926" t="str">
            <v>M9621C</v>
          </cell>
          <cell r="E1926">
            <v>252</v>
          </cell>
          <cell r="F1926">
            <v>43463</v>
          </cell>
          <cell r="G1926" t="str">
            <v>OK</v>
          </cell>
        </row>
        <row r="1927">
          <cell r="A1927" t="str">
            <v>Y1812-0380</v>
          </cell>
          <cell r="B1927">
            <v>201808</v>
          </cell>
          <cell r="C1927" t="str">
            <v>0100168936</v>
          </cell>
          <cell r="D1927" t="str">
            <v>M9696C</v>
          </cell>
          <cell r="E1927">
            <v>300</v>
          </cell>
          <cell r="F1927">
            <v>43455</v>
          </cell>
          <cell r="G1927" t="str">
            <v>OK</v>
          </cell>
        </row>
        <row r="1928">
          <cell r="A1928" t="str">
            <v>Y1812-0381</v>
          </cell>
          <cell r="B1928">
            <v>201808</v>
          </cell>
          <cell r="C1928" t="str">
            <v>0100168937</v>
          </cell>
          <cell r="D1928" t="str">
            <v>M9697C</v>
          </cell>
          <cell r="E1928">
            <v>456</v>
          </cell>
          <cell r="F1928">
            <v>43455</v>
          </cell>
          <cell r="G1928" t="str">
            <v>OK</v>
          </cell>
        </row>
        <row r="1929">
          <cell r="A1929" t="str">
            <v>Y1812-0269</v>
          </cell>
          <cell r="B1929">
            <v>201808</v>
          </cell>
          <cell r="C1929" t="str">
            <v>0100166216</v>
          </cell>
          <cell r="D1929" t="str">
            <v>M9160C</v>
          </cell>
          <cell r="E1929">
            <v>252</v>
          </cell>
          <cell r="F1929">
            <v>43455</v>
          </cell>
          <cell r="G1929" t="str">
            <v>OK</v>
          </cell>
        </row>
        <row r="1930">
          <cell r="A1930" t="str">
            <v>Y1812-0410</v>
          </cell>
          <cell r="B1930">
            <v>201808</v>
          </cell>
          <cell r="C1930" t="str">
            <v>4600061971</v>
          </cell>
          <cell r="D1930" t="str">
            <v>M7652C</v>
          </cell>
          <cell r="E1930">
            <v>19212</v>
          </cell>
          <cell r="F1930">
            <v>43440</v>
          </cell>
          <cell r="G1930" t="str">
            <v>OK</v>
          </cell>
        </row>
        <row r="1931">
          <cell r="A1931" t="str">
            <v>Y1812-0411</v>
          </cell>
          <cell r="B1931">
            <v>201808</v>
          </cell>
          <cell r="C1931" t="str">
            <v>4600061972</v>
          </cell>
          <cell r="D1931" t="str">
            <v>M7652C</v>
          </cell>
          <cell r="E1931">
            <v>19212</v>
          </cell>
          <cell r="F1931">
            <v>43440</v>
          </cell>
          <cell r="G1931" t="str">
            <v>OK</v>
          </cell>
        </row>
        <row r="1932">
          <cell r="A1932" t="str">
            <v>Y1812-0412</v>
          </cell>
          <cell r="B1932">
            <v>201808</v>
          </cell>
          <cell r="C1932" t="str">
            <v>4600061973</v>
          </cell>
          <cell r="D1932" t="str">
            <v>M7652C</v>
          </cell>
          <cell r="E1932">
            <v>19212</v>
          </cell>
          <cell r="F1932">
            <v>43447</v>
          </cell>
          <cell r="G1932" t="str">
            <v>OK</v>
          </cell>
        </row>
        <row r="1933">
          <cell r="A1933" t="str">
            <v>Y1812-0413</v>
          </cell>
          <cell r="B1933">
            <v>201808</v>
          </cell>
          <cell r="C1933" t="str">
            <v>4600061974</v>
          </cell>
          <cell r="D1933" t="str">
            <v>M7652C</v>
          </cell>
          <cell r="E1933">
            <v>19620</v>
          </cell>
          <cell r="F1933">
            <v>43453</v>
          </cell>
          <cell r="G1933" t="str">
            <v>OK</v>
          </cell>
        </row>
        <row r="1934">
          <cell r="A1934" t="str">
            <v>Y1812-0416</v>
          </cell>
          <cell r="B1934">
            <v>201808</v>
          </cell>
          <cell r="C1934" t="str">
            <v>4600061978</v>
          </cell>
          <cell r="D1934" t="str">
            <v>M7652C</v>
          </cell>
          <cell r="E1934">
            <v>19212</v>
          </cell>
          <cell r="F1934">
            <v>43440</v>
          </cell>
          <cell r="G1934" t="str">
            <v>OK</v>
          </cell>
        </row>
        <row r="1935">
          <cell r="A1935" t="str">
            <v>Y1812-0417</v>
          </cell>
          <cell r="B1935">
            <v>201808</v>
          </cell>
          <cell r="C1935" t="str">
            <v>4600061979</v>
          </cell>
          <cell r="D1935" t="str">
            <v>M7652C</v>
          </cell>
          <cell r="E1935">
            <v>19212</v>
          </cell>
          <cell r="F1935">
            <v>43447</v>
          </cell>
          <cell r="G1935" t="str">
            <v>OK</v>
          </cell>
        </row>
        <row r="1936">
          <cell r="A1936" t="str">
            <v>Y1812-0168</v>
          </cell>
          <cell r="B1936">
            <v>201808</v>
          </cell>
          <cell r="C1936" t="str">
            <v>0100166092</v>
          </cell>
          <cell r="D1936" t="str">
            <v>M9696C</v>
          </cell>
          <cell r="E1936">
            <v>16848</v>
          </cell>
          <cell r="F1936">
            <v>43460</v>
          </cell>
          <cell r="G1936" t="str">
            <v>OK</v>
          </cell>
        </row>
        <row r="1937">
          <cell r="A1937" t="str">
            <v>Y1812-0158</v>
          </cell>
          <cell r="B1937">
            <v>201808</v>
          </cell>
          <cell r="C1937" t="str">
            <v>0100166043</v>
          </cell>
          <cell r="D1937" t="str">
            <v>663608C</v>
          </cell>
          <cell r="E1937">
            <v>1332</v>
          </cell>
          <cell r="F1937">
            <v>43453</v>
          </cell>
          <cell r="G1937" t="str">
            <v>OK</v>
          </cell>
        </row>
        <row r="1938">
          <cell r="A1938" t="str">
            <v>Y1812-0166</v>
          </cell>
          <cell r="B1938">
            <v>201808</v>
          </cell>
          <cell r="C1938" t="str">
            <v>0100166068</v>
          </cell>
          <cell r="D1938" t="str">
            <v>563426C</v>
          </cell>
          <cell r="E1938">
            <v>564</v>
          </cell>
          <cell r="F1938">
            <v>43445</v>
          </cell>
          <cell r="G1938" t="str">
            <v>OK</v>
          </cell>
        </row>
        <row r="1939">
          <cell r="A1939" t="str">
            <v>Y1812-0184</v>
          </cell>
          <cell r="B1939">
            <v>201808</v>
          </cell>
          <cell r="C1939" t="str">
            <v>0100166116</v>
          </cell>
          <cell r="D1939" t="str">
            <v>163194C</v>
          </cell>
          <cell r="E1939">
            <v>1320</v>
          </cell>
          <cell r="F1939">
            <v>43444</v>
          </cell>
          <cell r="G1939" t="str">
            <v>OK</v>
          </cell>
        </row>
        <row r="1940">
          <cell r="A1940" t="str">
            <v>Y1812-0185</v>
          </cell>
          <cell r="B1940">
            <v>201808</v>
          </cell>
          <cell r="C1940" t="str">
            <v>0100166117</v>
          </cell>
          <cell r="D1940" t="str">
            <v>163195C</v>
          </cell>
          <cell r="E1940">
            <v>1656</v>
          </cell>
          <cell r="F1940">
            <v>43444</v>
          </cell>
          <cell r="G1940" t="str">
            <v>OK</v>
          </cell>
        </row>
        <row r="1941">
          <cell r="A1941" t="str">
            <v>Y1812-0186</v>
          </cell>
          <cell r="B1941">
            <v>201808</v>
          </cell>
          <cell r="C1941" t="str">
            <v>0100166118</v>
          </cell>
          <cell r="D1941" t="str">
            <v>163198C</v>
          </cell>
          <cell r="E1941">
            <v>1368</v>
          </cell>
          <cell r="F1941">
            <v>43444</v>
          </cell>
          <cell r="G1941" t="str">
            <v>OK</v>
          </cell>
        </row>
        <row r="1942">
          <cell r="A1942" t="str">
            <v>Y1812-0197</v>
          </cell>
          <cell r="B1942">
            <v>201808</v>
          </cell>
          <cell r="C1942" t="str">
            <v>0100166134</v>
          </cell>
          <cell r="D1942" t="str">
            <v>763527C</v>
          </cell>
          <cell r="E1942">
            <v>2148</v>
          </cell>
          <cell r="F1942">
            <v>43451</v>
          </cell>
          <cell r="G1942" t="str">
            <v>OK</v>
          </cell>
        </row>
        <row r="1943">
          <cell r="A1943" t="str">
            <v>Y1812-0198</v>
          </cell>
          <cell r="B1943">
            <v>201808</v>
          </cell>
          <cell r="C1943" t="str">
            <v>0100166135</v>
          </cell>
          <cell r="D1943" t="str">
            <v>763527C</v>
          </cell>
          <cell r="E1943">
            <v>120</v>
          </cell>
          <cell r="F1943">
            <v>43451</v>
          </cell>
          <cell r="G1943" t="str">
            <v>OK</v>
          </cell>
        </row>
        <row r="1944">
          <cell r="A1944" t="str">
            <v>Y1812-0205</v>
          </cell>
          <cell r="B1944">
            <v>201808</v>
          </cell>
          <cell r="C1944" t="str">
            <v>0100166145</v>
          </cell>
          <cell r="D1944" t="str">
            <v>563425C</v>
          </cell>
          <cell r="E1944">
            <v>2328</v>
          </cell>
          <cell r="F1944">
            <v>43448</v>
          </cell>
          <cell r="G1944" t="str">
            <v>OK</v>
          </cell>
        </row>
        <row r="1945">
          <cell r="A1945" t="str">
            <v>Y1812-0206</v>
          </cell>
          <cell r="B1945">
            <v>201808</v>
          </cell>
          <cell r="C1945" t="str">
            <v>0100166146</v>
          </cell>
          <cell r="D1945" t="str">
            <v>563426C</v>
          </cell>
          <cell r="E1945">
            <v>2532</v>
          </cell>
          <cell r="F1945">
            <v>43448</v>
          </cell>
          <cell r="G1945" t="str">
            <v>OK</v>
          </cell>
        </row>
        <row r="1946">
          <cell r="A1946" t="str">
            <v>Y1812-0213</v>
          </cell>
          <cell r="B1946">
            <v>201808</v>
          </cell>
          <cell r="C1946" t="str">
            <v>0100166154</v>
          </cell>
          <cell r="D1946" t="str">
            <v>663608C</v>
          </cell>
          <cell r="E1946">
            <v>1284</v>
          </cell>
          <cell r="F1946">
            <v>43453</v>
          </cell>
          <cell r="G1946" t="str">
            <v>OK</v>
          </cell>
        </row>
        <row r="1947">
          <cell r="A1947" t="str">
            <v>Y1812-0219</v>
          </cell>
          <cell r="B1947">
            <v>201808</v>
          </cell>
          <cell r="C1947" t="str">
            <v>0100166161</v>
          </cell>
          <cell r="D1947" t="str">
            <v>663656C</v>
          </cell>
          <cell r="E1947">
            <v>10704</v>
          </cell>
          <cell r="F1947">
            <v>43439</v>
          </cell>
          <cell r="G1947" t="str">
            <v>OK</v>
          </cell>
        </row>
        <row r="1948">
          <cell r="A1948" t="str">
            <v>Y1812-0225</v>
          </cell>
          <cell r="B1948">
            <v>201808</v>
          </cell>
          <cell r="C1948" t="str">
            <v>0100166167</v>
          </cell>
          <cell r="D1948" t="str">
            <v>163383C</v>
          </cell>
          <cell r="E1948">
            <v>2028</v>
          </cell>
          <cell r="F1948">
            <v>43441</v>
          </cell>
          <cell r="G1948" t="str">
            <v>OK</v>
          </cell>
        </row>
        <row r="1949">
          <cell r="A1949" t="str">
            <v>Y1812-0226</v>
          </cell>
          <cell r="B1949">
            <v>201808</v>
          </cell>
          <cell r="C1949" t="str">
            <v>0100166168</v>
          </cell>
          <cell r="D1949" t="str">
            <v>163384C</v>
          </cell>
          <cell r="E1949">
            <v>1620</v>
          </cell>
          <cell r="F1949">
            <v>43441</v>
          </cell>
          <cell r="G1949" t="str">
            <v>OK</v>
          </cell>
        </row>
        <row r="1950">
          <cell r="A1950" t="str">
            <v>Y1812-0233</v>
          </cell>
          <cell r="B1950">
            <v>201808</v>
          </cell>
          <cell r="C1950" t="str">
            <v>0100166175</v>
          </cell>
          <cell r="D1950" t="str">
            <v>163384C</v>
          </cell>
          <cell r="E1950">
            <v>420</v>
          </cell>
          <cell r="F1950">
            <v>43453</v>
          </cell>
          <cell r="G1950" t="str">
            <v>OK</v>
          </cell>
        </row>
        <row r="1951">
          <cell r="A1951" t="str">
            <v>Y1812-0238</v>
          </cell>
          <cell r="B1951">
            <v>201808</v>
          </cell>
          <cell r="C1951" t="str">
            <v>0100166183</v>
          </cell>
          <cell r="D1951" t="str">
            <v>563425C</v>
          </cell>
          <cell r="E1951">
            <v>816</v>
          </cell>
          <cell r="F1951">
            <v>43453</v>
          </cell>
          <cell r="G1951" t="str">
            <v>OK</v>
          </cell>
        </row>
        <row r="1952">
          <cell r="A1952" t="str">
            <v>Y1812-0239</v>
          </cell>
          <cell r="B1952">
            <v>201808</v>
          </cell>
          <cell r="C1952" t="str">
            <v>0100166184</v>
          </cell>
          <cell r="D1952" t="str">
            <v>563426C</v>
          </cell>
          <cell r="E1952">
            <v>816</v>
          </cell>
          <cell r="F1952">
            <v>43453</v>
          </cell>
          <cell r="G1952" t="str">
            <v>OK</v>
          </cell>
        </row>
        <row r="1953">
          <cell r="A1953" t="str">
            <v>Y1812-0243</v>
          </cell>
          <cell r="B1953">
            <v>201808</v>
          </cell>
          <cell r="C1953" t="str">
            <v>0100166189</v>
          </cell>
          <cell r="D1953" t="str">
            <v>663656C</v>
          </cell>
          <cell r="E1953">
            <v>300</v>
          </cell>
          <cell r="F1953">
            <v>43453</v>
          </cell>
          <cell r="G1953" t="str">
            <v>OK</v>
          </cell>
        </row>
        <row r="1954">
          <cell r="A1954" t="str">
            <v>Y1812-0267</v>
          </cell>
          <cell r="B1954">
            <v>201808</v>
          </cell>
          <cell r="C1954" t="str">
            <v>0100166214</v>
          </cell>
          <cell r="D1954" t="str">
            <v>158369C</v>
          </cell>
          <cell r="E1954">
            <v>372</v>
          </cell>
          <cell r="F1954">
            <v>43448</v>
          </cell>
          <cell r="G1954" t="str">
            <v>OK</v>
          </cell>
        </row>
        <row r="1955">
          <cell r="A1955" t="str">
            <v>Y1812-0270</v>
          </cell>
          <cell r="B1955">
            <v>201808</v>
          </cell>
          <cell r="C1955" t="str">
            <v>0100166217</v>
          </cell>
          <cell r="D1955" t="str">
            <v>163198C</v>
          </cell>
          <cell r="E1955">
            <v>324</v>
          </cell>
          <cell r="F1955">
            <v>43453</v>
          </cell>
          <cell r="G1955" t="str">
            <v>OK</v>
          </cell>
        </row>
        <row r="1956">
          <cell r="A1956" t="str">
            <v>Y1812-0272</v>
          </cell>
          <cell r="B1956">
            <v>201808</v>
          </cell>
          <cell r="C1956" t="str">
            <v>0100166219</v>
          </cell>
          <cell r="D1956" t="str">
            <v>163195C</v>
          </cell>
          <cell r="E1956">
            <v>312</v>
          </cell>
          <cell r="F1956">
            <v>43453</v>
          </cell>
          <cell r="G1956" t="str">
            <v>OK</v>
          </cell>
        </row>
        <row r="1957">
          <cell r="A1957" t="str">
            <v>Y1810-1044</v>
          </cell>
          <cell r="B1957">
            <v>201808</v>
          </cell>
          <cell r="C1957" t="str">
            <v>0100166233</v>
          </cell>
          <cell r="D1957" t="str">
            <v>563425C</v>
          </cell>
          <cell r="E1957">
            <v>1032</v>
          </cell>
          <cell r="F1957">
            <v>43445</v>
          </cell>
          <cell r="G1957" t="str">
            <v>OK</v>
          </cell>
        </row>
        <row r="1958">
          <cell r="A1958" t="str">
            <v>Y1812-0277</v>
          </cell>
          <cell r="B1958">
            <v>201808</v>
          </cell>
          <cell r="C1958" t="str">
            <v>0100166234</v>
          </cell>
          <cell r="D1958" t="str">
            <v>563426C</v>
          </cell>
          <cell r="E1958">
            <v>744</v>
          </cell>
          <cell r="F1958">
            <v>43445</v>
          </cell>
          <cell r="G1958" t="str">
            <v>OK</v>
          </cell>
        </row>
        <row r="1959">
          <cell r="A1959" t="str">
            <v>Y1812-0282</v>
          </cell>
          <cell r="B1959">
            <v>201808</v>
          </cell>
          <cell r="C1959" t="str">
            <v>0100166265</v>
          </cell>
          <cell r="D1959" t="str">
            <v>3J235</v>
          </cell>
          <cell r="E1959">
            <v>1104</v>
          </cell>
          <cell r="F1959">
            <v>43443</v>
          </cell>
          <cell r="G1959" t="str">
            <v>OK</v>
          </cell>
        </row>
        <row r="1960">
          <cell r="A1960" t="str">
            <v>Y1812-0288</v>
          </cell>
          <cell r="B1960">
            <v>201808</v>
          </cell>
          <cell r="C1960" t="str">
            <v>0100166285</v>
          </cell>
          <cell r="D1960">
            <v>81229</v>
          </cell>
          <cell r="E1960">
            <v>900</v>
          </cell>
          <cell r="F1960">
            <v>43451</v>
          </cell>
          <cell r="G1960" t="str">
            <v>OK</v>
          </cell>
        </row>
        <row r="1961">
          <cell r="A1961" t="str">
            <v>Y1811-0630</v>
          </cell>
          <cell r="B1961">
            <v>201808</v>
          </cell>
          <cell r="C1961" t="str">
            <v>0100168119</v>
          </cell>
          <cell r="D1961" t="str">
            <v>563425C</v>
          </cell>
          <cell r="E1961">
            <v>264</v>
          </cell>
          <cell r="F1961">
            <v>43445</v>
          </cell>
          <cell r="G1961" t="str">
            <v>OK</v>
          </cell>
        </row>
        <row r="1962">
          <cell r="A1962" t="str">
            <v>Y1811-0644</v>
          </cell>
          <cell r="B1962">
            <v>201808</v>
          </cell>
          <cell r="C1962" t="str">
            <v>0100168253</v>
          </cell>
          <cell r="D1962" t="str">
            <v>563426C</v>
          </cell>
          <cell r="E1962">
            <v>264</v>
          </cell>
          <cell r="F1962">
            <v>43445</v>
          </cell>
          <cell r="G1962" t="str">
            <v>OK</v>
          </cell>
        </row>
        <row r="1963">
          <cell r="A1963" t="str">
            <v>Y1812-0332</v>
          </cell>
          <cell r="B1963">
            <v>201808</v>
          </cell>
          <cell r="C1963" t="str">
            <v>0100168429</v>
          </cell>
          <cell r="D1963" t="str">
            <v>663656C</v>
          </cell>
          <cell r="E1963">
            <v>396</v>
          </cell>
          <cell r="F1963">
            <v>43448</v>
          </cell>
          <cell r="G1963" t="str">
            <v>OK</v>
          </cell>
        </row>
        <row r="1964">
          <cell r="A1964" t="str">
            <v>Y1812-0345</v>
          </cell>
          <cell r="B1964">
            <v>201808</v>
          </cell>
          <cell r="C1964" t="str">
            <v>0100168679</v>
          </cell>
          <cell r="D1964" t="str">
            <v>163194C</v>
          </cell>
          <cell r="E1964">
            <v>168</v>
          </cell>
          <cell r="F1964">
            <v>43452</v>
          </cell>
          <cell r="G1964" t="str">
            <v>OK</v>
          </cell>
        </row>
        <row r="1965">
          <cell r="A1965" t="str">
            <v>Y1812-0346</v>
          </cell>
          <cell r="B1965">
            <v>201808</v>
          </cell>
          <cell r="C1965" t="str">
            <v>0100168680</v>
          </cell>
          <cell r="D1965" t="str">
            <v>163198C</v>
          </cell>
          <cell r="E1965">
            <v>372</v>
          </cell>
          <cell r="F1965">
            <v>43452</v>
          </cell>
          <cell r="G1965" t="str">
            <v>OK</v>
          </cell>
        </row>
        <row r="1966">
          <cell r="A1966" t="str">
            <v>Y1812-0350</v>
          </cell>
          <cell r="B1966">
            <v>201808</v>
          </cell>
          <cell r="C1966" t="str">
            <v>0100168684</v>
          </cell>
          <cell r="D1966" t="str">
            <v>763527C</v>
          </cell>
          <cell r="E1966">
            <v>504</v>
          </cell>
          <cell r="F1966">
            <v>43448</v>
          </cell>
          <cell r="G1966" t="str">
            <v>OK</v>
          </cell>
        </row>
        <row r="1967">
          <cell r="A1967" t="str">
            <v>Y1812-0354</v>
          </cell>
          <cell r="B1967">
            <v>201808</v>
          </cell>
          <cell r="C1967" t="str">
            <v>0100168688</v>
          </cell>
          <cell r="D1967" t="str">
            <v>663656C</v>
          </cell>
          <cell r="E1967">
            <v>192</v>
          </cell>
          <cell r="F1967">
            <v>43447</v>
          </cell>
          <cell r="G1967" t="str">
            <v>OK</v>
          </cell>
        </row>
        <row r="1968">
          <cell r="A1968" t="str">
            <v>Y1812-0365</v>
          </cell>
          <cell r="B1968">
            <v>201808</v>
          </cell>
          <cell r="C1968" t="str">
            <v>0100168838</v>
          </cell>
          <cell r="D1968" t="str">
            <v>158369C</v>
          </cell>
          <cell r="E1968">
            <v>144</v>
          </cell>
          <cell r="F1968">
            <v>43455</v>
          </cell>
          <cell r="G1968" t="str">
            <v>OK</v>
          </cell>
        </row>
        <row r="1969">
          <cell r="A1969" t="str">
            <v>Y1812-0377</v>
          </cell>
          <cell r="B1969">
            <v>201808</v>
          </cell>
          <cell r="C1969" t="str">
            <v>0100168933</v>
          </cell>
          <cell r="D1969" t="str">
            <v>563425C</v>
          </cell>
          <cell r="E1969">
            <v>120</v>
          </cell>
          <cell r="F1969">
            <v>43444</v>
          </cell>
          <cell r="G1969" t="str">
            <v>OK</v>
          </cell>
        </row>
        <row r="1970">
          <cell r="A1970" t="str">
            <v>Y1812-0378</v>
          </cell>
          <cell r="B1970">
            <v>201808</v>
          </cell>
          <cell r="C1970" t="str">
            <v>0100168934</v>
          </cell>
          <cell r="D1970" t="str">
            <v>563426C</v>
          </cell>
          <cell r="E1970">
            <v>120</v>
          </cell>
          <cell r="F1970">
            <v>43444</v>
          </cell>
          <cell r="G1970" t="str">
            <v>OK</v>
          </cell>
        </row>
        <row r="1971">
          <cell r="A1971" t="str">
            <v>Y1812-0395</v>
          </cell>
          <cell r="B1971">
            <v>201808</v>
          </cell>
          <cell r="C1971" t="str">
            <v>4600061954</v>
          </cell>
          <cell r="D1971" t="str">
            <v>163194C</v>
          </cell>
          <cell r="E1971">
            <v>144</v>
          </cell>
          <cell r="F1971">
            <v>43465</v>
          </cell>
          <cell r="G1971" t="str">
            <v>OK</v>
          </cell>
        </row>
        <row r="1972">
          <cell r="A1972" t="str">
            <v>Y1812-0396</v>
          </cell>
          <cell r="B1972">
            <v>201808</v>
          </cell>
          <cell r="C1972" t="str">
            <v>4600061955</v>
          </cell>
          <cell r="D1972" t="str">
            <v>163198C</v>
          </cell>
          <cell r="E1972">
            <v>156</v>
          </cell>
          <cell r="F1972">
            <v>43465</v>
          </cell>
          <cell r="G1972" t="str">
            <v>OK</v>
          </cell>
        </row>
        <row r="1973">
          <cell r="A1973" t="str">
            <v>Y1812-0422</v>
          </cell>
          <cell r="B1973">
            <v>201808</v>
          </cell>
          <cell r="C1973" t="str">
            <v>4600061984</v>
          </cell>
          <cell r="D1973" t="str">
            <v>563426C</v>
          </cell>
          <cell r="E1973">
            <v>120</v>
          </cell>
          <cell r="F1973">
            <v>43445</v>
          </cell>
          <cell r="G1973" t="str">
            <v>OK</v>
          </cell>
        </row>
        <row r="1974">
          <cell r="A1974" t="str">
            <v>Y1812-0428</v>
          </cell>
          <cell r="B1974">
            <v>201808</v>
          </cell>
          <cell r="C1974" t="str">
            <v>4600061999</v>
          </cell>
          <cell r="D1974" t="str">
            <v>158369C</v>
          </cell>
          <cell r="E1974">
            <v>480</v>
          </cell>
          <cell r="F1974">
            <v>43463</v>
          </cell>
          <cell r="G1974" t="str">
            <v>OK</v>
          </cell>
        </row>
        <row r="1975">
          <cell r="A1975" t="str">
            <v>Y1812-0156</v>
          </cell>
          <cell r="B1975">
            <v>201808</v>
          </cell>
          <cell r="C1975" t="str">
            <v>0100166031</v>
          </cell>
          <cell r="D1975" t="str">
            <v>155066C</v>
          </cell>
          <cell r="E1975">
            <v>936</v>
          </cell>
          <cell r="F1975">
            <v>43453</v>
          </cell>
          <cell r="G1975" t="str">
            <v>OK</v>
          </cell>
        </row>
        <row r="1976">
          <cell r="A1976" t="str">
            <v>Y1812-0161</v>
          </cell>
          <cell r="B1976">
            <v>201808</v>
          </cell>
          <cell r="C1976" t="str">
            <v>0100166059</v>
          </cell>
          <cell r="D1976" t="str">
            <v>663654C</v>
          </cell>
          <cell r="E1976">
            <v>1680</v>
          </cell>
          <cell r="F1976">
            <v>43453</v>
          </cell>
          <cell r="G1976" t="str">
            <v>OK</v>
          </cell>
        </row>
        <row r="1977">
          <cell r="A1977" t="str">
            <v>Y1812-0162</v>
          </cell>
          <cell r="B1977">
            <v>201808</v>
          </cell>
          <cell r="C1977" t="str">
            <v>0100166064</v>
          </cell>
          <cell r="D1977" t="str">
            <v>663602C</v>
          </cell>
          <cell r="E1977">
            <v>3828</v>
          </cell>
          <cell r="F1977">
            <v>43441</v>
          </cell>
          <cell r="G1977" t="str">
            <v>OK</v>
          </cell>
        </row>
        <row r="1978">
          <cell r="A1978" t="str">
            <v>Y1812-0164</v>
          </cell>
          <cell r="B1978">
            <v>201808</v>
          </cell>
          <cell r="C1978" t="str">
            <v>0100166066</v>
          </cell>
          <cell r="D1978" t="str">
            <v>663653C</v>
          </cell>
          <cell r="E1978">
            <v>2208</v>
          </cell>
          <cell r="F1978">
            <v>43443</v>
          </cell>
          <cell r="G1978" t="str">
            <v>OK</v>
          </cell>
        </row>
        <row r="1979">
          <cell r="A1979" t="str">
            <v>Y1812-0165</v>
          </cell>
          <cell r="B1979">
            <v>201808</v>
          </cell>
          <cell r="C1979" t="str">
            <v>0100166067</v>
          </cell>
          <cell r="D1979" t="str">
            <v>763564C</v>
          </cell>
          <cell r="E1979">
            <v>2076</v>
          </cell>
          <cell r="F1979">
            <v>43443</v>
          </cell>
          <cell r="G1979" t="str">
            <v>OK</v>
          </cell>
        </row>
        <row r="1980">
          <cell r="A1980" t="str">
            <v>Y1812-0172</v>
          </cell>
          <cell r="B1980">
            <v>201808</v>
          </cell>
          <cell r="C1980" t="str">
            <v>0100166100</v>
          </cell>
          <cell r="D1980" t="str">
            <v>144145C</v>
          </cell>
          <cell r="E1980">
            <v>2196</v>
          </cell>
          <cell r="F1980">
            <v>43451</v>
          </cell>
          <cell r="G1980" t="str">
            <v>OK</v>
          </cell>
        </row>
        <row r="1981">
          <cell r="A1981" t="str">
            <v>Y1812-0173</v>
          </cell>
          <cell r="B1981">
            <v>201808</v>
          </cell>
          <cell r="C1981" t="str">
            <v>0100166102</v>
          </cell>
          <cell r="D1981" t="str">
            <v>144148C</v>
          </cell>
          <cell r="E1981">
            <v>2784</v>
          </cell>
          <cell r="F1981">
            <v>43437</v>
          </cell>
          <cell r="G1981" t="str">
            <v>OK</v>
          </cell>
        </row>
        <row r="1982">
          <cell r="A1982" t="str">
            <v>Y1812-0177</v>
          </cell>
          <cell r="B1982">
            <v>201808</v>
          </cell>
          <cell r="C1982" t="str">
            <v>0100166108</v>
          </cell>
          <cell r="D1982" t="str">
            <v>163186C</v>
          </cell>
          <cell r="E1982">
            <v>252</v>
          </cell>
          <cell r="F1982">
            <v>43451</v>
          </cell>
          <cell r="G1982" t="str">
            <v>OK</v>
          </cell>
        </row>
        <row r="1983">
          <cell r="A1983" t="str">
            <v>Y1812-0178</v>
          </cell>
          <cell r="B1983">
            <v>201808</v>
          </cell>
          <cell r="C1983" t="str">
            <v>0100166109</v>
          </cell>
          <cell r="D1983" t="str">
            <v>163187C</v>
          </cell>
          <cell r="E1983">
            <v>1920</v>
          </cell>
          <cell r="F1983">
            <v>43451</v>
          </cell>
          <cell r="G1983" t="str">
            <v>OK</v>
          </cell>
        </row>
        <row r="1984">
          <cell r="A1984" t="str">
            <v>Y1812-0180</v>
          </cell>
          <cell r="B1984">
            <v>201808</v>
          </cell>
          <cell r="C1984" t="str">
            <v>0100166111</v>
          </cell>
          <cell r="D1984" t="str">
            <v>163188C</v>
          </cell>
          <cell r="E1984">
            <v>1440</v>
          </cell>
          <cell r="F1984">
            <v>43451</v>
          </cell>
          <cell r="G1984" t="str">
            <v>OK</v>
          </cell>
        </row>
        <row r="1985">
          <cell r="A1985" t="str">
            <v>Y1812-0181</v>
          </cell>
          <cell r="B1985">
            <v>201808</v>
          </cell>
          <cell r="C1985" t="str">
            <v>0100166113</v>
          </cell>
          <cell r="D1985">
            <v>715467</v>
          </cell>
          <cell r="E1985">
            <v>4128</v>
          </cell>
          <cell r="F1985">
            <v>43451</v>
          </cell>
          <cell r="G1985" t="str">
            <v>OK</v>
          </cell>
        </row>
        <row r="1986">
          <cell r="A1986" t="str">
            <v>Y1812-0187</v>
          </cell>
          <cell r="B1986">
            <v>201808</v>
          </cell>
          <cell r="C1986" t="str">
            <v>0100166119</v>
          </cell>
          <cell r="D1986">
            <v>715660</v>
          </cell>
          <cell r="E1986">
            <v>3540</v>
          </cell>
          <cell r="F1986">
            <v>43451</v>
          </cell>
          <cell r="G1986" t="str">
            <v>OK</v>
          </cell>
        </row>
        <row r="1987">
          <cell r="A1987" t="str">
            <v>Y1812-0188</v>
          </cell>
          <cell r="B1987">
            <v>201808</v>
          </cell>
          <cell r="C1987" t="str">
            <v>0100166121</v>
          </cell>
          <cell r="D1987" t="str">
            <v>163201C</v>
          </cell>
          <cell r="E1987">
            <v>1092</v>
          </cell>
          <cell r="F1987">
            <v>43451</v>
          </cell>
          <cell r="G1987" t="str">
            <v>OK</v>
          </cell>
        </row>
        <row r="1988">
          <cell r="A1988" t="str">
            <v>Y1812-0189</v>
          </cell>
          <cell r="B1988">
            <v>201808</v>
          </cell>
          <cell r="C1988" t="str">
            <v>0100166123</v>
          </cell>
          <cell r="D1988" t="str">
            <v>163202C</v>
          </cell>
          <cell r="E1988">
            <v>516</v>
          </cell>
          <cell r="F1988">
            <v>43451</v>
          </cell>
          <cell r="G1988" t="str">
            <v>OK</v>
          </cell>
        </row>
        <row r="1989">
          <cell r="A1989" t="str">
            <v>Y1812-0190</v>
          </cell>
          <cell r="B1989">
            <v>201808</v>
          </cell>
          <cell r="C1989" t="str">
            <v>0100166124</v>
          </cell>
          <cell r="D1989" t="str">
            <v>163203C</v>
          </cell>
          <cell r="E1989">
            <v>2916</v>
          </cell>
          <cell r="F1989">
            <v>43452</v>
          </cell>
          <cell r="G1989" t="str">
            <v>OK</v>
          </cell>
        </row>
        <row r="1990">
          <cell r="A1990" t="str">
            <v>Y1812-0191</v>
          </cell>
          <cell r="B1990">
            <v>201808</v>
          </cell>
          <cell r="C1990" t="str">
            <v>0100166125</v>
          </cell>
          <cell r="D1990" t="str">
            <v>651827C</v>
          </cell>
          <cell r="E1990">
            <v>11244</v>
          </cell>
          <cell r="F1990">
            <v>43437</v>
          </cell>
          <cell r="G1990" t="str">
            <v>OK</v>
          </cell>
        </row>
        <row r="1991">
          <cell r="A1991" t="str">
            <v>Y1812-0192</v>
          </cell>
          <cell r="B1991">
            <v>201808</v>
          </cell>
          <cell r="C1991" t="str">
            <v>0100166126</v>
          </cell>
          <cell r="D1991" t="str">
            <v>751878C</v>
          </cell>
          <cell r="E1991">
            <v>2256</v>
          </cell>
          <cell r="F1991">
            <v>43451</v>
          </cell>
          <cell r="G1991" t="str">
            <v>OK</v>
          </cell>
        </row>
        <row r="1992">
          <cell r="A1992" t="str">
            <v>Y1812-0193</v>
          </cell>
          <cell r="B1992">
            <v>201808</v>
          </cell>
          <cell r="C1992" t="str">
            <v>0100166127</v>
          </cell>
          <cell r="D1992" t="str">
            <v>161602C</v>
          </cell>
          <cell r="E1992">
            <v>1812</v>
          </cell>
          <cell r="F1992">
            <v>43451</v>
          </cell>
          <cell r="G1992" t="str">
            <v>OK</v>
          </cell>
        </row>
        <row r="1993">
          <cell r="A1993" t="str">
            <v>Y1812-0194</v>
          </cell>
          <cell r="B1993">
            <v>201808</v>
          </cell>
          <cell r="C1993" t="str">
            <v>0100166128</v>
          </cell>
          <cell r="D1993" t="str">
            <v>651830C</v>
          </cell>
          <cell r="E1993">
            <v>1632</v>
          </cell>
          <cell r="F1993">
            <v>43451</v>
          </cell>
          <cell r="G1993" t="str">
            <v>11/06</v>
          </cell>
        </row>
        <row r="1994">
          <cell r="A1994" t="str">
            <v>Y1812-0195</v>
          </cell>
          <cell r="B1994">
            <v>201808</v>
          </cell>
          <cell r="C1994" t="str">
            <v>0100166129</v>
          </cell>
          <cell r="D1994" t="str">
            <v>161603C</v>
          </cell>
          <cell r="E1994">
            <v>2016</v>
          </cell>
          <cell r="F1994">
            <v>43451</v>
          </cell>
          <cell r="G1994" t="str">
            <v>OK</v>
          </cell>
        </row>
        <row r="1995">
          <cell r="A1995" t="str">
            <v>Y1812-0200</v>
          </cell>
          <cell r="B1995">
            <v>201808</v>
          </cell>
          <cell r="C1995" t="str">
            <v>0100166139</v>
          </cell>
          <cell r="D1995" t="str">
            <v>763529C</v>
          </cell>
          <cell r="E1995">
            <v>3492</v>
          </cell>
          <cell r="F1995">
            <v>43451</v>
          </cell>
          <cell r="G1995" t="str">
            <v>OK</v>
          </cell>
        </row>
        <row r="1996">
          <cell r="A1996" t="str">
            <v>Y1812-0207</v>
          </cell>
          <cell r="B1996">
            <v>201808</v>
          </cell>
          <cell r="C1996" t="str">
            <v>0100166148</v>
          </cell>
          <cell r="D1996" t="str">
            <v>663602C</v>
          </cell>
          <cell r="E1996">
            <v>3060</v>
          </cell>
          <cell r="F1996">
            <v>43448</v>
          </cell>
          <cell r="G1996" t="str">
            <v>OK</v>
          </cell>
        </row>
        <row r="1997">
          <cell r="A1997" t="str">
            <v>Y1812-0210</v>
          </cell>
          <cell r="B1997">
            <v>201808</v>
          </cell>
          <cell r="C1997" t="str">
            <v>0100166151</v>
          </cell>
          <cell r="D1997" t="str">
            <v>763564C</v>
          </cell>
          <cell r="E1997">
            <v>552</v>
          </cell>
          <cell r="F1997">
            <v>43452</v>
          </cell>
          <cell r="G1997" t="str">
            <v>OK</v>
          </cell>
        </row>
        <row r="1998">
          <cell r="A1998" t="str">
            <v>Y1812-0211</v>
          </cell>
          <cell r="B1998">
            <v>201808</v>
          </cell>
          <cell r="C1998" t="str">
            <v>0100166152</v>
          </cell>
          <cell r="D1998" t="str">
            <v>763565C</v>
          </cell>
          <cell r="E1998">
            <v>1524</v>
          </cell>
          <cell r="F1998">
            <v>43448</v>
          </cell>
          <cell r="G1998" t="str">
            <v>OK</v>
          </cell>
        </row>
        <row r="1999">
          <cell r="A1999" t="str">
            <v>Y1812-0217</v>
          </cell>
          <cell r="B1999">
            <v>201808</v>
          </cell>
          <cell r="C1999" t="str">
            <v>0100166158</v>
          </cell>
          <cell r="D1999" t="str">
            <v>663653C</v>
          </cell>
          <cell r="E1999">
            <v>4272</v>
          </cell>
          <cell r="F1999">
            <v>43452</v>
          </cell>
          <cell r="G1999" t="str">
            <v>OK</v>
          </cell>
        </row>
        <row r="2000">
          <cell r="A2000" t="str">
            <v>Y1812-0218</v>
          </cell>
          <cell r="B2000">
            <v>201808</v>
          </cell>
          <cell r="C2000" t="str">
            <v>0100166159</v>
          </cell>
          <cell r="D2000" t="str">
            <v>663654C</v>
          </cell>
          <cell r="E2000">
            <v>3336</v>
          </cell>
          <cell r="F2000">
            <v>43452</v>
          </cell>
          <cell r="G2000" t="str">
            <v>OK</v>
          </cell>
        </row>
        <row r="2001">
          <cell r="A2001" t="str">
            <v>Y1812-0220</v>
          </cell>
          <cell r="B2001">
            <v>201808</v>
          </cell>
          <cell r="C2001" t="str">
            <v>0100166162</v>
          </cell>
          <cell r="D2001" t="str">
            <v>663657C</v>
          </cell>
          <cell r="E2001">
            <v>5856</v>
          </cell>
          <cell r="F2001">
            <v>43439</v>
          </cell>
          <cell r="G2001" t="str">
            <v>OK</v>
          </cell>
        </row>
        <row r="2002">
          <cell r="A2002" t="str">
            <v>Y1812-0221</v>
          </cell>
          <cell r="B2002">
            <v>201808</v>
          </cell>
          <cell r="C2002" t="str">
            <v>0100166163</v>
          </cell>
          <cell r="D2002" t="str">
            <v>663989C</v>
          </cell>
          <cell r="E2002">
            <v>9996</v>
          </cell>
          <cell r="F2002">
            <v>43437</v>
          </cell>
          <cell r="G2002" t="str">
            <v>OK</v>
          </cell>
        </row>
        <row r="2003">
          <cell r="A2003" t="str">
            <v>Y1812-0222</v>
          </cell>
          <cell r="B2003">
            <v>201808</v>
          </cell>
          <cell r="C2003" t="str">
            <v>0100166164</v>
          </cell>
          <cell r="D2003" t="str">
            <v>663991C</v>
          </cell>
          <cell r="E2003">
            <v>5640</v>
          </cell>
          <cell r="F2003">
            <v>43441</v>
          </cell>
          <cell r="G2003" t="str">
            <v>OK</v>
          </cell>
        </row>
        <row r="2004">
          <cell r="A2004" t="str">
            <v>Y1812-0230</v>
          </cell>
          <cell r="B2004">
            <v>201808</v>
          </cell>
          <cell r="C2004" t="str">
            <v>0100166172</v>
          </cell>
          <cell r="D2004" t="str">
            <v>163187C</v>
          </cell>
          <cell r="E2004">
            <v>1872</v>
          </cell>
          <cell r="F2004">
            <v>43453</v>
          </cell>
          <cell r="G2004" t="str">
            <v>OK</v>
          </cell>
        </row>
        <row r="2005">
          <cell r="A2005" t="str">
            <v>Y1812-0231</v>
          </cell>
          <cell r="B2005">
            <v>201808</v>
          </cell>
          <cell r="C2005" t="str">
            <v>0100166173</v>
          </cell>
          <cell r="D2005" t="str">
            <v>163186C</v>
          </cell>
          <cell r="E2005">
            <v>1416</v>
          </cell>
          <cell r="F2005">
            <v>43453</v>
          </cell>
          <cell r="G2005" t="str">
            <v>OK</v>
          </cell>
        </row>
        <row r="2006">
          <cell r="A2006" t="str">
            <v>Y1812-0234</v>
          </cell>
          <cell r="B2006">
            <v>201808</v>
          </cell>
          <cell r="C2006" t="str">
            <v>0100166176</v>
          </cell>
          <cell r="D2006" t="str">
            <v>144150C</v>
          </cell>
          <cell r="E2006">
            <v>1212</v>
          </cell>
          <cell r="F2006">
            <v>43453</v>
          </cell>
          <cell r="G2006" t="str">
            <v>OK</v>
          </cell>
        </row>
        <row r="2007">
          <cell r="A2007" t="str">
            <v>Y1812-0235</v>
          </cell>
          <cell r="B2007">
            <v>201808</v>
          </cell>
          <cell r="C2007" t="str">
            <v>0100166177</v>
          </cell>
          <cell r="D2007" t="str">
            <v>144148C</v>
          </cell>
          <cell r="E2007">
            <v>852</v>
          </cell>
          <cell r="F2007">
            <v>43453</v>
          </cell>
          <cell r="G2007" t="str">
            <v>OK</v>
          </cell>
        </row>
        <row r="2008">
          <cell r="A2008" t="str">
            <v>Y1812-0236</v>
          </cell>
          <cell r="B2008">
            <v>201808</v>
          </cell>
          <cell r="C2008" t="str">
            <v>0100166178</v>
          </cell>
          <cell r="D2008" t="str">
            <v>144151C</v>
          </cell>
          <cell r="E2008">
            <v>576</v>
          </cell>
          <cell r="F2008">
            <v>43453</v>
          </cell>
          <cell r="G2008" t="str">
            <v>OK</v>
          </cell>
        </row>
        <row r="2009">
          <cell r="A2009" t="str">
            <v>Y1812-0237</v>
          </cell>
          <cell r="B2009">
            <v>201808</v>
          </cell>
          <cell r="C2009" t="str">
            <v>0100166179</v>
          </cell>
          <cell r="D2009" t="str">
            <v>144145C</v>
          </cell>
          <cell r="E2009">
            <v>1452</v>
          </cell>
          <cell r="F2009">
            <v>43453</v>
          </cell>
          <cell r="G2009" t="str">
            <v>OK</v>
          </cell>
        </row>
        <row r="2010">
          <cell r="A2010" t="str">
            <v>Y1812-0245</v>
          </cell>
          <cell r="B2010">
            <v>201808</v>
          </cell>
          <cell r="C2010" t="str">
            <v>0100166191</v>
          </cell>
          <cell r="D2010" t="str">
            <v>663989C</v>
          </cell>
          <cell r="E2010">
            <v>240</v>
          </cell>
          <cell r="F2010">
            <v>43453</v>
          </cell>
          <cell r="G2010" t="str">
            <v>OK</v>
          </cell>
        </row>
        <row r="2011">
          <cell r="A2011" t="str">
            <v>Y1812-0247</v>
          </cell>
          <cell r="B2011">
            <v>201808</v>
          </cell>
          <cell r="C2011" t="str">
            <v>0100166193</v>
          </cell>
          <cell r="D2011" t="str">
            <v>163187C</v>
          </cell>
          <cell r="E2011">
            <v>1404</v>
          </cell>
          <cell r="F2011">
            <v>43453</v>
          </cell>
          <cell r="G2011" t="str">
            <v>OK</v>
          </cell>
        </row>
        <row r="2012">
          <cell r="A2012" t="str">
            <v>Y1812-0248</v>
          </cell>
          <cell r="B2012">
            <v>201808</v>
          </cell>
          <cell r="C2012" t="str">
            <v>0100166194</v>
          </cell>
          <cell r="D2012" t="str">
            <v>163186C</v>
          </cell>
          <cell r="E2012">
            <v>1416</v>
          </cell>
          <cell r="F2012">
            <v>43453</v>
          </cell>
          <cell r="G2012" t="str">
            <v>OK</v>
          </cell>
        </row>
        <row r="2013">
          <cell r="A2013" t="str">
            <v>Y1812-0254</v>
          </cell>
          <cell r="B2013">
            <v>201808</v>
          </cell>
          <cell r="C2013" t="str">
            <v>0100166200</v>
          </cell>
          <cell r="D2013" t="str">
            <v>144148C</v>
          </cell>
          <cell r="E2013">
            <v>372</v>
          </cell>
          <cell r="F2013">
            <v>43453</v>
          </cell>
          <cell r="G2013" t="str">
            <v>OK</v>
          </cell>
        </row>
        <row r="2014">
          <cell r="A2014" t="str">
            <v>Y1812-0256</v>
          </cell>
          <cell r="B2014">
            <v>201808</v>
          </cell>
          <cell r="C2014" t="str">
            <v>0100166202</v>
          </cell>
          <cell r="D2014" t="str">
            <v>144150C</v>
          </cell>
          <cell r="E2014">
            <v>540</v>
          </cell>
          <cell r="F2014">
            <v>43453</v>
          </cell>
          <cell r="G2014" t="str">
            <v>OK</v>
          </cell>
        </row>
        <row r="2015">
          <cell r="A2015" t="str">
            <v>Y1812-0263</v>
          </cell>
          <cell r="B2015">
            <v>201808</v>
          </cell>
          <cell r="C2015" t="str">
            <v>0100166210</v>
          </cell>
          <cell r="D2015" t="str">
            <v>144145C</v>
          </cell>
          <cell r="E2015">
            <v>204</v>
          </cell>
          <cell r="F2015">
            <v>43448</v>
          </cell>
          <cell r="G2015" t="str">
            <v>OK</v>
          </cell>
        </row>
        <row r="2016">
          <cell r="A2016" t="str">
            <v>Y1812-0264</v>
          </cell>
          <cell r="B2016">
            <v>201808</v>
          </cell>
          <cell r="C2016" t="str">
            <v>0100166211</v>
          </cell>
          <cell r="D2016" t="str">
            <v>163187C</v>
          </cell>
          <cell r="E2016">
            <v>192</v>
          </cell>
          <cell r="F2016">
            <v>43447</v>
          </cell>
          <cell r="G2016" t="str">
            <v>OK</v>
          </cell>
        </row>
        <row r="2017">
          <cell r="A2017" t="str">
            <v>Y1812-0265</v>
          </cell>
          <cell r="B2017">
            <v>201808</v>
          </cell>
          <cell r="C2017" t="str">
            <v>0100166212</v>
          </cell>
          <cell r="D2017" t="str">
            <v>159786C</v>
          </cell>
          <cell r="E2017">
            <v>2772</v>
          </cell>
          <cell r="F2017">
            <v>43447</v>
          </cell>
          <cell r="G2017" t="str">
            <v>OK</v>
          </cell>
        </row>
        <row r="2018">
          <cell r="A2018" t="str">
            <v>Y1812-0266</v>
          </cell>
          <cell r="B2018">
            <v>201808</v>
          </cell>
          <cell r="C2018" t="str">
            <v>0100166213</v>
          </cell>
          <cell r="D2018" t="str">
            <v>144145C</v>
          </cell>
          <cell r="E2018">
            <v>120</v>
          </cell>
          <cell r="F2018">
            <v>43447</v>
          </cell>
          <cell r="G2018" t="str">
            <v>OK</v>
          </cell>
        </row>
        <row r="2019">
          <cell r="A2019" t="str">
            <v>Y1812-0268</v>
          </cell>
          <cell r="B2019">
            <v>201808</v>
          </cell>
          <cell r="C2019" t="str">
            <v>0100166215</v>
          </cell>
          <cell r="D2019" t="str">
            <v>663600C</v>
          </cell>
          <cell r="E2019">
            <v>3828</v>
          </cell>
          <cell r="F2019">
            <v>43448</v>
          </cell>
          <cell r="G2019" t="str">
            <v>OK</v>
          </cell>
        </row>
        <row r="2020">
          <cell r="A2020" t="str">
            <v>Y1812-0273</v>
          </cell>
          <cell r="B2020">
            <v>201808</v>
          </cell>
          <cell r="C2020" t="str">
            <v>0100166220</v>
          </cell>
          <cell r="D2020" t="str">
            <v>144150C</v>
          </cell>
          <cell r="E2020">
            <v>612</v>
          </cell>
          <cell r="F2020">
            <v>43448</v>
          </cell>
          <cell r="G2020" t="str">
            <v>OK</v>
          </cell>
        </row>
        <row r="2021">
          <cell r="A2021" t="str">
            <v>Y1812-0274</v>
          </cell>
          <cell r="B2021">
            <v>201808</v>
          </cell>
          <cell r="C2021" t="str">
            <v>0100166221</v>
          </cell>
          <cell r="D2021" t="str">
            <v>144150C</v>
          </cell>
          <cell r="E2021">
            <v>264</v>
          </cell>
          <cell r="F2021">
            <v>43447</v>
          </cell>
          <cell r="G2021" t="str">
            <v>OK</v>
          </cell>
        </row>
        <row r="2022">
          <cell r="A2022" t="str">
            <v>Y1812-0278</v>
          </cell>
          <cell r="B2022">
            <v>201808</v>
          </cell>
          <cell r="C2022" t="str">
            <v>0100166249</v>
          </cell>
          <cell r="D2022" t="str">
            <v>763564F</v>
          </cell>
          <cell r="E2022">
            <v>348</v>
          </cell>
          <cell r="F2022">
            <v>43462</v>
          </cell>
          <cell r="G2022" t="str">
            <v>OK</v>
          </cell>
        </row>
        <row r="2023">
          <cell r="A2023" t="str">
            <v>Y1812-0280</v>
          </cell>
          <cell r="B2023">
            <v>201808</v>
          </cell>
          <cell r="C2023" t="str">
            <v>0100166255</v>
          </cell>
          <cell r="D2023" t="str">
            <v>663654C</v>
          </cell>
          <cell r="E2023">
            <v>384</v>
          </cell>
          <cell r="F2023">
            <v>43462</v>
          </cell>
          <cell r="G2023" t="str">
            <v>OK</v>
          </cell>
        </row>
        <row r="2024">
          <cell r="A2024" t="str">
            <v>Y1812-0285</v>
          </cell>
          <cell r="B2024">
            <v>201808</v>
          </cell>
          <cell r="C2024" t="str">
            <v>0100166281</v>
          </cell>
          <cell r="D2024" t="str">
            <v>663653C</v>
          </cell>
          <cell r="E2024">
            <v>1452</v>
          </cell>
          <cell r="F2024">
            <v>43447</v>
          </cell>
          <cell r="G2024" t="str">
            <v>OK</v>
          </cell>
        </row>
        <row r="2025">
          <cell r="A2025" t="str">
            <v>Y1812-0287</v>
          </cell>
          <cell r="B2025">
            <v>201808</v>
          </cell>
          <cell r="C2025" t="str">
            <v>0100166284</v>
          </cell>
          <cell r="D2025" t="str">
            <v>663653C</v>
          </cell>
          <cell r="E2025">
            <v>360</v>
          </cell>
          <cell r="F2025">
            <v>43451</v>
          </cell>
          <cell r="G2025" t="str">
            <v>OK</v>
          </cell>
        </row>
        <row r="2026">
          <cell r="A2026" t="str">
            <v>Y1812-0295</v>
          </cell>
          <cell r="B2026">
            <v>201808</v>
          </cell>
          <cell r="C2026" t="str">
            <v>0100167907</v>
          </cell>
          <cell r="D2026" t="str">
            <v>163188C</v>
          </cell>
          <cell r="E2026">
            <v>156</v>
          </cell>
          <cell r="F2026">
            <v>43447</v>
          </cell>
          <cell r="G2026" t="str">
            <v>OK</v>
          </cell>
        </row>
        <row r="2027">
          <cell r="A2027" t="str">
            <v>Y1812-0296</v>
          </cell>
          <cell r="B2027">
            <v>201808</v>
          </cell>
          <cell r="C2027" t="str">
            <v>0100167908</v>
          </cell>
          <cell r="D2027" t="str">
            <v>159792C</v>
          </cell>
          <cell r="E2027">
            <v>732</v>
          </cell>
          <cell r="F2027">
            <v>43447</v>
          </cell>
          <cell r="G2027" t="str">
            <v>OK</v>
          </cell>
        </row>
        <row r="2028">
          <cell r="A2028" t="str">
            <v>Y1812-0297</v>
          </cell>
          <cell r="B2028">
            <v>201808</v>
          </cell>
          <cell r="C2028" t="str">
            <v>0100167909</v>
          </cell>
          <cell r="D2028" t="str">
            <v>155064C</v>
          </cell>
          <cell r="E2028">
            <v>168</v>
          </cell>
          <cell r="F2028">
            <v>43452</v>
          </cell>
          <cell r="G2028" t="str">
            <v>OK</v>
          </cell>
        </row>
        <row r="2029">
          <cell r="A2029" t="str">
            <v>Y1812-0298</v>
          </cell>
          <cell r="B2029">
            <v>201808</v>
          </cell>
          <cell r="C2029" t="str">
            <v>0100167910</v>
          </cell>
          <cell r="D2029" t="str">
            <v>144150C</v>
          </cell>
          <cell r="E2029">
            <v>168</v>
          </cell>
          <cell r="F2029">
            <v>43447</v>
          </cell>
          <cell r="G2029" t="str">
            <v>OK</v>
          </cell>
        </row>
        <row r="2030">
          <cell r="A2030" t="str">
            <v>Y1812-0300</v>
          </cell>
          <cell r="B2030">
            <v>201808</v>
          </cell>
          <cell r="C2030" t="str">
            <v>0100167912</v>
          </cell>
          <cell r="D2030" t="str">
            <v>144151C</v>
          </cell>
          <cell r="E2030">
            <v>264</v>
          </cell>
          <cell r="F2030">
            <v>43448</v>
          </cell>
          <cell r="G2030" t="str">
            <v>OK</v>
          </cell>
        </row>
        <row r="2031">
          <cell r="A2031" t="str">
            <v>Y1812-0305</v>
          </cell>
          <cell r="B2031">
            <v>201808</v>
          </cell>
          <cell r="C2031" t="str">
            <v>0100168129</v>
          </cell>
          <cell r="D2031" t="str">
            <v>163199C</v>
          </cell>
          <cell r="E2031">
            <v>156</v>
          </cell>
          <cell r="F2031">
            <v>43447</v>
          </cell>
          <cell r="G2031" t="str">
            <v>OK</v>
          </cell>
        </row>
        <row r="2032">
          <cell r="A2032" t="str">
            <v>Y1812-0306</v>
          </cell>
          <cell r="B2032">
            <v>201808</v>
          </cell>
          <cell r="C2032" t="str">
            <v>0100168130</v>
          </cell>
          <cell r="D2032" t="str">
            <v>163202C</v>
          </cell>
          <cell r="E2032">
            <v>1860</v>
          </cell>
          <cell r="F2032">
            <v>43447</v>
          </cell>
          <cell r="G2032" t="str">
            <v>OK</v>
          </cell>
        </row>
        <row r="2033">
          <cell r="A2033" t="str">
            <v>Y1812-0307</v>
          </cell>
          <cell r="B2033">
            <v>201808</v>
          </cell>
          <cell r="C2033" t="str">
            <v>0100168131</v>
          </cell>
          <cell r="D2033" t="str">
            <v>155066C</v>
          </cell>
          <cell r="E2033">
            <v>120</v>
          </cell>
          <cell r="F2033">
            <v>43452</v>
          </cell>
          <cell r="G2033" t="str">
            <v>OK</v>
          </cell>
        </row>
        <row r="2034">
          <cell r="A2034" t="str">
            <v>Y1812-0309</v>
          </cell>
          <cell r="B2034">
            <v>201808</v>
          </cell>
          <cell r="C2034" t="str">
            <v>0100168259</v>
          </cell>
          <cell r="D2034" t="str">
            <v>163200C</v>
          </cell>
          <cell r="E2034">
            <v>408</v>
          </cell>
          <cell r="F2034">
            <v>43447</v>
          </cell>
          <cell r="G2034" t="str">
            <v>OK</v>
          </cell>
        </row>
        <row r="2035">
          <cell r="A2035" t="str">
            <v>Y1812-0310</v>
          </cell>
          <cell r="B2035">
            <v>201808</v>
          </cell>
          <cell r="C2035" t="str">
            <v>0100168260</v>
          </cell>
          <cell r="D2035" t="str">
            <v>163204C</v>
          </cell>
          <cell r="E2035">
            <v>1860</v>
          </cell>
          <cell r="F2035">
            <v>43447</v>
          </cell>
          <cell r="G2035" t="str">
            <v>OK</v>
          </cell>
        </row>
        <row r="2036">
          <cell r="A2036" t="str">
            <v>Y1812-0321</v>
          </cell>
          <cell r="B2036">
            <v>201808</v>
          </cell>
          <cell r="C2036" t="str">
            <v>0100168418</v>
          </cell>
          <cell r="D2036" t="str">
            <v>663989C</v>
          </cell>
          <cell r="E2036">
            <v>360</v>
          </cell>
          <cell r="F2036">
            <v>43453</v>
          </cell>
          <cell r="G2036" t="str">
            <v>OK</v>
          </cell>
        </row>
        <row r="2037">
          <cell r="A2037" t="str">
            <v>Y1812-0323</v>
          </cell>
          <cell r="B2037">
            <v>201808</v>
          </cell>
          <cell r="C2037" t="str">
            <v>0100168420</v>
          </cell>
          <cell r="D2037" t="str">
            <v>163187C</v>
          </cell>
          <cell r="E2037">
            <v>144</v>
          </cell>
          <cell r="F2037">
            <v>43448</v>
          </cell>
          <cell r="G2037" t="str">
            <v>OK</v>
          </cell>
        </row>
        <row r="2038">
          <cell r="A2038" t="str">
            <v>Y1812-0324</v>
          </cell>
          <cell r="B2038">
            <v>201808</v>
          </cell>
          <cell r="C2038" t="str">
            <v>0100168421</v>
          </cell>
          <cell r="D2038" t="str">
            <v>163188C</v>
          </cell>
          <cell r="E2038">
            <v>324</v>
          </cell>
          <cell r="F2038">
            <v>43448</v>
          </cell>
          <cell r="G2038" t="str">
            <v>OK</v>
          </cell>
        </row>
        <row r="2039">
          <cell r="A2039" t="str">
            <v>Y1812-0325</v>
          </cell>
          <cell r="B2039">
            <v>201808</v>
          </cell>
          <cell r="C2039" t="str">
            <v>0100168422</v>
          </cell>
          <cell r="D2039" t="str">
            <v>163199C</v>
          </cell>
          <cell r="E2039">
            <v>528</v>
          </cell>
          <cell r="F2039">
            <v>43448</v>
          </cell>
          <cell r="G2039" t="str">
            <v>OK</v>
          </cell>
        </row>
        <row r="2040">
          <cell r="A2040" t="str">
            <v>Y1812-0326</v>
          </cell>
          <cell r="B2040">
            <v>201808</v>
          </cell>
          <cell r="C2040" t="str">
            <v>0100168423</v>
          </cell>
          <cell r="D2040" t="str">
            <v>163200C</v>
          </cell>
          <cell r="E2040">
            <v>144</v>
          </cell>
          <cell r="F2040">
            <v>43448</v>
          </cell>
          <cell r="G2040" t="str">
            <v>OK</v>
          </cell>
        </row>
        <row r="2041">
          <cell r="A2041" t="str">
            <v>Y1812-0327</v>
          </cell>
          <cell r="B2041">
            <v>201808</v>
          </cell>
          <cell r="C2041" t="str">
            <v>0100168424</v>
          </cell>
          <cell r="D2041" t="str">
            <v>163201C</v>
          </cell>
          <cell r="E2041">
            <v>408</v>
          </cell>
          <cell r="F2041">
            <v>43447</v>
          </cell>
          <cell r="G2041" t="str">
            <v>OK</v>
          </cell>
        </row>
        <row r="2042">
          <cell r="A2042" t="str">
            <v>Y1812-0331</v>
          </cell>
          <cell r="B2042">
            <v>201808</v>
          </cell>
          <cell r="C2042" t="str">
            <v>0100168428</v>
          </cell>
          <cell r="D2042" t="str">
            <v>663655C</v>
          </cell>
          <cell r="E2042">
            <v>648</v>
          </cell>
          <cell r="F2042">
            <v>43448</v>
          </cell>
          <cell r="G2042" t="str">
            <v>OK</v>
          </cell>
        </row>
        <row r="2043">
          <cell r="A2043" t="str">
            <v>Y1812-0341</v>
          </cell>
          <cell r="B2043">
            <v>201808</v>
          </cell>
          <cell r="C2043" t="str">
            <v>0100168672</v>
          </cell>
          <cell r="D2043" t="str">
            <v>163201C</v>
          </cell>
          <cell r="E2043">
            <v>372</v>
          </cell>
          <cell r="F2043">
            <v>43448</v>
          </cell>
          <cell r="G2043" t="str">
            <v>OK</v>
          </cell>
        </row>
        <row r="2044">
          <cell r="A2044" t="str">
            <v>Y1812-0432</v>
          </cell>
          <cell r="B2044">
            <v>201808</v>
          </cell>
          <cell r="C2044" t="str">
            <v>0100168673</v>
          </cell>
          <cell r="D2044" t="str">
            <v>163202C</v>
          </cell>
          <cell r="E2044">
            <v>708</v>
          </cell>
          <cell r="F2044">
            <v>43448</v>
          </cell>
          <cell r="G2044" t="str">
            <v>OK</v>
          </cell>
        </row>
        <row r="2045">
          <cell r="A2045" t="str">
            <v>Y1812-0433</v>
          </cell>
          <cell r="B2045">
            <v>201808</v>
          </cell>
          <cell r="C2045" t="str">
            <v>0100168674</v>
          </cell>
          <cell r="D2045" t="str">
            <v>163203C</v>
          </cell>
          <cell r="E2045">
            <v>780</v>
          </cell>
          <cell r="F2045">
            <v>43448</v>
          </cell>
          <cell r="G2045" t="str">
            <v>OK</v>
          </cell>
        </row>
        <row r="2046">
          <cell r="A2046" t="str">
            <v>Y1812-0434</v>
          </cell>
          <cell r="B2046">
            <v>201808</v>
          </cell>
          <cell r="C2046" t="str">
            <v>0100168675</v>
          </cell>
          <cell r="D2046" t="str">
            <v>163204C</v>
          </cell>
          <cell r="E2046">
            <v>120</v>
          </cell>
          <cell r="F2046">
            <v>43448</v>
          </cell>
          <cell r="G2046" t="str">
            <v>OK</v>
          </cell>
        </row>
        <row r="2047">
          <cell r="A2047" t="str">
            <v>Y1812-0347</v>
          </cell>
          <cell r="B2047">
            <v>201808</v>
          </cell>
          <cell r="C2047" t="str">
            <v>0100168681</v>
          </cell>
          <cell r="D2047" t="str">
            <v>163199C</v>
          </cell>
          <cell r="E2047">
            <v>1764</v>
          </cell>
          <cell r="F2047">
            <v>43452</v>
          </cell>
          <cell r="G2047" t="str">
            <v>OK</v>
          </cell>
        </row>
        <row r="2048">
          <cell r="A2048" t="str">
            <v>Y1812-0348</v>
          </cell>
          <cell r="B2048">
            <v>201808</v>
          </cell>
          <cell r="C2048" t="str">
            <v>0100168682</v>
          </cell>
          <cell r="D2048" t="str">
            <v>163200C</v>
          </cell>
          <cell r="E2048">
            <v>1248</v>
          </cell>
          <cell r="F2048">
            <v>43452</v>
          </cell>
          <cell r="G2048" t="str">
            <v>OK</v>
          </cell>
        </row>
        <row r="2049">
          <cell r="A2049" t="str">
            <v>Y1812-0349</v>
          </cell>
          <cell r="B2049">
            <v>201808</v>
          </cell>
          <cell r="C2049" t="str">
            <v>0100168683</v>
          </cell>
          <cell r="D2049" t="str">
            <v>663657C</v>
          </cell>
          <cell r="E2049">
            <v>852</v>
          </cell>
          <cell r="F2049">
            <v>43448</v>
          </cell>
          <cell r="G2049" t="str">
            <v>OK</v>
          </cell>
        </row>
        <row r="2050">
          <cell r="A2050" t="str">
            <v>Y1812-0351</v>
          </cell>
          <cell r="B2050">
            <v>201808</v>
          </cell>
          <cell r="C2050" t="str">
            <v>0100168685</v>
          </cell>
          <cell r="D2050" t="str">
            <v>763528C</v>
          </cell>
          <cell r="E2050">
            <v>2844</v>
          </cell>
          <cell r="F2050">
            <v>43448</v>
          </cell>
          <cell r="G2050" t="str">
            <v>OK</v>
          </cell>
        </row>
        <row r="2051">
          <cell r="A2051" t="str">
            <v>Y1812-0352</v>
          </cell>
          <cell r="B2051">
            <v>201808</v>
          </cell>
          <cell r="C2051" t="str">
            <v>0100168686</v>
          </cell>
          <cell r="D2051" t="str">
            <v>763529C</v>
          </cell>
          <cell r="E2051">
            <v>2640</v>
          </cell>
          <cell r="F2051">
            <v>43448</v>
          </cell>
          <cell r="G2051" t="str">
            <v>OK</v>
          </cell>
        </row>
        <row r="2052">
          <cell r="A2052" t="str">
            <v>Y1812-0353</v>
          </cell>
          <cell r="B2052">
            <v>201808</v>
          </cell>
          <cell r="C2052" t="str">
            <v>0100168687</v>
          </cell>
          <cell r="D2052" t="str">
            <v>763565C</v>
          </cell>
          <cell r="E2052">
            <v>132</v>
          </cell>
          <cell r="F2052">
            <v>43448</v>
          </cell>
          <cell r="G2052" t="str">
            <v>OK</v>
          </cell>
        </row>
        <row r="2053">
          <cell r="A2053" t="str">
            <v>Y1812-0355</v>
          </cell>
          <cell r="B2053">
            <v>201808</v>
          </cell>
          <cell r="C2053" t="str">
            <v>0100168689</v>
          </cell>
          <cell r="D2053" t="str">
            <v>663657C</v>
          </cell>
          <cell r="E2053">
            <v>156</v>
          </cell>
          <cell r="F2053">
            <v>43447</v>
          </cell>
          <cell r="G2053" t="str">
            <v>OK</v>
          </cell>
        </row>
        <row r="2054">
          <cell r="A2054" t="str">
            <v>Y1812-0356</v>
          </cell>
          <cell r="B2054">
            <v>201808</v>
          </cell>
          <cell r="C2054" t="str">
            <v>0100168767</v>
          </cell>
          <cell r="D2054" t="str">
            <v>663989C</v>
          </cell>
          <cell r="E2054">
            <v>552</v>
          </cell>
          <cell r="F2054">
            <v>43453</v>
          </cell>
          <cell r="G2054" t="str">
            <v>OK</v>
          </cell>
        </row>
        <row r="2055">
          <cell r="A2055" t="str">
            <v>Y1812-0357</v>
          </cell>
          <cell r="B2055">
            <v>201808</v>
          </cell>
          <cell r="C2055" t="str">
            <v>0100168768</v>
          </cell>
          <cell r="D2055" t="str">
            <v>663991C</v>
          </cell>
          <cell r="E2055">
            <v>432</v>
          </cell>
          <cell r="F2055">
            <v>43453</v>
          </cell>
          <cell r="G2055" t="str">
            <v>OK</v>
          </cell>
        </row>
        <row r="2056">
          <cell r="A2056" t="str">
            <v>Y1812-0360</v>
          </cell>
          <cell r="B2056">
            <v>201808</v>
          </cell>
          <cell r="C2056" t="str">
            <v>0100168771</v>
          </cell>
          <cell r="D2056" t="str">
            <v>163201C</v>
          </cell>
          <cell r="E2056">
            <v>2304</v>
          </cell>
          <cell r="F2056">
            <v>43452</v>
          </cell>
          <cell r="G2056" t="str">
            <v>OK</v>
          </cell>
        </row>
        <row r="2057">
          <cell r="A2057" t="str">
            <v>Y1812-0361</v>
          </cell>
          <cell r="B2057">
            <v>201808</v>
          </cell>
          <cell r="C2057" t="str">
            <v>0100168772</v>
          </cell>
          <cell r="D2057" t="str">
            <v>163204C</v>
          </cell>
          <cell r="E2057">
            <v>144</v>
          </cell>
          <cell r="F2057">
            <v>43452</v>
          </cell>
          <cell r="G2057" t="str">
            <v>OK</v>
          </cell>
        </row>
        <row r="2058">
          <cell r="A2058" t="str">
            <v>Y1812-0373</v>
          </cell>
          <cell r="B2058">
            <v>201808</v>
          </cell>
          <cell r="C2058" t="str">
            <v>0100168846</v>
          </cell>
          <cell r="D2058" t="str">
            <v>763528C</v>
          </cell>
          <cell r="E2058">
            <v>708</v>
          </cell>
          <cell r="F2058">
            <v>43447</v>
          </cell>
          <cell r="G2058" t="str">
            <v>OK</v>
          </cell>
        </row>
        <row r="2059">
          <cell r="A2059" t="str">
            <v>Y1812-0374</v>
          </cell>
          <cell r="B2059">
            <v>201808</v>
          </cell>
          <cell r="C2059" t="str">
            <v>0100168847</v>
          </cell>
          <cell r="D2059" t="str">
            <v>763529C</v>
          </cell>
          <cell r="E2059">
            <v>216</v>
          </cell>
          <cell r="F2059">
            <v>43447</v>
          </cell>
          <cell r="G2059" t="str">
            <v>OK</v>
          </cell>
        </row>
        <row r="2060">
          <cell r="A2060" t="str">
            <v>Y1812-0376</v>
          </cell>
          <cell r="B2060">
            <v>201808</v>
          </cell>
          <cell r="C2060" t="str">
            <v>0100168849</v>
          </cell>
          <cell r="D2060" t="str">
            <v>663655C</v>
          </cell>
          <cell r="E2060">
            <v>120</v>
          </cell>
          <cell r="F2060">
            <v>43447</v>
          </cell>
          <cell r="G2060" t="str">
            <v>OK</v>
          </cell>
        </row>
        <row r="2061">
          <cell r="A2061" t="str">
            <v>Y1812-0388</v>
          </cell>
          <cell r="B2061">
            <v>201808</v>
          </cell>
          <cell r="C2061" t="str">
            <v>0100168944</v>
          </cell>
          <cell r="D2061" t="str">
            <v>663600C</v>
          </cell>
          <cell r="E2061">
            <v>156</v>
          </cell>
          <cell r="F2061">
            <v>43447</v>
          </cell>
          <cell r="G2061" t="str">
            <v>OK</v>
          </cell>
        </row>
        <row r="2062">
          <cell r="A2062" t="str">
            <v>Y1812-0389</v>
          </cell>
          <cell r="B2062">
            <v>201808</v>
          </cell>
          <cell r="C2062" t="str">
            <v>0100169009</v>
          </cell>
          <cell r="D2062" t="str">
            <v>651830C</v>
          </cell>
          <cell r="E2062">
            <v>168</v>
          </cell>
          <cell r="F2062">
            <v>43452</v>
          </cell>
          <cell r="G2062" t="str">
            <v>11/06</v>
          </cell>
        </row>
        <row r="2063">
          <cell r="A2063" t="str">
            <v>Y1812-0390</v>
          </cell>
          <cell r="B2063">
            <v>201808</v>
          </cell>
          <cell r="C2063" t="str">
            <v>0100169010</v>
          </cell>
          <cell r="D2063" t="str">
            <v>751878C</v>
          </cell>
          <cell r="E2063">
            <v>120</v>
          </cell>
          <cell r="F2063">
            <v>43452</v>
          </cell>
          <cell r="G2063" t="str">
            <v>OK</v>
          </cell>
        </row>
        <row r="2064">
          <cell r="A2064" t="str">
            <v>Y1812-0394</v>
          </cell>
          <cell r="B2064">
            <v>201808</v>
          </cell>
          <cell r="C2064" t="str">
            <v>4600061953</v>
          </cell>
          <cell r="D2064" t="str">
            <v>163188C</v>
          </cell>
          <cell r="E2064">
            <v>624</v>
          </cell>
          <cell r="F2064">
            <v>43465</v>
          </cell>
          <cell r="G2064" t="str">
            <v>OK</v>
          </cell>
        </row>
        <row r="2065">
          <cell r="A2065" t="str">
            <v>Y1812-0423</v>
          </cell>
          <cell r="B2065">
            <v>201808</v>
          </cell>
          <cell r="C2065" t="str">
            <v>4600061990</v>
          </cell>
          <cell r="D2065" t="str">
            <v>155065C</v>
          </cell>
          <cell r="E2065">
            <v>1116</v>
          </cell>
          <cell r="F2065">
            <v>43463</v>
          </cell>
          <cell r="G2065" t="str">
            <v>OK</v>
          </cell>
        </row>
        <row r="2066">
          <cell r="A2066" t="str">
            <v>Y1812-0425</v>
          </cell>
          <cell r="B2066">
            <v>201808</v>
          </cell>
          <cell r="C2066" t="str">
            <v>4600061992</v>
          </cell>
          <cell r="D2066" t="str">
            <v>163187C</v>
          </cell>
          <cell r="E2066">
            <v>360</v>
          </cell>
          <cell r="F2066">
            <v>43463</v>
          </cell>
          <cell r="G2066" t="str">
            <v>OK</v>
          </cell>
        </row>
        <row r="2067">
          <cell r="A2067" t="str">
            <v>Y1812-0426</v>
          </cell>
          <cell r="B2067">
            <v>201808</v>
          </cell>
          <cell r="C2067" t="str">
            <v>4600061993</v>
          </cell>
          <cell r="D2067" t="str">
            <v>163188C</v>
          </cell>
          <cell r="E2067">
            <v>1032</v>
          </cell>
          <cell r="F2067">
            <v>43463</v>
          </cell>
          <cell r="G2067" t="str">
            <v>OK</v>
          </cell>
        </row>
        <row r="2068">
          <cell r="A2068" t="str">
            <v>Y1812-0427</v>
          </cell>
          <cell r="B2068">
            <v>201808</v>
          </cell>
          <cell r="C2068" t="str">
            <v>4600061994</v>
          </cell>
          <cell r="D2068" t="str">
            <v>163186C</v>
          </cell>
          <cell r="E2068">
            <v>276</v>
          </cell>
          <cell r="F2068">
            <v>43463</v>
          </cell>
          <cell r="G2068" t="str">
            <v>OK</v>
          </cell>
        </row>
        <row r="2069">
          <cell r="A2069" t="str">
            <v>Y1812-0429</v>
          </cell>
          <cell r="B2069">
            <v>201808</v>
          </cell>
          <cell r="C2069" t="str">
            <v>4600062000</v>
          </cell>
          <cell r="D2069" t="str">
            <v>155064C</v>
          </cell>
          <cell r="E2069">
            <v>756</v>
          </cell>
          <cell r="F2069">
            <v>43463</v>
          </cell>
          <cell r="G2069" t="str">
            <v>OK</v>
          </cell>
        </row>
        <row r="2070">
          <cell r="A2070" t="str">
            <v>Y1812-0242</v>
          </cell>
          <cell r="B2070">
            <v>201808</v>
          </cell>
          <cell r="C2070" t="str">
            <v>0100166188</v>
          </cell>
          <cell r="D2070" t="str">
            <v>663656C</v>
          </cell>
          <cell r="E2070">
            <v>360</v>
          </cell>
          <cell r="F2070">
            <v>43453</v>
          </cell>
          <cell r="G2070" t="str">
            <v>OK</v>
          </cell>
        </row>
        <row r="2071">
          <cell r="A2071" t="str">
            <v>Y1812-0397</v>
          </cell>
          <cell r="B2071">
            <v>201808</v>
          </cell>
          <cell r="C2071" t="str">
            <v>4600061958</v>
          </cell>
          <cell r="D2071" t="str">
            <v>144148C</v>
          </cell>
          <cell r="E2071">
            <v>120</v>
          </cell>
          <cell r="F2071">
            <v>43435</v>
          </cell>
          <cell r="G2071" t="str">
            <v>OK</v>
          </cell>
        </row>
        <row r="2072">
          <cell r="A2072" t="str">
            <v>Y1812-0398</v>
          </cell>
          <cell r="B2072">
            <v>201808</v>
          </cell>
          <cell r="C2072" t="str">
            <v>4600061959</v>
          </cell>
          <cell r="D2072" t="str">
            <v>3J253C</v>
          </cell>
          <cell r="E2072">
            <v>4536</v>
          </cell>
          <cell r="F2072">
            <v>43440</v>
          </cell>
          <cell r="G2072" t="str">
            <v>OK</v>
          </cell>
        </row>
        <row r="2073">
          <cell r="A2073" t="str">
            <v>Y1812-0399</v>
          </cell>
          <cell r="B2073">
            <v>201808</v>
          </cell>
          <cell r="C2073" t="str">
            <v>4600061960</v>
          </cell>
          <cell r="D2073" t="str">
            <v>3J256C</v>
          </cell>
          <cell r="E2073">
            <v>10944</v>
          </cell>
          <cell r="F2073">
            <v>43440</v>
          </cell>
          <cell r="G2073" t="str">
            <v>OK</v>
          </cell>
        </row>
        <row r="2074">
          <cell r="A2074" t="str">
            <v>Y1812-0400</v>
          </cell>
          <cell r="B2074">
            <v>201808</v>
          </cell>
          <cell r="C2074" t="str">
            <v>4600061961</v>
          </cell>
          <cell r="D2074" t="str">
            <v>563426C</v>
          </cell>
          <cell r="E2074">
            <v>120</v>
          </cell>
          <cell r="F2074">
            <v>43445</v>
          </cell>
          <cell r="G2074" t="str">
            <v>OK</v>
          </cell>
        </row>
        <row r="2075">
          <cell r="A2075" t="str">
            <v>Y1812-0401</v>
          </cell>
          <cell r="B2075">
            <v>201808</v>
          </cell>
          <cell r="C2075" t="str">
            <v>4600061962</v>
          </cell>
          <cell r="D2075" t="str">
            <v>563429C</v>
          </cell>
          <cell r="E2075">
            <v>180</v>
          </cell>
          <cell r="F2075">
            <v>43435</v>
          </cell>
          <cell r="G2075" t="str">
            <v>OK</v>
          </cell>
        </row>
        <row r="2076">
          <cell r="A2076" t="str">
            <v>Y1812-0402</v>
          </cell>
          <cell r="B2076">
            <v>201808</v>
          </cell>
          <cell r="C2076" t="str">
            <v>4600061963</v>
          </cell>
          <cell r="D2076" t="str">
            <v>163188C</v>
          </cell>
          <cell r="E2076">
            <v>516</v>
          </cell>
          <cell r="F2076">
            <v>43435</v>
          </cell>
          <cell r="G2076" t="str">
            <v>OK</v>
          </cell>
        </row>
        <row r="2077">
          <cell r="A2077" t="str">
            <v>Y1812-0403</v>
          </cell>
          <cell r="B2077">
            <v>201808</v>
          </cell>
          <cell r="C2077" t="str">
            <v>4600061964</v>
          </cell>
          <cell r="D2077" t="str">
            <v>163200C</v>
          </cell>
          <cell r="E2077">
            <v>516</v>
          </cell>
          <cell r="F2077">
            <v>43435</v>
          </cell>
          <cell r="G2077" t="str">
            <v>OK</v>
          </cell>
        </row>
        <row r="2078">
          <cell r="A2078" t="str">
            <v>Y1812-0404</v>
          </cell>
          <cell r="B2078">
            <v>201808</v>
          </cell>
          <cell r="C2078" t="str">
            <v>4600061965</v>
          </cell>
          <cell r="D2078" t="str">
            <v>163203C</v>
          </cell>
          <cell r="E2078">
            <v>516</v>
          </cell>
          <cell r="F2078">
            <v>43435</v>
          </cell>
          <cell r="G2078" t="str">
            <v>OK</v>
          </cell>
        </row>
        <row r="2079">
          <cell r="A2079" t="str">
            <v>Y1812-0405</v>
          </cell>
          <cell r="B2079">
            <v>201808</v>
          </cell>
          <cell r="C2079" t="str">
            <v>4600061966</v>
          </cell>
          <cell r="D2079" t="str">
            <v>7J256C</v>
          </cell>
          <cell r="E2079">
            <v>4572</v>
          </cell>
          <cell r="F2079">
            <v>43440</v>
          </cell>
          <cell r="G2079" t="str">
            <v>OK</v>
          </cell>
        </row>
        <row r="2080">
          <cell r="A2080" t="str">
            <v>Y1812-0406</v>
          </cell>
          <cell r="B2080">
            <v>201808</v>
          </cell>
          <cell r="C2080" t="str">
            <v>4600061967</v>
          </cell>
          <cell r="D2080" t="str">
            <v>155064C</v>
          </cell>
          <cell r="E2080">
            <v>2712</v>
          </cell>
          <cell r="F2080">
            <v>43447</v>
          </cell>
          <cell r="G2080" t="str">
            <v>OK</v>
          </cell>
        </row>
        <row r="2081">
          <cell r="A2081" t="str">
            <v>Y1812-0407</v>
          </cell>
          <cell r="B2081">
            <v>201808</v>
          </cell>
          <cell r="C2081" t="str">
            <v>4600061968</v>
          </cell>
          <cell r="D2081" t="str">
            <v>155065C</v>
          </cell>
          <cell r="E2081">
            <v>2040</v>
          </cell>
          <cell r="F2081">
            <v>43447</v>
          </cell>
          <cell r="G2081" t="str">
            <v>OK</v>
          </cell>
        </row>
        <row r="2082">
          <cell r="A2082" t="str">
            <v>Y1812-0408</v>
          </cell>
          <cell r="B2082">
            <v>201808</v>
          </cell>
          <cell r="C2082" t="str">
            <v>4600061969</v>
          </cell>
          <cell r="D2082" t="str">
            <v>155066C</v>
          </cell>
          <cell r="E2082">
            <v>5784</v>
          </cell>
          <cell r="F2082">
            <v>43447</v>
          </cell>
          <cell r="G2082" t="str">
            <v>OK</v>
          </cell>
        </row>
        <row r="2083">
          <cell r="A2083" t="str">
            <v>Y1812-0409</v>
          </cell>
          <cell r="B2083">
            <v>201808</v>
          </cell>
          <cell r="C2083" t="str">
            <v>4600061970</v>
          </cell>
          <cell r="D2083" t="str">
            <v>563429C</v>
          </cell>
          <cell r="E2083">
            <v>804</v>
          </cell>
          <cell r="F2083">
            <v>43435</v>
          </cell>
          <cell r="G2083" t="str">
            <v>OK</v>
          </cell>
        </row>
        <row r="2084">
          <cell r="A2084" t="str">
            <v>Y1812-0414</v>
          </cell>
          <cell r="B2084">
            <v>201808</v>
          </cell>
          <cell r="C2084" t="str">
            <v>4600061975</v>
          </cell>
          <cell r="D2084" t="str">
            <v>663655C</v>
          </cell>
          <cell r="E2084">
            <v>144</v>
          </cell>
          <cell r="F2084">
            <v>43460</v>
          </cell>
          <cell r="G2084" t="str">
            <v>OK</v>
          </cell>
        </row>
        <row r="2085">
          <cell r="A2085" t="str">
            <v>Y1812-0415</v>
          </cell>
          <cell r="B2085">
            <v>201808</v>
          </cell>
          <cell r="C2085" t="str">
            <v>4600061976</v>
          </cell>
          <cell r="D2085" t="str">
            <v>3J256C</v>
          </cell>
          <cell r="E2085">
            <v>10896</v>
          </cell>
          <cell r="F2085">
            <v>43440</v>
          </cell>
          <cell r="G2085" t="str">
            <v>OK</v>
          </cell>
        </row>
        <row r="2086">
          <cell r="A2086" t="str">
            <v>Y1812-0418</v>
          </cell>
          <cell r="B2086">
            <v>201808</v>
          </cell>
          <cell r="C2086" t="str">
            <v>4600061980</v>
          </cell>
          <cell r="D2086" t="str">
            <v>763528C</v>
          </cell>
          <cell r="E2086">
            <v>360</v>
          </cell>
          <cell r="F2086">
            <v>43435</v>
          </cell>
          <cell r="G2086" t="str">
            <v>OK</v>
          </cell>
        </row>
        <row r="2087">
          <cell r="A2087" t="str">
            <v>Y1812-0419</v>
          </cell>
          <cell r="B2087">
            <v>201808</v>
          </cell>
          <cell r="C2087" t="str">
            <v>4600061981</v>
          </cell>
          <cell r="D2087" t="str">
            <v>144150C</v>
          </cell>
          <cell r="E2087">
            <v>120</v>
          </cell>
          <cell r="F2087">
            <v>43435</v>
          </cell>
          <cell r="G2087" t="str">
            <v>OK</v>
          </cell>
        </row>
        <row r="2088">
          <cell r="A2088" t="str">
            <v>Y1812-0420</v>
          </cell>
          <cell r="B2088">
            <v>201808</v>
          </cell>
          <cell r="C2088" t="str">
            <v>4600061982</v>
          </cell>
          <cell r="D2088" t="str">
            <v>144151C</v>
          </cell>
          <cell r="E2088">
            <v>120</v>
          </cell>
          <cell r="F2088">
            <v>43435</v>
          </cell>
          <cell r="G2088" t="str">
            <v>OK</v>
          </cell>
        </row>
        <row r="2089">
          <cell r="A2089" t="str">
            <v>Y1812-0421</v>
          </cell>
          <cell r="B2089">
            <v>201808</v>
          </cell>
          <cell r="C2089" t="str">
            <v>4600061983</v>
          </cell>
          <cell r="D2089" t="str">
            <v>159792C</v>
          </cell>
          <cell r="E2089">
            <v>120</v>
          </cell>
          <cell r="F2089">
            <v>43435</v>
          </cell>
          <cell r="G2089" t="str">
            <v>OK</v>
          </cell>
        </row>
        <row r="2090">
          <cell r="A2090" t="str">
            <v>Y1812-0304</v>
          </cell>
          <cell r="B2090">
            <v>201808</v>
          </cell>
          <cell r="C2090" t="str">
            <v>0100168128</v>
          </cell>
          <cell r="D2090" t="str">
            <v>663600C</v>
          </cell>
          <cell r="E2090">
            <v>372</v>
          </cell>
          <cell r="F2090">
            <v>43453</v>
          </cell>
          <cell r="G2090" t="str">
            <v>OK</v>
          </cell>
        </row>
        <row r="2091">
          <cell r="A2091" t="str">
            <v>Y1812-0319</v>
          </cell>
          <cell r="B2091">
            <v>201808</v>
          </cell>
          <cell r="C2091" t="str">
            <v>0100168416</v>
          </cell>
          <cell r="D2091" t="str">
            <v>663655C</v>
          </cell>
          <cell r="E2091">
            <v>444</v>
          </cell>
          <cell r="F2091">
            <v>43453</v>
          </cell>
          <cell r="G2091" t="str">
            <v>OK</v>
          </cell>
        </row>
        <row r="2092">
          <cell r="A2092" t="str">
            <v>Y1812-0320</v>
          </cell>
          <cell r="B2092">
            <v>201808</v>
          </cell>
          <cell r="C2092" t="str">
            <v>0100168417</v>
          </cell>
          <cell r="D2092" t="str">
            <v>663656C</v>
          </cell>
          <cell r="E2092">
            <v>360</v>
          </cell>
          <cell r="F2092">
            <v>43453</v>
          </cell>
          <cell r="G2092" t="str">
            <v>OK</v>
          </cell>
        </row>
        <row r="2093">
          <cell r="A2093" t="str">
            <v>Y1812-0199</v>
          </cell>
          <cell r="B2093">
            <v>201808</v>
          </cell>
          <cell r="C2093" t="str">
            <v>0100166136</v>
          </cell>
          <cell r="D2093" t="str">
            <v>663599C</v>
          </cell>
          <cell r="E2093">
            <v>2820</v>
          </cell>
          <cell r="F2093">
            <v>43451</v>
          </cell>
          <cell r="G2093" t="str">
            <v>OK</v>
          </cell>
        </row>
        <row r="2094">
          <cell r="A2094" t="str">
            <v>Y1812-0159</v>
          </cell>
          <cell r="B2094">
            <v>201808</v>
          </cell>
          <cell r="C2094" t="str">
            <v>0100166057</v>
          </cell>
          <cell r="D2094" t="str">
            <v>663601C</v>
          </cell>
          <cell r="E2094">
            <v>432</v>
          </cell>
          <cell r="F2094">
            <v>43453</v>
          </cell>
          <cell r="G2094" t="str">
            <v>OK</v>
          </cell>
        </row>
        <row r="2095">
          <cell r="A2095" t="str">
            <v>Y1812-0163</v>
          </cell>
          <cell r="B2095">
            <v>201808</v>
          </cell>
          <cell r="C2095" t="str">
            <v>0100166065</v>
          </cell>
          <cell r="D2095" t="str">
            <v>763530C</v>
          </cell>
          <cell r="E2095">
            <v>2196</v>
          </cell>
          <cell r="F2095">
            <v>43443</v>
          </cell>
          <cell r="G2095" t="str">
            <v>OK</v>
          </cell>
        </row>
        <row r="2096">
          <cell r="A2096" t="str">
            <v>Y1812-0201</v>
          </cell>
          <cell r="B2096">
            <v>201808</v>
          </cell>
          <cell r="C2096" t="str">
            <v>0100166140</v>
          </cell>
          <cell r="D2096" t="str">
            <v>763530C</v>
          </cell>
          <cell r="E2096">
            <v>1428</v>
          </cell>
          <cell r="F2096">
            <v>43452</v>
          </cell>
          <cell r="G2096" t="str">
            <v>OK</v>
          </cell>
        </row>
        <row r="2097">
          <cell r="A2097" t="str">
            <v>Y1812-0212</v>
          </cell>
          <cell r="B2097">
            <v>201808</v>
          </cell>
          <cell r="C2097" t="str">
            <v>0100166153</v>
          </cell>
          <cell r="D2097" t="str">
            <v>763566C</v>
          </cell>
          <cell r="E2097">
            <v>1872</v>
          </cell>
          <cell r="F2097">
            <v>43448</v>
          </cell>
          <cell r="G2097" t="str">
            <v>OK</v>
          </cell>
        </row>
        <row r="2098">
          <cell r="A2098" t="str">
            <v>Y1812-0299</v>
          </cell>
          <cell r="B2098">
            <v>201808</v>
          </cell>
          <cell r="C2098" t="str">
            <v>0100167911</v>
          </cell>
          <cell r="D2098" t="str">
            <v>663601C</v>
          </cell>
          <cell r="E2098">
            <v>2604</v>
          </cell>
          <cell r="F2098">
            <v>43448</v>
          </cell>
          <cell r="G2098" t="str">
            <v>OK</v>
          </cell>
        </row>
        <row r="2099">
          <cell r="A2099" t="str">
            <v>Y1812-0336</v>
          </cell>
          <cell r="B2099">
            <v>201808</v>
          </cell>
          <cell r="C2099" t="str">
            <v>0100168433</v>
          </cell>
          <cell r="D2099" t="str">
            <v>763566C</v>
          </cell>
          <cell r="E2099">
            <v>132</v>
          </cell>
          <cell r="F2099">
            <v>43447</v>
          </cell>
          <cell r="G2099" t="str">
            <v>OK</v>
          </cell>
        </row>
        <row r="2100">
          <cell r="A2100" t="str">
            <v>Y1812-0375</v>
          </cell>
          <cell r="B2100">
            <v>201808</v>
          </cell>
          <cell r="C2100" t="str">
            <v>0100168848</v>
          </cell>
          <cell r="D2100" t="str">
            <v>663601C</v>
          </cell>
          <cell r="E2100">
            <v>156</v>
          </cell>
          <cell r="F2100">
            <v>43447</v>
          </cell>
          <cell r="G2100" t="str">
            <v>OK</v>
          </cell>
        </row>
        <row r="2101">
          <cell r="A2101" t="str">
            <v>Y1812-0182</v>
          </cell>
          <cell r="B2101">
            <v>201808</v>
          </cell>
          <cell r="C2101" t="str">
            <v>0100166114</v>
          </cell>
          <cell r="D2101" t="str">
            <v>863997C</v>
          </cell>
          <cell r="E2101">
            <v>2928</v>
          </cell>
          <cell r="F2101">
            <v>43448</v>
          </cell>
          <cell r="G2101" t="str">
            <v>OK</v>
          </cell>
        </row>
        <row r="2102">
          <cell r="A2102" t="str">
            <v>Y1812-0183</v>
          </cell>
          <cell r="B2102">
            <v>201808</v>
          </cell>
          <cell r="C2102" t="str">
            <v>0100166115</v>
          </cell>
          <cell r="D2102" t="str">
            <v>864488C</v>
          </cell>
          <cell r="E2102">
            <v>1800</v>
          </cell>
          <cell r="F2102">
            <v>43448</v>
          </cell>
          <cell r="G2102" t="str">
            <v>11/06</v>
          </cell>
        </row>
        <row r="2103">
          <cell r="A2103" t="str">
            <v>Y1812-0224</v>
          </cell>
          <cell r="B2103">
            <v>201808</v>
          </cell>
          <cell r="C2103" t="str">
            <v>0100166166</v>
          </cell>
          <cell r="D2103" t="str">
            <v>163377C</v>
          </cell>
          <cell r="E2103">
            <v>276</v>
          </cell>
          <cell r="F2103">
            <v>43453</v>
          </cell>
          <cell r="G2103" t="str">
            <v>OK</v>
          </cell>
        </row>
        <row r="2104">
          <cell r="A2104" t="str">
            <v>Y1812-0279</v>
          </cell>
          <cell r="B2104">
            <v>201808</v>
          </cell>
          <cell r="C2104" t="str">
            <v>0100166250</v>
          </cell>
          <cell r="D2104" t="str">
            <v>663608C</v>
          </cell>
          <cell r="E2104">
            <v>792</v>
          </cell>
          <cell r="F2104">
            <v>43462</v>
          </cell>
          <cell r="G2104" t="str">
            <v>OK</v>
          </cell>
        </row>
        <row r="2105">
          <cell r="A2105" t="str">
            <v>Y1812-0284</v>
          </cell>
          <cell r="B2105">
            <v>201808</v>
          </cell>
          <cell r="C2105" t="str">
            <v>0100166272</v>
          </cell>
          <cell r="D2105" t="str">
            <v>663608C</v>
          </cell>
          <cell r="E2105">
            <v>792</v>
          </cell>
          <cell r="F2105">
            <v>43462</v>
          </cell>
          <cell r="G2105" t="str">
            <v>OK</v>
          </cell>
        </row>
        <row r="2106">
          <cell r="A2106" t="str">
            <v>Y1812-0291</v>
          </cell>
          <cell r="B2106">
            <v>201808</v>
          </cell>
          <cell r="C2106" t="str">
            <v>0100166317</v>
          </cell>
          <cell r="D2106" t="str">
            <v>163368C</v>
          </cell>
          <cell r="E2106">
            <v>660</v>
          </cell>
          <cell r="F2106">
            <v>43451</v>
          </cell>
          <cell r="G2106" t="str">
            <v>OK</v>
          </cell>
        </row>
        <row r="2107">
          <cell r="A2107" t="str">
            <v>Y1812-0430</v>
          </cell>
          <cell r="B2107">
            <v>201808</v>
          </cell>
          <cell r="C2107" t="str">
            <v>0100166318</v>
          </cell>
          <cell r="D2107" t="str">
            <v>163377C</v>
          </cell>
          <cell r="E2107">
            <v>528</v>
          </cell>
          <cell r="F2107">
            <v>43447</v>
          </cell>
          <cell r="G2107" t="str">
            <v>OK</v>
          </cell>
        </row>
        <row r="2108">
          <cell r="A2108" t="str">
            <v>Y1812-0362</v>
          </cell>
          <cell r="B2108">
            <v>201808</v>
          </cell>
          <cell r="C2108" t="str">
            <v>0100168773</v>
          </cell>
          <cell r="D2108" t="str">
            <v>163368C</v>
          </cell>
          <cell r="E2108">
            <v>144</v>
          </cell>
          <cell r="F2108">
            <v>43447</v>
          </cell>
          <cell r="G2108" t="str">
            <v>OK</v>
          </cell>
        </row>
        <row r="2109">
          <cell r="A2109" t="str">
            <v>Y1812-0363</v>
          </cell>
          <cell r="B2109">
            <v>201808</v>
          </cell>
          <cell r="C2109" t="str">
            <v>0100168774</v>
          </cell>
          <cell r="D2109" t="str">
            <v>163369C</v>
          </cell>
          <cell r="E2109">
            <v>144</v>
          </cell>
          <cell r="F2109">
            <v>43447</v>
          </cell>
          <cell r="G2109" t="str">
            <v>OK</v>
          </cell>
        </row>
        <row r="2110">
          <cell r="A2110" t="str">
            <v>Y1812-0366</v>
          </cell>
          <cell r="B2110">
            <v>201808</v>
          </cell>
          <cell r="C2110" t="str">
            <v>0100168839</v>
          </cell>
          <cell r="D2110" t="str">
            <v>163368C</v>
          </cell>
          <cell r="E2110">
            <v>348</v>
          </cell>
          <cell r="F2110">
            <v>43448</v>
          </cell>
          <cell r="G2110" t="str">
            <v>OK</v>
          </cell>
        </row>
        <row r="2111">
          <cell r="A2111" t="str">
            <v>Y1812-0367</v>
          </cell>
          <cell r="B2111">
            <v>201808</v>
          </cell>
          <cell r="C2111" t="str">
            <v>0100168840</v>
          </cell>
          <cell r="D2111" t="str">
            <v>163369C</v>
          </cell>
          <cell r="E2111">
            <v>240</v>
          </cell>
          <cell r="F2111">
            <v>43448</v>
          </cell>
          <cell r="G2111" t="str">
            <v>OK</v>
          </cell>
        </row>
        <row r="2112">
          <cell r="A2112" t="str">
            <v>Y1812-0368</v>
          </cell>
          <cell r="B2112">
            <v>201808</v>
          </cell>
          <cell r="C2112" t="str">
            <v>0100168841</v>
          </cell>
          <cell r="D2112" t="str">
            <v>163377C</v>
          </cell>
          <cell r="E2112">
            <v>240</v>
          </cell>
          <cell r="F2112">
            <v>43448</v>
          </cell>
          <cell r="G2112" t="str">
            <v>OK</v>
          </cell>
        </row>
        <row r="2113">
          <cell r="A2113" t="str">
            <v>Y1812-0160</v>
          </cell>
          <cell r="B2113">
            <v>201808</v>
          </cell>
          <cell r="C2113" t="str">
            <v>0100166058</v>
          </cell>
          <cell r="D2113" t="str">
            <v>663604C</v>
          </cell>
          <cell r="E2113">
            <v>828</v>
          </cell>
          <cell r="F2113">
            <v>43453</v>
          </cell>
          <cell r="G2113" t="str">
            <v>OK</v>
          </cell>
        </row>
        <row r="2114">
          <cell r="A2114" t="str">
            <v>Y1812-0174</v>
          </cell>
          <cell r="B2114">
            <v>201808</v>
          </cell>
          <cell r="C2114" t="str">
            <v>0100166103</v>
          </cell>
          <cell r="D2114">
            <v>315467</v>
          </cell>
          <cell r="E2114">
            <v>5136</v>
          </cell>
          <cell r="F2114">
            <v>43451</v>
          </cell>
          <cell r="G2114" t="str">
            <v>11/06</v>
          </cell>
        </row>
        <row r="2115">
          <cell r="A2115" t="str">
            <v>Y1812-0176</v>
          </cell>
          <cell r="B2115">
            <v>201808</v>
          </cell>
          <cell r="C2115" t="str">
            <v>0100166105</v>
          </cell>
          <cell r="D2115">
            <v>315660</v>
          </cell>
          <cell r="E2115">
            <v>2652</v>
          </cell>
          <cell r="F2115">
            <v>43451</v>
          </cell>
          <cell r="G2115" t="str">
            <v>11/06</v>
          </cell>
        </row>
        <row r="2116">
          <cell r="A2116" t="str">
            <v>Y1812-0208</v>
          </cell>
          <cell r="B2116">
            <v>201808</v>
          </cell>
          <cell r="C2116" t="str">
            <v>0100166149</v>
          </cell>
          <cell r="D2116" t="str">
            <v>663603C</v>
          </cell>
          <cell r="E2116">
            <v>1032</v>
          </cell>
          <cell r="F2116">
            <v>43451</v>
          </cell>
          <cell r="G2116" t="str">
            <v>OK</v>
          </cell>
        </row>
        <row r="2117">
          <cell r="A2117" t="str">
            <v>Y1812-0209</v>
          </cell>
          <cell r="B2117">
            <v>201808</v>
          </cell>
          <cell r="C2117" t="str">
            <v>0100166150</v>
          </cell>
          <cell r="D2117" t="str">
            <v>663604C</v>
          </cell>
          <cell r="E2117">
            <v>516</v>
          </cell>
          <cell r="F2117">
            <v>43452</v>
          </cell>
          <cell r="G2117" t="str">
            <v>OK</v>
          </cell>
        </row>
        <row r="2118">
          <cell r="A2118" t="str">
            <v>Y1812-0227</v>
          </cell>
          <cell r="B2118">
            <v>201808</v>
          </cell>
          <cell r="C2118" t="str">
            <v>0100166169</v>
          </cell>
          <cell r="D2118">
            <v>315467</v>
          </cell>
          <cell r="E2118">
            <v>1032</v>
          </cell>
          <cell r="F2118">
            <v>43453</v>
          </cell>
          <cell r="G2118" t="str">
            <v>11/06</v>
          </cell>
        </row>
        <row r="2119">
          <cell r="A2119" t="str">
            <v>Y1812-0228</v>
          </cell>
          <cell r="B2119">
            <v>201808</v>
          </cell>
          <cell r="C2119" t="str">
            <v>0100166170</v>
          </cell>
          <cell r="D2119" t="str">
            <v>663992C</v>
          </cell>
          <cell r="E2119">
            <v>456</v>
          </cell>
          <cell r="F2119">
            <v>43453</v>
          </cell>
          <cell r="G2119" t="str">
            <v>OK</v>
          </cell>
        </row>
        <row r="2120">
          <cell r="A2120" t="str">
            <v>Y1812-0229</v>
          </cell>
          <cell r="B2120">
            <v>201808</v>
          </cell>
          <cell r="C2120" t="str">
            <v>0100166171</v>
          </cell>
          <cell r="D2120" t="str">
            <v>663992C</v>
          </cell>
          <cell r="E2120">
            <v>360</v>
          </cell>
          <cell r="F2120">
            <v>43453</v>
          </cell>
          <cell r="G2120" t="str">
            <v>OK</v>
          </cell>
        </row>
        <row r="2121">
          <cell r="A2121" t="str">
            <v>Y1812-0246</v>
          </cell>
          <cell r="B2121">
            <v>201808</v>
          </cell>
          <cell r="C2121" t="str">
            <v>0100166192</v>
          </cell>
          <cell r="D2121" t="str">
            <v>663992C</v>
          </cell>
          <cell r="E2121">
            <v>216</v>
          </cell>
          <cell r="F2121">
            <v>43453</v>
          </cell>
          <cell r="G2121" t="str">
            <v>OK</v>
          </cell>
        </row>
        <row r="2122">
          <cell r="A2122" t="str">
            <v>Y1812-0255</v>
          </cell>
          <cell r="B2122">
            <v>201808</v>
          </cell>
          <cell r="C2122" t="str">
            <v>0100166201</v>
          </cell>
          <cell r="D2122" t="str">
            <v>144151C</v>
          </cell>
          <cell r="E2122">
            <v>672</v>
          </cell>
          <cell r="F2122">
            <v>43453</v>
          </cell>
          <cell r="G2122" t="str">
            <v>OK</v>
          </cell>
        </row>
        <row r="2123">
          <cell r="A2123" t="str">
            <v>Y1812-0283</v>
          </cell>
          <cell r="B2123">
            <v>201808</v>
          </cell>
          <cell r="C2123" t="str">
            <v>0100166267</v>
          </cell>
          <cell r="D2123" t="str">
            <v>663602C</v>
          </cell>
          <cell r="E2123">
            <v>576</v>
          </cell>
          <cell r="F2123">
            <v>43462</v>
          </cell>
          <cell r="G2123" t="str">
            <v>OK</v>
          </cell>
        </row>
        <row r="2124">
          <cell r="A2124" t="str">
            <v>Y1812-0314</v>
          </cell>
          <cell r="B2124">
            <v>201808</v>
          </cell>
          <cell r="C2124" t="str">
            <v>0100168343</v>
          </cell>
          <cell r="D2124" t="str">
            <v>663607C</v>
          </cell>
          <cell r="E2124">
            <v>1800</v>
          </cell>
          <cell r="F2124">
            <v>43454</v>
          </cell>
          <cell r="G2124" t="str">
            <v>OK</v>
          </cell>
        </row>
        <row r="2125">
          <cell r="A2125" t="str">
            <v>Y1812-0364</v>
          </cell>
          <cell r="B2125">
            <v>201808</v>
          </cell>
          <cell r="C2125" t="str">
            <v>0100168837</v>
          </cell>
          <cell r="D2125" t="str">
            <v>663992C</v>
          </cell>
          <cell r="E2125">
            <v>540</v>
          </cell>
          <cell r="F2125">
            <v>43453</v>
          </cell>
          <cell r="G2125" t="str">
            <v>OK</v>
          </cell>
        </row>
        <row r="2126">
          <cell r="A2126" t="str">
            <v>Y1812-0203</v>
          </cell>
          <cell r="B2126">
            <v>201808</v>
          </cell>
          <cell r="C2126" t="str">
            <v>0100166143</v>
          </cell>
          <cell r="D2126" t="str">
            <v>163269C</v>
          </cell>
          <cell r="E2126">
            <v>1800</v>
          </cell>
          <cell r="F2126">
            <v>43438</v>
          </cell>
          <cell r="G2126" t="str">
            <v>OK</v>
          </cell>
        </row>
        <row r="2127">
          <cell r="A2127" t="str">
            <v>Y1812-0214</v>
          </cell>
          <cell r="B2127">
            <v>201808</v>
          </cell>
          <cell r="C2127" t="str">
            <v>0100166155</v>
          </cell>
          <cell r="D2127" t="str">
            <v>163314C</v>
          </cell>
          <cell r="E2127">
            <v>2292</v>
          </cell>
          <cell r="F2127">
            <v>43441</v>
          </cell>
          <cell r="G2127" t="str">
            <v>OK</v>
          </cell>
        </row>
        <row r="2128">
          <cell r="A2128" t="str">
            <v>Y1812-0215</v>
          </cell>
          <cell r="B2128">
            <v>201808</v>
          </cell>
          <cell r="C2128" t="str">
            <v>0100166156</v>
          </cell>
          <cell r="D2128" t="str">
            <v>163316C</v>
          </cell>
          <cell r="E2128">
            <v>2436</v>
          </cell>
          <cell r="F2128">
            <v>43441</v>
          </cell>
          <cell r="G2128" t="str">
            <v>OK</v>
          </cell>
        </row>
        <row r="2129">
          <cell r="A2129" t="str">
            <v>Y1812-0216</v>
          </cell>
          <cell r="B2129">
            <v>201808</v>
          </cell>
          <cell r="C2129" t="str">
            <v>0100166157</v>
          </cell>
          <cell r="D2129" t="str">
            <v>163317C</v>
          </cell>
          <cell r="E2129">
            <v>1092</v>
          </cell>
          <cell r="F2129">
            <v>43441</v>
          </cell>
          <cell r="G2129" t="str">
            <v>OK</v>
          </cell>
        </row>
        <row r="2130">
          <cell r="A2130" t="str">
            <v>Y1812-0232</v>
          </cell>
          <cell r="B2130">
            <v>201808</v>
          </cell>
          <cell r="C2130" t="str">
            <v>0100166174</v>
          </cell>
          <cell r="D2130" t="str">
            <v>163317C</v>
          </cell>
          <cell r="E2130">
            <v>204</v>
          </cell>
          <cell r="F2130">
            <v>43453</v>
          </cell>
          <cell r="G2130" t="str">
            <v>OK</v>
          </cell>
        </row>
        <row r="2131">
          <cell r="A2131" t="str">
            <v>Y1812-0244</v>
          </cell>
          <cell r="B2131">
            <v>201808</v>
          </cell>
          <cell r="C2131" t="str">
            <v>0100166190</v>
          </cell>
          <cell r="D2131" t="str">
            <v>163314C</v>
          </cell>
          <cell r="E2131">
            <v>324</v>
          </cell>
          <cell r="F2131">
            <v>43453</v>
          </cell>
          <cell r="G2131" t="str">
            <v>OK</v>
          </cell>
        </row>
        <row r="2132">
          <cell r="A2132" t="str">
            <v>Y1812-0202</v>
          </cell>
          <cell r="B2132">
            <v>201808</v>
          </cell>
          <cell r="C2132" t="str">
            <v>0100166142</v>
          </cell>
          <cell r="D2132" t="str">
            <v>163268C</v>
          </cell>
          <cell r="E2132">
            <v>1824</v>
          </cell>
          <cell r="F2132">
            <v>43438</v>
          </cell>
          <cell r="G2132" t="str">
            <v>OK</v>
          </cell>
        </row>
        <row r="2133">
          <cell r="A2133" t="str">
            <v>Y1812-0204</v>
          </cell>
          <cell r="B2133">
            <v>201808</v>
          </cell>
          <cell r="C2133" t="str">
            <v>0100166144</v>
          </cell>
          <cell r="D2133" t="str">
            <v>163270C</v>
          </cell>
          <cell r="E2133">
            <v>1800</v>
          </cell>
          <cell r="F2133">
            <v>43438</v>
          </cell>
          <cell r="G2133" t="str">
            <v>OK</v>
          </cell>
        </row>
        <row r="2134">
          <cell r="A2134" t="str">
            <v>Y1812-0424</v>
          </cell>
          <cell r="B2134">
            <v>201808</v>
          </cell>
          <cell r="C2134" t="str">
            <v>4600061991</v>
          </cell>
          <cell r="D2134" t="str">
            <v>163268C</v>
          </cell>
          <cell r="E2134">
            <v>804</v>
          </cell>
          <cell r="F2134">
            <v>43463</v>
          </cell>
          <cell r="G2134" t="str">
            <v>OK</v>
          </cell>
        </row>
        <row r="2135">
          <cell r="A2135" t="str">
            <v>Y1812-0289</v>
          </cell>
          <cell r="B2135">
            <v>201808</v>
          </cell>
          <cell r="C2135" t="str">
            <v>0100166286</v>
          </cell>
          <cell r="D2135">
            <v>88871</v>
          </cell>
          <cell r="E2135">
            <v>900</v>
          </cell>
          <cell r="F2135">
            <v>43449</v>
          </cell>
          <cell r="G2135" t="str">
            <v>OK</v>
          </cell>
        </row>
        <row r="2136">
          <cell r="A2136" t="str">
            <v>Y1812-0311</v>
          </cell>
          <cell r="B2136">
            <v>201808</v>
          </cell>
          <cell r="C2136" t="str">
            <v>0100168261</v>
          </cell>
          <cell r="D2136">
            <v>88875</v>
          </cell>
          <cell r="E2136">
            <v>1080</v>
          </cell>
          <cell r="F2136">
            <v>43448</v>
          </cell>
          <cell r="G2136" t="str">
            <v>OK</v>
          </cell>
        </row>
        <row r="2137">
          <cell r="A2137" t="str">
            <v>Y1812-0312</v>
          </cell>
          <cell r="B2137">
            <v>201808</v>
          </cell>
          <cell r="C2137" t="str">
            <v>0100168340</v>
          </cell>
          <cell r="D2137">
            <v>88871</v>
          </cell>
          <cell r="E2137">
            <v>2784</v>
          </cell>
          <cell r="F2137">
            <v>43451</v>
          </cell>
          <cell r="G2137" t="str">
            <v>OK</v>
          </cell>
        </row>
        <row r="2138">
          <cell r="A2138" t="str">
            <v>Y1812-0313</v>
          </cell>
          <cell r="B2138">
            <v>201808</v>
          </cell>
          <cell r="C2138" t="str">
            <v>0100168341</v>
          </cell>
          <cell r="D2138">
            <v>88875</v>
          </cell>
          <cell r="E2138">
            <v>1944</v>
          </cell>
          <cell r="F2138">
            <v>43452</v>
          </cell>
          <cell r="G2138" t="str">
            <v>OK</v>
          </cell>
        </row>
        <row r="2139">
          <cell r="A2139" t="str">
            <v>Y1812-0333</v>
          </cell>
          <cell r="B2139">
            <v>201808</v>
          </cell>
          <cell r="C2139" t="str">
            <v>0100168430</v>
          </cell>
          <cell r="D2139">
            <v>88865</v>
          </cell>
          <cell r="E2139">
            <v>1176</v>
          </cell>
          <cell r="F2139">
            <v>43448</v>
          </cell>
          <cell r="G2139" t="str">
            <v>OK</v>
          </cell>
        </row>
        <row r="2140">
          <cell r="A2140" t="str">
            <v>Y1812-0334</v>
          </cell>
          <cell r="B2140">
            <v>201808</v>
          </cell>
          <cell r="C2140" t="str">
            <v>0100168431</v>
          </cell>
          <cell r="D2140">
            <v>88871</v>
          </cell>
          <cell r="E2140">
            <v>1032</v>
          </cell>
          <cell r="F2140">
            <v>43448</v>
          </cell>
          <cell r="G2140" t="str">
            <v>OK</v>
          </cell>
        </row>
        <row r="2141">
          <cell r="A2141" t="str">
            <v>Y1812-0337</v>
          </cell>
          <cell r="B2141">
            <v>201808</v>
          </cell>
          <cell r="C2141" t="str">
            <v>0100168668</v>
          </cell>
          <cell r="D2141">
            <v>88865</v>
          </cell>
          <cell r="E2141">
            <v>360</v>
          </cell>
          <cell r="F2141">
            <v>43453</v>
          </cell>
          <cell r="G2141" t="str">
            <v>OK</v>
          </cell>
        </row>
        <row r="2142">
          <cell r="A2142" t="str">
            <v>Y1812-0445</v>
          </cell>
          <cell r="B2142">
            <v>201809</v>
          </cell>
          <cell r="C2142" t="str">
            <v>0100169618</v>
          </cell>
          <cell r="D2142" t="str">
            <v>144151C</v>
          </cell>
          <cell r="E2142">
            <v>216</v>
          </cell>
          <cell r="F2142">
            <v>43452</v>
          </cell>
          <cell r="G2142" t="str">
            <v>11/13</v>
          </cell>
        </row>
        <row r="2143">
          <cell r="A2143" t="str">
            <v>Y1812-0446</v>
          </cell>
          <cell r="B2143">
            <v>201809</v>
          </cell>
          <cell r="C2143" t="str">
            <v>0100169619</v>
          </cell>
          <cell r="D2143" t="str">
            <v>663677C</v>
          </cell>
          <cell r="E2143">
            <v>1104</v>
          </cell>
          <cell r="F2143">
            <v>43453</v>
          </cell>
          <cell r="G2143" t="str">
            <v>11/13</v>
          </cell>
        </row>
        <row r="2144">
          <cell r="A2144" t="str">
            <v>Y1812-0448</v>
          </cell>
          <cell r="B2144">
            <v>201809</v>
          </cell>
          <cell r="C2144" t="str">
            <v>0100169622</v>
          </cell>
          <cell r="D2144" t="str">
            <v>763582C</v>
          </cell>
          <cell r="E2144">
            <v>468</v>
          </cell>
          <cell r="F2144">
            <v>43453</v>
          </cell>
          <cell r="G2144" t="str">
            <v>11/27</v>
          </cell>
        </row>
        <row r="2145">
          <cell r="A2145" t="str">
            <v>Y1812-0449</v>
          </cell>
          <cell r="B2145">
            <v>201809</v>
          </cell>
          <cell r="C2145" t="str">
            <v>0100169623</v>
          </cell>
          <cell r="D2145" t="str">
            <v>264477F</v>
          </cell>
          <cell r="E2145">
            <v>756</v>
          </cell>
          <cell r="F2145">
            <v>43447</v>
          </cell>
          <cell r="G2145" t="str">
            <v>11/06</v>
          </cell>
        </row>
        <row r="2146">
          <cell r="A2146" t="str">
            <v>Y1812-0450</v>
          </cell>
          <cell r="B2146">
            <v>201809</v>
          </cell>
          <cell r="C2146" t="str">
            <v>0100169625</v>
          </cell>
          <cell r="D2146" t="str">
            <v>155064C</v>
          </cell>
          <cell r="E2146">
            <v>1620</v>
          </cell>
          <cell r="F2146">
            <v>43453</v>
          </cell>
          <cell r="G2146" t="str">
            <v>11/06</v>
          </cell>
        </row>
        <row r="2147">
          <cell r="A2147" t="str">
            <v>Y1812-0451</v>
          </cell>
          <cell r="B2147">
            <v>201809</v>
          </cell>
          <cell r="C2147" t="str">
            <v>0100169627</v>
          </cell>
          <cell r="D2147" t="str">
            <v>848607C</v>
          </cell>
          <cell r="E2147">
            <v>168</v>
          </cell>
          <cell r="F2147">
            <v>43447</v>
          </cell>
          <cell r="G2147" t="str">
            <v>11/13</v>
          </cell>
        </row>
        <row r="2148">
          <cell r="A2148" t="str">
            <v>Y1901-0025</v>
          </cell>
          <cell r="B2148">
            <v>201809</v>
          </cell>
          <cell r="C2148" t="str">
            <v>0100169629</v>
          </cell>
          <cell r="D2148" t="str">
            <v>8J231</v>
          </cell>
          <cell r="E2148">
            <v>360</v>
          </cell>
          <cell r="F2148">
            <v>43457</v>
          </cell>
          <cell r="G2148" t="str">
            <v>11/27</v>
          </cell>
        </row>
        <row r="2149">
          <cell r="A2149" t="str">
            <v>Y1812-0452</v>
          </cell>
          <cell r="B2149">
            <v>201809</v>
          </cell>
          <cell r="C2149" t="str">
            <v>0100169633</v>
          </cell>
          <cell r="D2149" t="str">
            <v>7J256C</v>
          </cell>
          <cell r="E2149">
            <v>372</v>
          </cell>
          <cell r="F2149">
            <v>43453</v>
          </cell>
          <cell r="G2149" t="str">
            <v>11/13</v>
          </cell>
        </row>
        <row r="2150">
          <cell r="A2150" t="str">
            <v>Y1812-0453</v>
          </cell>
          <cell r="B2150">
            <v>201809</v>
          </cell>
          <cell r="C2150" t="str">
            <v>0100169635</v>
          </cell>
          <cell r="D2150" t="str">
            <v>M9160C</v>
          </cell>
          <cell r="E2150">
            <v>372</v>
          </cell>
          <cell r="F2150">
            <v>43437</v>
          </cell>
          <cell r="G2150" t="str">
            <v>OK</v>
          </cell>
        </row>
        <row r="2151">
          <cell r="A2151" t="str">
            <v>Y1812-0454</v>
          </cell>
          <cell r="B2151">
            <v>201809</v>
          </cell>
          <cell r="C2151" t="str">
            <v>0100169637</v>
          </cell>
          <cell r="D2151" t="str">
            <v>M9166C</v>
          </cell>
          <cell r="E2151">
            <v>1176</v>
          </cell>
          <cell r="F2151">
            <v>43437</v>
          </cell>
          <cell r="G2151" t="str">
            <v>OK</v>
          </cell>
        </row>
        <row r="2152">
          <cell r="A2152" t="str">
            <v>Y1812-0455</v>
          </cell>
          <cell r="B2152">
            <v>201809</v>
          </cell>
          <cell r="C2152" t="str">
            <v>0100169639</v>
          </cell>
          <cell r="D2152" t="str">
            <v>M3310C</v>
          </cell>
          <cell r="E2152">
            <v>900</v>
          </cell>
          <cell r="F2152">
            <v>43437</v>
          </cell>
          <cell r="G2152" t="str">
            <v>OK</v>
          </cell>
        </row>
        <row r="2153">
          <cell r="A2153" t="str">
            <v>Y1812-0456</v>
          </cell>
          <cell r="B2153">
            <v>201809</v>
          </cell>
          <cell r="C2153" t="str">
            <v>0100169640</v>
          </cell>
          <cell r="D2153" t="str">
            <v>M9622C</v>
          </cell>
          <cell r="E2153">
            <v>492</v>
          </cell>
          <cell r="F2153">
            <v>43453</v>
          </cell>
          <cell r="G2153" t="str">
            <v>OK</v>
          </cell>
        </row>
        <row r="2154">
          <cell r="A2154" t="str">
            <v>Y1812-0457</v>
          </cell>
          <cell r="B2154">
            <v>201809</v>
          </cell>
          <cell r="C2154" t="str">
            <v>0100169642</v>
          </cell>
          <cell r="D2154" t="str">
            <v>M7652C</v>
          </cell>
          <cell r="E2154">
            <v>4848</v>
          </cell>
          <cell r="F2154">
            <v>43437</v>
          </cell>
          <cell r="G2154" t="str">
            <v>OK</v>
          </cell>
        </row>
        <row r="2155">
          <cell r="A2155" t="str">
            <v>Y1812-0458</v>
          </cell>
          <cell r="B2155">
            <v>201809</v>
          </cell>
          <cell r="C2155" t="str">
            <v>0100169643</v>
          </cell>
          <cell r="D2155" t="str">
            <v>M7652C</v>
          </cell>
          <cell r="E2155">
            <v>900</v>
          </cell>
          <cell r="F2155">
            <v>43437</v>
          </cell>
          <cell r="G2155" t="str">
            <v>OK</v>
          </cell>
        </row>
        <row r="2156">
          <cell r="A2156" t="str">
            <v>Y1812-0459</v>
          </cell>
          <cell r="B2156">
            <v>201809</v>
          </cell>
          <cell r="C2156" t="str">
            <v>0100169644</v>
          </cell>
          <cell r="D2156" t="str">
            <v>M9166C</v>
          </cell>
          <cell r="E2156">
            <v>252</v>
          </cell>
          <cell r="F2156">
            <v>43437</v>
          </cell>
          <cell r="G2156" t="str">
            <v>OK</v>
          </cell>
        </row>
        <row r="2157">
          <cell r="A2157" t="str">
            <v>Y1812-0460</v>
          </cell>
          <cell r="B2157">
            <v>201809</v>
          </cell>
          <cell r="C2157" t="str">
            <v>0100169645</v>
          </cell>
          <cell r="D2157" t="str">
            <v>3J256C</v>
          </cell>
          <cell r="E2157">
            <v>156</v>
          </cell>
          <cell r="F2157">
            <v>43461</v>
          </cell>
          <cell r="G2157" t="str">
            <v>11/20</v>
          </cell>
        </row>
        <row r="2158">
          <cell r="A2158" t="str">
            <v>Y1812-0461</v>
          </cell>
          <cell r="B2158">
            <v>201809</v>
          </cell>
          <cell r="C2158" t="str">
            <v>0100169646</v>
          </cell>
          <cell r="D2158" t="str">
            <v>1J794C</v>
          </cell>
          <cell r="E2158">
            <v>120</v>
          </cell>
          <cell r="F2158">
            <v>43461</v>
          </cell>
          <cell r="G2158" t="str">
            <v>11/13</v>
          </cell>
        </row>
        <row r="2159">
          <cell r="A2159" t="str">
            <v>Y1812-0462</v>
          </cell>
          <cell r="B2159">
            <v>201809</v>
          </cell>
          <cell r="C2159" t="str">
            <v>0100169647</v>
          </cell>
          <cell r="D2159" t="str">
            <v>1J794C</v>
          </cell>
          <cell r="E2159">
            <v>168</v>
          </cell>
          <cell r="F2159">
            <v>43461</v>
          </cell>
          <cell r="G2159" t="str">
            <v>11/13</v>
          </cell>
        </row>
        <row r="2160">
          <cell r="A2160" t="str">
            <v>Y1812-0463</v>
          </cell>
          <cell r="B2160">
            <v>201809</v>
          </cell>
          <cell r="C2160" t="str">
            <v>0100169648</v>
          </cell>
          <cell r="D2160" t="str">
            <v>1J793C</v>
          </cell>
          <cell r="E2160">
            <v>144</v>
          </cell>
          <cell r="F2160">
            <v>43461</v>
          </cell>
          <cell r="G2160" t="str">
            <v>OK</v>
          </cell>
        </row>
        <row r="2161">
          <cell r="A2161" t="str">
            <v>Y1812-0464</v>
          </cell>
          <cell r="B2161">
            <v>201809</v>
          </cell>
          <cell r="C2161" t="str">
            <v>0100169649</v>
          </cell>
          <cell r="D2161" t="str">
            <v>1J793C</v>
          </cell>
          <cell r="E2161">
            <v>336</v>
          </cell>
          <cell r="F2161">
            <v>43461</v>
          </cell>
          <cell r="G2161" t="str">
            <v>OK</v>
          </cell>
        </row>
        <row r="2162">
          <cell r="A2162" t="str">
            <v>Y1812-0465</v>
          </cell>
          <cell r="B2162">
            <v>201809</v>
          </cell>
          <cell r="C2162" t="str">
            <v>0100169650</v>
          </cell>
          <cell r="D2162" t="str">
            <v>714786C</v>
          </cell>
          <cell r="E2162">
            <v>192</v>
          </cell>
          <cell r="F2162">
            <v>43461</v>
          </cell>
          <cell r="G2162" t="str">
            <v>11/13</v>
          </cell>
        </row>
        <row r="2163">
          <cell r="A2163" t="str">
            <v>Y1812-0466</v>
          </cell>
          <cell r="B2163">
            <v>201809</v>
          </cell>
          <cell r="C2163" t="str">
            <v>0100169651</v>
          </cell>
          <cell r="D2163" t="str">
            <v>359792C</v>
          </cell>
          <cell r="E2163">
            <v>216</v>
          </cell>
          <cell r="F2163">
            <v>43461</v>
          </cell>
          <cell r="G2163" t="str">
            <v>11/06</v>
          </cell>
        </row>
        <row r="2164">
          <cell r="A2164" t="str">
            <v>Y1812-0467</v>
          </cell>
          <cell r="B2164">
            <v>201809</v>
          </cell>
          <cell r="C2164" t="str">
            <v>0100169652</v>
          </cell>
          <cell r="D2164" t="str">
            <v>714786C</v>
          </cell>
          <cell r="E2164">
            <v>120</v>
          </cell>
          <cell r="F2164">
            <v>43461</v>
          </cell>
          <cell r="G2164" t="str">
            <v>11/13</v>
          </cell>
        </row>
        <row r="2165">
          <cell r="A2165" t="str">
            <v>Y1812-0468</v>
          </cell>
          <cell r="B2165">
            <v>201809</v>
          </cell>
          <cell r="C2165" t="str">
            <v>0100169653</v>
          </cell>
          <cell r="D2165" t="str">
            <v>359792C</v>
          </cell>
          <cell r="E2165">
            <v>120</v>
          </cell>
          <cell r="F2165">
            <v>43461</v>
          </cell>
          <cell r="G2165" t="str">
            <v>11/06</v>
          </cell>
        </row>
        <row r="2166">
          <cell r="A2166" t="str">
            <v>Y1812-0469</v>
          </cell>
          <cell r="B2166">
            <v>201809</v>
          </cell>
          <cell r="C2166" t="str">
            <v>0100169654</v>
          </cell>
          <cell r="D2166" t="str">
            <v>3J231C</v>
          </cell>
          <cell r="E2166">
            <v>984</v>
          </cell>
          <cell r="F2166">
            <v>43460</v>
          </cell>
          <cell r="G2166" t="str">
            <v>11/06</v>
          </cell>
        </row>
        <row r="2167">
          <cell r="A2167" t="str">
            <v>Y1812-0470</v>
          </cell>
          <cell r="B2167">
            <v>201809</v>
          </cell>
          <cell r="C2167" t="str">
            <v>0100169655</v>
          </cell>
          <cell r="D2167" t="str">
            <v>1J793C</v>
          </cell>
          <cell r="E2167">
            <v>3186</v>
          </cell>
          <cell r="F2167">
            <v>43437</v>
          </cell>
          <cell r="G2167" t="str">
            <v>OK</v>
          </cell>
        </row>
        <row r="2168">
          <cell r="A2168" t="str">
            <v>Y1812-0471</v>
          </cell>
          <cell r="B2168">
            <v>201809</v>
          </cell>
          <cell r="C2168" t="str">
            <v>0100169656</v>
          </cell>
          <cell r="D2168" t="str">
            <v>3J236C</v>
          </cell>
          <cell r="E2168">
            <v>840</v>
          </cell>
          <cell r="F2168">
            <v>43460</v>
          </cell>
          <cell r="G2168" t="str">
            <v>11/13</v>
          </cell>
        </row>
        <row r="2169">
          <cell r="A2169" t="str">
            <v>Y1901-0028</v>
          </cell>
          <cell r="B2169">
            <v>201809</v>
          </cell>
          <cell r="C2169" t="str">
            <v>0100169660</v>
          </cell>
          <cell r="D2169" t="str">
            <v>3J253C</v>
          </cell>
          <cell r="E2169">
            <v>4848</v>
          </cell>
          <cell r="F2169">
            <v>43437</v>
          </cell>
          <cell r="G2169" t="str">
            <v>OK</v>
          </cell>
        </row>
        <row r="2170">
          <cell r="A2170" t="str">
            <v>Y1901-0029</v>
          </cell>
          <cell r="B2170">
            <v>201809</v>
          </cell>
          <cell r="C2170" t="str">
            <v>0100169661</v>
          </cell>
          <cell r="D2170" t="str">
            <v>3J253C</v>
          </cell>
          <cell r="E2170">
            <v>924</v>
          </cell>
          <cell r="F2170">
            <v>43437</v>
          </cell>
          <cell r="G2170" t="str">
            <v>11/06</v>
          </cell>
        </row>
        <row r="2171">
          <cell r="A2171" t="str">
            <v>Y1901-0030</v>
          </cell>
          <cell r="B2171">
            <v>201809</v>
          </cell>
          <cell r="C2171" t="str">
            <v>0100169663</v>
          </cell>
          <cell r="D2171" t="str">
            <v>M9166C</v>
          </cell>
          <cell r="E2171">
            <v>12564</v>
          </cell>
          <cell r="F2171">
            <v>43437</v>
          </cell>
          <cell r="G2171" t="str">
            <v>OK</v>
          </cell>
        </row>
        <row r="2172">
          <cell r="A2172" t="str">
            <v>Y1812-0474</v>
          </cell>
          <cell r="B2172">
            <v>201809</v>
          </cell>
          <cell r="C2172" t="str">
            <v>0100169665</v>
          </cell>
          <cell r="D2172" t="str">
            <v>M9621C</v>
          </cell>
          <cell r="E2172">
            <v>5640</v>
          </cell>
          <cell r="F2172">
            <v>43437</v>
          </cell>
          <cell r="G2172" t="str">
            <v>OK</v>
          </cell>
        </row>
        <row r="2173">
          <cell r="A2173" t="str">
            <v>Y1901-0032</v>
          </cell>
          <cell r="B2173">
            <v>201809</v>
          </cell>
          <cell r="C2173" t="str">
            <v>0100169666</v>
          </cell>
          <cell r="D2173" t="str">
            <v>M9621C</v>
          </cell>
          <cell r="E2173">
            <v>2664</v>
          </cell>
          <cell r="F2173">
            <v>43437</v>
          </cell>
          <cell r="G2173" t="str">
            <v>11/06</v>
          </cell>
        </row>
        <row r="2174">
          <cell r="A2174" t="str">
            <v>Y1901-0033</v>
          </cell>
          <cell r="B2174">
            <v>201809</v>
          </cell>
          <cell r="C2174" t="str">
            <v>0100169667</v>
          </cell>
          <cell r="D2174" t="str">
            <v>M9621C</v>
          </cell>
          <cell r="E2174">
            <v>1032</v>
          </cell>
          <cell r="F2174">
            <v>43437</v>
          </cell>
          <cell r="G2174" t="str">
            <v>11/06</v>
          </cell>
        </row>
        <row r="2175">
          <cell r="A2175" t="str">
            <v>Y1812-0476</v>
          </cell>
          <cell r="B2175">
            <v>201809</v>
          </cell>
          <cell r="C2175" t="str">
            <v>0100169672</v>
          </cell>
          <cell r="D2175" t="str">
            <v>M7652C</v>
          </cell>
          <cell r="E2175">
            <v>11220</v>
          </cell>
          <cell r="F2175">
            <v>43437</v>
          </cell>
          <cell r="G2175" t="str">
            <v>11/13</v>
          </cell>
        </row>
        <row r="2176">
          <cell r="A2176" t="str">
            <v>Y1901-0038</v>
          </cell>
          <cell r="B2176">
            <v>201809</v>
          </cell>
          <cell r="C2176" t="str">
            <v>0100169674</v>
          </cell>
          <cell r="D2176" t="str">
            <v>M7652C</v>
          </cell>
          <cell r="E2176">
            <v>16596</v>
          </cell>
          <cell r="F2176">
            <v>43437</v>
          </cell>
          <cell r="G2176" t="str">
            <v>OK</v>
          </cell>
        </row>
        <row r="2177">
          <cell r="A2177" t="str">
            <v>Y1812-0478</v>
          </cell>
          <cell r="B2177">
            <v>201809</v>
          </cell>
          <cell r="C2177" t="str">
            <v>0100169679</v>
          </cell>
          <cell r="D2177" t="str">
            <v>3J234C</v>
          </cell>
          <cell r="E2177">
            <v>240</v>
          </cell>
          <cell r="F2177">
            <v>43460</v>
          </cell>
          <cell r="G2177" t="str">
            <v>11/13</v>
          </cell>
        </row>
        <row r="2178">
          <cell r="A2178" t="str">
            <v>Y1812-0480</v>
          </cell>
          <cell r="B2178">
            <v>201809</v>
          </cell>
          <cell r="C2178" t="str">
            <v>0100169681</v>
          </cell>
          <cell r="D2178" t="str">
            <v>M3310C</v>
          </cell>
          <cell r="E2178">
            <v>834</v>
          </cell>
          <cell r="F2178">
            <v>43437</v>
          </cell>
          <cell r="G2178" t="str">
            <v>OK</v>
          </cell>
        </row>
        <row r="2179">
          <cell r="A2179" t="str">
            <v>Y1812-0481</v>
          </cell>
          <cell r="B2179">
            <v>201809</v>
          </cell>
          <cell r="C2179" t="str">
            <v>0100169682</v>
          </cell>
          <cell r="D2179" t="str">
            <v>3J238C</v>
          </cell>
          <cell r="E2179">
            <v>1404</v>
          </cell>
          <cell r="F2179">
            <v>43437</v>
          </cell>
          <cell r="G2179" t="str">
            <v>OK</v>
          </cell>
        </row>
        <row r="2180">
          <cell r="A2180" t="str">
            <v>Y1812-0483</v>
          </cell>
          <cell r="B2180">
            <v>201809</v>
          </cell>
          <cell r="C2180" t="str">
            <v>0100169685</v>
          </cell>
          <cell r="D2180" t="str">
            <v>563431C</v>
          </cell>
          <cell r="E2180">
            <v>1080</v>
          </cell>
          <cell r="F2180">
            <v>43460</v>
          </cell>
          <cell r="G2180" t="str">
            <v>11/13</v>
          </cell>
        </row>
        <row r="2181">
          <cell r="A2181" t="str">
            <v>Y1812-0484</v>
          </cell>
          <cell r="B2181">
            <v>201809</v>
          </cell>
          <cell r="C2181" t="str">
            <v>0100169688</v>
          </cell>
          <cell r="D2181" t="str">
            <v>163247C</v>
          </cell>
          <cell r="E2181">
            <v>876</v>
          </cell>
          <cell r="F2181">
            <v>43460</v>
          </cell>
          <cell r="G2181" t="str">
            <v>11/13</v>
          </cell>
        </row>
        <row r="2182">
          <cell r="A2182" t="str">
            <v>Y1812-0485</v>
          </cell>
          <cell r="B2182">
            <v>201809</v>
          </cell>
          <cell r="C2182" t="str">
            <v>0100169690</v>
          </cell>
          <cell r="D2182" t="str">
            <v>7J232C</v>
          </cell>
          <cell r="E2182">
            <v>1644</v>
          </cell>
          <cell r="F2182">
            <v>43437</v>
          </cell>
          <cell r="G2182" t="str">
            <v>11/13</v>
          </cell>
        </row>
        <row r="2183">
          <cell r="A2183" t="str">
            <v>Y1812-0486</v>
          </cell>
          <cell r="B2183">
            <v>201809</v>
          </cell>
          <cell r="C2183" t="str">
            <v>0100169691</v>
          </cell>
          <cell r="D2183" t="str">
            <v>7J233C</v>
          </cell>
          <cell r="E2183">
            <v>1008</v>
          </cell>
          <cell r="F2183">
            <v>43437</v>
          </cell>
          <cell r="G2183" t="str">
            <v>11/13</v>
          </cell>
        </row>
        <row r="2184">
          <cell r="A2184" t="str">
            <v>Y1812-0488</v>
          </cell>
          <cell r="B2184">
            <v>201809</v>
          </cell>
          <cell r="C2184" t="str">
            <v>0100169693</v>
          </cell>
          <cell r="D2184" t="str">
            <v>1J794C</v>
          </cell>
          <cell r="E2184">
            <v>1998</v>
          </cell>
          <cell r="F2184">
            <v>43437</v>
          </cell>
          <cell r="G2184" t="str">
            <v>11/13</v>
          </cell>
        </row>
        <row r="2185">
          <cell r="A2185" t="str">
            <v>Y1812-0495</v>
          </cell>
          <cell r="B2185">
            <v>201809</v>
          </cell>
          <cell r="C2185" t="str">
            <v>0100169707</v>
          </cell>
          <cell r="D2185">
            <v>88865</v>
          </cell>
          <cell r="E2185">
            <v>5280</v>
          </cell>
          <cell r="F2185">
            <v>43460</v>
          </cell>
          <cell r="G2185" t="str">
            <v>11/27</v>
          </cell>
        </row>
        <row r="2186">
          <cell r="A2186" t="str">
            <v>Y1812-0496</v>
          </cell>
          <cell r="B2186">
            <v>201809</v>
          </cell>
          <cell r="C2186" t="str">
            <v>0100169712</v>
          </cell>
          <cell r="D2186" t="str">
            <v>163376C</v>
          </cell>
          <cell r="E2186">
            <v>1050</v>
          </cell>
          <cell r="F2186">
            <v>43460</v>
          </cell>
          <cell r="G2186" t="str">
            <v>11/06</v>
          </cell>
        </row>
        <row r="2187">
          <cell r="A2187" t="str">
            <v>Y1901-0061</v>
          </cell>
          <cell r="B2187">
            <v>201809</v>
          </cell>
          <cell r="C2187" t="str">
            <v>0100169717</v>
          </cell>
          <cell r="D2187" t="str">
            <v>M9691C</v>
          </cell>
          <cell r="E2187">
            <v>396</v>
          </cell>
          <cell r="F2187">
            <v>43457</v>
          </cell>
          <cell r="G2187" t="str">
            <v>11/13</v>
          </cell>
        </row>
        <row r="2188">
          <cell r="A2188" t="str">
            <v>Y1901-0062</v>
          </cell>
          <cell r="B2188">
            <v>201809</v>
          </cell>
          <cell r="C2188" t="str">
            <v>0100169718</v>
          </cell>
          <cell r="D2188" t="str">
            <v>M9691C</v>
          </cell>
          <cell r="E2188">
            <v>420</v>
          </cell>
          <cell r="F2188">
            <v>43457</v>
          </cell>
          <cell r="G2188" t="str">
            <v>11/13</v>
          </cell>
        </row>
        <row r="2189">
          <cell r="A2189" t="str">
            <v>Y1901-0063</v>
          </cell>
          <cell r="B2189">
            <v>201809</v>
          </cell>
          <cell r="C2189" t="str">
            <v>0100169719</v>
          </cell>
          <cell r="D2189" t="str">
            <v>M9166C</v>
          </cell>
          <cell r="E2189">
            <v>612</v>
          </cell>
          <cell r="F2189">
            <v>43437</v>
          </cell>
          <cell r="G2189" t="str">
            <v>OK</v>
          </cell>
        </row>
        <row r="2190">
          <cell r="A2190" t="str">
            <v>Y1901-0064</v>
          </cell>
          <cell r="B2190">
            <v>201809</v>
          </cell>
          <cell r="C2190" t="str">
            <v>0100169720</v>
          </cell>
          <cell r="D2190" t="str">
            <v>M9621C</v>
          </cell>
          <cell r="E2190">
            <v>684</v>
          </cell>
          <cell r="F2190">
            <v>43437</v>
          </cell>
          <cell r="G2190" t="str">
            <v>11/06</v>
          </cell>
        </row>
        <row r="2191">
          <cell r="A2191" t="str">
            <v>Y1901-0065</v>
          </cell>
          <cell r="B2191">
            <v>201809</v>
          </cell>
          <cell r="C2191" t="str">
            <v>0100169721</v>
          </cell>
          <cell r="D2191" t="str">
            <v>M9166C</v>
          </cell>
          <cell r="E2191">
            <v>744</v>
          </cell>
          <cell r="F2191">
            <v>43437</v>
          </cell>
          <cell r="G2191" t="str">
            <v>OK</v>
          </cell>
        </row>
        <row r="2192">
          <cell r="A2192" t="str">
            <v>Y1901-0066</v>
          </cell>
          <cell r="B2192">
            <v>201809</v>
          </cell>
          <cell r="C2192" t="str">
            <v>0100169722</v>
          </cell>
          <cell r="D2192" t="str">
            <v>1J793C</v>
          </cell>
          <cell r="E2192">
            <v>120</v>
          </cell>
          <cell r="F2192">
            <v>43437</v>
          </cell>
          <cell r="G2192" t="str">
            <v>OK</v>
          </cell>
        </row>
        <row r="2193">
          <cell r="A2193" t="str">
            <v>Y1901-0067</v>
          </cell>
          <cell r="B2193">
            <v>201809</v>
          </cell>
          <cell r="C2193" t="str">
            <v>0100169723</v>
          </cell>
          <cell r="D2193" t="str">
            <v>M7652C</v>
          </cell>
          <cell r="E2193">
            <v>252</v>
          </cell>
          <cell r="F2193">
            <v>43437</v>
          </cell>
          <cell r="G2193" t="str">
            <v>OK</v>
          </cell>
        </row>
        <row r="2194">
          <cell r="A2194" t="str">
            <v>Y1902-0005</v>
          </cell>
          <cell r="B2194">
            <v>201809</v>
          </cell>
          <cell r="C2194" t="str">
            <v>0100169724</v>
          </cell>
          <cell r="D2194" t="str">
            <v>M7652C</v>
          </cell>
          <cell r="E2194">
            <v>240</v>
          </cell>
          <cell r="F2194">
            <v>43437</v>
          </cell>
          <cell r="G2194" t="str">
            <v>OK</v>
          </cell>
        </row>
        <row r="2195">
          <cell r="A2195" t="str">
            <v>Y1901-0068</v>
          </cell>
          <cell r="B2195">
            <v>201809</v>
          </cell>
          <cell r="C2195" t="str">
            <v>0100169725</v>
          </cell>
          <cell r="D2195" t="str">
            <v>M7652C</v>
          </cell>
          <cell r="E2195">
            <v>2712</v>
          </cell>
          <cell r="F2195">
            <v>43437</v>
          </cell>
          <cell r="G2195" t="str">
            <v>OK</v>
          </cell>
        </row>
        <row r="2196">
          <cell r="A2196" t="str">
            <v>Y1901-0069</v>
          </cell>
          <cell r="B2196">
            <v>201809</v>
          </cell>
          <cell r="C2196" t="str">
            <v>0100169726</v>
          </cell>
          <cell r="D2196" t="str">
            <v>M9160C</v>
          </cell>
          <cell r="E2196">
            <v>1200</v>
          </cell>
          <cell r="F2196">
            <v>43437</v>
          </cell>
          <cell r="G2196" t="str">
            <v>OK</v>
          </cell>
        </row>
        <row r="2197">
          <cell r="A2197" t="str">
            <v>Y1901-0070</v>
          </cell>
          <cell r="B2197">
            <v>201809</v>
          </cell>
          <cell r="C2197" t="str">
            <v>0100169727</v>
          </cell>
          <cell r="D2197" t="str">
            <v>M9160C</v>
          </cell>
          <cell r="E2197">
            <v>948</v>
          </cell>
          <cell r="F2197">
            <v>43437</v>
          </cell>
          <cell r="G2197" t="str">
            <v>OK</v>
          </cell>
        </row>
        <row r="2198">
          <cell r="A2198" t="str">
            <v>Y1901-0071</v>
          </cell>
          <cell r="B2198">
            <v>201809</v>
          </cell>
          <cell r="C2198" t="str">
            <v>0100169728</v>
          </cell>
          <cell r="D2198" t="str">
            <v>M9621C</v>
          </cell>
          <cell r="E2198">
            <v>972</v>
          </cell>
          <cell r="F2198">
            <v>43437</v>
          </cell>
          <cell r="G2198" t="str">
            <v>11/06</v>
          </cell>
        </row>
        <row r="2199">
          <cell r="A2199" t="str">
            <v>Y1901-0072</v>
          </cell>
          <cell r="B2199">
            <v>201809</v>
          </cell>
          <cell r="C2199" t="str">
            <v>0100169729</v>
          </cell>
          <cell r="D2199" t="str">
            <v>M3310C</v>
          </cell>
          <cell r="E2199">
            <v>204</v>
          </cell>
          <cell r="F2199">
            <v>43437</v>
          </cell>
          <cell r="G2199" t="str">
            <v>11/13</v>
          </cell>
        </row>
        <row r="2200">
          <cell r="A2200" t="str">
            <v>Y1901-0073</v>
          </cell>
          <cell r="B2200">
            <v>201809</v>
          </cell>
          <cell r="C2200" t="str">
            <v>0100169730</v>
          </cell>
          <cell r="D2200" t="str">
            <v>M9160C</v>
          </cell>
          <cell r="E2200">
            <v>768</v>
          </cell>
          <cell r="F2200">
            <v>43437</v>
          </cell>
          <cell r="G2200" t="str">
            <v>OK</v>
          </cell>
        </row>
        <row r="2201">
          <cell r="A2201" t="str">
            <v>Y1901-0074</v>
          </cell>
          <cell r="B2201">
            <v>201809</v>
          </cell>
          <cell r="C2201" t="str">
            <v>0100169731</v>
          </cell>
          <cell r="D2201" t="str">
            <v>M9160C</v>
          </cell>
          <cell r="E2201">
            <v>804</v>
          </cell>
          <cell r="F2201">
            <v>43437</v>
          </cell>
          <cell r="G2201" t="str">
            <v>OK</v>
          </cell>
        </row>
        <row r="2202">
          <cell r="A2202" t="str">
            <v>Y1901-0075</v>
          </cell>
          <cell r="B2202">
            <v>201809</v>
          </cell>
          <cell r="C2202" t="str">
            <v>0100169732</v>
          </cell>
          <cell r="D2202" t="str">
            <v>M7652C</v>
          </cell>
          <cell r="E2202">
            <v>516</v>
          </cell>
          <cell r="F2202">
            <v>43437</v>
          </cell>
          <cell r="G2202" t="str">
            <v>OK</v>
          </cell>
        </row>
        <row r="2203">
          <cell r="A2203" t="str">
            <v>Y1901-0076</v>
          </cell>
          <cell r="B2203">
            <v>201809</v>
          </cell>
          <cell r="C2203" t="str">
            <v>0100169733</v>
          </cell>
          <cell r="D2203" t="str">
            <v>M9160C</v>
          </cell>
          <cell r="E2203">
            <v>612</v>
          </cell>
          <cell r="F2203">
            <v>43437</v>
          </cell>
          <cell r="G2203" t="str">
            <v>OK</v>
          </cell>
        </row>
        <row r="2204">
          <cell r="A2204" t="str">
            <v>Y1901-0077</v>
          </cell>
          <cell r="B2204">
            <v>201809</v>
          </cell>
          <cell r="C2204" t="str">
            <v>0100169734</v>
          </cell>
          <cell r="D2204" t="str">
            <v>M3310C</v>
          </cell>
          <cell r="E2204">
            <v>528</v>
          </cell>
          <cell r="F2204">
            <v>43437</v>
          </cell>
          <cell r="G2204" t="str">
            <v>11/13</v>
          </cell>
        </row>
        <row r="2205">
          <cell r="A2205" t="str">
            <v>Y1901-0078</v>
          </cell>
          <cell r="B2205">
            <v>201809</v>
          </cell>
          <cell r="C2205" t="str">
            <v>0100169735</v>
          </cell>
          <cell r="D2205" t="str">
            <v>M9621C</v>
          </cell>
          <cell r="E2205">
            <v>564</v>
          </cell>
          <cell r="F2205">
            <v>43437</v>
          </cell>
          <cell r="G2205" t="str">
            <v>11/06</v>
          </cell>
        </row>
        <row r="2206">
          <cell r="A2206" t="str">
            <v>Y1901-0079</v>
          </cell>
          <cell r="B2206">
            <v>201809</v>
          </cell>
          <cell r="C2206" t="str">
            <v>0100169736</v>
          </cell>
          <cell r="D2206" t="str">
            <v>M9160C</v>
          </cell>
          <cell r="E2206">
            <v>732</v>
          </cell>
          <cell r="F2206">
            <v>43437</v>
          </cell>
          <cell r="G2206" t="str">
            <v>OK</v>
          </cell>
        </row>
        <row r="2207">
          <cell r="A2207" t="str">
            <v>Y1901-0080</v>
          </cell>
          <cell r="B2207">
            <v>201809</v>
          </cell>
          <cell r="C2207" t="str">
            <v>0100169737</v>
          </cell>
          <cell r="D2207" t="str">
            <v>M7652C</v>
          </cell>
          <cell r="E2207">
            <v>4500</v>
          </cell>
          <cell r="F2207">
            <v>43437</v>
          </cell>
          <cell r="G2207" t="str">
            <v>OK</v>
          </cell>
        </row>
        <row r="2208">
          <cell r="A2208" t="str">
            <v>Y1901-0081</v>
          </cell>
          <cell r="B2208">
            <v>201809</v>
          </cell>
          <cell r="C2208" t="str">
            <v>0100169738</v>
          </cell>
          <cell r="D2208" t="str">
            <v>M7652C</v>
          </cell>
          <cell r="E2208">
            <v>4500</v>
          </cell>
          <cell r="F2208">
            <v>43437</v>
          </cell>
          <cell r="G2208" t="str">
            <v>OK</v>
          </cell>
        </row>
        <row r="2209">
          <cell r="A2209" t="str">
            <v>Y1901-0082</v>
          </cell>
          <cell r="B2209">
            <v>201809</v>
          </cell>
          <cell r="C2209" t="str">
            <v>0100169739</v>
          </cell>
          <cell r="D2209" t="str">
            <v>7J256C</v>
          </cell>
          <cell r="E2209">
            <v>2508</v>
          </cell>
          <cell r="F2209">
            <v>43437</v>
          </cell>
          <cell r="G2209" t="str">
            <v>11/06</v>
          </cell>
        </row>
        <row r="2210">
          <cell r="A2210" t="str">
            <v>Y1901-0093</v>
          </cell>
          <cell r="B2210">
            <v>201809</v>
          </cell>
          <cell r="C2210" t="str">
            <v>0100169750</v>
          </cell>
          <cell r="D2210" t="str">
            <v>M9696C</v>
          </cell>
          <cell r="E2210">
            <v>3960</v>
          </cell>
          <cell r="F2210">
            <v>43437</v>
          </cell>
          <cell r="G2210" t="str">
            <v>OK</v>
          </cell>
        </row>
        <row r="2211">
          <cell r="A2211" t="str">
            <v>Y1901-0094</v>
          </cell>
          <cell r="B2211">
            <v>201809</v>
          </cell>
          <cell r="C2211" t="str">
            <v>0100169751</v>
          </cell>
          <cell r="D2211" t="str">
            <v>M9696C</v>
          </cell>
          <cell r="E2211">
            <v>780</v>
          </cell>
          <cell r="F2211">
            <v>43437</v>
          </cell>
          <cell r="G2211" t="str">
            <v>OK</v>
          </cell>
        </row>
        <row r="2212">
          <cell r="A2212" t="str">
            <v>Y1902-0006</v>
          </cell>
          <cell r="B2212">
            <v>201809</v>
          </cell>
          <cell r="C2212" t="str">
            <v>0100169752</v>
          </cell>
          <cell r="D2212" t="str">
            <v>M9696C</v>
          </cell>
          <cell r="E2212">
            <v>660</v>
          </cell>
          <cell r="F2212">
            <v>43437</v>
          </cell>
          <cell r="G2212" t="str">
            <v>OK</v>
          </cell>
        </row>
        <row r="2213">
          <cell r="A2213" t="str">
            <v>Y1812-0497</v>
          </cell>
          <cell r="B2213">
            <v>201809</v>
          </cell>
          <cell r="C2213" t="str">
            <v>0100169754</v>
          </cell>
          <cell r="D2213" t="str">
            <v>M9160</v>
          </cell>
          <cell r="E2213">
            <v>372</v>
          </cell>
          <cell r="F2213">
            <v>43437</v>
          </cell>
          <cell r="G2213" t="str">
            <v>OK</v>
          </cell>
        </row>
        <row r="2214">
          <cell r="A2214" t="str">
            <v>Y1812-0499</v>
          </cell>
          <cell r="B2214">
            <v>201809</v>
          </cell>
          <cell r="C2214" t="str">
            <v>0100169756</v>
          </cell>
          <cell r="D2214">
            <v>88875</v>
          </cell>
          <cell r="E2214">
            <v>444</v>
          </cell>
          <cell r="F2214">
            <v>43447</v>
          </cell>
          <cell r="G2214" t="str">
            <v>11/13</v>
          </cell>
        </row>
        <row r="2215">
          <cell r="A2215" t="str">
            <v>Y1812-0500</v>
          </cell>
          <cell r="B2215">
            <v>201809</v>
          </cell>
          <cell r="C2215" t="str">
            <v>0100169757</v>
          </cell>
          <cell r="D2215" t="str">
            <v>3S121</v>
          </cell>
          <cell r="E2215">
            <v>360</v>
          </cell>
          <cell r="F2215">
            <v>43441</v>
          </cell>
          <cell r="G2215" t="str">
            <v>11/06</v>
          </cell>
        </row>
        <row r="2216">
          <cell r="A2216" t="str">
            <v>Y1812-0501</v>
          </cell>
          <cell r="B2216">
            <v>201809</v>
          </cell>
          <cell r="C2216" t="str">
            <v>0100169758</v>
          </cell>
          <cell r="D2216" t="str">
            <v>7J253</v>
          </cell>
          <cell r="E2216">
            <v>792</v>
          </cell>
          <cell r="F2216">
            <v>43437</v>
          </cell>
          <cell r="G2216" t="str">
            <v>OK</v>
          </cell>
        </row>
        <row r="2217">
          <cell r="A2217" t="str">
            <v>Y1812-0503</v>
          </cell>
          <cell r="B2217">
            <v>201809</v>
          </cell>
          <cell r="C2217" t="str">
            <v>0100169764</v>
          </cell>
          <cell r="D2217" t="str">
            <v>3J233</v>
          </cell>
          <cell r="E2217">
            <v>816</v>
          </cell>
          <cell r="F2217">
            <v>43437</v>
          </cell>
          <cell r="G2217" t="str">
            <v>11/06</v>
          </cell>
        </row>
        <row r="2218">
          <cell r="A2218" t="str">
            <v>Y1812-0504</v>
          </cell>
          <cell r="B2218">
            <v>201809</v>
          </cell>
          <cell r="C2218" t="str">
            <v>0100169765</v>
          </cell>
          <cell r="D2218" t="str">
            <v>7J232</v>
          </cell>
          <cell r="E2218">
            <v>1212</v>
          </cell>
          <cell r="F2218">
            <v>43437</v>
          </cell>
          <cell r="G2218" t="str">
            <v>OK</v>
          </cell>
        </row>
        <row r="2219">
          <cell r="A2219" t="str">
            <v>Y1812-0505</v>
          </cell>
          <cell r="B2219">
            <v>201809</v>
          </cell>
          <cell r="C2219" t="str">
            <v>0100169767</v>
          </cell>
          <cell r="D2219" t="str">
            <v>3S121</v>
          </cell>
          <cell r="E2219">
            <v>912</v>
          </cell>
          <cell r="F2219">
            <v>43457</v>
          </cell>
          <cell r="G2219" t="str">
            <v>11/06</v>
          </cell>
        </row>
        <row r="2220">
          <cell r="A2220" t="str">
            <v>Y1812-0507</v>
          </cell>
          <cell r="B2220">
            <v>201809</v>
          </cell>
          <cell r="C2220" t="str">
            <v>0100169769</v>
          </cell>
          <cell r="D2220">
            <v>88877</v>
          </cell>
          <cell r="E2220">
            <v>168</v>
          </cell>
          <cell r="F2220">
            <v>43462</v>
          </cell>
          <cell r="G2220" t="str">
            <v>11/27</v>
          </cell>
        </row>
        <row r="2221">
          <cell r="A2221" t="str">
            <v>Y1812-0508</v>
          </cell>
          <cell r="B2221">
            <v>201809</v>
          </cell>
          <cell r="C2221" t="str">
            <v>0100169770</v>
          </cell>
          <cell r="D2221">
            <v>88871</v>
          </cell>
          <cell r="E2221">
            <v>1872</v>
          </cell>
          <cell r="F2221">
            <v>43458</v>
          </cell>
          <cell r="G2221" t="str">
            <v>11/27</v>
          </cell>
        </row>
        <row r="2222">
          <cell r="A2222" t="str">
            <v>Y1812-0510</v>
          </cell>
          <cell r="B2222">
            <v>201809</v>
          </cell>
          <cell r="C2222" t="str">
            <v>0100169772</v>
          </cell>
          <cell r="D2222" t="str">
            <v>314786F</v>
          </cell>
          <cell r="E2222">
            <v>540</v>
          </cell>
          <cell r="F2222">
            <v>43437</v>
          </cell>
          <cell r="G2222" t="str">
            <v>11/06</v>
          </cell>
        </row>
        <row r="2223">
          <cell r="A2223" t="str">
            <v>Y1812-0511</v>
          </cell>
          <cell r="B2223">
            <v>201809</v>
          </cell>
          <cell r="C2223" t="str">
            <v>0100169773</v>
          </cell>
          <cell r="D2223" t="str">
            <v>314786F</v>
          </cell>
          <cell r="E2223">
            <v>360</v>
          </cell>
          <cell r="F2223">
            <v>43437</v>
          </cell>
          <cell r="G2223" t="str">
            <v>11/06</v>
          </cell>
        </row>
        <row r="2224">
          <cell r="A2224" t="str">
            <v>Y1812-0512</v>
          </cell>
          <cell r="B2224">
            <v>201809</v>
          </cell>
          <cell r="C2224" t="str">
            <v>0100169774</v>
          </cell>
          <cell r="D2224" t="str">
            <v>314786F</v>
          </cell>
          <cell r="E2224">
            <v>1428</v>
          </cell>
          <cell r="F2224">
            <v>43437</v>
          </cell>
          <cell r="G2224" t="str">
            <v>11/06</v>
          </cell>
        </row>
        <row r="2225">
          <cell r="A2225" t="str">
            <v>Y1812-0513</v>
          </cell>
          <cell r="B2225">
            <v>201809</v>
          </cell>
          <cell r="C2225" t="str">
            <v>0100169775</v>
          </cell>
          <cell r="D2225" t="str">
            <v>3J232</v>
          </cell>
          <cell r="E2225">
            <v>2184</v>
          </cell>
          <cell r="F2225">
            <v>43437</v>
          </cell>
          <cell r="G2225" t="str">
            <v>OK</v>
          </cell>
        </row>
        <row r="2226">
          <cell r="A2226" t="str">
            <v>Y1812-0514</v>
          </cell>
          <cell r="B2226">
            <v>201809</v>
          </cell>
          <cell r="C2226" t="str">
            <v>0100169776</v>
          </cell>
          <cell r="D2226" t="str">
            <v>3J234</v>
          </cell>
          <cell r="E2226">
            <v>708</v>
          </cell>
          <cell r="F2226">
            <v>43437</v>
          </cell>
          <cell r="G2226" t="str">
            <v>11/06</v>
          </cell>
        </row>
        <row r="2227">
          <cell r="A2227" t="str">
            <v>Y1812-0516</v>
          </cell>
          <cell r="B2227">
            <v>201809</v>
          </cell>
          <cell r="C2227" t="str">
            <v>0100169778</v>
          </cell>
          <cell r="D2227" t="str">
            <v>7J233</v>
          </cell>
          <cell r="E2227">
            <v>360</v>
          </cell>
          <cell r="F2227">
            <v>43437</v>
          </cell>
          <cell r="G2227" t="str">
            <v>OK</v>
          </cell>
        </row>
        <row r="2228">
          <cell r="A2228" t="str">
            <v>Y1812-0517</v>
          </cell>
          <cell r="B2228">
            <v>201809</v>
          </cell>
          <cell r="C2228" t="str">
            <v>0100169779</v>
          </cell>
          <cell r="D2228" t="str">
            <v>7J236</v>
          </cell>
          <cell r="E2228">
            <v>6948</v>
          </cell>
          <cell r="F2228">
            <v>43437</v>
          </cell>
          <cell r="G2228" t="str">
            <v>OK</v>
          </cell>
        </row>
        <row r="2229">
          <cell r="A2229" t="str">
            <v>Y1812-0519</v>
          </cell>
          <cell r="B2229">
            <v>201809</v>
          </cell>
          <cell r="C2229" t="str">
            <v>0100169781</v>
          </cell>
          <cell r="D2229" t="str">
            <v>7S121</v>
          </cell>
          <cell r="E2229">
            <v>504</v>
          </cell>
          <cell r="F2229">
            <v>43437</v>
          </cell>
          <cell r="G2229" t="str">
            <v>OK</v>
          </cell>
        </row>
        <row r="2230">
          <cell r="A2230" t="str">
            <v>Y1812-0520</v>
          </cell>
          <cell r="B2230">
            <v>201809</v>
          </cell>
          <cell r="C2230" t="str">
            <v>0100169782</v>
          </cell>
          <cell r="D2230">
            <v>88865</v>
          </cell>
          <cell r="E2230">
            <v>2148</v>
          </cell>
          <cell r="F2230">
            <v>43447</v>
          </cell>
          <cell r="G2230" t="str">
            <v>11/13</v>
          </cell>
        </row>
        <row r="2231">
          <cell r="A2231" t="str">
            <v>Y1812-0521</v>
          </cell>
          <cell r="B2231">
            <v>201809</v>
          </cell>
          <cell r="C2231" t="str">
            <v>0100169783</v>
          </cell>
          <cell r="D2231">
            <v>88865</v>
          </cell>
          <cell r="E2231">
            <v>1188</v>
          </cell>
          <cell r="F2231">
            <v>43457</v>
          </cell>
          <cell r="G2231" t="str">
            <v>11/13</v>
          </cell>
        </row>
        <row r="2232">
          <cell r="A2232" t="str">
            <v>Y1812-0522</v>
          </cell>
          <cell r="B2232">
            <v>201809</v>
          </cell>
          <cell r="C2232" t="str">
            <v>0100169784</v>
          </cell>
          <cell r="D2232">
            <v>88875</v>
          </cell>
          <cell r="E2232">
            <v>1296</v>
          </cell>
          <cell r="F2232">
            <v>43462</v>
          </cell>
          <cell r="G2232" t="str">
            <v>11/13</v>
          </cell>
        </row>
        <row r="2233">
          <cell r="A2233" t="str">
            <v>Y1812-0523</v>
          </cell>
          <cell r="B2233">
            <v>201809</v>
          </cell>
          <cell r="C2233" t="str">
            <v>0100169785</v>
          </cell>
          <cell r="D2233" t="str">
            <v>8J231</v>
          </cell>
          <cell r="E2233">
            <v>2460</v>
          </cell>
          <cell r="F2233">
            <v>43462</v>
          </cell>
          <cell r="G2233" t="str">
            <v>11/13</v>
          </cell>
        </row>
        <row r="2234">
          <cell r="A2234" t="str">
            <v>Y1812-0524</v>
          </cell>
          <cell r="B2234">
            <v>201809</v>
          </cell>
          <cell r="C2234" t="str">
            <v>0100169786</v>
          </cell>
          <cell r="D2234" t="str">
            <v>M9696</v>
          </cell>
          <cell r="E2234">
            <v>1440</v>
          </cell>
          <cell r="F2234">
            <v>43437</v>
          </cell>
          <cell r="G2234" t="str">
            <v>OK</v>
          </cell>
        </row>
        <row r="2235">
          <cell r="A2235" t="str">
            <v>Y1812-0525</v>
          </cell>
          <cell r="B2235">
            <v>201809</v>
          </cell>
          <cell r="C2235" t="str">
            <v>0100169787</v>
          </cell>
          <cell r="D2235" t="str">
            <v>1J793</v>
          </cell>
          <cell r="E2235">
            <v>438</v>
          </cell>
          <cell r="F2235">
            <v>43437</v>
          </cell>
          <cell r="G2235" t="str">
            <v>OK</v>
          </cell>
        </row>
        <row r="2236">
          <cell r="A2236" t="str">
            <v>Y1812-0526</v>
          </cell>
          <cell r="B2236">
            <v>201809</v>
          </cell>
          <cell r="C2236" t="str">
            <v>0100169788</v>
          </cell>
          <cell r="D2236" t="str">
            <v>3J231</v>
          </cell>
          <cell r="E2236">
            <v>516</v>
          </cell>
          <cell r="F2236">
            <v>43437</v>
          </cell>
          <cell r="G2236" t="str">
            <v>OK</v>
          </cell>
        </row>
        <row r="2237">
          <cell r="A2237" t="str">
            <v>Y1812-0527</v>
          </cell>
          <cell r="B2237">
            <v>201809</v>
          </cell>
          <cell r="C2237" t="str">
            <v>0100169789</v>
          </cell>
          <cell r="D2237" t="str">
            <v>3J253</v>
          </cell>
          <cell r="E2237">
            <v>648</v>
          </cell>
          <cell r="F2237">
            <v>43437</v>
          </cell>
          <cell r="G2237" t="str">
            <v>OK</v>
          </cell>
        </row>
        <row r="2238">
          <cell r="A2238" t="str">
            <v>Y1812-0528</v>
          </cell>
          <cell r="B2238">
            <v>201809</v>
          </cell>
          <cell r="C2238" t="str">
            <v>0100169790</v>
          </cell>
          <cell r="D2238" t="str">
            <v>7J256</v>
          </cell>
          <cell r="E2238">
            <v>6504</v>
          </cell>
          <cell r="F2238">
            <v>43437</v>
          </cell>
          <cell r="G2238" t="str">
            <v>11/06</v>
          </cell>
        </row>
        <row r="2239">
          <cell r="A2239" t="str">
            <v>Y1812-0529</v>
          </cell>
          <cell r="B2239">
            <v>201809</v>
          </cell>
          <cell r="C2239" t="str">
            <v>0100169791</v>
          </cell>
          <cell r="D2239" t="str">
            <v>M7652</v>
          </cell>
          <cell r="E2239">
            <v>930</v>
          </cell>
          <cell r="F2239">
            <v>43437</v>
          </cell>
          <cell r="G2239" t="str">
            <v>OK</v>
          </cell>
        </row>
        <row r="2240">
          <cell r="A2240" t="str">
            <v>Y1812-0531</v>
          </cell>
          <cell r="B2240">
            <v>201809</v>
          </cell>
          <cell r="C2240" t="str">
            <v>0100169794</v>
          </cell>
          <cell r="D2240" t="str">
            <v>7J235</v>
          </cell>
          <cell r="E2240">
            <v>1500</v>
          </cell>
          <cell r="F2240">
            <v>43437</v>
          </cell>
          <cell r="G2240" t="str">
            <v>OK</v>
          </cell>
        </row>
        <row r="2241">
          <cell r="A2241" t="str">
            <v>Y1812-0532</v>
          </cell>
          <cell r="B2241">
            <v>201809</v>
          </cell>
          <cell r="C2241" t="str">
            <v>0100169795</v>
          </cell>
          <cell r="D2241" t="str">
            <v>7J256</v>
          </cell>
          <cell r="E2241">
            <v>1500</v>
          </cell>
          <cell r="F2241">
            <v>43437</v>
          </cell>
          <cell r="G2241" t="str">
            <v>11/06</v>
          </cell>
        </row>
        <row r="2242">
          <cell r="A2242" t="str">
            <v>Y1812-0533</v>
          </cell>
          <cell r="B2242">
            <v>201809</v>
          </cell>
          <cell r="C2242" t="str">
            <v>0100169796</v>
          </cell>
          <cell r="D2242" t="str">
            <v>3J231</v>
          </cell>
          <cell r="E2242">
            <v>900</v>
          </cell>
          <cell r="F2242">
            <v>43437</v>
          </cell>
          <cell r="G2242" t="str">
            <v>OK</v>
          </cell>
        </row>
        <row r="2243">
          <cell r="A2243" t="str">
            <v>Y1901-0096</v>
          </cell>
          <cell r="B2243">
            <v>201809</v>
          </cell>
          <cell r="C2243" t="str">
            <v>0100169797</v>
          </cell>
          <cell r="D2243">
            <v>88871</v>
          </cell>
          <cell r="E2243">
            <v>600</v>
          </cell>
          <cell r="F2243">
            <v>43457</v>
          </cell>
          <cell r="G2243" t="str">
            <v>11/13</v>
          </cell>
        </row>
        <row r="2244">
          <cell r="A2244" t="str">
            <v>Y1901-0097</v>
          </cell>
          <cell r="B2244">
            <v>201809</v>
          </cell>
          <cell r="C2244" t="str">
            <v>0100169798</v>
          </cell>
          <cell r="D2244" t="str">
            <v>8J231</v>
          </cell>
          <cell r="E2244">
            <v>1200</v>
          </cell>
          <cell r="F2244">
            <v>43457</v>
          </cell>
          <cell r="G2244" t="str">
            <v>11/13</v>
          </cell>
        </row>
        <row r="2245">
          <cell r="A2245" t="str">
            <v>Y1812-0534</v>
          </cell>
          <cell r="B2245">
            <v>201809</v>
          </cell>
          <cell r="C2245" t="str">
            <v>0100169799</v>
          </cell>
          <cell r="D2245" t="str">
            <v>W9166</v>
          </cell>
          <cell r="E2245">
            <v>3240</v>
          </cell>
          <cell r="F2245">
            <v>43437</v>
          </cell>
          <cell r="G2245" t="str">
            <v>OK</v>
          </cell>
        </row>
        <row r="2246">
          <cell r="A2246" t="str">
            <v>Y1812-0535</v>
          </cell>
          <cell r="B2246">
            <v>201809</v>
          </cell>
          <cell r="C2246" t="str">
            <v>0100169800</v>
          </cell>
          <cell r="D2246" t="str">
            <v>W9160</v>
          </cell>
          <cell r="E2246">
            <v>1236</v>
          </cell>
          <cell r="F2246">
            <v>43437</v>
          </cell>
          <cell r="G2246" t="str">
            <v>OK</v>
          </cell>
        </row>
        <row r="2247">
          <cell r="A2247" t="str">
            <v>Y1812-0536</v>
          </cell>
          <cell r="B2247">
            <v>201809</v>
          </cell>
          <cell r="C2247" t="str">
            <v>0100169801</v>
          </cell>
          <cell r="D2247" t="str">
            <v>M9160</v>
          </cell>
          <cell r="E2247">
            <v>2256</v>
          </cell>
          <cell r="F2247">
            <v>43437</v>
          </cell>
          <cell r="G2247" t="str">
            <v>OK</v>
          </cell>
        </row>
        <row r="2248">
          <cell r="A2248" t="str">
            <v>Y1812-0537</v>
          </cell>
          <cell r="B2248">
            <v>201809</v>
          </cell>
          <cell r="C2248" t="str">
            <v>0100169802</v>
          </cell>
          <cell r="D2248" t="str">
            <v>M9166</v>
          </cell>
          <cell r="E2248">
            <v>3000</v>
          </cell>
          <cell r="F2248">
            <v>43437</v>
          </cell>
          <cell r="G2248" t="str">
            <v>OK</v>
          </cell>
        </row>
        <row r="2249">
          <cell r="A2249" t="str">
            <v>Y1812-0538</v>
          </cell>
          <cell r="B2249">
            <v>201809</v>
          </cell>
          <cell r="C2249" t="str">
            <v>0100169803</v>
          </cell>
          <cell r="D2249" t="str">
            <v>M9696</v>
          </cell>
          <cell r="E2249">
            <v>1260</v>
          </cell>
          <cell r="F2249">
            <v>43437</v>
          </cell>
          <cell r="G2249" t="str">
            <v>OK</v>
          </cell>
        </row>
        <row r="2250">
          <cell r="A2250" t="str">
            <v>Y1812-0539</v>
          </cell>
          <cell r="B2250">
            <v>201809</v>
          </cell>
          <cell r="C2250" t="str">
            <v>0100169804</v>
          </cell>
          <cell r="D2250" t="str">
            <v>M9160</v>
          </cell>
          <cell r="E2250">
            <v>1200</v>
          </cell>
          <cell r="F2250">
            <v>43437</v>
          </cell>
          <cell r="G2250" t="str">
            <v>OK</v>
          </cell>
        </row>
        <row r="2251">
          <cell r="A2251" t="str">
            <v>Y1812-0540</v>
          </cell>
          <cell r="B2251">
            <v>201809</v>
          </cell>
          <cell r="C2251" t="str">
            <v>0100169805</v>
          </cell>
          <cell r="D2251" t="str">
            <v>M7652</v>
          </cell>
          <cell r="E2251">
            <v>3252</v>
          </cell>
          <cell r="F2251">
            <v>43437</v>
          </cell>
          <cell r="G2251" t="str">
            <v>OK</v>
          </cell>
        </row>
        <row r="2252">
          <cell r="A2252" t="str">
            <v>Y1901-0100</v>
          </cell>
          <cell r="B2252">
            <v>201809</v>
          </cell>
          <cell r="C2252" t="str">
            <v>0100169808</v>
          </cell>
          <cell r="D2252" t="str">
            <v>264477F</v>
          </cell>
          <cell r="E2252">
            <v>600</v>
          </cell>
          <cell r="F2252">
            <v>43457</v>
          </cell>
          <cell r="G2252" t="str">
            <v>11/06</v>
          </cell>
        </row>
        <row r="2253">
          <cell r="A2253" t="str">
            <v>Y1812-0541</v>
          </cell>
          <cell r="B2253">
            <v>201809</v>
          </cell>
          <cell r="C2253" t="str">
            <v>0100169809</v>
          </cell>
          <cell r="D2253" t="str">
            <v>M7652</v>
          </cell>
          <cell r="E2253">
            <v>360</v>
          </cell>
          <cell r="F2253">
            <v>43437</v>
          </cell>
          <cell r="G2253" t="str">
            <v>OK</v>
          </cell>
        </row>
        <row r="2254">
          <cell r="A2254" t="str">
            <v>Y1812-0542</v>
          </cell>
          <cell r="B2254">
            <v>201809</v>
          </cell>
          <cell r="C2254" t="str">
            <v>0100169810</v>
          </cell>
          <cell r="D2254" t="str">
            <v>M9160</v>
          </cell>
          <cell r="E2254">
            <v>360</v>
          </cell>
          <cell r="F2254">
            <v>43437</v>
          </cell>
          <cell r="G2254" t="str">
            <v>11/06</v>
          </cell>
        </row>
        <row r="2255">
          <cell r="A2255" t="str">
            <v>Y1812-0546</v>
          </cell>
          <cell r="B2255">
            <v>201809</v>
          </cell>
          <cell r="C2255" t="str">
            <v>0100169814</v>
          </cell>
          <cell r="D2255" t="str">
            <v>7J235</v>
          </cell>
          <cell r="E2255">
            <v>480</v>
          </cell>
          <cell r="F2255">
            <v>43437</v>
          </cell>
          <cell r="G2255" t="str">
            <v>OK</v>
          </cell>
        </row>
        <row r="2256">
          <cell r="A2256" t="str">
            <v>Y1812-0547</v>
          </cell>
          <cell r="B2256">
            <v>201809</v>
          </cell>
          <cell r="C2256" t="str">
            <v>0100169815</v>
          </cell>
          <cell r="D2256" t="str">
            <v>M9696</v>
          </cell>
          <cell r="E2256">
            <v>360</v>
          </cell>
          <cell r="F2256">
            <v>43437</v>
          </cell>
          <cell r="G2256" t="str">
            <v>OK</v>
          </cell>
        </row>
        <row r="2257">
          <cell r="A2257" t="str">
            <v>Y1812-0548</v>
          </cell>
          <cell r="B2257">
            <v>201809</v>
          </cell>
          <cell r="C2257" t="str">
            <v>0100169816</v>
          </cell>
          <cell r="D2257" t="str">
            <v>M7652</v>
          </cell>
          <cell r="E2257">
            <v>1800</v>
          </cell>
          <cell r="F2257">
            <v>43437</v>
          </cell>
          <cell r="G2257" t="str">
            <v>OK</v>
          </cell>
        </row>
        <row r="2258">
          <cell r="A2258" t="str">
            <v>Y1812-0549</v>
          </cell>
          <cell r="B2258">
            <v>201809</v>
          </cell>
          <cell r="C2258" t="str">
            <v>0100169817</v>
          </cell>
          <cell r="D2258" t="str">
            <v>M9166</v>
          </cell>
          <cell r="E2258">
            <v>1200</v>
          </cell>
          <cell r="F2258">
            <v>43437</v>
          </cell>
          <cell r="G2258" t="str">
            <v>OK</v>
          </cell>
        </row>
        <row r="2259">
          <cell r="A2259" t="str">
            <v>Y1812-0550</v>
          </cell>
          <cell r="B2259">
            <v>201809</v>
          </cell>
          <cell r="C2259" t="str">
            <v>0100169818</v>
          </cell>
          <cell r="D2259" t="str">
            <v>M9160</v>
          </cell>
          <cell r="E2259">
            <v>540</v>
          </cell>
          <cell r="F2259">
            <v>43437</v>
          </cell>
          <cell r="G2259" t="str">
            <v>11/06</v>
          </cell>
        </row>
        <row r="2260">
          <cell r="A2260" t="str">
            <v>Y1812-0551</v>
          </cell>
          <cell r="B2260">
            <v>201809</v>
          </cell>
          <cell r="C2260" t="str">
            <v>0100169819</v>
          </cell>
          <cell r="D2260" t="str">
            <v>7J256</v>
          </cell>
          <cell r="E2260">
            <v>900</v>
          </cell>
          <cell r="F2260">
            <v>43437</v>
          </cell>
          <cell r="G2260" t="str">
            <v>11/06</v>
          </cell>
        </row>
        <row r="2261">
          <cell r="A2261" t="str">
            <v>Y1812-0552</v>
          </cell>
          <cell r="B2261">
            <v>201809</v>
          </cell>
          <cell r="C2261" t="str">
            <v>0100169820</v>
          </cell>
          <cell r="D2261" t="str">
            <v>7J235</v>
          </cell>
          <cell r="E2261">
            <v>864</v>
          </cell>
          <cell r="F2261">
            <v>43437</v>
          </cell>
          <cell r="G2261" t="str">
            <v>OK</v>
          </cell>
        </row>
        <row r="2262">
          <cell r="A2262" t="str">
            <v>Y1812-0553</v>
          </cell>
          <cell r="B2262">
            <v>201809</v>
          </cell>
          <cell r="C2262" t="str">
            <v>0100169821</v>
          </cell>
          <cell r="D2262" t="str">
            <v>7J235</v>
          </cell>
          <cell r="E2262">
            <v>636</v>
          </cell>
          <cell r="F2262">
            <v>43437</v>
          </cell>
          <cell r="G2262" t="str">
            <v>OK</v>
          </cell>
        </row>
        <row r="2263">
          <cell r="A2263" t="str">
            <v>Y1812-0554</v>
          </cell>
          <cell r="B2263">
            <v>201809</v>
          </cell>
          <cell r="C2263" t="str">
            <v>0100169822</v>
          </cell>
          <cell r="D2263" t="str">
            <v>7J256</v>
          </cell>
          <cell r="E2263">
            <v>600</v>
          </cell>
          <cell r="F2263">
            <v>43437</v>
          </cell>
          <cell r="G2263" t="str">
            <v>11/06</v>
          </cell>
        </row>
        <row r="2264">
          <cell r="A2264" t="str">
            <v>Y1812-0555</v>
          </cell>
          <cell r="B2264">
            <v>201809</v>
          </cell>
          <cell r="C2264" t="str">
            <v>0100169823</v>
          </cell>
          <cell r="D2264">
            <v>88871</v>
          </cell>
          <cell r="E2264">
            <v>1344</v>
          </cell>
          <cell r="F2264">
            <v>43450</v>
          </cell>
          <cell r="G2264" t="str">
            <v>11/06</v>
          </cell>
        </row>
        <row r="2265">
          <cell r="A2265" t="str">
            <v>Y1812-0557</v>
          </cell>
          <cell r="B2265">
            <v>201809</v>
          </cell>
          <cell r="C2265" t="str">
            <v>0100169825</v>
          </cell>
          <cell r="D2265" t="str">
            <v>M9160</v>
          </cell>
          <cell r="E2265">
            <v>720</v>
          </cell>
          <cell r="F2265">
            <v>43437</v>
          </cell>
          <cell r="G2265" t="str">
            <v>11/06</v>
          </cell>
        </row>
        <row r="2266">
          <cell r="A2266" t="str">
            <v>Y1812-0823</v>
          </cell>
          <cell r="B2266">
            <v>201809</v>
          </cell>
          <cell r="C2266" t="str">
            <v>0100169826</v>
          </cell>
          <cell r="D2266" t="str">
            <v>M9160</v>
          </cell>
          <cell r="E2266">
            <v>750</v>
          </cell>
          <cell r="F2266">
            <v>43437</v>
          </cell>
          <cell r="G2266" t="str">
            <v>11/06</v>
          </cell>
        </row>
        <row r="2267">
          <cell r="A2267" t="str">
            <v>Y1812-0558</v>
          </cell>
          <cell r="B2267">
            <v>201809</v>
          </cell>
          <cell r="C2267" t="str">
            <v>0100169827</v>
          </cell>
          <cell r="D2267" t="str">
            <v>M9166</v>
          </cell>
          <cell r="E2267">
            <v>647</v>
          </cell>
          <cell r="F2267">
            <v>43437</v>
          </cell>
          <cell r="G2267" t="str">
            <v>OK</v>
          </cell>
        </row>
        <row r="2268">
          <cell r="A2268" t="str">
            <v>Y1812-0559</v>
          </cell>
          <cell r="B2268">
            <v>201809</v>
          </cell>
          <cell r="C2268" t="str">
            <v>0100169828</v>
          </cell>
          <cell r="D2268" t="str">
            <v>M7652</v>
          </cell>
          <cell r="E2268">
            <v>1149</v>
          </cell>
          <cell r="F2268">
            <v>43437</v>
          </cell>
          <cell r="G2268" t="str">
            <v>OK</v>
          </cell>
        </row>
        <row r="2269">
          <cell r="A2269" t="str">
            <v>Y1812-0566</v>
          </cell>
          <cell r="B2269">
            <v>201809</v>
          </cell>
          <cell r="C2269" t="str">
            <v>0100169836</v>
          </cell>
          <cell r="D2269" t="str">
            <v>M9160</v>
          </cell>
          <cell r="E2269">
            <v>1440</v>
          </cell>
          <cell r="F2269">
            <v>43437</v>
          </cell>
          <cell r="G2269" t="str">
            <v>11/06</v>
          </cell>
        </row>
        <row r="2270">
          <cell r="A2270" t="str">
            <v>Y1812-0569</v>
          </cell>
          <cell r="B2270">
            <v>201809</v>
          </cell>
          <cell r="C2270" t="str">
            <v>0100169839</v>
          </cell>
          <cell r="D2270" t="str">
            <v>M9696</v>
          </cell>
          <cell r="E2270">
            <v>2400</v>
          </cell>
          <cell r="F2270">
            <v>43437</v>
          </cell>
          <cell r="G2270" t="str">
            <v>OK</v>
          </cell>
        </row>
        <row r="2271">
          <cell r="A2271" t="str">
            <v>Y1812-0570</v>
          </cell>
          <cell r="B2271">
            <v>201809</v>
          </cell>
          <cell r="C2271" t="str">
            <v>0100169840</v>
          </cell>
          <cell r="D2271" t="str">
            <v>M7652</v>
          </cell>
          <cell r="E2271">
            <v>7200</v>
          </cell>
          <cell r="F2271">
            <v>43437</v>
          </cell>
          <cell r="G2271" t="str">
            <v>11/06</v>
          </cell>
        </row>
        <row r="2272">
          <cell r="A2272" t="str">
            <v>Y1812-0571</v>
          </cell>
          <cell r="B2272">
            <v>201809</v>
          </cell>
          <cell r="C2272" t="str">
            <v>0100169841</v>
          </cell>
          <cell r="D2272" t="str">
            <v>M9160</v>
          </cell>
          <cell r="E2272">
            <v>3000</v>
          </cell>
          <cell r="F2272">
            <v>43437</v>
          </cell>
          <cell r="G2272" t="str">
            <v>11/06</v>
          </cell>
        </row>
        <row r="2273">
          <cell r="A2273" t="str">
            <v>Y1812-0572</v>
          </cell>
          <cell r="B2273">
            <v>201809</v>
          </cell>
          <cell r="C2273" t="str">
            <v>0100169842</v>
          </cell>
          <cell r="D2273" t="str">
            <v>M9166</v>
          </cell>
          <cell r="E2273">
            <v>1800</v>
          </cell>
          <cell r="F2273">
            <v>43437</v>
          </cell>
          <cell r="G2273" t="str">
            <v>OK</v>
          </cell>
        </row>
        <row r="2274">
          <cell r="A2274" t="str">
            <v>Y1812-0573</v>
          </cell>
          <cell r="B2274">
            <v>201809</v>
          </cell>
          <cell r="C2274" t="str">
            <v>0100169843</v>
          </cell>
          <cell r="D2274" t="str">
            <v>M3310</v>
          </cell>
          <cell r="E2274">
            <v>2400</v>
          </cell>
          <cell r="F2274">
            <v>43437</v>
          </cell>
          <cell r="G2274" t="str">
            <v>OK</v>
          </cell>
        </row>
        <row r="2275">
          <cell r="A2275" t="str">
            <v>Y1812-0574</v>
          </cell>
          <cell r="B2275">
            <v>201809</v>
          </cell>
          <cell r="C2275" t="str">
            <v>0100169844</v>
          </cell>
          <cell r="D2275" t="str">
            <v>M7652</v>
          </cell>
          <cell r="E2275">
            <v>3000</v>
          </cell>
          <cell r="F2275">
            <v>43437</v>
          </cell>
          <cell r="G2275" t="str">
            <v>11/06</v>
          </cell>
        </row>
        <row r="2276">
          <cell r="A2276" t="str">
            <v>Y1812-0575</v>
          </cell>
          <cell r="B2276">
            <v>201809</v>
          </cell>
          <cell r="C2276" t="str">
            <v>0100169845</v>
          </cell>
          <cell r="D2276" t="str">
            <v>314786F</v>
          </cell>
          <cell r="E2276">
            <v>1812</v>
          </cell>
          <cell r="F2276">
            <v>43437</v>
          </cell>
          <cell r="G2276" t="str">
            <v>11/06</v>
          </cell>
        </row>
        <row r="2277">
          <cell r="A2277" t="str">
            <v>Y1812-0576</v>
          </cell>
          <cell r="B2277">
            <v>201809</v>
          </cell>
          <cell r="C2277" t="str">
            <v>0100169846</v>
          </cell>
          <cell r="D2277" t="str">
            <v>3J231</v>
          </cell>
          <cell r="E2277">
            <v>6012</v>
          </cell>
          <cell r="F2277">
            <v>43437</v>
          </cell>
          <cell r="G2277" t="str">
            <v>OK</v>
          </cell>
        </row>
        <row r="2278">
          <cell r="A2278" t="str">
            <v>Y1812-0577</v>
          </cell>
          <cell r="B2278">
            <v>201809</v>
          </cell>
          <cell r="C2278" t="str">
            <v>0100169847</v>
          </cell>
          <cell r="D2278" t="str">
            <v>3J256</v>
          </cell>
          <cell r="E2278">
            <v>12012</v>
          </cell>
          <cell r="F2278">
            <v>43437</v>
          </cell>
          <cell r="G2278" t="str">
            <v>OK</v>
          </cell>
        </row>
        <row r="2279">
          <cell r="A2279" t="str">
            <v>Y1812-0578</v>
          </cell>
          <cell r="B2279">
            <v>201809</v>
          </cell>
          <cell r="C2279" t="str">
            <v>0100169848</v>
          </cell>
          <cell r="D2279" t="str">
            <v>3J253</v>
          </cell>
          <cell r="E2279">
            <v>2124</v>
          </cell>
          <cell r="F2279">
            <v>43437</v>
          </cell>
          <cell r="G2279" t="str">
            <v>OK</v>
          </cell>
        </row>
        <row r="2280">
          <cell r="A2280" t="str">
            <v>Y1812-0579</v>
          </cell>
          <cell r="B2280">
            <v>201809</v>
          </cell>
          <cell r="C2280" t="str">
            <v>0100169849</v>
          </cell>
          <cell r="D2280" t="str">
            <v>163247C</v>
          </cell>
          <cell r="E2280">
            <v>432</v>
          </cell>
          <cell r="F2280">
            <v>43451</v>
          </cell>
          <cell r="G2280" t="str">
            <v>11/13</v>
          </cell>
        </row>
        <row r="2281">
          <cell r="A2281" t="str">
            <v>Y1812-0581</v>
          </cell>
          <cell r="B2281">
            <v>201809</v>
          </cell>
          <cell r="C2281" t="str">
            <v>0100169851</v>
          </cell>
          <cell r="D2281" t="str">
            <v>763566F</v>
          </cell>
          <cell r="E2281">
            <v>1800</v>
          </cell>
          <cell r="F2281">
            <v>43451</v>
          </cell>
          <cell r="G2281" t="str">
            <v>11/06</v>
          </cell>
        </row>
        <row r="2282">
          <cell r="A2282" t="str">
            <v>Y1812-0582</v>
          </cell>
          <cell r="B2282">
            <v>201809</v>
          </cell>
          <cell r="C2282" t="str">
            <v>0100169852</v>
          </cell>
          <cell r="D2282">
            <v>88875</v>
          </cell>
          <cell r="E2282">
            <v>1200</v>
          </cell>
          <cell r="F2282">
            <v>43455</v>
          </cell>
          <cell r="G2282" t="str">
            <v>11/13</v>
          </cell>
        </row>
        <row r="2283">
          <cell r="A2283" t="str">
            <v>Y1812-0583</v>
          </cell>
          <cell r="B2283">
            <v>201809</v>
          </cell>
          <cell r="C2283" t="str">
            <v>0100169853</v>
          </cell>
          <cell r="D2283" t="str">
            <v>8J231</v>
          </cell>
          <cell r="E2283">
            <v>2100</v>
          </cell>
          <cell r="F2283">
            <v>43455</v>
          </cell>
          <cell r="G2283" t="str">
            <v>11/13</v>
          </cell>
        </row>
        <row r="2284">
          <cell r="A2284" t="str">
            <v>Y1812-0584</v>
          </cell>
          <cell r="B2284">
            <v>201809</v>
          </cell>
          <cell r="C2284" t="str">
            <v>0100169854</v>
          </cell>
          <cell r="D2284" t="str">
            <v>714786F</v>
          </cell>
          <cell r="E2284">
            <v>1116</v>
          </cell>
          <cell r="F2284">
            <v>43455</v>
          </cell>
          <cell r="G2284" t="str">
            <v>11/13</v>
          </cell>
        </row>
        <row r="2285">
          <cell r="A2285" t="str">
            <v>Y1812-0585</v>
          </cell>
          <cell r="B2285">
            <v>201809</v>
          </cell>
          <cell r="C2285" t="str">
            <v>0100169855</v>
          </cell>
          <cell r="D2285" t="str">
            <v>7J235</v>
          </cell>
          <cell r="E2285">
            <v>4284</v>
          </cell>
          <cell r="F2285">
            <v>43437</v>
          </cell>
          <cell r="G2285" t="str">
            <v>OK</v>
          </cell>
        </row>
        <row r="2286">
          <cell r="A2286" t="str">
            <v>Y1812-0586</v>
          </cell>
          <cell r="B2286">
            <v>201809</v>
          </cell>
          <cell r="C2286" t="str">
            <v>0100169856</v>
          </cell>
          <cell r="D2286" t="str">
            <v>7J235</v>
          </cell>
          <cell r="E2286">
            <v>1500</v>
          </cell>
          <cell r="F2286">
            <v>43437</v>
          </cell>
          <cell r="G2286" t="str">
            <v>OK</v>
          </cell>
        </row>
        <row r="2287">
          <cell r="A2287" t="str">
            <v>Y1812-0587</v>
          </cell>
          <cell r="B2287">
            <v>201809</v>
          </cell>
          <cell r="C2287" t="str">
            <v>0100169857</v>
          </cell>
          <cell r="D2287" t="str">
            <v>7J232</v>
          </cell>
          <cell r="E2287">
            <v>1512</v>
          </cell>
          <cell r="F2287">
            <v>43437</v>
          </cell>
          <cell r="G2287" t="str">
            <v>OK</v>
          </cell>
        </row>
        <row r="2288">
          <cell r="A2288" t="str">
            <v>Y1812-0588</v>
          </cell>
          <cell r="B2288">
            <v>201809</v>
          </cell>
          <cell r="C2288" t="str">
            <v>0100169858</v>
          </cell>
          <cell r="D2288" t="str">
            <v>7J256</v>
          </cell>
          <cell r="E2288">
            <v>9024</v>
          </cell>
          <cell r="F2288">
            <v>43437</v>
          </cell>
          <cell r="G2288" t="str">
            <v>11/06</v>
          </cell>
        </row>
        <row r="2289">
          <cell r="A2289" t="str">
            <v>Y1812-0589</v>
          </cell>
          <cell r="B2289">
            <v>201809</v>
          </cell>
          <cell r="C2289" t="str">
            <v>0100169859</v>
          </cell>
          <cell r="D2289" t="str">
            <v>7J253</v>
          </cell>
          <cell r="E2289">
            <v>1212</v>
          </cell>
          <cell r="F2289">
            <v>43437</v>
          </cell>
          <cell r="G2289" t="str">
            <v>OK</v>
          </cell>
        </row>
        <row r="2290">
          <cell r="A2290" t="str">
            <v>Y1812-0591</v>
          </cell>
          <cell r="B2290">
            <v>201809</v>
          </cell>
          <cell r="C2290" t="str">
            <v>0100169861</v>
          </cell>
          <cell r="D2290">
            <v>88871</v>
          </cell>
          <cell r="E2290">
            <v>1800</v>
          </cell>
          <cell r="F2290">
            <v>43450</v>
          </cell>
          <cell r="G2290" t="str">
            <v>11/13</v>
          </cell>
        </row>
        <row r="2291">
          <cell r="A2291" t="str">
            <v>Y1812-0592</v>
          </cell>
          <cell r="B2291">
            <v>201809</v>
          </cell>
          <cell r="C2291" t="str">
            <v>0100169862</v>
          </cell>
          <cell r="D2291" t="str">
            <v>M9691</v>
          </cell>
          <cell r="E2291">
            <v>4008</v>
          </cell>
          <cell r="F2291">
            <v>43455</v>
          </cell>
          <cell r="G2291" t="str">
            <v>11/06</v>
          </cell>
        </row>
        <row r="2292">
          <cell r="A2292" t="str">
            <v>Y1812-0593</v>
          </cell>
          <cell r="B2292">
            <v>201809</v>
          </cell>
          <cell r="C2292" t="str">
            <v>0100169863</v>
          </cell>
          <cell r="D2292" t="str">
            <v>M3310</v>
          </cell>
          <cell r="E2292">
            <v>8004</v>
          </cell>
          <cell r="F2292">
            <v>43437</v>
          </cell>
          <cell r="G2292" t="str">
            <v>11/06</v>
          </cell>
        </row>
        <row r="2293">
          <cell r="A2293" t="str">
            <v>Y1812-0594</v>
          </cell>
          <cell r="B2293">
            <v>201809</v>
          </cell>
          <cell r="C2293" t="str">
            <v>0100169864</v>
          </cell>
          <cell r="D2293" t="str">
            <v>M9622</v>
          </cell>
          <cell r="E2293">
            <v>1800</v>
          </cell>
          <cell r="F2293">
            <v>43437</v>
          </cell>
          <cell r="G2293" t="str">
            <v>11/13</v>
          </cell>
        </row>
        <row r="2294">
          <cell r="A2294" t="str">
            <v>Y1812-0595</v>
          </cell>
          <cell r="B2294">
            <v>201809</v>
          </cell>
          <cell r="C2294" t="str">
            <v>0100169865</v>
          </cell>
          <cell r="D2294" t="str">
            <v>M9696</v>
          </cell>
          <cell r="E2294">
            <v>8004</v>
          </cell>
          <cell r="F2294">
            <v>43437</v>
          </cell>
          <cell r="G2294" t="str">
            <v>OK</v>
          </cell>
        </row>
        <row r="2295">
          <cell r="A2295" t="str">
            <v>Y1812-0596</v>
          </cell>
          <cell r="B2295">
            <v>201809</v>
          </cell>
          <cell r="C2295" t="str">
            <v>0100169866</v>
          </cell>
          <cell r="D2295" t="str">
            <v>3J231</v>
          </cell>
          <cell r="E2295">
            <v>1854</v>
          </cell>
          <cell r="F2295">
            <v>43437</v>
          </cell>
          <cell r="G2295" t="str">
            <v>OK</v>
          </cell>
        </row>
        <row r="2296">
          <cell r="A2296" t="str">
            <v>Y1812-0597</v>
          </cell>
          <cell r="B2296">
            <v>201809</v>
          </cell>
          <cell r="C2296" t="str">
            <v>0100169867</v>
          </cell>
          <cell r="D2296" t="str">
            <v>3J253</v>
          </cell>
          <cell r="E2296">
            <v>1854</v>
          </cell>
          <cell r="F2296">
            <v>43437</v>
          </cell>
          <cell r="G2296" t="str">
            <v>OK</v>
          </cell>
        </row>
        <row r="2297">
          <cell r="A2297" t="str">
            <v>Y1812-0598</v>
          </cell>
          <cell r="B2297">
            <v>201809</v>
          </cell>
          <cell r="C2297" t="str">
            <v>0100169868</v>
          </cell>
          <cell r="D2297" t="str">
            <v>3J231</v>
          </cell>
          <cell r="E2297">
            <v>1092</v>
          </cell>
          <cell r="F2297">
            <v>43437</v>
          </cell>
          <cell r="G2297" t="str">
            <v>OK</v>
          </cell>
        </row>
        <row r="2298">
          <cell r="A2298" t="str">
            <v>Y1812-0599</v>
          </cell>
          <cell r="B2298">
            <v>201809</v>
          </cell>
          <cell r="C2298" t="str">
            <v>0100169869</v>
          </cell>
          <cell r="D2298" t="str">
            <v>3J253</v>
          </cell>
          <cell r="E2298">
            <v>1092</v>
          </cell>
          <cell r="F2298">
            <v>43437</v>
          </cell>
          <cell r="G2298" t="str">
            <v>OK</v>
          </cell>
        </row>
        <row r="2299">
          <cell r="A2299" t="str">
            <v>Y1812-0600</v>
          </cell>
          <cell r="B2299">
            <v>201809</v>
          </cell>
          <cell r="C2299" t="str">
            <v>0100169870</v>
          </cell>
          <cell r="D2299" t="str">
            <v>3J231</v>
          </cell>
          <cell r="E2299">
            <v>432</v>
          </cell>
          <cell r="F2299">
            <v>43437</v>
          </cell>
          <cell r="G2299" t="str">
            <v>11/06</v>
          </cell>
        </row>
        <row r="2300">
          <cell r="A2300" t="str">
            <v>Y1812-0601</v>
          </cell>
          <cell r="B2300">
            <v>201809</v>
          </cell>
          <cell r="C2300" t="str">
            <v>0100169871</v>
          </cell>
          <cell r="D2300" t="str">
            <v>3J253</v>
          </cell>
          <cell r="E2300">
            <v>432</v>
          </cell>
          <cell r="F2300">
            <v>43437</v>
          </cell>
          <cell r="G2300" t="str">
            <v>OK</v>
          </cell>
        </row>
        <row r="2301">
          <cell r="A2301" t="str">
            <v>Y1812-0602</v>
          </cell>
          <cell r="B2301">
            <v>201809</v>
          </cell>
          <cell r="C2301" t="str">
            <v>0100169872</v>
          </cell>
          <cell r="D2301" t="str">
            <v>3J253</v>
          </cell>
          <cell r="E2301">
            <v>522</v>
          </cell>
          <cell r="F2301">
            <v>43437</v>
          </cell>
          <cell r="G2301" t="str">
            <v>OK</v>
          </cell>
        </row>
        <row r="2302">
          <cell r="A2302" t="str">
            <v>Y1812-0603</v>
          </cell>
          <cell r="B2302">
            <v>201809</v>
          </cell>
          <cell r="C2302" t="str">
            <v>0100169873</v>
          </cell>
          <cell r="D2302" t="str">
            <v>3J231</v>
          </cell>
          <cell r="E2302">
            <v>522</v>
          </cell>
          <cell r="F2302">
            <v>43437</v>
          </cell>
          <cell r="G2302" t="str">
            <v>11/06</v>
          </cell>
        </row>
        <row r="2303">
          <cell r="A2303" t="str">
            <v>Y1812-0605</v>
          </cell>
          <cell r="B2303">
            <v>201809</v>
          </cell>
          <cell r="C2303" t="str">
            <v>0100169875</v>
          </cell>
          <cell r="D2303" t="str">
            <v>M9691</v>
          </cell>
          <cell r="E2303">
            <v>1776</v>
          </cell>
          <cell r="F2303">
            <v>43450</v>
          </cell>
          <cell r="G2303" t="str">
            <v>11/06</v>
          </cell>
        </row>
        <row r="2304">
          <cell r="A2304" t="str">
            <v>Y1812-0613</v>
          </cell>
          <cell r="B2304">
            <v>201809</v>
          </cell>
          <cell r="C2304" t="str">
            <v>0100169883</v>
          </cell>
          <cell r="D2304" t="str">
            <v>M9622</v>
          </cell>
          <cell r="E2304">
            <v>384</v>
          </cell>
          <cell r="F2304">
            <v>43437</v>
          </cell>
          <cell r="G2304" t="str">
            <v>11/06</v>
          </cell>
        </row>
        <row r="2305">
          <cell r="A2305" t="str">
            <v>Y1812-0614</v>
          </cell>
          <cell r="B2305">
            <v>201809</v>
          </cell>
          <cell r="C2305" t="str">
            <v>0100169884</v>
          </cell>
          <cell r="D2305" t="str">
            <v>7J256</v>
          </cell>
          <cell r="E2305">
            <v>564</v>
          </cell>
          <cell r="F2305">
            <v>43437</v>
          </cell>
          <cell r="G2305" t="str">
            <v>11/06</v>
          </cell>
        </row>
        <row r="2306">
          <cell r="A2306" t="str">
            <v>Y1812-0615</v>
          </cell>
          <cell r="B2306">
            <v>201809</v>
          </cell>
          <cell r="C2306" t="str">
            <v>0100169885</v>
          </cell>
          <cell r="D2306" t="str">
            <v>M9696</v>
          </cell>
          <cell r="E2306">
            <v>1236</v>
          </cell>
          <cell r="F2306">
            <v>43437</v>
          </cell>
          <cell r="G2306" t="str">
            <v>OK</v>
          </cell>
        </row>
        <row r="2307">
          <cell r="A2307" t="str">
            <v>Y1812-0616</v>
          </cell>
          <cell r="B2307">
            <v>201809</v>
          </cell>
          <cell r="C2307" t="str">
            <v>0100169886</v>
          </cell>
          <cell r="D2307" t="str">
            <v>M9696</v>
          </cell>
          <cell r="E2307">
            <v>1320</v>
          </cell>
          <cell r="F2307">
            <v>43437</v>
          </cell>
          <cell r="G2307" t="str">
            <v>OK</v>
          </cell>
        </row>
        <row r="2308">
          <cell r="A2308" t="str">
            <v>Y1812-0617</v>
          </cell>
          <cell r="B2308">
            <v>201809</v>
          </cell>
          <cell r="C2308" t="str">
            <v>0100169887</v>
          </cell>
          <cell r="D2308" t="str">
            <v>7J256</v>
          </cell>
          <cell r="E2308">
            <v>384</v>
          </cell>
          <cell r="F2308">
            <v>43437</v>
          </cell>
          <cell r="G2308" t="str">
            <v>11/06</v>
          </cell>
        </row>
        <row r="2309">
          <cell r="A2309" t="str">
            <v>Y1812-0618</v>
          </cell>
          <cell r="B2309">
            <v>201809</v>
          </cell>
          <cell r="C2309" t="str">
            <v>0100169888</v>
          </cell>
          <cell r="D2309" t="str">
            <v>1J794</v>
          </cell>
          <cell r="E2309">
            <v>396</v>
          </cell>
          <cell r="F2309">
            <v>43437</v>
          </cell>
          <cell r="G2309" t="str">
            <v>11/13</v>
          </cell>
        </row>
        <row r="2310">
          <cell r="A2310" t="str">
            <v>Y1812-0619</v>
          </cell>
          <cell r="B2310">
            <v>201809</v>
          </cell>
          <cell r="C2310" t="str">
            <v>0100169889</v>
          </cell>
          <cell r="D2310" t="str">
            <v>M3310</v>
          </cell>
          <cell r="E2310">
            <v>1896</v>
          </cell>
          <cell r="F2310">
            <v>43437</v>
          </cell>
          <cell r="G2310" t="str">
            <v>OK</v>
          </cell>
        </row>
        <row r="2311">
          <cell r="A2311" t="str">
            <v>Y1812-0620</v>
          </cell>
          <cell r="B2311">
            <v>201809</v>
          </cell>
          <cell r="C2311" t="str">
            <v>0100169890</v>
          </cell>
          <cell r="D2311" t="str">
            <v>M3310</v>
          </cell>
          <cell r="E2311">
            <v>1152</v>
          </cell>
          <cell r="F2311">
            <v>43437</v>
          </cell>
          <cell r="G2311" t="str">
            <v>OK</v>
          </cell>
        </row>
        <row r="2312">
          <cell r="A2312" t="str">
            <v>Y1812-0621</v>
          </cell>
          <cell r="B2312">
            <v>201809</v>
          </cell>
          <cell r="C2312" t="str">
            <v>0100169891</v>
          </cell>
          <cell r="D2312" t="str">
            <v>M9166</v>
          </cell>
          <cell r="E2312">
            <v>360</v>
          </cell>
          <cell r="F2312">
            <v>43437</v>
          </cell>
          <cell r="G2312" t="str">
            <v>OK</v>
          </cell>
        </row>
        <row r="2313">
          <cell r="A2313" t="str">
            <v>Y1812-0622</v>
          </cell>
          <cell r="B2313">
            <v>201809</v>
          </cell>
          <cell r="C2313" t="str">
            <v>0100169892</v>
          </cell>
          <cell r="D2313" t="str">
            <v>3J231</v>
          </cell>
          <cell r="E2313">
            <v>1500</v>
          </cell>
          <cell r="F2313">
            <v>43437</v>
          </cell>
          <cell r="G2313" t="str">
            <v>11/06</v>
          </cell>
        </row>
        <row r="2314">
          <cell r="A2314" t="str">
            <v>Y1812-0623</v>
          </cell>
          <cell r="B2314">
            <v>201809</v>
          </cell>
          <cell r="C2314" t="str">
            <v>0100169893</v>
          </cell>
          <cell r="D2314" t="str">
            <v>3J253</v>
          </cell>
          <cell r="E2314">
            <v>600</v>
          </cell>
          <cell r="F2314">
            <v>43437</v>
          </cell>
          <cell r="G2314" t="str">
            <v>OK</v>
          </cell>
        </row>
        <row r="2315">
          <cell r="A2315" t="str">
            <v>Y1812-0824</v>
          </cell>
          <cell r="B2315">
            <v>201809</v>
          </cell>
          <cell r="C2315" t="str">
            <v>0100170987</v>
          </cell>
          <cell r="D2315" t="str">
            <v>163247C</v>
          </cell>
          <cell r="E2315">
            <v>204</v>
          </cell>
          <cell r="F2315">
            <v>43461</v>
          </cell>
          <cell r="G2315" t="str">
            <v>11/13</v>
          </cell>
        </row>
        <row r="2316">
          <cell r="A2316" t="str">
            <v>Y1812-0826</v>
          </cell>
          <cell r="B2316">
            <v>201809</v>
          </cell>
          <cell r="C2316" t="str">
            <v>0100170988</v>
          </cell>
          <cell r="D2316" t="str">
            <v>7J253C</v>
          </cell>
          <cell r="E2316">
            <v>120</v>
          </cell>
          <cell r="F2316">
            <v>43461</v>
          </cell>
          <cell r="G2316" t="str">
            <v>OK</v>
          </cell>
        </row>
        <row r="2317">
          <cell r="A2317" t="str">
            <v>Y1812-0827</v>
          </cell>
          <cell r="B2317">
            <v>201809</v>
          </cell>
          <cell r="C2317" t="str">
            <v>0100170989</v>
          </cell>
          <cell r="D2317" t="str">
            <v>M3310C</v>
          </cell>
          <cell r="E2317">
            <v>180</v>
          </cell>
          <cell r="F2317">
            <v>43461</v>
          </cell>
          <cell r="G2317" t="str">
            <v>11/13</v>
          </cell>
        </row>
        <row r="2318">
          <cell r="A2318" t="str">
            <v>Y1812-0828</v>
          </cell>
          <cell r="B2318">
            <v>201809</v>
          </cell>
          <cell r="C2318" t="str">
            <v>0100170990</v>
          </cell>
          <cell r="D2318" t="str">
            <v>M5039C</v>
          </cell>
          <cell r="E2318">
            <v>792</v>
          </cell>
          <cell r="F2318">
            <v>43461</v>
          </cell>
          <cell r="G2318" t="str">
            <v>11/13</v>
          </cell>
        </row>
        <row r="2319">
          <cell r="A2319" t="str">
            <v>Y1812-0829</v>
          </cell>
          <cell r="B2319">
            <v>201809</v>
          </cell>
          <cell r="C2319" t="str">
            <v>0100170991</v>
          </cell>
          <cell r="D2319" t="str">
            <v>M3310C</v>
          </cell>
          <cell r="E2319">
            <v>1380</v>
          </cell>
          <cell r="F2319">
            <v>43461</v>
          </cell>
          <cell r="G2319" t="str">
            <v>11/13</v>
          </cell>
        </row>
        <row r="2320">
          <cell r="A2320" t="str">
            <v>Y1812-0825</v>
          </cell>
          <cell r="B2320">
            <v>201809</v>
          </cell>
          <cell r="C2320" t="str">
            <v>0100170992</v>
          </cell>
          <cell r="D2320" t="str">
            <v>1J794C</v>
          </cell>
          <cell r="E2320">
            <v>1380</v>
          </cell>
          <cell r="F2320">
            <v>43461</v>
          </cell>
          <cell r="G2320" t="str">
            <v>11/13</v>
          </cell>
        </row>
        <row r="2321">
          <cell r="A2321" t="str">
            <v>Y1902-0012</v>
          </cell>
          <cell r="B2321">
            <v>201809</v>
          </cell>
          <cell r="C2321" t="str">
            <v>0100170993</v>
          </cell>
          <cell r="D2321" t="str">
            <v>M7652C</v>
          </cell>
          <cell r="E2321">
            <v>16740</v>
          </cell>
          <cell r="F2321">
            <v>43437</v>
          </cell>
          <cell r="G2321" t="str">
            <v>OK</v>
          </cell>
        </row>
        <row r="2322">
          <cell r="A2322" t="str">
            <v>Y1902-0014</v>
          </cell>
          <cell r="B2322">
            <v>201809</v>
          </cell>
          <cell r="C2322" t="str">
            <v>0100170995</v>
          </cell>
          <cell r="D2322" t="str">
            <v>M7652C</v>
          </cell>
          <cell r="E2322">
            <v>19152</v>
          </cell>
          <cell r="F2322">
            <v>43437</v>
          </cell>
          <cell r="G2322" t="str">
            <v>OK</v>
          </cell>
        </row>
        <row r="2323">
          <cell r="A2323" t="str">
            <v>Y1901-0156</v>
          </cell>
          <cell r="B2323">
            <v>201809</v>
          </cell>
          <cell r="C2323" t="str">
            <v>0100170996</v>
          </cell>
          <cell r="D2323" t="str">
            <v>1J794C</v>
          </cell>
          <cell r="E2323">
            <v>144</v>
          </cell>
          <cell r="F2323">
            <v>43437</v>
          </cell>
          <cell r="G2323" t="str">
            <v>11/13</v>
          </cell>
        </row>
        <row r="2324">
          <cell r="A2324" t="str">
            <v>Y1901-0158</v>
          </cell>
          <cell r="B2324">
            <v>201809</v>
          </cell>
          <cell r="C2324" t="str">
            <v>0100170998</v>
          </cell>
          <cell r="D2324" t="str">
            <v>3J253C</v>
          </cell>
          <cell r="E2324">
            <v>144</v>
          </cell>
          <cell r="F2324">
            <v>43437</v>
          </cell>
          <cell r="G2324" t="str">
            <v>11/06</v>
          </cell>
        </row>
        <row r="2325">
          <cell r="A2325" t="str">
            <v>Y1812-0830</v>
          </cell>
          <cell r="B2325">
            <v>201809</v>
          </cell>
          <cell r="C2325" t="str">
            <v>0100171001</v>
          </cell>
          <cell r="D2325" t="str">
            <v>3S121</v>
          </cell>
          <cell r="E2325">
            <v>540</v>
          </cell>
          <cell r="F2325">
            <v>43437</v>
          </cell>
          <cell r="G2325" t="str">
            <v>11/06</v>
          </cell>
        </row>
        <row r="2326">
          <cell r="A2326" t="str">
            <v>Y1812-0833</v>
          </cell>
          <cell r="B2326">
            <v>201809</v>
          </cell>
          <cell r="C2326" t="str">
            <v>0100171005</v>
          </cell>
          <cell r="D2326" t="str">
            <v>M9160</v>
          </cell>
          <cell r="E2326">
            <v>3360</v>
          </cell>
          <cell r="F2326">
            <v>43437</v>
          </cell>
          <cell r="G2326" t="str">
            <v>11/06</v>
          </cell>
        </row>
        <row r="2327">
          <cell r="A2327" t="str">
            <v>Y1812-0835</v>
          </cell>
          <cell r="B2327">
            <v>201809</v>
          </cell>
          <cell r="C2327" t="str">
            <v>0100171007</v>
          </cell>
          <cell r="D2327" t="str">
            <v>M9691</v>
          </cell>
          <cell r="E2327">
            <v>1824</v>
          </cell>
          <cell r="F2327">
            <v>43450</v>
          </cell>
          <cell r="G2327" t="str">
            <v>11/06</v>
          </cell>
        </row>
        <row r="2328">
          <cell r="A2328" t="str">
            <v>Y1812-0626</v>
          </cell>
          <cell r="B2328">
            <v>201809</v>
          </cell>
          <cell r="C2328" t="str">
            <v>0100171088</v>
          </cell>
          <cell r="D2328" t="str">
            <v>7J256C</v>
          </cell>
          <cell r="E2328">
            <v>120</v>
          </cell>
          <cell r="F2328">
            <v>43461</v>
          </cell>
          <cell r="G2328" t="str">
            <v>11/13</v>
          </cell>
        </row>
        <row r="2329">
          <cell r="A2329" t="str">
            <v>Y1812-0627</v>
          </cell>
          <cell r="B2329">
            <v>201809</v>
          </cell>
          <cell r="C2329" t="str">
            <v>0100171089</v>
          </cell>
          <cell r="D2329" t="str">
            <v>M5039C</v>
          </cell>
          <cell r="E2329">
            <v>288</v>
          </cell>
          <cell r="F2329">
            <v>43461</v>
          </cell>
          <cell r="G2329" t="str">
            <v>11/13</v>
          </cell>
        </row>
        <row r="2330">
          <cell r="A2330" t="str">
            <v>Y1812-0628</v>
          </cell>
          <cell r="B2330">
            <v>201809</v>
          </cell>
          <cell r="C2330" t="str">
            <v>0100171090</v>
          </cell>
          <cell r="D2330" t="str">
            <v>M9160C</v>
          </cell>
          <cell r="E2330">
            <v>3456</v>
          </cell>
          <cell r="F2330">
            <v>43461</v>
          </cell>
          <cell r="G2330" t="str">
            <v>11/13</v>
          </cell>
        </row>
        <row r="2331">
          <cell r="A2331" t="str">
            <v>Y1812-0629</v>
          </cell>
          <cell r="B2331">
            <v>201809</v>
          </cell>
          <cell r="C2331" t="str">
            <v>0100171091</v>
          </cell>
          <cell r="D2331" t="str">
            <v>M9160C</v>
          </cell>
          <cell r="E2331">
            <v>3456</v>
          </cell>
          <cell r="F2331">
            <v>43461</v>
          </cell>
          <cell r="G2331" t="str">
            <v>11/13</v>
          </cell>
        </row>
        <row r="2332">
          <cell r="A2332" t="str">
            <v>Y1902-0007</v>
          </cell>
          <cell r="B2332">
            <v>201809</v>
          </cell>
          <cell r="C2332" t="str">
            <v>0100171092</v>
          </cell>
          <cell r="D2332" t="str">
            <v>M7652C</v>
          </cell>
          <cell r="E2332">
            <v>13404</v>
          </cell>
          <cell r="F2332">
            <v>43437</v>
          </cell>
          <cell r="G2332" t="str">
            <v>11/13</v>
          </cell>
        </row>
        <row r="2333">
          <cell r="A2333" t="str">
            <v>Y1902-0008</v>
          </cell>
          <cell r="B2333">
            <v>201809</v>
          </cell>
          <cell r="C2333" t="str">
            <v>0100171093</v>
          </cell>
          <cell r="D2333" t="str">
            <v>M7652C</v>
          </cell>
          <cell r="E2333">
            <v>4080</v>
          </cell>
          <cell r="F2333">
            <v>43437</v>
          </cell>
          <cell r="G2333" t="str">
            <v>OK</v>
          </cell>
        </row>
        <row r="2334">
          <cell r="A2334" t="str">
            <v>Y1812-0630</v>
          </cell>
          <cell r="B2334">
            <v>201809</v>
          </cell>
          <cell r="C2334" t="str">
            <v>0100171096</v>
          </cell>
          <cell r="D2334" t="str">
            <v>W9160</v>
          </cell>
          <cell r="E2334">
            <v>576</v>
          </cell>
          <cell r="F2334">
            <v>43437</v>
          </cell>
          <cell r="G2334" t="str">
            <v>OK</v>
          </cell>
        </row>
        <row r="2335">
          <cell r="A2335" t="str">
            <v>Y1812-0631</v>
          </cell>
          <cell r="B2335">
            <v>201809</v>
          </cell>
          <cell r="C2335" t="str">
            <v>0100171139</v>
          </cell>
          <cell r="D2335" t="str">
            <v>163376C</v>
          </cell>
          <cell r="E2335">
            <v>144</v>
          </cell>
          <cell r="F2335">
            <v>43461</v>
          </cell>
          <cell r="G2335" t="str">
            <v>11/06</v>
          </cell>
        </row>
        <row r="2336">
          <cell r="A2336" t="str">
            <v>Y1812-0633</v>
          </cell>
          <cell r="B2336">
            <v>201809</v>
          </cell>
          <cell r="C2336" t="str">
            <v>0100171141</v>
          </cell>
          <cell r="D2336">
            <v>88865</v>
          </cell>
          <cell r="E2336">
            <v>120</v>
          </cell>
          <cell r="F2336">
            <v>43461</v>
          </cell>
          <cell r="G2336" t="str">
            <v>11/13</v>
          </cell>
        </row>
        <row r="2337">
          <cell r="A2337" t="str">
            <v>Y1812-0634</v>
          </cell>
          <cell r="B2337">
            <v>201809</v>
          </cell>
          <cell r="C2337" t="str">
            <v>0100171142</v>
          </cell>
          <cell r="D2337">
            <v>88875</v>
          </cell>
          <cell r="E2337">
            <v>120</v>
          </cell>
          <cell r="F2337">
            <v>43461</v>
          </cell>
          <cell r="G2337" t="str">
            <v>11/13</v>
          </cell>
        </row>
        <row r="2338">
          <cell r="A2338" t="str">
            <v>Y1812-0635</v>
          </cell>
          <cell r="B2338">
            <v>201809</v>
          </cell>
          <cell r="C2338" t="str">
            <v>0100171143</v>
          </cell>
          <cell r="D2338">
            <v>88877</v>
          </cell>
          <cell r="E2338">
            <v>120</v>
          </cell>
          <cell r="F2338">
            <v>43461</v>
          </cell>
          <cell r="G2338" t="str">
            <v>11/13</v>
          </cell>
        </row>
        <row r="2339">
          <cell r="A2339" t="str">
            <v>Y1812-0636</v>
          </cell>
          <cell r="B2339">
            <v>201809</v>
          </cell>
          <cell r="C2339" t="str">
            <v>0100171144</v>
          </cell>
          <cell r="D2339" t="str">
            <v>M9697C</v>
          </cell>
          <cell r="E2339">
            <v>120</v>
          </cell>
          <cell r="F2339">
            <v>43461</v>
          </cell>
          <cell r="G2339" t="str">
            <v>11/06</v>
          </cell>
        </row>
        <row r="2340">
          <cell r="A2340" t="str">
            <v>Y1812-0637</v>
          </cell>
          <cell r="B2340">
            <v>201809</v>
          </cell>
          <cell r="C2340" t="str">
            <v>0100171145</v>
          </cell>
          <cell r="D2340" t="str">
            <v>M9166C</v>
          </cell>
          <cell r="E2340">
            <v>4596</v>
          </cell>
          <cell r="F2340">
            <v>43461</v>
          </cell>
          <cell r="G2340" t="str">
            <v>11/13</v>
          </cell>
        </row>
        <row r="2341">
          <cell r="A2341" t="str">
            <v>Y1812-0638</v>
          </cell>
          <cell r="B2341">
            <v>201809</v>
          </cell>
          <cell r="C2341" t="str">
            <v>0100171146</v>
          </cell>
          <cell r="D2341" t="str">
            <v>M9691C</v>
          </cell>
          <cell r="E2341">
            <v>672</v>
          </cell>
          <cell r="F2341">
            <v>43461</v>
          </cell>
          <cell r="G2341" t="str">
            <v>11/13</v>
          </cell>
        </row>
        <row r="2342">
          <cell r="A2342" t="str">
            <v>Y1812-0639</v>
          </cell>
          <cell r="B2342">
            <v>201809</v>
          </cell>
          <cell r="C2342" t="str">
            <v>0100171147</v>
          </cell>
          <cell r="D2342" t="str">
            <v>M9696C</v>
          </cell>
          <cell r="E2342">
            <v>180</v>
          </cell>
          <cell r="F2342">
            <v>43461</v>
          </cell>
          <cell r="G2342" t="str">
            <v>11/13</v>
          </cell>
        </row>
        <row r="2343">
          <cell r="A2343" t="str">
            <v>Y1812-0640</v>
          </cell>
          <cell r="B2343">
            <v>201809</v>
          </cell>
          <cell r="C2343" t="str">
            <v>0100171148</v>
          </cell>
          <cell r="D2343" t="str">
            <v>M9697C</v>
          </cell>
          <cell r="E2343">
            <v>420</v>
          </cell>
          <cell r="F2343">
            <v>43461</v>
          </cell>
          <cell r="G2343" t="str">
            <v>11/06</v>
          </cell>
        </row>
        <row r="2344">
          <cell r="A2344" t="str">
            <v>Y1812-0641</v>
          </cell>
          <cell r="B2344">
            <v>201809</v>
          </cell>
          <cell r="C2344" t="str">
            <v>0100171149</v>
          </cell>
          <cell r="D2344" t="str">
            <v>M9166C</v>
          </cell>
          <cell r="E2344">
            <v>1044</v>
          </cell>
          <cell r="F2344">
            <v>43461</v>
          </cell>
          <cell r="G2344" t="str">
            <v>11/13</v>
          </cell>
        </row>
        <row r="2345">
          <cell r="A2345" t="str">
            <v>Y1812-0642</v>
          </cell>
          <cell r="B2345">
            <v>201809</v>
          </cell>
          <cell r="C2345" t="str">
            <v>0100171150</v>
          </cell>
          <cell r="D2345" t="str">
            <v>M9622C</v>
          </cell>
          <cell r="E2345">
            <v>1044</v>
          </cell>
          <cell r="F2345">
            <v>43461</v>
          </cell>
          <cell r="G2345" t="str">
            <v>11/13</v>
          </cell>
        </row>
        <row r="2346">
          <cell r="A2346" t="str">
            <v>Y1812-0643</v>
          </cell>
          <cell r="B2346">
            <v>201809</v>
          </cell>
          <cell r="C2346" t="str">
            <v>0100171151</v>
          </cell>
          <cell r="D2346" t="str">
            <v>M9691C</v>
          </cell>
          <cell r="E2346">
            <v>576</v>
          </cell>
          <cell r="F2346">
            <v>43461</v>
          </cell>
          <cell r="G2346" t="str">
            <v>11/13</v>
          </cell>
        </row>
        <row r="2347">
          <cell r="A2347" t="str">
            <v>Y1812-0644</v>
          </cell>
          <cell r="B2347">
            <v>201809</v>
          </cell>
          <cell r="C2347" t="str">
            <v>0100171152</v>
          </cell>
          <cell r="D2347" t="str">
            <v>M9697C</v>
          </cell>
          <cell r="E2347">
            <v>708</v>
          </cell>
          <cell r="F2347">
            <v>43461</v>
          </cell>
          <cell r="G2347" t="str">
            <v>11/06</v>
          </cell>
        </row>
        <row r="2348">
          <cell r="A2348" t="str">
            <v>Y1812-0645</v>
          </cell>
          <cell r="B2348">
            <v>201809</v>
          </cell>
          <cell r="C2348" t="str">
            <v>0100171153</v>
          </cell>
          <cell r="D2348" t="str">
            <v>M9166C</v>
          </cell>
          <cell r="E2348">
            <v>1080</v>
          </cell>
          <cell r="F2348">
            <v>43461</v>
          </cell>
          <cell r="G2348" t="str">
            <v>11/13</v>
          </cell>
        </row>
        <row r="2349">
          <cell r="A2349" t="str">
            <v>Y1812-0646</v>
          </cell>
          <cell r="B2349">
            <v>201809</v>
          </cell>
          <cell r="C2349" t="str">
            <v>0100171154</v>
          </cell>
          <cell r="D2349" t="str">
            <v>M9622C</v>
          </cell>
          <cell r="E2349">
            <v>1080</v>
          </cell>
          <cell r="F2349">
            <v>43461</v>
          </cell>
          <cell r="G2349" t="str">
            <v>11/13</v>
          </cell>
        </row>
        <row r="2350">
          <cell r="A2350" t="str">
            <v>Y1812-0647</v>
          </cell>
          <cell r="B2350">
            <v>201809</v>
          </cell>
          <cell r="C2350" t="str">
            <v>0100171155</v>
          </cell>
          <cell r="D2350" t="str">
            <v>M9697C</v>
          </cell>
          <cell r="E2350">
            <v>648</v>
          </cell>
          <cell r="F2350">
            <v>43461</v>
          </cell>
          <cell r="G2350" t="str">
            <v>OK</v>
          </cell>
        </row>
        <row r="2351">
          <cell r="A2351" t="str">
            <v>Y1812-0648</v>
          </cell>
          <cell r="B2351">
            <v>201809</v>
          </cell>
          <cell r="C2351" t="str">
            <v>0100171156</v>
          </cell>
          <cell r="D2351" t="str">
            <v>M9160C</v>
          </cell>
          <cell r="E2351">
            <v>4416</v>
          </cell>
          <cell r="F2351">
            <v>43461</v>
          </cell>
          <cell r="G2351" t="str">
            <v>11/13</v>
          </cell>
        </row>
        <row r="2352">
          <cell r="A2352" t="str">
            <v>Y1812-0649</v>
          </cell>
          <cell r="B2352">
            <v>201809</v>
          </cell>
          <cell r="C2352" t="str">
            <v>0100171157</v>
          </cell>
          <cell r="D2352" t="str">
            <v>M9621C</v>
          </cell>
          <cell r="E2352">
            <v>960</v>
          </cell>
          <cell r="F2352">
            <v>43461</v>
          </cell>
          <cell r="G2352" t="str">
            <v>11/06</v>
          </cell>
        </row>
        <row r="2353">
          <cell r="A2353" t="str">
            <v>Y1812-0650</v>
          </cell>
          <cell r="B2353">
            <v>201809</v>
          </cell>
          <cell r="C2353" t="str">
            <v>0100171158</v>
          </cell>
          <cell r="D2353" t="str">
            <v>M9622C</v>
          </cell>
          <cell r="E2353">
            <v>120</v>
          </cell>
          <cell r="F2353">
            <v>43461</v>
          </cell>
          <cell r="G2353" t="str">
            <v>11/13</v>
          </cell>
        </row>
        <row r="2354">
          <cell r="A2354" t="str">
            <v>Y1812-0651</v>
          </cell>
          <cell r="B2354">
            <v>201809</v>
          </cell>
          <cell r="C2354" t="str">
            <v>0100171159</v>
          </cell>
          <cell r="D2354" t="str">
            <v>314786C</v>
          </cell>
          <cell r="E2354">
            <v>144</v>
          </cell>
          <cell r="F2354">
            <v>43461</v>
          </cell>
          <cell r="G2354" t="str">
            <v>11/06</v>
          </cell>
        </row>
        <row r="2355">
          <cell r="A2355" t="str">
            <v>Y1812-0652</v>
          </cell>
          <cell r="B2355">
            <v>201809</v>
          </cell>
          <cell r="C2355" t="str">
            <v>0100171160</v>
          </cell>
          <cell r="D2355" t="str">
            <v>3J236C</v>
          </cell>
          <cell r="E2355">
            <v>420</v>
          </cell>
          <cell r="F2355">
            <v>43461</v>
          </cell>
          <cell r="G2355" t="str">
            <v>11/13</v>
          </cell>
        </row>
        <row r="2356">
          <cell r="A2356" t="str">
            <v>Y1812-0653</v>
          </cell>
          <cell r="B2356">
            <v>201809</v>
          </cell>
          <cell r="C2356" t="str">
            <v>0100171161</v>
          </cell>
          <cell r="D2356" t="str">
            <v>3J238C</v>
          </cell>
          <cell r="E2356">
            <v>168</v>
          </cell>
          <cell r="F2356">
            <v>43461</v>
          </cell>
          <cell r="G2356" t="str">
            <v>11/13</v>
          </cell>
        </row>
        <row r="2357">
          <cell r="A2357" t="str">
            <v>Y1812-0654</v>
          </cell>
          <cell r="B2357">
            <v>201809</v>
          </cell>
          <cell r="C2357" t="str">
            <v>0100171162</v>
          </cell>
          <cell r="D2357" t="str">
            <v>3J253C</v>
          </cell>
          <cell r="E2357">
            <v>120</v>
          </cell>
          <cell r="F2357">
            <v>43461</v>
          </cell>
          <cell r="G2357" t="str">
            <v>11/13</v>
          </cell>
        </row>
        <row r="2358">
          <cell r="A2358" t="str">
            <v>Y1812-0655</v>
          </cell>
          <cell r="B2358">
            <v>201809</v>
          </cell>
          <cell r="C2358" t="str">
            <v>0100171163</v>
          </cell>
          <cell r="D2358" t="str">
            <v>3J256C</v>
          </cell>
          <cell r="E2358">
            <v>1032</v>
          </cell>
          <cell r="F2358">
            <v>43461</v>
          </cell>
          <cell r="G2358" t="str">
            <v>11/13</v>
          </cell>
        </row>
        <row r="2359">
          <cell r="A2359" t="str">
            <v>Y1812-0656</v>
          </cell>
          <cell r="B2359">
            <v>201809</v>
          </cell>
          <cell r="C2359" t="str">
            <v>0100171164</v>
          </cell>
          <cell r="D2359" t="str">
            <v>7J253C</v>
          </cell>
          <cell r="E2359">
            <v>240</v>
          </cell>
          <cell r="F2359">
            <v>43461</v>
          </cell>
          <cell r="G2359" t="str">
            <v>OK</v>
          </cell>
        </row>
        <row r="2360">
          <cell r="A2360" t="str">
            <v>Y1812-0657</v>
          </cell>
          <cell r="B2360">
            <v>201809</v>
          </cell>
          <cell r="C2360" t="str">
            <v>0100171165</v>
          </cell>
          <cell r="D2360" t="str">
            <v>M9622C</v>
          </cell>
          <cell r="E2360">
            <v>312</v>
          </cell>
          <cell r="F2360">
            <v>43461</v>
          </cell>
          <cell r="G2360" t="str">
            <v>11/13</v>
          </cell>
        </row>
        <row r="2361">
          <cell r="A2361" t="str">
            <v>Y1812-0658</v>
          </cell>
          <cell r="B2361">
            <v>201809</v>
          </cell>
          <cell r="C2361" t="str">
            <v>0100171166</v>
          </cell>
          <cell r="D2361" t="str">
            <v>3J231C</v>
          </cell>
          <cell r="E2361">
            <v>144</v>
          </cell>
          <cell r="F2361">
            <v>43461</v>
          </cell>
          <cell r="G2361" t="str">
            <v>11/06</v>
          </cell>
        </row>
        <row r="2362">
          <cell r="A2362" t="str">
            <v>Y1902-0009</v>
          </cell>
          <cell r="B2362">
            <v>201809</v>
          </cell>
          <cell r="C2362" t="str">
            <v>0100171167</v>
          </cell>
          <cell r="D2362" t="str">
            <v>M7652C</v>
          </cell>
          <cell r="E2362">
            <v>14412</v>
          </cell>
          <cell r="F2362">
            <v>43437</v>
          </cell>
          <cell r="G2362" t="str">
            <v>11/13</v>
          </cell>
        </row>
        <row r="2363">
          <cell r="A2363" t="str">
            <v>Y1902-0010</v>
          </cell>
          <cell r="B2363">
            <v>201809</v>
          </cell>
          <cell r="C2363" t="str">
            <v>0100171168</v>
          </cell>
          <cell r="D2363" t="str">
            <v>M7652C</v>
          </cell>
          <cell r="E2363">
            <v>18456</v>
          </cell>
          <cell r="F2363">
            <v>43437</v>
          </cell>
          <cell r="G2363" t="str">
            <v>11/13</v>
          </cell>
        </row>
        <row r="2364">
          <cell r="A2364" t="str">
            <v>Y1902-0011</v>
          </cell>
          <cell r="B2364">
            <v>201809</v>
          </cell>
          <cell r="C2364" t="str">
            <v>0100171169</v>
          </cell>
          <cell r="D2364" t="str">
            <v>M7652C</v>
          </cell>
          <cell r="E2364">
            <v>11856</v>
          </cell>
          <cell r="F2364">
            <v>43437</v>
          </cell>
          <cell r="G2364" t="str">
            <v>OK</v>
          </cell>
        </row>
        <row r="2365">
          <cell r="A2365" t="str">
            <v>Y1901-0104</v>
          </cell>
          <cell r="B2365">
            <v>201809</v>
          </cell>
          <cell r="C2365" t="str">
            <v>0100171170</v>
          </cell>
          <cell r="D2365" t="str">
            <v>M3310C</v>
          </cell>
          <cell r="E2365">
            <v>120</v>
          </cell>
          <cell r="F2365">
            <v>43437</v>
          </cell>
          <cell r="G2365" t="str">
            <v>11/06</v>
          </cell>
        </row>
        <row r="2366">
          <cell r="A2366" t="str">
            <v>Y1901-0105</v>
          </cell>
          <cell r="B2366">
            <v>201809</v>
          </cell>
          <cell r="C2366" t="str">
            <v>0100171171</v>
          </cell>
          <cell r="D2366" t="str">
            <v>M7652C</v>
          </cell>
          <cell r="E2366">
            <v>300</v>
          </cell>
          <cell r="F2366">
            <v>43437</v>
          </cell>
          <cell r="G2366" t="str">
            <v>11/06</v>
          </cell>
        </row>
        <row r="2367">
          <cell r="A2367" t="str">
            <v>Y1901-0106</v>
          </cell>
          <cell r="B2367">
            <v>201809</v>
          </cell>
          <cell r="C2367" t="str">
            <v>0100171172</v>
          </cell>
          <cell r="D2367" t="str">
            <v>M9160C</v>
          </cell>
          <cell r="E2367">
            <v>144</v>
          </cell>
          <cell r="F2367">
            <v>43437</v>
          </cell>
          <cell r="G2367" t="str">
            <v>11/13</v>
          </cell>
        </row>
        <row r="2368">
          <cell r="A2368" t="str">
            <v>Y1901-0107</v>
          </cell>
          <cell r="B2368">
            <v>201809</v>
          </cell>
          <cell r="C2368" t="str">
            <v>0100171173</v>
          </cell>
          <cell r="D2368" t="str">
            <v>M9166C</v>
          </cell>
          <cell r="E2368">
            <v>120</v>
          </cell>
          <cell r="F2368">
            <v>43437</v>
          </cell>
          <cell r="G2368" t="str">
            <v>OK</v>
          </cell>
        </row>
        <row r="2369">
          <cell r="A2369" t="str">
            <v>Y1901-0109</v>
          </cell>
          <cell r="B2369">
            <v>201809</v>
          </cell>
          <cell r="C2369" t="str">
            <v>0100171175</v>
          </cell>
          <cell r="D2369" t="str">
            <v>1J793C</v>
          </cell>
          <cell r="E2369">
            <v>228</v>
          </cell>
          <cell r="F2369">
            <v>43437</v>
          </cell>
          <cell r="G2369" t="str">
            <v>OK</v>
          </cell>
        </row>
        <row r="2370">
          <cell r="A2370" t="str">
            <v>Y1901-0110</v>
          </cell>
          <cell r="B2370">
            <v>201809</v>
          </cell>
          <cell r="C2370" t="str">
            <v>0100171176</v>
          </cell>
          <cell r="D2370" t="str">
            <v>1J794C</v>
          </cell>
          <cell r="E2370">
            <v>240</v>
          </cell>
          <cell r="F2370">
            <v>43437</v>
          </cell>
          <cell r="G2370" t="str">
            <v>11/13</v>
          </cell>
        </row>
        <row r="2371">
          <cell r="A2371" t="str">
            <v>Y1901-0114</v>
          </cell>
          <cell r="B2371">
            <v>201809</v>
          </cell>
          <cell r="C2371" t="str">
            <v>0100171180</v>
          </cell>
          <cell r="D2371" t="str">
            <v>163247C</v>
          </cell>
          <cell r="E2371">
            <v>120</v>
          </cell>
          <cell r="F2371">
            <v>43457</v>
          </cell>
          <cell r="G2371" t="str">
            <v>11/13</v>
          </cell>
        </row>
        <row r="2372">
          <cell r="A2372" t="str">
            <v>Y1812-0659</v>
          </cell>
          <cell r="B2372">
            <v>201809</v>
          </cell>
          <cell r="C2372" t="str">
            <v>0100171181</v>
          </cell>
          <cell r="D2372" t="str">
            <v>7S121</v>
          </cell>
          <cell r="E2372">
            <v>804</v>
          </cell>
          <cell r="F2372">
            <v>43437</v>
          </cell>
          <cell r="G2372" t="str">
            <v>OK</v>
          </cell>
        </row>
        <row r="2373">
          <cell r="A2373" t="str">
            <v>Y1812-0660</v>
          </cell>
          <cell r="B2373">
            <v>201809</v>
          </cell>
          <cell r="C2373" t="str">
            <v>0100171182</v>
          </cell>
          <cell r="D2373" t="str">
            <v>3J234</v>
          </cell>
          <cell r="E2373">
            <v>852</v>
          </cell>
          <cell r="F2373">
            <v>43437</v>
          </cell>
          <cell r="G2373" t="str">
            <v>11/06</v>
          </cell>
        </row>
        <row r="2374">
          <cell r="A2374" t="str">
            <v>Y1812-0662</v>
          </cell>
          <cell r="B2374">
            <v>201809</v>
          </cell>
          <cell r="C2374" t="str">
            <v>0100171321</v>
          </cell>
          <cell r="D2374" t="str">
            <v>714786C</v>
          </cell>
          <cell r="E2374">
            <v>288</v>
          </cell>
          <cell r="F2374">
            <v>43461</v>
          </cell>
          <cell r="G2374" t="str">
            <v>11/13</v>
          </cell>
        </row>
        <row r="2375">
          <cell r="A2375" t="str">
            <v>Y1812-0663</v>
          </cell>
          <cell r="B2375">
            <v>201809</v>
          </cell>
          <cell r="C2375" t="str">
            <v>0100171322</v>
          </cell>
          <cell r="D2375" t="str">
            <v>7J232C</v>
          </cell>
          <cell r="E2375">
            <v>588</v>
          </cell>
          <cell r="F2375">
            <v>43461</v>
          </cell>
          <cell r="G2375" t="str">
            <v>OK</v>
          </cell>
        </row>
        <row r="2376">
          <cell r="A2376" t="str">
            <v>Y1812-0664</v>
          </cell>
          <cell r="B2376">
            <v>201809</v>
          </cell>
          <cell r="C2376" t="str">
            <v>0100171323</v>
          </cell>
          <cell r="D2376" t="str">
            <v>7J233C</v>
          </cell>
          <cell r="E2376">
            <v>228</v>
          </cell>
          <cell r="F2376">
            <v>43461</v>
          </cell>
          <cell r="G2376" t="str">
            <v>11/06</v>
          </cell>
        </row>
        <row r="2377">
          <cell r="A2377" t="str">
            <v>Y1812-0665</v>
          </cell>
          <cell r="B2377">
            <v>201809</v>
          </cell>
          <cell r="C2377" t="str">
            <v>0100171324</v>
          </cell>
          <cell r="D2377" t="str">
            <v>7J235C</v>
          </cell>
          <cell r="E2377">
            <v>780</v>
          </cell>
          <cell r="F2377">
            <v>43461</v>
          </cell>
          <cell r="G2377" t="str">
            <v>OK</v>
          </cell>
        </row>
        <row r="2378">
          <cell r="A2378" t="str">
            <v>Y1812-0666</v>
          </cell>
          <cell r="B2378">
            <v>201809</v>
          </cell>
          <cell r="C2378" t="str">
            <v>0100171325</v>
          </cell>
          <cell r="D2378" t="str">
            <v>7J236C</v>
          </cell>
          <cell r="E2378">
            <v>828</v>
          </cell>
          <cell r="F2378">
            <v>43461</v>
          </cell>
          <cell r="G2378" t="str">
            <v>OK</v>
          </cell>
        </row>
        <row r="2379">
          <cell r="A2379" t="str">
            <v>Y1812-0667</v>
          </cell>
          <cell r="B2379">
            <v>201809</v>
          </cell>
          <cell r="C2379" t="str">
            <v>0100171326</v>
          </cell>
          <cell r="D2379" t="str">
            <v>7J237C</v>
          </cell>
          <cell r="E2379">
            <v>252</v>
          </cell>
          <cell r="F2379">
            <v>43461</v>
          </cell>
          <cell r="G2379" t="str">
            <v>11/06</v>
          </cell>
        </row>
        <row r="2380">
          <cell r="A2380" t="str">
            <v>Y1812-0668</v>
          </cell>
          <cell r="B2380">
            <v>201809</v>
          </cell>
          <cell r="C2380" t="str">
            <v>0100171327</v>
          </cell>
          <cell r="D2380" t="str">
            <v>7J238C</v>
          </cell>
          <cell r="E2380">
            <v>276</v>
          </cell>
          <cell r="F2380">
            <v>43461</v>
          </cell>
          <cell r="G2380" t="str">
            <v>11/06</v>
          </cell>
        </row>
        <row r="2381">
          <cell r="A2381" t="str">
            <v>Y1812-0669</v>
          </cell>
          <cell r="B2381">
            <v>201809</v>
          </cell>
          <cell r="C2381" t="str">
            <v>0100171328</v>
          </cell>
          <cell r="D2381" t="str">
            <v>7J253C</v>
          </cell>
          <cell r="E2381">
            <v>588</v>
          </cell>
          <cell r="F2381">
            <v>43461</v>
          </cell>
          <cell r="G2381" t="str">
            <v>OK</v>
          </cell>
        </row>
        <row r="2382">
          <cell r="A2382" t="str">
            <v>Y1812-0670</v>
          </cell>
          <cell r="B2382">
            <v>201809</v>
          </cell>
          <cell r="C2382" t="str">
            <v>0100171329</v>
          </cell>
          <cell r="D2382" t="str">
            <v>7J256C</v>
          </cell>
          <cell r="E2382">
            <v>300</v>
          </cell>
          <cell r="F2382">
            <v>43461</v>
          </cell>
          <cell r="G2382" t="str">
            <v>11/13</v>
          </cell>
        </row>
        <row r="2383">
          <cell r="A2383" t="str">
            <v>Y1812-0671</v>
          </cell>
          <cell r="B2383">
            <v>201809</v>
          </cell>
          <cell r="C2383" t="str">
            <v>0100171330</v>
          </cell>
          <cell r="D2383" t="str">
            <v>M9622C</v>
          </cell>
          <cell r="E2383">
            <v>756</v>
          </cell>
          <cell r="F2383">
            <v>43461</v>
          </cell>
          <cell r="G2383" t="str">
            <v>11/13</v>
          </cell>
        </row>
        <row r="2384">
          <cell r="A2384" t="str">
            <v>Y1812-0672</v>
          </cell>
          <cell r="B2384">
            <v>201809</v>
          </cell>
          <cell r="C2384" t="str">
            <v>0100171331</v>
          </cell>
          <cell r="D2384" t="str">
            <v>3J231C</v>
          </cell>
          <cell r="E2384">
            <v>120</v>
          </cell>
          <cell r="F2384">
            <v>43461</v>
          </cell>
          <cell r="G2384" t="str">
            <v>11/06</v>
          </cell>
        </row>
        <row r="2385">
          <cell r="A2385" t="str">
            <v>Y1812-0673</v>
          </cell>
          <cell r="B2385">
            <v>201809</v>
          </cell>
          <cell r="C2385" t="str">
            <v>0100171332</v>
          </cell>
          <cell r="D2385" t="str">
            <v>7J237C</v>
          </cell>
          <cell r="E2385">
            <v>120</v>
          </cell>
          <cell r="F2385">
            <v>43461</v>
          </cell>
          <cell r="G2385" t="str">
            <v>11/06</v>
          </cell>
        </row>
        <row r="2386">
          <cell r="A2386" t="str">
            <v>Y1812-0674</v>
          </cell>
          <cell r="B2386">
            <v>201809</v>
          </cell>
          <cell r="C2386" t="str">
            <v>0100171333</v>
          </cell>
          <cell r="D2386" t="str">
            <v>7J256C</v>
          </cell>
          <cell r="E2386">
            <v>120</v>
          </cell>
          <cell r="F2386">
            <v>43461</v>
          </cell>
          <cell r="G2386" t="str">
            <v>11/13</v>
          </cell>
        </row>
        <row r="2387">
          <cell r="A2387" t="str">
            <v>Y1812-0675</v>
          </cell>
          <cell r="B2387">
            <v>201809</v>
          </cell>
          <cell r="C2387" t="str">
            <v>0100171334</v>
          </cell>
          <cell r="D2387" t="str">
            <v>M9622C</v>
          </cell>
          <cell r="E2387">
            <v>168</v>
          </cell>
          <cell r="F2387">
            <v>43461</v>
          </cell>
          <cell r="G2387" t="str">
            <v>11/13</v>
          </cell>
        </row>
        <row r="2388">
          <cell r="A2388" t="str">
            <v>Y1901-0117</v>
          </cell>
          <cell r="B2388">
            <v>201809</v>
          </cell>
          <cell r="C2388" t="str">
            <v>0100171337</v>
          </cell>
          <cell r="D2388" t="str">
            <v>163247C</v>
          </cell>
          <cell r="E2388">
            <v>360</v>
          </cell>
          <cell r="F2388">
            <v>43457</v>
          </cell>
          <cell r="G2388" t="str">
            <v>11/13</v>
          </cell>
        </row>
        <row r="2389">
          <cell r="A2389" t="str">
            <v>Y1901-0118</v>
          </cell>
          <cell r="B2389">
            <v>201809</v>
          </cell>
          <cell r="C2389" t="str">
            <v>0100171338</v>
          </cell>
          <cell r="D2389" t="str">
            <v>M9691C</v>
          </cell>
          <cell r="E2389">
            <v>120</v>
          </cell>
          <cell r="F2389">
            <v>43457</v>
          </cell>
          <cell r="G2389" t="str">
            <v>11/13</v>
          </cell>
        </row>
        <row r="2390">
          <cell r="A2390" t="str">
            <v>Y1901-0119</v>
          </cell>
          <cell r="B2390">
            <v>201809</v>
          </cell>
          <cell r="C2390" t="str">
            <v>0100171339</v>
          </cell>
          <cell r="D2390" t="str">
            <v>M9696C</v>
          </cell>
          <cell r="E2390">
            <v>120</v>
          </cell>
          <cell r="F2390">
            <v>43437</v>
          </cell>
          <cell r="G2390" t="str">
            <v>OK</v>
          </cell>
        </row>
        <row r="2391">
          <cell r="A2391" t="str">
            <v>Y1901-0120</v>
          </cell>
          <cell r="B2391">
            <v>201809</v>
          </cell>
          <cell r="C2391" t="str">
            <v>0100171340</v>
          </cell>
          <cell r="D2391" t="str">
            <v>7J232C</v>
          </cell>
          <cell r="E2391">
            <v>216</v>
          </cell>
          <cell r="F2391">
            <v>43437</v>
          </cell>
          <cell r="G2391" t="str">
            <v>OK</v>
          </cell>
        </row>
        <row r="2392">
          <cell r="A2392" t="str">
            <v>Y1901-0121</v>
          </cell>
          <cell r="B2392">
            <v>201809</v>
          </cell>
          <cell r="C2392" t="str">
            <v>0100171341</v>
          </cell>
          <cell r="D2392" t="str">
            <v>7J233C</v>
          </cell>
          <cell r="E2392">
            <v>444</v>
          </cell>
          <cell r="F2392">
            <v>43437</v>
          </cell>
          <cell r="G2392" t="str">
            <v>OK</v>
          </cell>
        </row>
        <row r="2393">
          <cell r="A2393" t="str">
            <v>Y1901-0122</v>
          </cell>
          <cell r="B2393">
            <v>201809</v>
          </cell>
          <cell r="C2393" t="str">
            <v>0100171342</v>
          </cell>
          <cell r="D2393" t="str">
            <v>7J234C</v>
          </cell>
          <cell r="E2393">
            <v>408</v>
          </cell>
          <cell r="F2393">
            <v>43437</v>
          </cell>
          <cell r="G2393" t="str">
            <v>11/06</v>
          </cell>
        </row>
        <row r="2394">
          <cell r="A2394" t="str">
            <v>Y1901-0123</v>
          </cell>
          <cell r="B2394">
            <v>201809</v>
          </cell>
          <cell r="C2394" t="str">
            <v>0100171343</v>
          </cell>
          <cell r="D2394" t="str">
            <v>7J235C</v>
          </cell>
          <cell r="E2394">
            <v>288</v>
          </cell>
          <cell r="F2394">
            <v>43437</v>
          </cell>
          <cell r="G2394" t="str">
            <v>OK</v>
          </cell>
        </row>
        <row r="2395">
          <cell r="A2395" t="str">
            <v>Y1901-0124</v>
          </cell>
          <cell r="B2395">
            <v>201809</v>
          </cell>
          <cell r="C2395" t="str">
            <v>0100171344</v>
          </cell>
          <cell r="D2395" t="str">
            <v>7J236C</v>
          </cell>
          <cell r="E2395">
            <v>252</v>
          </cell>
          <cell r="F2395">
            <v>43437</v>
          </cell>
          <cell r="G2395" t="str">
            <v>OK</v>
          </cell>
        </row>
        <row r="2396">
          <cell r="A2396" t="str">
            <v>Y1901-0125</v>
          </cell>
          <cell r="B2396">
            <v>201809</v>
          </cell>
          <cell r="C2396" t="str">
            <v>0100171345</v>
          </cell>
          <cell r="D2396" t="str">
            <v>7J237C</v>
          </cell>
          <cell r="E2396">
            <v>276</v>
          </cell>
          <cell r="F2396">
            <v>43437</v>
          </cell>
          <cell r="G2396" t="str">
            <v>11/06</v>
          </cell>
        </row>
        <row r="2397">
          <cell r="A2397" t="str">
            <v>Y1812-0676</v>
          </cell>
          <cell r="B2397">
            <v>201809</v>
          </cell>
          <cell r="C2397" t="str">
            <v>0100171395</v>
          </cell>
          <cell r="D2397" t="str">
            <v>M3310C</v>
          </cell>
          <cell r="E2397">
            <v>516</v>
          </cell>
          <cell r="F2397">
            <v>43461</v>
          </cell>
          <cell r="G2397" t="str">
            <v>11/13</v>
          </cell>
        </row>
        <row r="2398">
          <cell r="A2398" t="str">
            <v>Y1812-0677</v>
          </cell>
          <cell r="B2398">
            <v>201809</v>
          </cell>
          <cell r="C2398" t="str">
            <v>0100171396</v>
          </cell>
          <cell r="D2398" t="str">
            <v>M7652C</v>
          </cell>
          <cell r="E2398">
            <v>3624</v>
          </cell>
          <cell r="F2398">
            <v>43461</v>
          </cell>
          <cell r="G2398" t="str">
            <v>11/06</v>
          </cell>
        </row>
        <row r="2399">
          <cell r="A2399" t="str">
            <v>Y1812-0678</v>
          </cell>
          <cell r="B2399">
            <v>201809</v>
          </cell>
          <cell r="C2399" t="str">
            <v>0100171397</v>
          </cell>
          <cell r="D2399" t="str">
            <v>M9621C</v>
          </cell>
          <cell r="E2399">
            <v>396</v>
          </cell>
          <cell r="F2399">
            <v>43461</v>
          </cell>
          <cell r="G2399" t="str">
            <v>11/06</v>
          </cell>
        </row>
        <row r="2400">
          <cell r="A2400" t="str">
            <v>Y1812-0679</v>
          </cell>
          <cell r="B2400">
            <v>201809</v>
          </cell>
          <cell r="C2400" t="str">
            <v>0100171398</v>
          </cell>
          <cell r="D2400" t="str">
            <v>M9691C</v>
          </cell>
          <cell r="E2400">
            <v>1500</v>
          </cell>
          <cell r="F2400">
            <v>43461</v>
          </cell>
          <cell r="G2400" t="str">
            <v>11/13</v>
          </cell>
        </row>
        <row r="2401">
          <cell r="A2401" t="str">
            <v>Y1812-0680</v>
          </cell>
          <cell r="B2401">
            <v>201809</v>
          </cell>
          <cell r="C2401" t="str">
            <v>0100171399</v>
          </cell>
          <cell r="D2401" t="str">
            <v>M9696C</v>
          </cell>
          <cell r="E2401">
            <v>1764</v>
          </cell>
          <cell r="F2401">
            <v>43461</v>
          </cell>
          <cell r="G2401" t="str">
            <v>11/13</v>
          </cell>
        </row>
        <row r="2402">
          <cell r="A2402" t="str">
            <v>Y1901-0134</v>
          </cell>
          <cell r="B2402">
            <v>201809</v>
          </cell>
          <cell r="C2402" t="str">
            <v>0100171400</v>
          </cell>
          <cell r="D2402" t="str">
            <v>7J238C</v>
          </cell>
          <cell r="E2402">
            <v>192</v>
          </cell>
          <cell r="F2402">
            <v>43437</v>
          </cell>
          <cell r="G2402" t="str">
            <v>11/06</v>
          </cell>
        </row>
        <row r="2403">
          <cell r="A2403" t="str">
            <v>Y1901-0135</v>
          </cell>
          <cell r="B2403">
            <v>201809</v>
          </cell>
          <cell r="C2403" t="str">
            <v>0100171401</v>
          </cell>
          <cell r="D2403" t="str">
            <v>7J253C</v>
          </cell>
          <cell r="E2403">
            <v>324</v>
          </cell>
          <cell r="F2403">
            <v>43437</v>
          </cell>
          <cell r="G2403" t="str">
            <v>OK</v>
          </cell>
        </row>
        <row r="2404">
          <cell r="A2404" t="str">
            <v>Y1901-0136</v>
          </cell>
          <cell r="B2404">
            <v>201809</v>
          </cell>
          <cell r="C2404" t="str">
            <v>0100171402</v>
          </cell>
          <cell r="D2404" t="str">
            <v>7J256C</v>
          </cell>
          <cell r="E2404">
            <v>564</v>
          </cell>
          <cell r="F2404">
            <v>43437</v>
          </cell>
          <cell r="G2404" t="str">
            <v>11/06</v>
          </cell>
        </row>
        <row r="2405">
          <cell r="A2405" t="str">
            <v>Y1901-0137</v>
          </cell>
          <cell r="B2405">
            <v>201809</v>
          </cell>
          <cell r="C2405" t="str">
            <v>0100171403</v>
          </cell>
          <cell r="D2405" t="str">
            <v>M3310C</v>
          </cell>
          <cell r="E2405">
            <v>2028</v>
          </cell>
          <cell r="F2405">
            <v>43437</v>
          </cell>
          <cell r="G2405" t="str">
            <v>11/06</v>
          </cell>
        </row>
        <row r="2406">
          <cell r="A2406" t="str">
            <v>Y1901-0138</v>
          </cell>
          <cell r="B2406">
            <v>201809</v>
          </cell>
          <cell r="C2406" t="str">
            <v>0100171404</v>
          </cell>
          <cell r="D2406" t="str">
            <v>M7652C</v>
          </cell>
          <cell r="E2406">
            <v>9948</v>
          </cell>
          <cell r="F2406">
            <v>43437</v>
          </cell>
          <cell r="G2406" t="str">
            <v>OK</v>
          </cell>
        </row>
        <row r="2407">
          <cell r="A2407" t="str">
            <v>Y1901-0139</v>
          </cell>
          <cell r="B2407">
            <v>201809</v>
          </cell>
          <cell r="C2407" t="str">
            <v>0100171405</v>
          </cell>
          <cell r="D2407" t="str">
            <v>163376C</v>
          </cell>
          <cell r="E2407">
            <v>120</v>
          </cell>
          <cell r="F2407">
            <v>43457</v>
          </cell>
          <cell r="G2407" t="str">
            <v>11/06</v>
          </cell>
        </row>
        <row r="2408">
          <cell r="A2408" t="str">
            <v>Y1812-0681</v>
          </cell>
          <cell r="B2408">
            <v>201809</v>
          </cell>
          <cell r="C2408" t="str">
            <v>0100171418</v>
          </cell>
          <cell r="D2408" t="str">
            <v>M9697C</v>
          </cell>
          <cell r="E2408">
            <v>3324</v>
          </cell>
          <cell r="F2408">
            <v>43461</v>
          </cell>
          <cell r="G2408" t="str">
            <v>11/06</v>
          </cell>
        </row>
        <row r="2409">
          <cell r="A2409" t="str">
            <v>Y1901-0140</v>
          </cell>
          <cell r="B2409">
            <v>201809</v>
          </cell>
          <cell r="C2409" t="str">
            <v>0100171419</v>
          </cell>
          <cell r="D2409" t="str">
            <v>M9621C</v>
          </cell>
          <cell r="E2409">
            <v>444</v>
          </cell>
          <cell r="F2409">
            <v>43437</v>
          </cell>
          <cell r="G2409" t="str">
            <v>11/06</v>
          </cell>
        </row>
        <row r="2410">
          <cell r="A2410" t="str">
            <v>Y1901-0141</v>
          </cell>
          <cell r="B2410">
            <v>201809</v>
          </cell>
          <cell r="C2410" t="str">
            <v>0100171420</v>
          </cell>
          <cell r="D2410" t="str">
            <v>M9691C</v>
          </cell>
          <cell r="E2410">
            <v>996</v>
          </cell>
          <cell r="F2410">
            <v>43457</v>
          </cell>
          <cell r="G2410" t="str">
            <v>11/13</v>
          </cell>
        </row>
        <row r="2411">
          <cell r="A2411" t="str">
            <v>Y1901-0142</v>
          </cell>
          <cell r="B2411">
            <v>201809</v>
          </cell>
          <cell r="C2411" t="str">
            <v>0100171421</v>
          </cell>
          <cell r="D2411" t="str">
            <v>M9696C</v>
          </cell>
          <cell r="E2411">
            <v>732</v>
          </cell>
          <cell r="F2411">
            <v>43437</v>
          </cell>
          <cell r="G2411" t="str">
            <v>OK</v>
          </cell>
        </row>
        <row r="2412">
          <cell r="A2412" t="str">
            <v>Y1901-0143</v>
          </cell>
          <cell r="B2412">
            <v>201809</v>
          </cell>
          <cell r="C2412" t="str">
            <v>0100171422</v>
          </cell>
          <cell r="D2412" t="str">
            <v>M9697C</v>
          </cell>
          <cell r="E2412">
            <v>3240</v>
          </cell>
          <cell r="F2412">
            <v>43437</v>
          </cell>
          <cell r="G2412" t="str">
            <v>OK</v>
          </cell>
        </row>
        <row r="2413">
          <cell r="A2413" t="str">
            <v>Y1901-0162</v>
          </cell>
          <cell r="B2413">
            <v>201809</v>
          </cell>
          <cell r="C2413" t="str">
            <v>0100171435</v>
          </cell>
          <cell r="D2413" t="str">
            <v>7J232C</v>
          </cell>
          <cell r="E2413">
            <v>120</v>
          </cell>
          <cell r="F2413">
            <v>43437</v>
          </cell>
          <cell r="G2413" t="str">
            <v>OK</v>
          </cell>
        </row>
        <row r="2414">
          <cell r="A2414" t="str">
            <v>Y1901-0163</v>
          </cell>
          <cell r="B2414">
            <v>201809</v>
          </cell>
          <cell r="C2414" t="str">
            <v>0100171436</v>
          </cell>
          <cell r="D2414" t="str">
            <v>7J233C</v>
          </cell>
          <cell r="E2414">
            <v>120</v>
          </cell>
          <cell r="F2414">
            <v>43437</v>
          </cell>
          <cell r="G2414" t="str">
            <v>OK</v>
          </cell>
        </row>
        <row r="2415">
          <cell r="A2415" t="str">
            <v>Y1901-0164</v>
          </cell>
          <cell r="B2415">
            <v>201809</v>
          </cell>
          <cell r="C2415" t="str">
            <v>0100171437</v>
          </cell>
          <cell r="D2415" t="str">
            <v>7J235C</v>
          </cell>
          <cell r="E2415">
            <v>120</v>
          </cell>
          <cell r="F2415">
            <v>43437</v>
          </cell>
          <cell r="G2415" t="str">
            <v>OK</v>
          </cell>
        </row>
        <row r="2416">
          <cell r="A2416" t="str">
            <v>Y1901-0165</v>
          </cell>
          <cell r="B2416">
            <v>201809</v>
          </cell>
          <cell r="C2416" t="str">
            <v>0100171438</v>
          </cell>
          <cell r="D2416" t="str">
            <v>7J236C</v>
          </cell>
          <cell r="E2416">
            <v>120</v>
          </cell>
          <cell r="F2416">
            <v>43437</v>
          </cell>
          <cell r="G2416" t="str">
            <v>OK</v>
          </cell>
        </row>
        <row r="2417">
          <cell r="A2417" t="str">
            <v>Y1901-0166</v>
          </cell>
          <cell r="B2417">
            <v>201809</v>
          </cell>
          <cell r="C2417" t="str">
            <v>0100171439</v>
          </cell>
          <cell r="D2417" t="str">
            <v>7J237C</v>
          </cell>
          <cell r="E2417">
            <v>120</v>
          </cell>
          <cell r="F2417">
            <v>43437</v>
          </cell>
          <cell r="G2417" t="str">
            <v>11/06</v>
          </cell>
        </row>
        <row r="2418">
          <cell r="A2418" t="str">
            <v>Y1901-0167</v>
          </cell>
          <cell r="B2418">
            <v>201809</v>
          </cell>
          <cell r="C2418" t="str">
            <v>0100171440</v>
          </cell>
          <cell r="D2418" t="str">
            <v>7J253C</v>
          </cell>
          <cell r="E2418">
            <v>120</v>
          </cell>
          <cell r="F2418">
            <v>43437</v>
          </cell>
          <cell r="G2418" t="str">
            <v>OK</v>
          </cell>
        </row>
        <row r="2419">
          <cell r="A2419" t="str">
            <v>Y1901-0168</v>
          </cell>
          <cell r="B2419">
            <v>201809</v>
          </cell>
          <cell r="C2419" t="str">
            <v>0100171441</v>
          </cell>
          <cell r="D2419" t="str">
            <v>7J256C</v>
          </cell>
          <cell r="E2419">
            <v>120</v>
          </cell>
          <cell r="F2419">
            <v>43437</v>
          </cell>
          <cell r="G2419" t="str">
            <v>11/06</v>
          </cell>
        </row>
        <row r="2420">
          <cell r="A2420" t="str">
            <v>Y1901-0144</v>
          </cell>
          <cell r="B2420">
            <v>201809</v>
          </cell>
          <cell r="C2420" t="str">
            <v>0100171453</v>
          </cell>
          <cell r="D2420" t="str">
            <v>163247C</v>
          </cell>
          <cell r="E2420">
            <v>252</v>
          </cell>
          <cell r="F2420">
            <v>43457</v>
          </cell>
          <cell r="G2420" t="str">
            <v>11/13</v>
          </cell>
        </row>
        <row r="2421">
          <cell r="A2421" t="str">
            <v>Y1812-0682</v>
          </cell>
          <cell r="B2421">
            <v>201809</v>
          </cell>
          <cell r="C2421" t="str">
            <v>0100171466</v>
          </cell>
          <cell r="D2421" t="str">
            <v>163376C</v>
          </cell>
          <cell r="E2421">
            <v>288</v>
          </cell>
          <cell r="F2421">
            <v>43461</v>
          </cell>
          <cell r="G2421" t="str">
            <v>11/06</v>
          </cell>
        </row>
        <row r="2422">
          <cell r="A2422" t="str">
            <v>Y1901-0145</v>
          </cell>
          <cell r="B2422">
            <v>201809</v>
          </cell>
          <cell r="C2422" t="str">
            <v>0100171470</v>
          </cell>
          <cell r="D2422" t="str">
            <v>163376C</v>
          </cell>
          <cell r="E2422">
            <v>216</v>
          </cell>
          <cell r="F2422">
            <v>43457</v>
          </cell>
          <cell r="G2422" t="str">
            <v>11/06</v>
          </cell>
        </row>
        <row r="2423">
          <cell r="A2423" t="str">
            <v>Y1812-0683</v>
          </cell>
          <cell r="B2423">
            <v>201809</v>
          </cell>
          <cell r="C2423" t="str">
            <v>39724</v>
          </cell>
          <cell r="D2423" t="str">
            <v>7J235C</v>
          </cell>
          <cell r="E2423">
            <v>888</v>
          </cell>
          <cell r="F2423">
            <v>43436</v>
          </cell>
          <cell r="G2423" t="str">
            <v>OK</v>
          </cell>
        </row>
        <row r="2424">
          <cell r="A2424" t="str">
            <v>Y1812-0684</v>
          </cell>
          <cell r="B2424">
            <v>201809</v>
          </cell>
          <cell r="C2424" t="str">
            <v>39724</v>
          </cell>
          <cell r="D2424" t="str">
            <v>7J231C</v>
          </cell>
          <cell r="E2424">
            <v>360</v>
          </cell>
          <cell r="F2424">
            <v>43436</v>
          </cell>
          <cell r="G2424" t="str">
            <v>OK</v>
          </cell>
        </row>
        <row r="2425">
          <cell r="A2425" t="str">
            <v>Y1812-0685</v>
          </cell>
          <cell r="B2425">
            <v>201809</v>
          </cell>
          <cell r="C2425" t="str">
            <v>39721</v>
          </cell>
          <cell r="D2425" t="str">
            <v>3J231C</v>
          </cell>
          <cell r="E2425">
            <v>720</v>
          </cell>
          <cell r="F2425">
            <v>43436</v>
          </cell>
          <cell r="G2425" t="str">
            <v>11/06</v>
          </cell>
        </row>
        <row r="2426">
          <cell r="A2426" t="str">
            <v>Y1812-0686</v>
          </cell>
          <cell r="B2426">
            <v>201809</v>
          </cell>
          <cell r="C2426" t="str">
            <v>39708</v>
          </cell>
          <cell r="D2426" t="str">
            <v>M7652C</v>
          </cell>
          <cell r="E2426">
            <v>9432</v>
          </cell>
          <cell r="F2426">
            <v>43436</v>
          </cell>
          <cell r="G2426" t="str">
            <v>OK</v>
          </cell>
        </row>
        <row r="2427">
          <cell r="A2427" t="str">
            <v>Y1812-0687</v>
          </cell>
          <cell r="B2427">
            <v>201809</v>
          </cell>
          <cell r="C2427" t="str">
            <v>39684</v>
          </cell>
          <cell r="D2427" t="str">
            <v>155064C</v>
          </cell>
          <cell r="E2427">
            <v>408</v>
          </cell>
          <cell r="F2427">
            <v>43456</v>
          </cell>
          <cell r="G2427" t="str">
            <v>11/06</v>
          </cell>
        </row>
        <row r="2428">
          <cell r="A2428" t="str">
            <v>Y1812-0689</v>
          </cell>
          <cell r="B2428">
            <v>201809</v>
          </cell>
          <cell r="C2428" t="str">
            <v>39704</v>
          </cell>
          <cell r="D2428" t="str">
            <v>155065C</v>
          </cell>
          <cell r="E2428">
            <v>240</v>
          </cell>
          <cell r="F2428">
            <v>43456</v>
          </cell>
          <cell r="G2428" t="str">
            <v>11/13</v>
          </cell>
        </row>
        <row r="2429">
          <cell r="A2429" t="str">
            <v>Y1812-0690</v>
          </cell>
          <cell r="B2429">
            <v>201809</v>
          </cell>
          <cell r="C2429" t="str">
            <v>39723</v>
          </cell>
          <cell r="D2429" t="str">
            <v>3S121C</v>
          </cell>
          <cell r="E2429">
            <v>840</v>
          </cell>
          <cell r="F2429">
            <v>43436</v>
          </cell>
          <cell r="G2429" t="str">
            <v>11/06</v>
          </cell>
        </row>
        <row r="2430">
          <cell r="A2430" t="str">
            <v>Y1812-0691</v>
          </cell>
          <cell r="B2430">
            <v>201809</v>
          </cell>
          <cell r="C2430" t="str">
            <v>39722</v>
          </cell>
          <cell r="D2430" t="str">
            <v>3J253C</v>
          </cell>
          <cell r="E2430">
            <v>732</v>
          </cell>
          <cell r="F2430">
            <v>43436</v>
          </cell>
          <cell r="G2430" t="str">
            <v>OK</v>
          </cell>
        </row>
        <row r="2431">
          <cell r="A2431" t="str">
            <v>Y1812-0692</v>
          </cell>
          <cell r="B2431">
            <v>201809</v>
          </cell>
          <cell r="C2431" t="str">
            <v>39732</v>
          </cell>
          <cell r="D2431" t="str">
            <v>7S121C</v>
          </cell>
          <cell r="E2431">
            <v>360</v>
          </cell>
          <cell r="F2431">
            <v>43436</v>
          </cell>
          <cell r="G2431" t="str">
            <v>OK</v>
          </cell>
        </row>
        <row r="2432">
          <cell r="A2432" t="str">
            <v>Y1812-0693</v>
          </cell>
          <cell r="B2432">
            <v>201809</v>
          </cell>
          <cell r="C2432" t="str">
            <v>39730</v>
          </cell>
          <cell r="D2432" t="str">
            <v>7J234C</v>
          </cell>
          <cell r="E2432">
            <v>360</v>
          </cell>
          <cell r="F2432">
            <v>43436</v>
          </cell>
          <cell r="G2432" t="str">
            <v>11/06</v>
          </cell>
        </row>
        <row r="2433">
          <cell r="A2433" t="str">
            <v>Y1812-0694</v>
          </cell>
          <cell r="B2433">
            <v>201809</v>
          </cell>
          <cell r="C2433" t="str">
            <v>39728</v>
          </cell>
          <cell r="D2433" t="str">
            <v>1J794C</v>
          </cell>
          <cell r="E2433">
            <v>360</v>
          </cell>
          <cell r="F2433">
            <v>43436</v>
          </cell>
          <cell r="G2433" t="str">
            <v>11/13</v>
          </cell>
        </row>
        <row r="2434">
          <cell r="A2434" t="str">
            <v>Y1812-0695</v>
          </cell>
          <cell r="B2434">
            <v>201809</v>
          </cell>
          <cell r="C2434" t="str">
            <v>39728</v>
          </cell>
          <cell r="D2434" t="str">
            <v>1J793C</v>
          </cell>
          <cell r="E2434">
            <v>360</v>
          </cell>
          <cell r="F2434">
            <v>43436</v>
          </cell>
          <cell r="G2434" t="str">
            <v>OK</v>
          </cell>
        </row>
        <row r="2435">
          <cell r="A2435" t="str">
            <v>Y1812-0696</v>
          </cell>
          <cell r="B2435">
            <v>201809</v>
          </cell>
          <cell r="C2435" t="str">
            <v>39726</v>
          </cell>
          <cell r="D2435" t="str">
            <v>8J231</v>
          </cell>
          <cell r="E2435">
            <v>588</v>
          </cell>
          <cell r="F2435">
            <v>43456</v>
          </cell>
          <cell r="G2435" t="str">
            <v>11/13</v>
          </cell>
        </row>
        <row r="2436">
          <cell r="A2436" t="str">
            <v>Y1812-0697</v>
          </cell>
          <cell r="B2436">
            <v>201809</v>
          </cell>
          <cell r="C2436" t="str">
            <v>39726</v>
          </cell>
          <cell r="D2436">
            <v>88877</v>
          </cell>
          <cell r="E2436">
            <v>1644</v>
          </cell>
          <cell r="F2436">
            <v>43456</v>
          </cell>
          <cell r="G2436" t="str">
            <v>11/13</v>
          </cell>
        </row>
        <row r="2437">
          <cell r="A2437" t="str">
            <v>Y1812-0698</v>
          </cell>
          <cell r="B2437">
            <v>201809</v>
          </cell>
          <cell r="C2437" t="str">
            <v>39726</v>
          </cell>
          <cell r="D2437">
            <v>88871</v>
          </cell>
          <cell r="E2437">
            <v>660</v>
          </cell>
          <cell r="F2437">
            <v>43456</v>
          </cell>
          <cell r="G2437" t="str">
            <v>11/13</v>
          </cell>
        </row>
        <row r="2438">
          <cell r="A2438" t="str">
            <v>Y1812-0699</v>
          </cell>
          <cell r="B2438">
            <v>201809</v>
          </cell>
          <cell r="C2438" t="str">
            <v>39726</v>
          </cell>
          <cell r="D2438">
            <v>88865</v>
          </cell>
          <cell r="E2438">
            <v>744</v>
          </cell>
          <cell r="F2438">
            <v>43456</v>
          </cell>
          <cell r="G2438" t="str">
            <v>11/13</v>
          </cell>
        </row>
        <row r="2439">
          <cell r="A2439" t="str">
            <v>Y1812-0700</v>
          </cell>
          <cell r="B2439">
            <v>201809</v>
          </cell>
          <cell r="C2439" t="str">
            <v>39725</v>
          </cell>
          <cell r="D2439" t="str">
            <v>7J256C</v>
          </cell>
          <cell r="E2439">
            <v>2256</v>
          </cell>
          <cell r="F2439">
            <v>43436</v>
          </cell>
          <cell r="G2439" t="str">
            <v>11/06</v>
          </cell>
        </row>
        <row r="2440">
          <cell r="A2440" t="str">
            <v>Y1812-0701</v>
          </cell>
          <cell r="B2440">
            <v>201809</v>
          </cell>
          <cell r="C2440" t="str">
            <v>39725</v>
          </cell>
          <cell r="D2440" t="str">
            <v>7J253C</v>
          </cell>
          <cell r="E2440">
            <v>540</v>
          </cell>
          <cell r="F2440">
            <v>43436</v>
          </cell>
          <cell r="G2440" t="str">
            <v>OK</v>
          </cell>
        </row>
        <row r="2441">
          <cell r="A2441" t="str">
            <v>Y1812-0702</v>
          </cell>
          <cell r="B2441">
            <v>201809</v>
          </cell>
          <cell r="C2441" t="str">
            <v>39733</v>
          </cell>
          <cell r="D2441" t="str">
            <v>158369C</v>
          </cell>
          <cell r="E2441">
            <v>1500</v>
          </cell>
          <cell r="F2441">
            <v>43456</v>
          </cell>
          <cell r="G2441" t="str">
            <v>11/13</v>
          </cell>
        </row>
        <row r="2442">
          <cell r="A2442" t="str">
            <v>Y1812-0703</v>
          </cell>
          <cell r="B2442">
            <v>201809</v>
          </cell>
          <cell r="C2442" t="str">
            <v>39710</v>
          </cell>
          <cell r="D2442" t="str">
            <v>M9622C</v>
          </cell>
          <cell r="E2442">
            <v>408</v>
          </cell>
          <cell r="F2442">
            <v>43436</v>
          </cell>
          <cell r="G2442" t="str">
            <v>11/06</v>
          </cell>
        </row>
        <row r="2443">
          <cell r="A2443" t="str">
            <v>Y1812-0704</v>
          </cell>
          <cell r="B2443">
            <v>201809</v>
          </cell>
          <cell r="C2443" t="str">
            <v>39709</v>
          </cell>
          <cell r="D2443" t="str">
            <v>M9160C</v>
          </cell>
          <cell r="E2443">
            <v>9684</v>
          </cell>
          <cell r="F2443">
            <v>43436</v>
          </cell>
          <cell r="G2443" t="str">
            <v>OK</v>
          </cell>
        </row>
        <row r="2444">
          <cell r="A2444" t="str">
            <v>Y1812-0705</v>
          </cell>
          <cell r="B2444">
            <v>201809</v>
          </cell>
          <cell r="C2444" t="str">
            <v>39754</v>
          </cell>
          <cell r="D2444">
            <v>88877</v>
          </cell>
          <cell r="E2444">
            <v>240</v>
          </cell>
          <cell r="F2444">
            <v>43456</v>
          </cell>
          <cell r="G2444" t="str">
            <v>11/13</v>
          </cell>
        </row>
        <row r="2445">
          <cell r="A2445" t="str">
            <v>Y1812-0706</v>
          </cell>
          <cell r="B2445">
            <v>201809</v>
          </cell>
          <cell r="C2445" t="str">
            <v>39753</v>
          </cell>
          <cell r="D2445" t="str">
            <v>7J253C</v>
          </cell>
          <cell r="E2445">
            <v>240</v>
          </cell>
          <cell r="F2445">
            <v>43436</v>
          </cell>
          <cell r="G2445" t="str">
            <v>OK</v>
          </cell>
        </row>
        <row r="2446">
          <cell r="A2446" t="str">
            <v>Y1812-0707</v>
          </cell>
          <cell r="B2446">
            <v>201809</v>
          </cell>
          <cell r="C2446" t="str">
            <v>39751</v>
          </cell>
          <cell r="D2446" t="str">
            <v>3J253C</v>
          </cell>
          <cell r="E2446">
            <v>240</v>
          </cell>
          <cell r="F2446">
            <v>43436</v>
          </cell>
          <cell r="G2446" t="str">
            <v>OK</v>
          </cell>
        </row>
        <row r="2447">
          <cell r="A2447" t="str">
            <v>Y1812-0708</v>
          </cell>
          <cell r="B2447">
            <v>201809</v>
          </cell>
          <cell r="C2447" t="str">
            <v>39753</v>
          </cell>
          <cell r="D2447" t="str">
            <v>7J256C</v>
          </cell>
          <cell r="E2447">
            <v>240</v>
          </cell>
          <cell r="F2447">
            <v>43436</v>
          </cell>
          <cell r="G2447" t="str">
            <v>OK</v>
          </cell>
        </row>
        <row r="2448">
          <cell r="A2448" t="str">
            <v>Y1812-0709</v>
          </cell>
          <cell r="B2448">
            <v>201809</v>
          </cell>
          <cell r="C2448" t="str">
            <v>39752</v>
          </cell>
          <cell r="D2448" t="str">
            <v>3S121C</v>
          </cell>
          <cell r="E2448">
            <v>240</v>
          </cell>
          <cell r="F2448">
            <v>43436</v>
          </cell>
          <cell r="G2448" t="str">
            <v>11/06</v>
          </cell>
        </row>
        <row r="2449">
          <cell r="A2449" t="str">
            <v>Y1812-0710</v>
          </cell>
          <cell r="B2449">
            <v>201809</v>
          </cell>
          <cell r="C2449" t="str">
            <v>39743</v>
          </cell>
          <cell r="D2449" t="str">
            <v>M9160C</v>
          </cell>
          <cell r="E2449">
            <v>1884</v>
          </cell>
          <cell r="F2449">
            <v>43436</v>
          </cell>
          <cell r="G2449" t="str">
            <v>OK</v>
          </cell>
        </row>
        <row r="2450">
          <cell r="A2450" t="str">
            <v>Y1812-0711</v>
          </cell>
          <cell r="B2450">
            <v>201809</v>
          </cell>
          <cell r="C2450" t="str">
            <v>39742</v>
          </cell>
          <cell r="D2450" t="str">
            <v>M7652C</v>
          </cell>
          <cell r="E2450">
            <v>2424</v>
          </cell>
          <cell r="F2450">
            <v>43436</v>
          </cell>
          <cell r="G2450" t="str">
            <v>OK</v>
          </cell>
        </row>
        <row r="2451">
          <cell r="A2451" t="str">
            <v>Y1812-0712</v>
          </cell>
          <cell r="B2451">
            <v>201809</v>
          </cell>
          <cell r="C2451" t="str">
            <v>5</v>
          </cell>
          <cell r="D2451" t="str">
            <v>7J233C</v>
          </cell>
          <cell r="E2451">
            <v>564</v>
          </cell>
          <cell r="F2451">
            <v>43465</v>
          </cell>
          <cell r="G2451" t="str">
            <v>11/06</v>
          </cell>
        </row>
        <row r="2452">
          <cell r="A2452" t="str">
            <v>Y1812-0713</v>
          </cell>
          <cell r="B2452">
            <v>201809</v>
          </cell>
          <cell r="C2452" t="str">
            <v>5</v>
          </cell>
          <cell r="D2452" t="str">
            <v>7J233C</v>
          </cell>
          <cell r="E2452">
            <v>252</v>
          </cell>
          <cell r="F2452">
            <v>43465</v>
          </cell>
          <cell r="G2452" t="str">
            <v>11/06</v>
          </cell>
        </row>
        <row r="2453">
          <cell r="A2453" t="str">
            <v>Y1812-0714</v>
          </cell>
          <cell r="B2453">
            <v>201809</v>
          </cell>
          <cell r="C2453" t="str">
            <v>4</v>
          </cell>
          <cell r="D2453" t="str">
            <v>7J232C</v>
          </cell>
          <cell r="E2453">
            <v>420</v>
          </cell>
          <cell r="F2453">
            <v>43465</v>
          </cell>
          <cell r="G2453" t="str">
            <v>OK</v>
          </cell>
        </row>
        <row r="2454">
          <cell r="A2454" t="str">
            <v>Y1812-0715</v>
          </cell>
          <cell r="B2454">
            <v>201809</v>
          </cell>
          <cell r="C2454" t="str">
            <v>7</v>
          </cell>
          <cell r="D2454" t="str">
            <v>7J256C</v>
          </cell>
          <cell r="E2454">
            <v>132</v>
          </cell>
          <cell r="F2454">
            <v>43465</v>
          </cell>
          <cell r="G2454" t="str">
            <v>11/13</v>
          </cell>
        </row>
        <row r="2455">
          <cell r="A2455" t="str">
            <v>Y1812-0716</v>
          </cell>
          <cell r="B2455">
            <v>201809</v>
          </cell>
          <cell r="C2455" t="str">
            <v>7</v>
          </cell>
          <cell r="D2455" t="str">
            <v>7J256C</v>
          </cell>
          <cell r="E2455">
            <v>696</v>
          </cell>
          <cell r="F2455">
            <v>43465</v>
          </cell>
          <cell r="G2455" t="str">
            <v>11/13</v>
          </cell>
        </row>
        <row r="2456">
          <cell r="A2456" t="str">
            <v>Y1812-0717</v>
          </cell>
          <cell r="B2456">
            <v>201809</v>
          </cell>
          <cell r="C2456" t="str">
            <v>7</v>
          </cell>
          <cell r="D2456" t="str">
            <v>7J256C</v>
          </cell>
          <cell r="E2456">
            <v>396</v>
          </cell>
          <cell r="F2456">
            <v>43465</v>
          </cell>
          <cell r="G2456" t="str">
            <v>11/13</v>
          </cell>
        </row>
        <row r="2457">
          <cell r="A2457" t="str">
            <v>Y1812-0718</v>
          </cell>
          <cell r="B2457">
            <v>201809</v>
          </cell>
          <cell r="C2457" t="str">
            <v>1</v>
          </cell>
          <cell r="D2457" t="str">
            <v>1J794C</v>
          </cell>
          <cell r="E2457">
            <v>120</v>
          </cell>
          <cell r="F2457">
            <v>43465</v>
          </cell>
          <cell r="G2457" t="str">
            <v>11/13</v>
          </cell>
        </row>
        <row r="2458">
          <cell r="A2458" t="str">
            <v>Y1812-0719</v>
          </cell>
          <cell r="B2458">
            <v>201809</v>
          </cell>
          <cell r="C2458" t="str">
            <v>1</v>
          </cell>
          <cell r="D2458" t="str">
            <v>1J794C</v>
          </cell>
          <cell r="E2458">
            <v>672</v>
          </cell>
          <cell r="F2458">
            <v>43465</v>
          </cell>
          <cell r="G2458" t="str">
            <v>11/13</v>
          </cell>
        </row>
        <row r="2459">
          <cell r="A2459" t="str">
            <v>Y1812-0720</v>
          </cell>
          <cell r="B2459">
            <v>201809</v>
          </cell>
          <cell r="C2459" t="str">
            <v>6</v>
          </cell>
          <cell r="D2459" t="str">
            <v>7J237C</v>
          </cell>
          <cell r="E2459">
            <v>348</v>
          </cell>
          <cell r="F2459">
            <v>43465</v>
          </cell>
          <cell r="G2459" t="str">
            <v>11/06</v>
          </cell>
        </row>
        <row r="2460">
          <cell r="A2460" t="str">
            <v>Y1812-0721</v>
          </cell>
          <cell r="B2460">
            <v>201809</v>
          </cell>
          <cell r="C2460" t="str">
            <v>4</v>
          </cell>
          <cell r="D2460" t="str">
            <v>7J231C</v>
          </cell>
          <cell r="E2460">
            <v>120</v>
          </cell>
          <cell r="F2460">
            <v>43465</v>
          </cell>
          <cell r="G2460" t="str">
            <v>OK</v>
          </cell>
        </row>
        <row r="2461">
          <cell r="A2461" t="str">
            <v>Y1812-0722</v>
          </cell>
          <cell r="B2461">
            <v>201809</v>
          </cell>
          <cell r="C2461" t="str">
            <v>4</v>
          </cell>
          <cell r="D2461" t="str">
            <v>7J231C</v>
          </cell>
          <cell r="E2461">
            <v>492</v>
          </cell>
          <cell r="F2461">
            <v>43465</v>
          </cell>
          <cell r="G2461" t="str">
            <v>OK</v>
          </cell>
        </row>
        <row r="2462">
          <cell r="A2462" t="str">
            <v>Y1812-0723</v>
          </cell>
          <cell r="B2462">
            <v>201809</v>
          </cell>
          <cell r="C2462" t="str">
            <v>6</v>
          </cell>
          <cell r="D2462" t="str">
            <v>7J253C</v>
          </cell>
          <cell r="E2462">
            <v>516</v>
          </cell>
          <cell r="F2462">
            <v>43465</v>
          </cell>
          <cell r="G2462" t="str">
            <v>OK</v>
          </cell>
        </row>
        <row r="2463">
          <cell r="A2463" t="str">
            <v>Y1812-0724</v>
          </cell>
          <cell r="B2463">
            <v>201809</v>
          </cell>
          <cell r="C2463" t="str">
            <v>6</v>
          </cell>
          <cell r="D2463" t="str">
            <v>7J253C</v>
          </cell>
          <cell r="E2463">
            <v>288</v>
          </cell>
          <cell r="F2463">
            <v>43465</v>
          </cell>
          <cell r="G2463" t="str">
            <v>OK</v>
          </cell>
        </row>
        <row r="2464">
          <cell r="A2464" t="str">
            <v>Y1812-0725</v>
          </cell>
          <cell r="B2464">
            <v>201809</v>
          </cell>
          <cell r="C2464" t="str">
            <v>6</v>
          </cell>
          <cell r="D2464" t="str">
            <v>7J236C</v>
          </cell>
          <cell r="E2464">
            <v>408</v>
          </cell>
          <cell r="F2464">
            <v>43465</v>
          </cell>
          <cell r="G2464" t="str">
            <v>OK</v>
          </cell>
        </row>
        <row r="2465">
          <cell r="A2465" t="str">
            <v>Y1812-0726</v>
          </cell>
          <cell r="B2465">
            <v>201809</v>
          </cell>
          <cell r="C2465" t="str">
            <v>5</v>
          </cell>
          <cell r="D2465" t="str">
            <v>7J236C</v>
          </cell>
          <cell r="E2465">
            <v>324</v>
          </cell>
          <cell r="F2465">
            <v>43465</v>
          </cell>
          <cell r="G2465" t="str">
            <v>OK</v>
          </cell>
        </row>
        <row r="2466">
          <cell r="A2466" t="str">
            <v>Y1812-0727</v>
          </cell>
          <cell r="B2466">
            <v>201809</v>
          </cell>
          <cell r="C2466" t="str">
            <v>5</v>
          </cell>
          <cell r="D2466" t="str">
            <v>7J235C</v>
          </cell>
          <cell r="E2466">
            <v>540</v>
          </cell>
          <cell r="F2466">
            <v>43465</v>
          </cell>
          <cell r="G2466" t="str">
            <v>OK</v>
          </cell>
        </row>
        <row r="2467">
          <cell r="A2467" t="str">
            <v>Y1812-0728</v>
          </cell>
          <cell r="B2467">
            <v>201809</v>
          </cell>
          <cell r="C2467" t="str">
            <v>5</v>
          </cell>
          <cell r="D2467" t="str">
            <v>7J234C</v>
          </cell>
          <cell r="E2467">
            <v>240</v>
          </cell>
          <cell r="F2467">
            <v>43465</v>
          </cell>
          <cell r="G2467" t="str">
            <v>11/06</v>
          </cell>
        </row>
        <row r="2468">
          <cell r="A2468" t="str">
            <v>Y1812-0729</v>
          </cell>
          <cell r="B2468">
            <v>201809</v>
          </cell>
          <cell r="C2468" t="str">
            <v>1</v>
          </cell>
          <cell r="D2468" t="str">
            <v>314786C</v>
          </cell>
          <cell r="E2468">
            <v>192</v>
          </cell>
          <cell r="F2468">
            <v>43465</v>
          </cell>
          <cell r="G2468" t="str">
            <v>11/06</v>
          </cell>
        </row>
        <row r="2469">
          <cell r="A2469" t="str">
            <v>Y1812-0730</v>
          </cell>
          <cell r="B2469">
            <v>201809</v>
          </cell>
          <cell r="C2469" t="str">
            <v>1</v>
          </cell>
          <cell r="D2469" t="str">
            <v>1J794C</v>
          </cell>
          <cell r="E2469">
            <v>432</v>
          </cell>
          <cell r="F2469">
            <v>43465</v>
          </cell>
          <cell r="G2469" t="str">
            <v>11/13</v>
          </cell>
        </row>
        <row r="2470">
          <cell r="A2470" t="str">
            <v>Y1812-0731</v>
          </cell>
          <cell r="B2470">
            <v>201809</v>
          </cell>
          <cell r="C2470" t="str">
            <v>2</v>
          </cell>
          <cell r="D2470" t="str">
            <v>3J234C</v>
          </cell>
          <cell r="E2470">
            <v>516</v>
          </cell>
          <cell r="F2470">
            <v>43465</v>
          </cell>
          <cell r="G2470" t="str">
            <v>11/13</v>
          </cell>
        </row>
        <row r="2471">
          <cell r="A2471" t="str">
            <v>Y1812-0732</v>
          </cell>
          <cell r="B2471">
            <v>201809</v>
          </cell>
          <cell r="C2471" t="str">
            <v>2</v>
          </cell>
          <cell r="D2471" t="str">
            <v>3J234C</v>
          </cell>
          <cell r="E2471">
            <v>300</v>
          </cell>
          <cell r="F2471">
            <v>43465</v>
          </cell>
          <cell r="G2471" t="str">
            <v>11/13</v>
          </cell>
        </row>
        <row r="2472">
          <cell r="A2472" t="str">
            <v>Y1812-0733</v>
          </cell>
          <cell r="B2472">
            <v>201809</v>
          </cell>
          <cell r="C2472" t="str">
            <v>2</v>
          </cell>
          <cell r="D2472" t="str">
            <v>3J233C</v>
          </cell>
          <cell r="E2472">
            <v>552</v>
          </cell>
          <cell r="F2472">
            <v>43465</v>
          </cell>
          <cell r="G2472" t="str">
            <v>11/13</v>
          </cell>
        </row>
        <row r="2473">
          <cell r="A2473" t="str">
            <v>Y1812-0734</v>
          </cell>
          <cell r="B2473">
            <v>201809</v>
          </cell>
          <cell r="C2473" t="str">
            <v>2</v>
          </cell>
          <cell r="D2473" t="str">
            <v>3J233C</v>
          </cell>
          <cell r="E2473">
            <v>420</v>
          </cell>
          <cell r="F2473">
            <v>43465</v>
          </cell>
          <cell r="G2473" t="str">
            <v>11/13</v>
          </cell>
        </row>
        <row r="2474">
          <cell r="A2474" t="str">
            <v>Y1812-0735</v>
          </cell>
          <cell r="B2474">
            <v>201809</v>
          </cell>
          <cell r="C2474" t="str">
            <v>2</v>
          </cell>
          <cell r="D2474" t="str">
            <v>3J232C</v>
          </cell>
          <cell r="E2474">
            <v>600</v>
          </cell>
          <cell r="F2474">
            <v>43465</v>
          </cell>
          <cell r="G2474" t="str">
            <v>11/13</v>
          </cell>
        </row>
        <row r="2475">
          <cell r="A2475" t="str">
            <v>Y1812-0736</v>
          </cell>
          <cell r="B2475">
            <v>201809</v>
          </cell>
          <cell r="C2475" t="str">
            <v>2</v>
          </cell>
          <cell r="D2475" t="str">
            <v>3J231C</v>
          </cell>
          <cell r="E2475">
            <v>600</v>
          </cell>
          <cell r="F2475">
            <v>43465</v>
          </cell>
          <cell r="G2475" t="str">
            <v>11/06</v>
          </cell>
        </row>
        <row r="2476">
          <cell r="A2476" t="str">
            <v>Y1812-0737</v>
          </cell>
          <cell r="B2476">
            <v>201809</v>
          </cell>
          <cell r="C2476" t="str">
            <v>6</v>
          </cell>
          <cell r="D2476" t="str">
            <v>7J238C</v>
          </cell>
          <cell r="E2476">
            <v>516</v>
          </cell>
          <cell r="F2476">
            <v>43465</v>
          </cell>
          <cell r="G2476" t="str">
            <v>11/06</v>
          </cell>
        </row>
        <row r="2477">
          <cell r="A2477" t="str">
            <v>Y1812-0738</v>
          </cell>
          <cell r="B2477">
            <v>201809</v>
          </cell>
          <cell r="C2477" t="str">
            <v>6</v>
          </cell>
          <cell r="D2477" t="str">
            <v>7J238C</v>
          </cell>
          <cell r="E2477">
            <v>180</v>
          </cell>
          <cell r="F2477">
            <v>43465</v>
          </cell>
          <cell r="G2477" t="str">
            <v>11/06</v>
          </cell>
        </row>
        <row r="2478">
          <cell r="A2478" t="str">
            <v>Y1812-0739</v>
          </cell>
          <cell r="B2478">
            <v>201809</v>
          </cell>
          <cell r="C2478" t="str">
            <v>6</v>
          </cell>
          <cell r="D2478" t="str">
            <v>7J237C</v>
          </cell>
          <cell r="E2478">
            <v>120</v>
          </cell>
          <cell r="F2478">
            <v>43465</v>
          </cell>
          <cell r="G2478" t="str">
            <v>11/06</v>
          </cell>
        </row>
        <row r="2479">
          <cell r="A2479" t="str">
            <v>Y1812-0740</v>
          </cell>
          <cell r="B2479">
            <v>201809</v>
          </cell>
          <cell r="C2479" t="str">
            <v>6</v>
          </cell>
          <cell r="D2479" t="str">
            <v>7J237C</v>
          </cell>
          <cell r="E2479">
            <v>456</v>
          </cell>
          <cell r="F2479">
            <v>43465</v>
          </cell>
          <cell r="G2479" t="str">
            <v>11/06</v>
          </cell>
        </row>
        <row r="2480">
          <cell r="A2480" t="str">
            <v>Y1812-0741</v>
          </cell>
          <cell r="B2480">
            <v>201809</v>
          </cell>
          <cell r="C2480" t="str">
            <v>6</v>
          </cell>
          <cell r="D2480" t="str">
            <v>7J236C</v>
          </cell>
          <cell r="E2480">
            <v>168</v>
          </cell>
          <cell r="F2480">
            <v>43465</v>
          </cell>
          <cell r="G2480" t="str">
            <v>OK</v>
          </cell>
        </row>
        <row r="2481">
          <cell r="A2481" t="str">
            <v>Y1812-0742</v>
          </cell>
          <cell r="B2481">
            <v>201809</v>
          </cell>
          <cell r="C2481" t="str">
            <v>5</v>
          </cell>
          <cell r="D2481" t="str">
            <v>7J235C</v>
          </cell>
          <cell r="E2481">
            <v>120</v>
          </cell>
          <cell r="F2481">
            <v>43465</v>
          </cell>
          <cell r="G2481" t="str">
            <v>OK</v>
          </cell>
        </row>
        <row r="2482">
          <cell r="A2482" t="str">
            <v>Y1812-0743</v>
          </cell>
          <cell r="B2482">
            <v>201809</v>
          </cell>
          <cell r="C2482" t="str">
            <v>5</v>
          </cell>
          <cell r="D2482" t="str">
            <v>7J235C</v>
          </cell>
          <cell r="E2482">
            <v>384</v>
          </cell>
          <cell r="F2482">
            <v>43465</v>
          </cell>
          <cell r="G2482" t="str">
            <v>OK</v>
          </cell>
        </row>
        <row r="2483">
          <cell r="A2483" t="str">
            <v>Y1812-0744</v>
          </cell>
          <cell r="B2483">
            <v>201809</v>
          </cell>
          <cell r="C2483" t="str">
            <v>5</v>
          </cell>
          <cell r="D2483" t="str">
            <v>7J234C</v>
          </cell>
          <cell r="E2483">
            <v>468</v>
          </cell>
          <cell r="F2483">
            <v>43465</v>
          </cell>
          <cell r="G2483" t="str">
            <v>11/06</v>
          </cell>
        </row>
        <row r="2484">
          <cell r="A2484" t="str">
            <v>Y1812-0745</v>
          </cell>
          <cell r="B2484">
            <v>201809</v>
          </cell>
          <cell r="C2484" t="str">
            <v>5</v>
          </cell>
          <cell r="D2484" t="str">
            <v>7J233C</v>
          </cell>
          <cell r="E2484">
            <v>120</v>
          </cell>
          <cell r="F2484">
            <v>43465</v>
          </cell>
          <cell r="G2484" t="str">
            <v>11/06</v>
          </cell>
        </row>
        <row r="2485">
          <cell r="A2485" t="str">
            <v>Y1812-0746</v>
          </cell>
          <cell r="B2485">
            <v>201809</v>
          </cell>
          <cell r="C2485" t="str">
            <v>5</v>
          </cell>
          <cell r="D2485" t="str">
            <v>7J232C</v>
          </cell>
          <cell r="E2485">
            <v>168</v>
          </cell>
          <cell r="F2485">
            <v>43465</v>
          </cell>
          <cell r="G2485" t="str">
            <v>OK</v>
          </cell>
        </row>
        <row r="2486">
          <cell r="A2486" t="str">
            <v>Y1812-0747</v>
          </cell>
          <cell r="B2486">
            <v>201809</v>
          </cell>
          <cell r="C2486" t="str">
            <v>4</v>
          </cell>
          <cell r="D2486" t="str">
            <v>7J232C</v>
          </cell>
          <cell r="E2486">
            <v>240</v>
          </cell>
          <cell r="F2486">
            <v>43465</v>
          </cell>
          <cell r="G2486" t="str">
            <v>OK</v>
          </cell>
        </row>
        <row r="2487">
          <cell r="A2487" t="str">
            <v>Y1812-0748</v>
          </cell>
          <cell r="B2487">
            <v>201809</v>
          </cell>
          <cell r="C2487" t="str">
            <v>4</v>
          </cell>
          <cell r="D2487" t="str">
            <v>7J231C</v>
          </cell>
          <cell r="E2487">
            <v>276</v>
          </cell>
          <cell r="F2487">
            <v>43465</v>
          </cell>
          <cell r="G2487" t="str">
            <v>OK</v>
          </cell>
        </row>
        <row r="2488">
          <cell r="A2488" t="str">
            <v>Y1812-0749</v>
          </cell>
          <cell r="B2488">
            <v>201809</v>
          </cell>
          <cell r="C2488" t="str">
            <v>4</v>
          </cell>
          <cell r="D2488" t="str">
            <v>714786C</v>
          </cell>
          <cell r="E2488">
            <v>120</v>
          </cell>
          <cell r="F2488">
            <v>43465</v>
          </cell>
          <cell r="G2488" t="str">
            <v>11/13</v>
          </cell>
        </row>
        <row r="2489">
          <cell r="A2489" t="str">
            <v>Y1812-0750</v>
          </cell>
          <cell r="B2489">
            <v>201809</v>
          </cell>
          <cell r="C2489" t="str">
            <v>4</v>
          </cell>
          <cell r="D2489" t="str">
            <v>3S121C</v>
          </cell>
          <cell r="E2489">
            <v>132</v>
          </cell>
          <cell r="F2489">
            <v>43465</v>
          </cell>
          <cell r="G2489" t="str">
            <v>11/06</v>
          </cell>
        </row>
        <row r="2490">
          <cell r="A2490" t="str">
            <v>Y1812-0751</v>
          </cell>
          <cell r="B2490">
            <v>201809</v>
          </cell>
          <cell r="C2490" t="str">
            <v>4</v>
          </cell>
          <cell r="D2490" t="str">
            <v>3J256C</v>
          </cell>
          <cell r="E2490">
            <v>660</v>
          </cell>
          <cell r="F2490">
            <v>43465</v>
          </cell>
          <cell r="G2490" t="str">
            <v>11/13</v>
          </cell>
        </row>
        <row r="2491">
          <cell r="A2491" t="str">
            <v>Y1812-0752</v>
          </cell>
          <cell r="B2491">
            <v>201809</v>
          </cell>
          <cell r="C2491" t="str">
            <v>3</v>
          </cell>
          <cell r="D2491" t="str">
            <v>3J256C</v>
          </cell>
          <cell r="E2491">
            <v>360</v>
          </cell>
          <cell r="F2491">
            <v>43465</v>
          </cell>
          <cell r="G2491" t="str">
            <v>11/13</v>
          </cell>
        </row>
        <row r="2492">
          <cell r="A2492" t="str">
            <v>Y1812-0753</v>
          </cell>
          <cell r="B2492">
            <v>201809</v>
          </cell>
          <cell r="C2492" t="str">
            <v>3</v>
          </cell>
          <cell r="D2492" t="str">
            <v>3J256C</v>
          </cell>
          <cell r="E2492">
            <v>156</v>
          </cell>
          <cell r="F2492">
            <v>43465</v>
          </cell>
          <cell r="G2492" t="str">
            <v>11/13</v>
          </cell>
        </row>
        <row r="2493">
          <cell r="A2493" t="str">
            <v>Y1812-0754</v>
          </cell>
          <cell r="B2493">
            <v>201809</v>
          </cell>
          <cell r="C2493" t="str">
            <v>3</v>
          </cell>
          <cell r="D2493" t="str">
            <v>3J253C</v>
          </cell>
          <cell r="E2493">
            <v>516</v>
          </cell>
          <cell r="F2493">
            <v>43465</v>
          </cell>
          <cell r="G2493" t="str">
            <v>11/13</v>
          </cell>
        </row>
        <row r="2494">
          <cell r="A2494" t="str">
            <v>Y1812-0755</v>
          </cell>
          <cell r="B2494">
            <v>201809</v>
          </cell>
          <cell r="C2494" t="str">
            <v>3</v>
          </cell>
          <cell r="D2494" t="str">
            <v>3J253C</v>
          </cell>
          <cell r="E2494">
            <v>120</v>
          </cell>
          <cell r="F2494">
            <v>43465</v>
          </cell>
          <cell r="G2494" t="str">
            <v>11/13</v>
          </cell>
        </row>
        <row r="2495">
          <cell r="A2495" t="str">
            <v>Y1812-0756</v>
          </cell>
          <cell r="B2495">
            <v>201809</v>
          </cell>
          <cell r="C2495" t="str">
            <v>3</v>
          </cell>
          <cell r="D2495" t="str">
            <v>3J253C</v>
          </cell>
          <cell r="E2495">
            <v>264</v>
          </cell>
          <cell r="F2495">
            <v>43465</v>
          </cell>
          <cell r="G2495" t="str">
            <v>11/13</v>
          </cell>
        </row>
        <row r="2496">
          <cell r="A2496" t="str">
            <v>Y1812-0757</v>
          </cell>
          <cell r="B2496">
            <v>201809</v>
          </cell>
          <cell r="C2496" t="str">
            <v>3</v>
          </cell>
          <cell r="D2496" t="str">
            <v>3J238C</v>
          </cell>
          <cell r="E2496">
            <v>564</v>
          </cell>
          <cell r="F2496">
            <v>43465</v>
          </cell>
          <cell r="G2496" t="str">
            <v>11/13</v>
          </cell>
        </row>
        <row r="2497">
          <cell r="A2497" t="str">
            <v>Y1812-0758</v>
          </cell>
          <cell r="B2497">
            <v>201809</v>
          </cell>
          <cell r="C2497" t="str">
            <v>3</v>
          </cell>
          <cell r="D2497" t="str">
            <v>3J238C</v>
          </cell>
          <cell r="E2497">
            <v>300</v>
          </cell>
          <cell r="F2497">
            <v>43465</v>
          </cell>
          <cell r="G2497" t="str">
            <v>11/13</v>
          </cell>
        </row>
        <row r="2498">
          <cell r="A2498" t="str">
            <v>Y1812-0759</v>
          </cell>
          <cell r="B2498">
            <v>201809</v>
          </cell>
          <cell r="C2498" t="str">
            <v>3</v>
          </cell>
          <cell r="D2498" t="str">
            <v>3J237C</v>
          </cell>
          <cell r="E2498">
            <v>660</v>
          </cell>
          <cell r="F2498">
            <v>43465</v>
          </cell>
          <cell r="G2498" t="str">
            <v>11/13</v>
          </cell>
        </row>
        <row r="2499">
          <cell r="A2499" t="str">
            <v>Y1812-0760</v>
          </cell>
          <cell r="B2499">
            <v>201809</v>
          </cell>
          <cell r="C2499" t="str">
            <v>3</v>
          </cell>
          <cell r="D2499" t="str">
            <v>3J237C</v>
          </cell>
          <cell r="E2499">
            <v>120</v>
          </cell>
          <cell r="F2499">
            <v>43465</v>
          </cell>
          <cell r="G2499" t="str">
            <v>11/13</v>
          </cell>
        </row>
        <row r="2500">
          <cell r="A2500" t="str">
            <v>Y1812-0761</v>
          </cell>
          <cell r="B2500">
            <v>201809</v>
          </cell>
          <cell r="C2500" t="str">
            <v>3</v>
          </cell>
          <cell r="D2500" t="str">
            <v>3J237C</v>
          </cell>
          <cell r="E2500">
            <v>360</v>
          </cell>
          <cell r="F2500">
            <v>43465</v>
          </cell>
          <cell r="G2500" t="str">
            <v>11/13</v>
          </cell>
        </row>
        <row r="2501">
          <cell r="A2501" t="str">
            <v>Y1812-0762</v>
          </cell>
          <cell r="B2501">
            <v>201809</v>
          </cell>
          <cell r="C2501" t="str">
            <v>2</v>
          </cell>
          <cell r="D2501" t="str">
            <v>3J236C</v>
          </cell>
          <cell r="E2501">
            <v>636</v>
          </cell>
          <cell r="F2501">
            <v>43465</v>
          </cell>
          <cell r="G2501" t="str">
            <v>11/13</v>
          </cell>
        </row>
        <row r="2502">
          <cell r="A2502" t="str">
            <v>Y1812-0763</v>
          </cell>
          <cell r="B2502">
            <v>201809</v>
          </cell>
          <cell r="C2502" t="str">
            <v>2</v>
          </cell>
          <cell r="D2502" t="str">
            <v>3J235C</v>
          </cell>
          <cell r="E2502">
            <v>600</v>
          </cell>
          <cell r="F2502">
            <v>43465</v>
          </cell>
          <cell r="G2502" t="str">
            <v>11/06</v>
          </cell>
        </row>
        <row r="2503">
          <cell r="A2503" t="str">
            <v>Y1812-0764</v>
          </cell>
          <cell r="B2503">
            <v>201809</v>
          </cell>
          <cell r="C2503" t="str">
            <v>2</v>
          </cell>
          <cell r="D2503" t="str">
            <v>3J235C</v>
          </cell>
          <cell r="E2503">
            <v>120</v>
          </cell>
          <cell r="F2503">
            <v>43465</v>
          </cell>
          <cell r="G2503" t="str">
            <v>11/06</v>
          </cell>
        </row>
        <row r="2504">
          <cell r="A2504" t="str">
            <v>Y1812-0765</v>
          </cell>
          <cell r="B2504">
            <v>201809</v>
          </cell>
          <cell r="C2504" t="str">
            <v>6</v>
          </cell>
          <cell r="D2504" t="str">
            <v>7J253C</v>
          </cell>
          <cell r="E2504">
            <v>120</v>
          </cell>
          <cell r="F2504">
            <v>43465</v>
          </cell>
          <cell r="G2504" t="str">
            <v>OK</v>
          </cell>
        </row>
        <row r="2505">
          <cell r="A2505" t="str">
            <v>Y1812-0766</v>
          </cell>
          <cell r="B2505">
            <v>201809</v>
          </cell>
          <cell r="C2505" t="str">
            <v>2</v>
          </cell>
          <cell r="D2505" t="str">
            <v>3J235C</v>
          </cell>
          <cell r="E2505">
            <v>468</v>
          </cell>
          <cell r="F2505">
            <v>43465</v>
          </cell>
          <cell r="G2505" t="str">
            <v>11/06</v>
          </cell>
        </row>
        <row r="2506">
          <cell r="A2506" t="str">
            <v>Y1812-0767</v>
          </cell>
          <cell r="B2506">
            <v>201809</v>
          </cell>
          <cell r="C2506" t="str">
            <v>16</v>
          </cell>
          <cell r="D2506" t="str">
            <v>3J231C</v>
          </cell>
          <cell r="E2506">
            <v>120</v>
          </cell>
          <cell r="F2506">
            <v>43465</v>
          </cell>
          <cell r="G2506" t="str">
            <v>11/13</v>
          </cell>
        </row>
        <row r="2507">
          <cell r="A2507" t="str">
            <v>Y1812-0768</v>
          </cell>
          <cell r="B2507">
            <v>201809</v>
          </cell>
          <cell r="C2507" t="str">
            <v>16</v>
          </cell>
          <cell r="D2507" t="str">
            <v>1J793C</v>
          </cell>
          <cell r="E2507">
            <v>120</v>
          </cell>
          <cell r="F2507">
            <v>43465</v>
          </cell>
          <cell r="G2507" t="str">
            <v>11/13</v>
          </cell>
        </row>
        <row r="2508">
          <cell r="A2508" t="str">
            <v>Y1812-0769</v>
          </cell>
          <cell r="B2508">
            <v>201809</v>
          </cell>
          <cell r="C2508" t="str">
            <v>16</v>
          </cell>
          <cell r="D2508" t="str">
            <v>1J793C</v>
          </cell>
          <cell r="E2508">
            <v>120</v>
          </cell>
          <cell r="F2508">
            <v>43465</v>
          </cell>
          <cell r="G2508" t="str">
            <v>11/13</v>
          </cell>
        </row>
        <row r="2509">
          <cell r="A2509" t="str">
            <v>Y1812-0770</v>
          </cell>
          <cell r="B2509">
            <v>201809</v>
          </cell>
          <cell r="C2509" t="str">
            <v>15</v>
          </cell>
          <cell r="D2509" t="str">
            <v>7J237C</v>
          </cell>
          <cell r="E2509">
            <v>120</v>
          </cell>
          <cell r="F2509">
            <v>43465</v>
          </cell>
          <cell r="G2509" t="str">
            <v>11/06</v>
          </cell>
        </row>
        <row r="2510">
          <cell r="A2510" t="str">
            <v>Y1812-0771</v>
          </cell>
          <cell r="B2510">
            <v>201809</v>
          </cell>
          <cell r="C2510" t="str">
            <v>15</v>
          </cell>
          <cell r="D2510" t="str">
            <v>3J256C</v>
          </cell>
          <cell r="E2510">
            <v>264</v>
          </cell>
          <cell r="F2510">
            <v>43465</v>
          </cell>
          <cell r="G2510" t="str">
            <v>11/13</v>
          </cell>
        </row>
        <row r="2511">
          <cell r="A2511" t="str">
            <v>Y1812-0772</v>
          </cell>
          <cell r="B2511">
            <v>201809</v>
          </cell>
          <cell r="C2511" t="str">
            <v>15</v>
          </cell>
          <cell r="D2511" t="str">
            <v>3J253C</v>
          </cell>
          <cell r="E2511">
            <v>144</v>
          </cell>
          <cell r="F2511">
            <v>43465</v>
          </cell>
          <cell r="G2511" t="str">
            <v>11/13</v>
          </cell>
        </row>
        <row r="2512">
          <cell r="A2512" t="str">
            <v>Y1812-0773</v>
          </cell>
          <cell r="B2512">
            <v>201809</v>
          </cell>
          <cell r="C2512" t="str">
            <v>15</v>
          </cell>
          <cell r="D2512" t="str">
            <v>3J237C</v>
          </cell>
          <cell r="E2512">
            <v>240</v>
          </cell>
          <cell r="F2512">
            <v>43465</v>
          </cell>
          <cell r="G2512" t="str">
            <v>11/13</v>
          </cell>
        </row>
        <row r="2513">
          <cell r="A2513" t="str">
            <v>Y1812-0774</v>
          </cell>
          <cell r="B2513">
            <v>201809</v>
          </cell>
          <cell r="C2513" t="str">
            <v>AutoGen_1095674</v>
          </cell>
          <cell r="D2513" t="str">
            <v>158369C</v>
          </cell>
          <cell r="E2513">
            <v>120</v>
          </cell>
          <cell r="F2513">
            <v>43458</v>
          </cell>
          <cell r="G2513" t="str">
            <v>11/13</v>
          </cell>
        </row>
        <row r="2514">
          <cell r="A2514" t="str">
            <v>Y1812-0775</v>
          </cell>
          <cell r="B2514">
            <v>201809</v>
          </cell>
          <cell r="C2514" t="str">
            <v>AutoGen_1095674</v>
          </cell>
          <cell r="D2514" t="str">
            <v>158369C</v>
          </cell>
          <cell r="E2514">
            <v>120</v>
          </cell>
          <cell r="F2514">
            <v>43458</v>
          </cell>
          <cell r="G2514" t="str">
            <v>11/13</v>
          </cell>
        </row>
        <row r="2515">
          <cell r="A2515" t="str">
            <v>Y1812-0789</v>
          </cell>
          <cell r="B2515">
            <v>201809</v>
          </cell>
          <cell r="C2515" t="str">
            <v>CNCLZ181301CO-3</v>
          </cell>
          <cell r="D2515" t="str">
            <v>7J238C</v>
          </cell>
          <cell r="E2515">
            <v>384</v>
          </cell>
          <cell r="F2515">
            <v>43436</v>
          </cell>
          <cell r="G2515" t="str">
            <v>11/06</v>
          </cell>
        </row>
        <row r="2516">
          <cell r="A2516" t="str">
            <v>Y1812-0790</v>
          </cell>
          <cell r="B2516">
            <v>201809</v>
          </cell>
          <cell r="C2516" t="str">
            <v>CNCLZ181301CO-2</v>
          </cell>
          <cell r="D2516" t="str">
            <v>7J236C</v>
          </cell>
          <cell r="E2516">
            <v>372</v>
          </cell>
          <cell r="F2516">
            <v>43436</v>
          </cell>
          <cell r="G2516" t="str">
            <v>OK</v>
          </cell>
        </row>
        <row r="2517">
          <cell r="A2517" t="str">
            <v>Y1812-0791</v>
          </cell>
          <cell r="B2517">
            <v>201809</v>
          </cell>
          <cell r="C2517" t="str">
            <v>CNCLZ181301CO-2</v>
          </cell>
          <cell r="D2517" t="str">
            <v>7J256C</v>
          </cell>
          <cell r="E2517">
            <v>360</v>
          </cell>
          <cell r="F2517">
            <v>43436</v>
          </cell>
          <cell r="G2517" t="str">
            <v>OK</v>
          </cell>
        </row>
        <row r="2518">
          <cell r="A2518" t="str">
            <v>Y1812-0792</v>
          </cell>
          <cell r="B2518">
            <v>201809</v>
          </cell>
          <cell r="C2518" t="str">
            <v>CNCLZ181301CO-1</v>
          </cell>
          <cell r="D2518" t="str">
            <v>3J234C</v>
          </cell>
          <cell r="E2518">
            <v>372</v>
          </cell>
          <cell r="F2518">
            <v>43436</v>
          </cell>
          <cell r="G2518" t="str">
            <v>11/06</v>
          </cell>
        </row>
        <row r="2519">
          <cell r="A2519" t="str">
            <v>Y1812-0793</v>
          </cell>
          <cell r="B2519">
            <v>201809</v>
          </cell>
          <cell r="C2519" t="str">
            <v>CNCLZ181301CO-1</v>
          </cell>
          <cell r="D2519" t="str">
            <v>3J233C</v>
          </cell>
          <cell r="E2519">
            <v>360</v>
          </cell>
          <cell r="F2519">
            <v>43436</v>
          </cell>
          <cell r="G2519" t="str">
            <v>11/06</v>
          </cell>
        </row>
        <row r="2520">
          <cell r="A2520" t="str">
            <v>Y1812-0794</v>
          </cell>
          <cell r="B2520">
            <v>201809</v>
          </cell>
          <cell r="C2520" t="str">
            <v>CNCLZ181301CO-1</v>
          </cell>
          <cell r="D2520" t="str">
            <v>3J232C</v>
          </cell>
          <cell r="E2520">
            <v>360</v>
          </cell>
          <cell r="F2520">
            <v>43436</v>
          </cell>
          <cell r="G2520" t="str">
            <v>OK</v>
          </cell>
        </row>
        <row r="2521">
          <cell r="A2521" t="str">
            <v>Y1812-0795</v>
          </cell>
          <cell r="B2521">
            <v>201809</v>
          </cell>
          <cell r="C2521" t="str">
            <v>CNCLZ181301CO-1</v>
          </cell>
          <cell r="D2521" t="str">
            <v>3J231C</v>
          </cell>
          <cell r="E2521">
            <v>360</v>
          </cell>
          <cell r="F2521">
            <v>43436</v>
          </cell>
          <cell r="G2521" t="str">
            <v>11/06</v>
          </cell>
        </row>
        <row r="2522">
          <cell r="A2522" t="str">
            <v>Y1812-0796</v>
          </cell>
          <cell r="B2522">
            <v>201809</v>
          </cell>
          <cell r="C2522" t="str">
            <v>CNCLZ181301CO-1</v>
          </cell>
          <cell r="D2522" t="str">
            <v>3J253C</v>
          </cell>
          <cell r="E2522">
            <v>360</v>
          </cell>
          <cell r="F2522">
            <v>43436</v>
          </cell>
          <cell r="G2522" t="str">
            <v>OK</v>
          </cell>
        </row>
        <row r="2523">
          <cell r="A2523" t="str">
            <v>Y1812-0797</v>
          </cell>
          <cell r="B2523">
            <v>201809</v>
          </cell>
          <cell r="C2523" t="str">
            <v>CNCLZ181301CO-3</v>
          </cell>
          <cell r="D2523" t="str">
            <v>7J232C</v>
          </cell>
          <cell r="E2523">
            <v>360</v>
          </cell>
          <cell r="F2523">
            <v>43436</v>
          </cell>
          <cell r="G2523" t="str">
            <v>OK</v>
          </cell>
        </row>
        <row r="2524">
          <cell r="A2524" t="str">
            <v>Y1812-0798</v>
          </cell>
          <cell r="B2524">
            <v>201809</v>
          </cell>
          <cell r="C2524" t="str">
            <v>CNCLZ181301CO-3</v>
          </cell>
          <cell r="D2524" t="str">
            <v>7J234C</v>
          </cell>
          <cell r="E2524">
            <v>372</v>
          </cell>
          <cell r="F2524">
            <v>43436</v>
          </cell>
          <cell r="G2524" t="str">
            <v>11/06</v>
          </cell>
        </row>
        <row r="2525">
          <cell r="A2525" t="str">
            <v>Y1812-0799</v>
          </cell>
          <cell r="B2525">
            <v>201809</v>
          </cell>
          <cell r="C2525" t="str">
            <v>CNCLZ181301CO-1</v>
          </cell>
          <cell r="D2525" t="str">
            <v>3J238C</v>
          </cell>
          <cell r="E2525">
            <v>504</v>
          </cell>
          <cell r="F2525">
            <v>43436</v>
          </cell>
          <cell r="G2525" t="str">
            <v>OK</v>
          </cell>
        </row>
        <row r="2526">
          <cell r="A2526" t="str">
            <v>Y1812-0800</v>
          </cell>
          <cell r="B2526">
            <v>201809</v>
          </cell>
          <cell r="C2526" t="str">
            <v>CNCLZ181301CO-1</v>
          </cell>
          <cell r="D2526" t="str">
            <v>3J237C</v>
          </cell>
          <cell r="E2526">
            <v>540</v>
          </cell>
          <cell r="F2526">
            <v>43436</v>
          </cell>
          <cell r="G2526" t="str">
            <v>OK</v>
          </cell>
        </row>
        <row r="2527">
          <cell r="A2527" t="str">
            <v>Y1812-0801</v>
          </cell>
          <cell r="B2527">
            <v>201809</v>
          </cell>
          <cell r="C2527" t="str">
            <v>CNCLZ181301CO-1</v>
          </cell>
          <cell r="D2527" t="str">
            <v>3J236C</v>
          </cell>
          <cell r="E2527">
            <v>360</v>
          </cell>
          <cell r="F2527">
            <v>43436</v>
          </cell>
          <cell r="G2527" t="str">
            <v>OK</v>
          </cell>
        </row>
        <row r="2528">
          <cell r="A2528" t="str">
            <v>Y1812-0802</v>
          </cell>
          <cell r="B2528">
            <v>201809</v>
          </cell>
          <cell r="C2528" t="str">
            <v>CNCLZ181301CO-1</v>
          </cell>
          <cell r="D2528" t="str">
            <v>3J235C</v>
          </cell>
          <cell r="E2528">
            <v>732</v>
          </cell>
          <cell r="F2528">
            <v>43436</v>
          </cell>
          <cell r="G2528" t="str">
            <v>OK</v>
          </cell>
        </row>
        <row r="2529">
          <cell r="A2529" t="str">
            <v>Y1812-0803</v>
          </cell>
          <cell r="B2529">
            <v>201809</v>
          </cell>
          <cell r="C2529" t="str">
            <v>CNCLZ181301CO-1</v>
          </cell>
          <cell r="D2529" t="str">
            <v>3J256C</v>
          </cell>
          <cell r="E2529">
            <v>900</v>
          </cell>
          <cell r="F2529">
            <v>43436</v>
          </cell>
          <cell r="G2529" t="str">
            <v>11/13</v>
          </cell>
        </row>
        <row r="2530">
          <cell r="A2530" t="str">
            <v>Y1812-0804</v>
          </cell>
          <cell r="B2530">
            <v>201809</v>
          </cell>
          <cell r="C2530" t="str">
            <v>CNCLZ181301</v>
          </cell>
          <cell r="D2530" t="str">
            <v>359792C</v>
          </cell>
          <cell r="E2530">
            <v>432</v>
          </cell>
          <cell r="F2530">
            <v>43460</v>
          </cell>
          <cell r="G2530" t="str">
            <v>11/06</v>
          </cell>
        </row>
        <row r="2531">
          <cell r="A2531" t="str">
            <v>Y1812-0805</v>
          </cell>
          <cell r="B2531">
            <v>201809</v>
          </cell>
          <cell r="C2531" t="str">
            <v>CNCLZ181301CO-2</v>
          </cell>
          <cell r="D2531" t="str">
            <v>7J237C</v>
          </cell>
          <cell r="E2531">
            <v>360</v>
          </cell>
          <cell r="F2531">
            <v>43436</v>
          </cell>
          <cell r="G2531" t="str">
            <v>11/06</v>
          </cell>
        </row>
        <row r="2532">
          <cell r="A2532" t="str">
            <v>Y1812-0806</v>
          </cell>
          <cell r="B2532">
            <v>201809</v>
          </cell>
          <cell r="C2532" t="str">
            <v>CNCLZ181301CO-3</v>
          </cell>
          <cell r="D2532" t="str">
            <v>7J231C</v>
          </cell>
          <cell r="E2532">
            <v>360</v>
          </cell>
          <cell r="F2532">
            <v>43436</v>
          </cell>
          <cell r="G2532" t="str">
            <v>OK</v>
          </cell>
        </row>
        <row r="2533">
          <cell r="A2533" t="str">
            <v>Y1812-0807</v>
          </cell>
          <cell r="B2533">
            <v>201809</v>
          </cell>
          <cell r="C2533" t="str">
            <v>CNCLZ181301CO-2</v>
          </cell>
          <cell r="D2533" t="str">
            <v>7J235C</v>
          </cell>
          <cell r="E2533">
            <v>360</v>
          </cell>
          <cell r="F2533">
            <v>43436</v>
          </cell>
          <cell r="G2533" t="str">
            <v>OK</v>
          </cell>
        </row>
        <row r="2534">
          <cell r="A2534" t="str">
            <v>Y1812-0808</v>
          </cell>
          <cell r="B2534">
            <v>201809</v>
          </cell>
          <cell r="C2534" t="str">
            <v>FMC-19-090</v>
          </cell>
          <cell r="D2534" t="str">
            <v>7J234C</v>
          </cell>
          <cell r="E2534">
            <v>180</v>
          </cell>
          <cell r="F2534">
            <v>43436</v>
          </cell>
          <cell r="G2534" t="str">
            <v>11/06</v>
          </cell>
        </row>
        <row r="2535">
          <cell r="A2535" t="str">
            <v>Y1812-0809</v>
          </cell>
          <cell r="B2535">
            <v>201809</v>
          </cell>
          <cell r="C2535" t="str">
            <v>FMC-19-090</v>
          </cell>
          <cell r="D2535" t="str">
            <v>7J233C</v>
          </cell>
          <cell r="E2535">
            <v>120</v>
          </cell>
          <cell r="F2535">
            <v>43436</v>
          </cell>
          <cell r="G2535" t="str">
            <v>OK</v>
          </cell>
        </row>
        <row r="2536">
          <cell r="A2536" t="str">
            <v>Y1812-0810</v>
          </cell>
          <cell r="B2536">
            <v>201809</v>
          </cell>
          <cell r="C2536" t="str">
            <v>FMC-19-089</v>
          </cell>
          <cell r="D2536" t="str">
            <v>M9160C</v>
          </cell>
          <cell r="E2536">
            <v>4200</v>
          </cell>
          <cell r="F2536">
            <v>43436</v>
          </cell>
          <cell r="G2536" t="str">
            <v>OK</v>
          </cell>
        </row>
        <row r="2537">
          <cell r="A2537" t="str">
            <v>Y1812-0811</v>
          </cell>
          <cell r="B2537">
            <v>201809</v>
          </cell>
          <cell r="C2537" t="str">
            <v>B2065</v>
          </cell>
          <cell r="D2537" t="str">
            <v>155065C</v>
          </cell>
          <cell r="E2537">
            <v>1476</v>
          </cell>
          <cell r="F2537">
            <v>43463</v>
          </cell>
          <cell r="G2537" t="str">
            <v>11/13</v>
          </cell>
        </row>
        <row r="2538">
          <cell r="A2538" t="str">
            <v>Y1812-0812</v>
          </cell>
          <cell r="B2538">
            <v>201809</v>
          </cell>
          <cell r="C2538" t="str">
            <v>B2064B</v>
          </cell>
          <cell r="D2538" t="str">
            <v>159792C</v>
          </cell>
          <cell r="E2538">
            <v>1560</v>
          </cell>
          <cell r="F2538">
            <v>43463</v>
          </cell>
          <cell r="G2538" t="str">
            <v>11/06</v>
          </cell>
        </row>
        <row r="2539">
          <cell r="A2539" t="str">
            <v>Y1812-0813</v>
          </cell>
          <cell r="B2539">
            <v>201809</v>
          </cell>
          <cell r="C2539" t="str">
            <v>B2063</v>
          </cell>
          <cell r="D2539" t="str">
            <v>159792C</v>
          </cell>
          <cell r="E2539">
            <v>456</v>
          </cell>
          <cell r="F2539">
            <v>43463</v>
          </cell>
          <cell r="G2539" t="str">
            <v>11/06</v>
          </cell>
        </row>
        <row r="2540">
          <cell r="A2540" t="str">
            <v>Y1812-0814</v>
          </cell>
          <cell r="B2540">
            <v>201809</v>
          </cell>
          <cell r="C2540" t="str">
            <v>CORE_SEP BC 2018</v>
          </cell>
          <cell r="D2540" t="str">
            <v>158369C</v>
          </cell>
          <cell r="E2540">
            <v>456</v>
          </cell>
          <cell r="F2540">
            <v>43460</v>
          </cell>
          <cell r="G2540" t="str">
            <v>11/13</v>
          </cell>
        </row>
        <row r="2541">
          <cell r="A2541" t="str">
            <v>Y1812-0818</v>
          </cell>
          <cell r="B2541">
            <v>201809</v>
          </cell>
          <cell r="C2541" t="str">
            <v>CORE_SEP BC 2018</v>
          </cell>
          <cell r="D2541" t="str">
            <v>M7652C</v>
          </cell>
          <cell r="E2541">
            <v>7164</v>
          </cell>
          <cell r="F2541">
            <v>43436</v>
          </cell>
          <cell r="G2541" t="str">
            <v>OK</v>
          </cell>
        </row>
        <row r="2542">
          <cell r="A2542" t="str">
            <v>Y1812-0819</v>
          </cell>
          <cell r="B2542">
            <v>201809</v>
          </cell>
          <cell r="C2542" t="str">
            <v>CORE_SEP BC 2018</v>
          </cell>
          <cell r="D2542" t="str">
            <v>M9622C</v>
          </cell>
          <cell r="E2542">
            <v>720</v>
          </cell>
          <cell r="F2542">
            <v>43436</v>
          </cell>
          <cell r="G2542" t="str">
            <v>11/06</v>
          </cell>
        </row>
        <row r="2543">
          <cell r="A2543" t="str">
            <v>Y1812-0820</v>
          </cell>
          <cell r="B2543">
            <v>201809</v>
          </cell>
          <cell r="C2543" t="str">
            <v>CORE_SEP BC 2018</v>
          </cell>
          <cell r="D2543" t="str">
            <v>M9160C</v>
          </cell>
          <cell r="E2543">
            <v>1008</v>
          </cell>
          <cell r="F2543">
            <v>43436</v>
          </cell>
          <cell r="G2543" t="str">
            <v>OK</v>
          </cell>
        </row>
        <row r="2544">
          <cell r="A2544" t="str">
            <v>Y1812-0822</v>
          </cell>
          <cell r="B2544">
            <v>201809</v>
          </cell>
          <cell r="C2544" t="str">
            <v>AutoGen_1095691</v>
          </cell>
          <cell r="D2544" t="str">
            <v>M7652C</v>
          </cell>
          <cell r="E2544">
            <v>1668</v>
          </cell>
          <cell r="F2544">
            <v>43436</v>
          </cell>
          <cell r="G2544" t="str">
            <v>OK</v>
          </cell>
        </row>
        <row r="2545">
          <cell r="A2545" t="str">
            <v>Y1812-0447</v>
          </cell>
          <cell r="B2545">
            <v>201809</v>
          </cell>
          <cell r="C2545" t="str">
            <v>0100169621</v>
          </cell>
          <cell r="D2545" t="str">
            <v>763581C</v>
          </cell>
          <cell r="E2545">
            <v>252</v>
          </cell>
          <cell r="F2545">
            <v>43453</v>
          </cell>
          <cell r="G2545" t="str">
            <v>11/13</v>
          </cell>
        </row>
        <row r="2546">
          <cell r="A2546" t="str">
            <v>Y1901-0039</v>
          </cell>
          <cell r="B2546">
            <v>201809</v>
          </cell>
          <cell r="C2546" t="str">
            <v>0100169675</v>
          </cell>
          <cell r="D2546" t="str">
            <v>144145C</v>
          </cell>
          <cell r="E2546">
            <v>3456</v>
          </cell>
          <cell r="F2546">
            <v>43461</v>
          </cell>
          <cell r="G2546" t="str">
            <v>11/06</v>
          </cell>
        </row>
        <row r="2547">
          <cell r="A2547" t="str">
            <v>Y1901-0040</v>
          </cell>
          <cell r="B2547">
            <v>201809</v>
          </cell>
          <cell r="C2547" t="str">
            <v>0100169676</v>
          </cell>
          <cell r="D2547" t="str">
            <v>144148C</v>
          </cell>
          <cell r="E2547">
            <v>3396</v>
          </cell>
          <cell r="F2547">
            <v>43461</v>
          </cell>
          <cell r="G2547" t="str">
            <v>11/06</v>
          </cell>
        </row>
        <row r="2548">
          <cell r="A2548" t="str">
            <v>Y1812-0477</v>
          </cell>
          <cell r="B2548">
            <v>201809</v>
          </cell>
          <cell r="C2548" t="str">
            <v>0100169678</v>
          </cell>
          <cell r="D2548" t="str">
            <v>363711C</v>
          </cell>
          <cell r="E2548">
            <v>1656</v>
          </cell>
          <cell r="F2548">
            <v>43460</v>
          </cell>
          <cell r="G2548" t="str">
            <v>11/13</v>
          </cell>
        </row>
        <row r="2549">
          <cell r="A2549" t="str">
            <v>Y1812-0479</v>
          </cell>
          <cell r="B2549">
            <v>201809</v>
          </cell>
          <cell r="C2549" t="str">
            <v>0100169680</v>
          </cell>
          <cell r="D2549" t="str">
            <v>144151C</v>
          </cell>
          <cell r="E2549">
            <v>2028</v>
          </cell>
          <cell r="F2549">
            <v>43461</v>
          </cell>
          <cell r="G2549" t="str">
            <v>11/13</v>
          </cell>
        </row>
        <row r="2550">
          <cell r="A2550" t="str">
            <v>Y1901-0057</v>
          </cell>
          <cell r="B2550">
            <v>201809</v>
          </cell>
          <cell r="C2550" t="str">
            <v>0100169713</v>
          </cell>
          <cell r="D2550" t="str">
            <v>159792C</v>
          </cell>
          <cell r="E2550">
            <v>1104</v>
          </cell>
          <cell r="F2550">
            <v>43461</v>
          </cell>
          <cell r="G2550" t="str">
            <v>11/06</v>
          </cell>
        </row>
        <row r="2551">
          <cell r="A2551" t="str">
            <v>Y1901-0058</v>
          </cell>
          <cell r="B2551">
            <v>201809</v>
          </cell>
          <cell r="C2551" t="str">
            <v>0100169714</v>
          </cell>
          <cell r="D2551" t="str">
            <v>163200C</v>
          </cell>
          <cell r="E2551">
            <v>576</v>
          </cell>
          <cell r="F2551">
            <v>43457</v>
          </cell>
          <cell r="G2551" t="str">
            <v>11/13</v>
          </cell>
        </row>
        <row r="2552">
          <cell r="A2552" t="str">
            <v>Y1901-0059</v>
          </cell>
          <cell r="B2552">
            <v>201809</v>
          </cell>
          <cell r="C2552" t="str">
            <v>0100169715</v>
          </cell>
          <cell r="D2552" t="str">
            <v>144151C</v>
          </cell>
          <cell r="E2552">
            <v>1068</v>
          </cell>
          <cell r="F2552">
            <v>43461</v>
          </cell>
          <cell r="G2552" t="str">
            <v>11/13</v>
          </cell>
        </row>
        <row r="2553">
          <cell r="A2553" t="str">
            <v>Y1901-0060</v>
          </cell>
          <cell r="B2553">
            <v>201809</v>
          </cell>
          <cell r="C2553" t="str">
            <v>0100169716</v>
          </cell>
          <cell r="D2553" t="str">
            <v>144151C</v>
          </cell>
          <cell r="E2553">
            <v>1128</v>
          </cell>
          <cell r="F2553">
            <v>43461</v>
          </cell>
          <cell r="G2553" t="str">
            <v>11/13</v>
          </cell>
        </row>
        <row r="2554">
          <cell r="A2554" t="str">
            <v>Y1901-0089</v>
          </cell>
          <cell r="B2554">
            <v>201809</v>
          </cell>
          <cell r="C2554" t="str">
            <v>0100169746</v>
          </cell>
          <cell r="D2554" t="str">
            <v>155064C</v>
          </cell>
          <cell r="E2554">
            <v>4836</v>
          </cell>
          <cell r="F2554">
            <v>43457</v>
          </cell>
          <cell r="G2554" t="str">
            <v>11/06</v>
          </cell>
        </row>
        <row r="2555">
          <cell r="A2555" t="str">
            <v>Y1901-0091</v>
          </cell>
          <cell r="B2555">
            <v>201809</v>
          </cell>
          <cell r="C2555" t="str">
            <v>0100169748</v>
          </cell>
          <cell r="D2555" t="str">
            <v>155064C</v>
          </cell>
          <cell r="E2555">
            <v>2028</v>
          </cell>
          <cell r="F2555">
            <v>43457</v>
          </cell>
          <cell r="G2555" t="str">
            <v>11/13</v>
          </cell>
        </row>
        <row r="2556">
          <cell r="A2556" t="str">
            <v>Y1901-0092</v>
          </cell>
          <cell r="B2556">
            <v>201809</v>
          </cell>
          <cell r="C2556" t="str">
            <v>0100169749</v>
          </cell>
          <cell r="D2556" t="str">
            <v>144150C</v>
          </cell>
          <cell r="E2556">
            <v>120</v>
          </cell>
          <cell r="F2556">
            <v>43461</v>
          </cell>
          <cell r="G2556" t="str">
            <v>11/13</v>
          </cell>
        </row>
        <row r="2557">
          <cell r="A2557" t="str">
            <v>Y1812-0498</v>
          </cell>
          <cell r="B2557">
            <v>201809</v>
          </cell>
          <cell r="C2557" t="str">
            <v>0100169755</v>
          </cell>
          <cell r="D2557" t="str">
            <v>363711F</v>
          </cell>
          <cell r="E2557">
            <v>360</v>
          </cell>
          <cell r="F2557">
            <v>43447</v>
          </cell>
          <cell r="G2557" t="str">
            <v>11/13</v>
          </cell>
        </row>
        <row r="2558">
          <cell r="A2558" t="str">
            <v>Y1812-0502</v>
          </cell>
          <cell r="B2558">
            <v>201809</v>
          </cell>
          <cell r="C2558" t="str">
            <v>0100169759</v>
          </cell>
          <cell r="D2558" t="str">
            <v>163199C</v>
          </cell>
          <cell r="E2558">
            <v>348</v>
          </cell>
          <cell r="F2558">
            <v>43447</v>
          </cell>
          <cell r="G2558" t="str">
            <v>11/13</v>
          </cell>
        </row>
        <row r="2559">
          <cell r="A2559" t="str">
            <v>Y1812-0509</v>
          </cell>
          <cell r="B2559">
            <v>201809</v>
          </cell>
          <cell r="C2559" t="str">
            <v>0100169771</v>
          </cell>
          <cell r="D2559" t="str">
            <v>264721C</v>
          </cell>
          <cell r="E2559">
            <v>1908</v>
          </cell>
          <cell r="F2559">
            <v>43447</v>
          </cell>
          <cell r="G2559" t="str">
            <v>11/06</v>
          </cell>
        </row>
        <row r="2560">
          <cell r="A2560" t="str">
            <v>Y1812-0543</v>
          </cell>
          <cell r="B2560">
            <v>201809</v>
          </cell>
          <cell r="C2560" t="str">
            <v>0100169811</v>
          </cell>
          <cell r="D2560" t="str">
            <v>264720C</v>
          </cell>
          <cell r="E2560">
            <v>1800</v>
          </cell>
          <cell r="F2560">
            <v>43455</v>
          </cell>
          <cell r="G2560" t="str">
            <v>11/06</v>
          </cell>
        </row>
        <row r="2561">
          <cell r="A2561" t="str">
            <v>Y1812-0544</v>
          </cell>
          <cell r="B2561">
            <v>201809</v>
          </cell>
          <cell r="C2561" t="str">
            <v>0100169812</v>
          </cell>
          <cell r="D2561" t="str">
            <v>264720C</v>
          </cell>
          <cell r="E2561">
            <v>900</v>
          </cell>
          <cell r="F2561">
            <v>43455</v>
          </cell>
          <cell r="G2561" t="str">
            <v>11/06</v>
          </cell>
        </row>
        <row r="2562">
          <cell r="A2562" t="str">
            <v>Y1812-0545</v>
          </cell>
          <cell r="B2562">
            <v>201809</v>
          </cell>
          <cell r="C2562" t="str">
            <v>0100169813</v>
          </cell>
          <cell r="D2562" t="str">
            <v>264721C</v>
          </cell>
          <cell r="E2562">
            <v>600</v>
          </cell>
          <cell r="F2562">
            <v>43455</v>
          </cell>
          <cell r="G2562" t="str">
            <v>11/06</v>
          </cell>
        </row>
        <row r="2563">
          <cell r="A2563" t="str">
            <v>Y1812-0565</v>
          </cell>
          <cell r="B2563">
            <v>201809</v>
          </cell>
          <cell r="C2563" t="str">
            <v>0100169834</v>
          </cell>
          <cell r="D2563" t="str">
            <v>107469F</v>
          </cell>
          <cell r="E2563">
            <v>7200</v>
          </cell>
          <cell r="F2563">
            <v>43461</v>
          </cell>
          <cell r="G2563" t="str">
            <v>11/13</v>
          </cell>
        </row>
        <row r="2564">
          <cell r="A2564" t="str">
            <v>Y1812-0567</v>
          </cell>
          <cell r="B2564">
            <v>201809</v>
          </cell>
          <cell r="C2564" t="str">
            <v>0100169837</v>
          </cell>
          <cell r="D2564" t="str">
            <v>264721C</v>
          </cell>
          <cell r="E2564">
            <v>480</v>
          </cell>
          <cell r="F2564">
            <v>43447</v>
          </cell>
          <cell r="G2564" t="str">
            <v>11/06</v>
          </cell>
        </row>
        <row r="2565">
          <cell r="A2565" t="str">
            <v>Y1812-0568</v>
          </cell>
          <cell r="B2565">
            <v>201809</v>
          </cell>
          <cell r="C2565" t="str">
            <v>0100169838</v>
          </cell>
          <cell r="D2565" t="str">
            <v>264720C</v>
          </cell>
          <cell r="E2565">
            <v>480</v>
          </cell>
          <cell r="F2565">
            <v>43447</v>
          </cell>
          <cell r="G2565" t="str">
            <v>11/06</v>
          </cell>
        </row>
        <row r="2566">
          <cell r="A2566" t="str">
            <v>Y1812-0624</v>
          </cell>
          <cell r="B2566">
            <v>201809</v>
          </cell>
          <cell r="C2566" t="str">
            <v>0100169894</v>
          </cell>
          <cell r="D2566" t="str">
            <v>163199C</v>
          </cell>
          <cell r="E2566">
            <v>978</v>
          </cell>
          <cell r="F2566">
            <v>43462</v>
          </cell>
          <cell r="G2566" t="str">
            <v>11/13</v>
          </cell>
        </row>
        <row r="2567">
          <cell r="A2567" t="str">
            <v>Y1812-0625</v>
          </cell>
          <cell r="B2567">
            <v>201809</v>
          </cell>
          <cell r="C2567" t="str">
            <v>0100169895</v>
          </cell>
          <cell r="D2567" t="str">
            <v>163199C</v>
          </cell>
          <cell r="E2567">
            <v>1440</v>
          </cell>
          <cell r="F2567">
            <v>43462</v>
          </cell>
          <cell r="G2567" t="str">
            <v>11/13</v>
          </cell>
        </row>
        <row r="2568">
          <cell r="A2568" t="str">
            <v>Y1901-0157</v>
          </cell>
          <cell r="B2568">
            <v>201809</v>
          </cell>
          <cell r="C2568" t="str">
            <v>0100170997</v>
          </cell>
          <cell r="D2568" t="str">
            <v>155065C</v>
          </cell>
          <cell r="E2568">
            <v>4836</v>
          </cell>
          <cell r="F2568">
            <v>43457</v>
          </cell>
          <cell r="G2568" t="str">
            <v>11/13</v>
          </cell>
        </row>
        <row r="2569">
          <cell r="A2569" t="str">
            <v>Y1901-0159</v>
          </cell>
          <cell r="B2569">
            <v>201809</v>
          </cell>
          <cell r="C2569" t="str">
            <v>0100170999</v>
          </cell>
          <cell r="D2569" t="str">
            <v>155065C</v>
          </cell>
          <cell r="E2569">
            <v>1512</v>
          </cell>
          <cell r="F2569">
            <v>43457</v>
          </cell>
          <cell r="G2569" t="str">
            <v>11/13</v>
          </cell>
        </row>
        <row r="2570">
          <cell r="A2570" t="str">
            <v>Y1901-0160</v>
          </cell>
          <cell r="B2570">
            <v>201809</v>
          </cell>
          <cell r="C2570" t="str">
            <v>0100171000</v>
          </cell>
          <cell r="D2570" t="str">
            <v>144151C</v>
          </cell>
          <cell r="E2570">
            <v>120</v>
          </cell>
          <cell r="F2570">
            <v>43461</v>
          </cell>
          <cell r="G2570" t="str">
            <v>11/13</v>
          </cell>
        </row>
        <row r="2571">
          <cell r="A2571" t="str">
            <v>Y1901-0102</v>
          </cell>
          <cell r="B2571">
            <v>201809</v>
          </cell>
          <cell r="C2571" t="str">
            <v>0100171094</v>
          </cell>
          <cell r="D2571" t="str">
            <v>163199C</v>
          </cell>
          <cell r="E2571">
            <v>1656</v>
          </cell>
          <cell r="F2571">
            <v>43457</v>
          </cell>
          <cell r="G2571" t="str">
            <v>11/13</v>
          </cell>
        </row>
        <row r="2572">
          <cell r="A2572" t="str">
            <v>Y1901-0108</v>
          </cell>
          <cell r="B2572">
            <v>201809</v>
          </cell>
          <cell r="C2572" t="str">
            <v>0100171174</v>
          </cell>
          <cell r="D2572" t="str">
            <v>163200C</v>
          </cell>
          <cell r="E2572">
            <v>1704</v>
          </cell>
          <cell r="F2572">
            <v>43457</v>
          </cell>
          <cell r="G2572" t="str">
            <v>11/13</v>
          </cell>
        </row>
        <row r="2573">
          <cell r="A2573" t="str">
            <v>Y1812-0661</v>
          </cell>
          <cell r="B2573">
            <v>201809</v>
          </cell>
          <cell r="C2573" t="str">
            <v>0100171320</v>
          </cell>
          <cell r="D2573" t="str">
            <v>363711C</v>
          </cell>
          <cell r="E2573">
            <v>144</v>
          </cell>
          <cell r="F2573">
            <v>43461</v>
          </cell>
          <cell r="G2573" t="str">
            <v>11/13</v>
          </cell>
        </row>
        <row r="2574">
          <cell r="A2574" t="str">
            <v>Y1901-0115</v>
          </cell>
          <cell r="B2574">
            <v>201809</v>
          </cell>
          <cell r="C2574" t="str">
            <v>0100171335</v>
          </cell>
          <cell r="D2574" t="str">
            <v>359792C</v>
          </cell>
          <cell r="E2574">
            <v>624</v>
          </cell>
          <cell r="F2574">
            <v>43461</v>
          </cell>
          <cell r="G2574" t="str">
            <v>11/06</v>
          </cell>
        </row>
        <row r="2575">
          <cell r="A2575" t="str">
            <v>Y1901-0116</v>
          </cell>
          <cell r="B2575">
            <v>201809</v>
          </cell>
          <cell r="C2575" t="str">
            <v>0100171336</v>
          </cell>
          <cell r="D2575" t="str">
            <v>563431C</v>
          </cell>
          <cell r="E2575">
            <v>408</v>
          </cell>
          <cell r="F2575">
            <v>43457</v>
          </cell>
          <cell r="G2575" t="str">
            <v>11/13</v>
          </cell>
        </row>
        <row r="2576">
          <cell r="A2576" t="str">
            <v>Y1901-0126</v>
          </cell>
          <cell r="B2576">
            <v>201809</v>
          </cell>
          <cell r="C2576" t="str">
            <v>0100171346</v>
          </cell>
          <cell r="D2576" t="str">
            <v>563431C</v>
          </cell>
          <cell r="E2576">
            <v>312</v>
          </cell>
          <cell r="F2576">
            <v>43457</v>
          </cell>
          <cell r="G2576" t="str">
            <v>11/13</v>
          </cell>
        </row>
        <row r="2577">
          <cell r="A2577" t="str">
            <v>Y1812-0688</v>
          </cell>
          <cell r="B2577">
            <v>201809</v>
          </cell>
          <cell r="C2577" t="str">
            <v>39683</v>
          </cell>
          <cell r="D2577" t="str">
            <v>163199C</v>
          </cell>
          <cell r="E2577">
            <v>120</v>
          </cell>
          <cell r="F2577">
            <v>43456</v>
          </cell>
          <cell r="G2577" t="str">
            <v>11/13</v>
          </cell>
        </row>
        <row r="2578">
          <cell r="A2578" t="str">
            <v>Y1812-0815</v>
          </cell>
          <cell r="B2578">
            <v>201809</v>
          </cell>
          <cell r="C2578" t="str">
            <v>CORE_SEP BC 2018</v>
          </cell>
          <cell r="D2578" t="str">
            <v>144148C</v>
          </cell>
          <cell r="E2578">
            <v>708</v>
          </cell>
          <cell r="F2578">
            <v>43460</v>
          </cell>
          <cell r="G2578" t="str">
            <v>11/06</v>
          </cell>
        </row>
        <row r="2579">
          <cell r="A2579" t="str">
            <v>Y1812-0816</v>
          </cell>
          <cell r="B2579">
            <v>201809</v>
          </cell>
          <cell r="C2579" t="str">
            <v>CORE_SEP BC 2018</v>
          </cell>
          <cell r="D2579" t="str">
            <v>144151C</v>
          </cell>
          <cell r="E2579">
            <v>1212</v>
          </cell>
          <cell r="F2579">
            <v>43460</v>
          </cell>
          <cell r="G2579" t="str">
            <v>11/13</v>
          </cell>
        </row>
        <row r="2580">
          <cell r="A2580" t="str">
            <v>Y1812-0817</v>
          </cell>
          <cell r="B2580">
            <v>201809</v>
          </cell>
          <cell r="C2580" t="str">
            <v>CORE_SEP BC 2018</v>
          </cell>
          <cell r="D2580" t="str">
            <v>144150C</v>
          </cell>
          <cell r="E2580">
            <v>1332</v>
          </cell>
          <cell r="F2580">
            <v>43460</v>
          </cell>
          <cell r="G2580" t="str">
            <v>11/13</v>
          </cell>
        </row>
        <row r="2581">
          <cell r="A2581" t="str">
            <v>Y1812-0157</v>
          </cell>
          <cell r="B2581">
            <v>201808</v>
          </cell>
          <cell r="C2581" t="str">
            <v>0100166032</v>
          </cell>
          <cell r="D2581" t="str">
            <v>8J231</v>
          </cell>
          <cell r="E2581">
            <v>144</v>
          </cell>
          <cell r="F2581">
            <v>43453</v>
          </cell>
          <cell r="G2581" t="str">
            <v>11/20</v>
          </cell>
        </row>
        <row r="2582">
          <cell r="A2582" t="str">
            <v>Y1812-0196</v>
          </cell>
          <cell r="B2582">
            <v>201808</v>
          </cell>
          <cell r="C2582" t="str">
            <v>0100166132</v>
          </cell>
          <cell r="D2582" t="str">
            <v>8J231</v>
          </cell>
          <cell r="E2582">
            <v>1584</v>
          </cell>
          <cell r="F2582">
            <v>43451</v>
          </cell>
          <cell r="G2582" t="str">
            <v>11/20</v>
          </cell>
        </row>
        <row r="2583">
          <cell r="A2583" t="str">
            <v>Y1812-0290</v>
          </cell>
          <cell r="B2583">
            <v>201808</v>
          </cell>
          <cell r="C2583" t="str">
            <v>0100166287</v>
          </cell>
          <cell r="D2583" t="str">
            <v>8J231</v>
          </cell>
          <cell r="E2583">
            <v>1500</v>
          </cell>
          <cell r="F2583">
            <v>43451</v>
          </cell>
          <cell r="G2583" t="str">
            <v>11/20</v>
          </cell>
        </row>
        <row r="2584">
          <cell r="A2584" t="str">
            <v>Y1812-0335</v>
          </cell>
          <cell r="B2584">
            <v>201808</v>
          </cell>
          <cell r="C2584" t="str">
            <v>0100168432</v>
          </cell>
          <cell r="D2584">
            <v>88877</v>
          </cell>
          <cell r="E2584">
            <v>1104</v>
          </cell>
          <cell r="F2584">
            <v>43448</v>
          </cell>
          <cell r="G2584" t="str">
            <v>11/20</v>
          </cell>
        </row>
        <row r="2585">
          <cell r="A2585" t="str">
            <v>Y1812-0482</v>
          </cell>
          <cell r="B2585">
            <v>201809</v>
          </cell>
          <cell r="C2585" t="str">
            <v>0100169683</v>
          </cell>
          <cell r="D2585" t="str">
            <v>763532C</v>
          </cell>
          <cell r="E2585">
            <v>336</v>
          </cell>
          <cell r="F2585">
            <v>43460</v>
          </cell>
          <cell r="G2585" t="str">
            <v>11/13</v>
          </cell>
        </row>
        <row r="2586">
          <cell r="A2586" t="str">
            <v>Y1901-0045</v>
          </cell>
          <cell r="B2586">
            <v>201809</v>
          </cell>
          <cell r="C2586" t="str">
            <v>0100169689</v>
          </cell>
          <cell r="D2586" t="str">
            <v>663608C</v>
          </cell>
          <cell r="E2586">
            <v>876</v>
          </cell>
          <cell r="F2586">
            <v>43461</v>
          </cell>
          <cell r="G2586" t="str">
            <v>11/20</v>
          </cell>
        </row>
        <row r="2587">
          <cell r="A2587" t="str">
            <v>Y1812-0506</v>
          </cell>
          <cell r="B2587">
            <v>201809</v>
          </cell>
          <cell r="C2587" t="str">
            <v>0100169768</v>
          </cell>
          <cell r="D2587">
            <v>81229</v>
          </cell>
          <cell r="E2587">
            <v>2424</v>
          </cell>
          <cell r="F2587">
            <v>43462</v>
          </cell>
          <cell r="G2587" t="str">
            <v>11/20</v>
          </cell>
        </row>
        <row r="2588">
          <cell r="A2588" t="str">
            <v>Y1901-0095</v>
          </cell>
          <cell r="B2588">
            <v>201809</v>
          </cell>
          <cell r="C2588" t="str">
            <v>0100169793</v>
          </cell>
          <cell r="D2588">
            <v>81229</v>
          </cell>
          <cell r="E2588">
            <v>900</v>
          </cell>
          <cell r="F2588">
            <v>43463</v>
          </cell>
          <cell r="G2588" t="str">
            <v>11/20</v>
          </cell>
        </row>
        <row r="2589">
          <cell r="A2589" t="str">
            <v>Y1812-0556</v>
          </cell>
          <cell r="B2589">
            <v>201809</v>
          </cell>
          <cell r="C2589" t="str">
            <v>0100169824</v>
          </cell>
          <cell r="D2589">
            <v>81229</v>
          </cell>
          <cell r="E2589">
            <v>396</v>
          </cell>
          <cell r="F2589">
            <v>43455</v>
          </cell>
          <cell r="G2589" t="str">
            <v>11/20</v>
          </cell>
        </row>
        <row r="2590">
          <cell r="A2590" t="str">
            <v>Y1812-0580</v>
          </cell>
          <cell r="B2590">
            <v>201809</v>
          </cell>
          <cell r="C2590" t="str">
            <v>0100169850</v>
          </cell>
          <cell r="D2590" t="str">
            <v>763532C</v>
          </cell>
          <cell r="E2590">
            <v>1200</v>
          </cell>
          <cell r="F2590">
            <v>43451</v>
          </cell>
          <cell r="G2590" t="str">
            <v>11/13</v>
          </cell>
        </row>
        <row r="2591">
          <cell r="A2591" t="str">
            <v>Y1812-0590</v>
          </cell>
          <cell r="B2591">
            <v>201809</v>
          </cell>
          <cell r="C2591" t="str">
            <v>0100169860</v>
          </cell>
          <cell r="D2591" t="str">
            <v>848607C</v>
          </cell>
          <cell r="E2591">
            <v>3000</v>
          </cell>
          <cell r="F2591">
            <v>43455</v>
          </cell>
          <cell r="G2591" t="str">
            <v>11/20</v>
          </cell>
        </row>
        <row r="2592">
          <cell r="A2592" t="str">
            <v>Y1812-0604</v>
          </cell>
          <cell r="B2592">
            <v>201809</v>
          </cell>
          <cell r="C2592" t="str">
            <v>0100169874</v>
          </cell>
          <cell r="D2592" t="str">
            <v>663608C</v>
          </cell>
          <cell r="E2592">
            <v>1176</v>
          </cell>
          <cell r="F2592">
            <v>43448</v>
          </cell>
          <cell r="G2592" t="str">
            <v>11/13</v>
          </cell>
        </row>
        <row r="2593">
          <cell r="A2593" t="str">
            <v>Y1812-0606</v>
          </cell>
          <cell r="B2593">
            <v>201809</v>
          </cell>
          <cell r="C2593" t="str">
            <v>0100169876</v>
          </cell>
          <cell r="D2593" t="str">
            <v>763532C</v>
          </cell>
          <cell r="E2593">
            <v>1272</v>
          </cell>
          <cell r="F2593">
            <v>43444</v>
          </cell>
          <cell r="G2593" t="str">
            <v>11/13</v>
          </cell>
        </row>
        <row r="2594">
          <cell r="A2594" t="str">
            <v>Y1812-0607</v>
          </cell>
          <cell r="B2594">
            <v>201809</v>
          </cell>
          <cell r="C2594" t="str">
            <v>0100169877</v>
          </cell>
          <cell r="D2594" t="str">
            <v>663608C</v>
          </cell>
          <cell r="E2594">
            <v>1788</v>
          </cell>
          <cell r="F2594">
            <v>43448</v>
          </cell>
          <cell r="G2594" t="str">
            <v>11/13</v>
          </cell>
        </row>
        <row r="2595">
          <cell r="A2595" t="str">
            <v>Y1812-0608</v>
          </cell>
          <cell r="B2595">
            <v>201809</v>
          </cell>
          <cell r="C2595" t="str">
            <v>0100169878</v>
          </cell>
          <cell r="D2595" t="str">
            <v>663608C</v>
          </cell>
          <cell r="E2595">
            <v>1152</v>
          </cell>
          <cell r="F2595">
            <v>43448</v>
          </cell>
          <cell r="G2595" t="str">
            <v>11/13</v>
          </cell>
        </row>
        <row r="2596">
          <cell r="A2596" t="str">
            <v>Y1812-0611</v>
          </cell>
          <cell r="B2596">
            <v>201809</v>
          </cell>
          <cell r="C2596" t="str">
            <v>0100169881</v>
          </cell>
          <cell r="D2596" t="str">
            <v>663608C</v>
          </cell>
          <cell r="E2596">
            <v>432</v>
          </cell>
          <cell r="F2596">
            <v>43448</v>
          </cell>
          <cell r="G2596" t="str">
            <v>11/13</v>
          </cell>
        </row>
        <row r="2597">
          <cell r="A2597" t="str">
            <v>Y1812-0834</v>
          </cell>
          <cell r="B2597">
            <v>201809</v>
          </cell>
          <cell r="C2597" t="str">
            <v>0100171006</v>
          </cell>
          <cell r="D2597" t="str">
            <v>663608C</v>
          </cell>
          <cell r="E2597">
            <v>678</v>
          </cell>
          <cell r="F2597">
            <v>43448</v>
          </cell>
          <cell r="G2597" t="str">
            <v>11/13</v>
          </cell>
        </row>
        <row r="2598">
          <cell r="A2598" t="str">
            <v>Y1812-0836</v>
          </cell>
          <cell r="B2598">
            <v>201809</v>
          </cell>
          <cell r="C2598" t="str">
            <v>0100171008</v>
          </cell>
          <cell r="D2598" t="str">
            <v>763532C</v>
          </cell>
          <cell r="E2598">
            <v>504</v>
          </cell>
          <cell r="F2598">
            <v>43444</v>
          </cell>
          <cell r="G2598" t="str">
            <v>11/13</v>
          </cell>
        </row>
        <row r="2599">
          <cell r="A2599" t="str">
            <v>Y1812-0837</v>
          </cell>
          <cell r="B2599">
            <v>201809</v>
          </cell>
          <cell r="C2599" t="str">
            <v>0100171009</v>
          </cell>
          <cell r="D2599" t="str">
            <v>663608C</v>
          </cell>
          <cell r="E2599">
            <v>1896</v>
          </cell>
          <cell r="F2599">
            <v>43448</v>
          </cell>
          <cell r="G2599" t="str">
            <v>11/13</v>
          </cell>
        </row>
        <row r="2600">
          <cell r="A2600" t="str">
            <v>Y1901-0042</v>
          </cell>
          <cell r="B2600">
            <v>201809</v>
          </cell>
          <cell r="C2600" t="str">
            <v>0100169684</v>
          </cell>
          <cell r="D2600" t="str">
            <v>663602C</v>
          </cell>
          <cell r="E2600">
            <v>240</v>
          </cell>
          <cell r="F2600">
            <v>43461</v>
          </cell>
          <cell r="G2600" t="str">
            <v>11/20</v>
          </cell>
        </row>
        <row r="2601">
          <cell r="A2601" t="str">
            <v>Y1812-0515</v>
          </cell>
          <cell r="B2601">
            <v>201809</v>
          </cell>
          <cell r="C2601" t="str">
            <v>0100169777</v>
          </cell>
          <cell r="D2601" t="str">
            <v>663602C</v>
          </cell>
          <cell r="E2601">
            <v>120</v>
          </cell>
          <cell r="F2601">
            <v>43462</v>
          </cell>
          <cell r="G2601" t="str">
            <v>11/20</v>
          </cell>
        </row>
        <row r="2602">
          <cell r="A2602" t="str">
            <v>Y1812-0518</v>
          </cell>
          <cell r="B2602">
            <v>201809</v>
          </cell>
          <cell r="C2602" t="str">
            <v>0100169780</v>
          </cell>
          <cell r="D2602" t="str">
            <v>663654C</v>
          </cell>
          <cell r="E2602">
            <v>768</v>
          </cell>
          <cell r="F2602">
            <v>43450</v>
          </cell>
          <cell r="G2602" t="str">
            <v>11/13</v>
          </cell>
        </row>
        <row r="2603">
          <cell r="A2603" t="str">
            <v>Y1812-0530</v>
          </cell>
          <cell r="B2603">
            <v>201809</v>
          </cell>
          <cell r="C2603" t="str">
            <v>0100169792</v>
          </cell>
          <cell r="D2603" t="str">
            <v>763564F</v>
          </cell>
          <cell r="E2603">
            <v>360</v>
          </cell>
          <cell r="F2603">
            <v>43455</v>
          </cell>
          <cell r="G2603" t="str">
            <v>11/20</v>
          </cell>
        </row>
        <row r="2604">
          <cell r="A2604" t="str">
            <v>Y1812-0560</v>
          </cell>
          <cell r="B2604">
            <v>201809</v>
          </cell>
          <cell r="C2604" t="str">
            <v>0100169829</v>
          </cell>
          <cell r="D2604" t="str">
            <v>663602C</v>
          </cell>
          <cell r="E2604">
            <v>600</v>
          </cell>
          <cell r="F2604">
            <v>43451</v>
          </cell>
          <cell r="G2604" t="str">
            <v>11/20</v>
          </cell>
        </row>
        <row r="2605">
          <cell r="A2605" t="str">
            <v>Y1812-0561</v>
          </cell>
          <cell r="B2605">
            <v>201809</v>
          </cell>
          <cell r="C2605" t="str">
            <v>0100169830</v>
          </cell>
          <cell r="D2605" t="str">
            <v>663653C</v>
          </cell>
          <cell r="E2605">
            <v>2100</v>
          </cell>
          <cell r="F2605">
            <v>43451</v>
          </cell>
          <cell r="G2605" t="str">
            <v>11/13</v>
          </cell>
        </row>
        <row r="2606">
          <cell r="A2606" t="str">
            <v>Y1812-0562</v>
          </cell>
          <cell r="B2606">
            <v>201809</v>
          </cell>
          <cell r="C2606" t="str">
            <v>0100169831</v>
          </cell>
          <cell r="D2606" t="str">
            <v>663604C</v>
          </cell>
          <cell r="E2606">
            <v>600</v>
          </cell>
          <cell r="F2606">
            <v>43451</v>
          </cell>
          <cell r="G2606" t="str">
            <v>11/20</v>
          </cell>
        </row>
        <row r="2607">
          <cell r="A2607" t="str">
            <v>Y1812-0563</v>
          </cell>
          <cell r="B2607">
            <v>201809</v>
          </cell>
          <cell r="C2607" t="str">
            <v>0100169832</v>
          </cell>
          <cell r="D2607" t="str">
            <v>763564F</v>
          </cell>
          <cell r="E2607">
            <v>480</v>
          </cell>
          <cell r="F2607">
            <v>43451</v>
          </cell>
          <cell r="G2607" t="str">
            <v>11/20</v>
          </cell>
        </row>
        <row r="2608">
          <cell r="A2608" t="str">
            <v>Y1812-0564</v>
          </cell>
          <cell r="B2608">
            <v>201809</v>
          </cell>
          <cell r="C2608" t="str">
            <v>0100169833</v>
          </cell>
          <cell r="D2608" t="str">
            <v>763564F</v>
          </cell>
          <cell r="E2608">
            <v>1020</v>
          </cell>
          <cell r="F2608">
            <v>43451</v>
          </cell>
          <cell r="G2608" t="str">
            <v>11/20</v>
          </cell>
        </row>
        <row r="2609">
          <cell r="A2609" t="str">
            <v>Y1812-0609</v>
          </cell>
          <cell r="B2609">
            <v>201809</v>
          </cell>
          <cell r="C2609" t="str">
            <v>0100169879</v>
          </cell>
          <cell r="D2609" t="str">
            <v>663654C</v>
          </cell>
          <cell r="E2609">
            <v>1176</v>
          </cell>
          <cell r="F2609">
            <v>43448</v>
          </cell>
          <cell r="G2609" t="str">
            <v>11/13</v>
          </cell>
        </row>
        <row r="2610">
          <cell r="A2610" t="str">
            <v>Y1812-0610</v>
          </cell>
          <cell r="B2610">
            <v>201809</v>
          </cell>
          <cell r="C2610" t="str">
            <v>0100169880</v>
          </cell>
          <cell r="D2610" t="str">
            <v>663654C</v>
          </cell>
          <cell r="E2610">
            <v>1152</v>
          </cell>
          <cell r="F2610">
            <v>43448</v>
          </cell>
          <cell r="G2610" t="str">
            <v>11/13</v>
          </cell>
        </row>
        <row r="2611">
          <cell r="A2611" t="str">
            <v>Y1812-0612</v>
          </cell>
          <cell r="B2611">
            <v>201809</v>
          </cell>
          <cell r="C2611" t="str">
            <v>0100169882</v>
          </cell>
          <cell r="D2611" t="str">
            <v>663654C</v>
          </cell>
          <cell r="E2611">
            <v>432</v>
          </cell>
          <cell r="F2611">
            <v>43448</v>
          </cell>
          <cell r="G2611" t="str">
            <v>11/13</v>
          </cell>
        </row>
        <row r="2612">
          <cell r="A2612" t="str">
            <v>Y1812-0831</v>
          </cell>
          <cell r="B2612">
            <v>201809</v>
          </cell>
          <cell r="C2612" t="str">
            <v>0100171002</v>
          </cell>
          <cell r="D2612" t="str">
            <v>663602C</v>
          </cell>
          <cell r="E2612">
            <v>1200</v>
          </cell>
          <cell r="F2612">
            <v>43451</v>
          </cell>
          <cell r="G2612" t="str">
            <v>11/20</v>
          </cell>
        </row>
        <row r="2613">
          <cell r="A2613" t="str">
            <v>Y1812-0832</v>
          </cell>
          <cell r="B2613">
            <v>201809</v>
          </cell>
          <cell r="C2613" t="str">
            <v>0100171003</v>
          </cell>
          <cell r="D2613" t="str">
            <v>663604C</v>
          </cell>
          <cell r="E2613">
            <v>1200</v>
          </cell>
          <cell r="F2613">
            <v>43451</v>
          </cell>
          <cell r="G2613" t="str">
            <v>11/20</v>
          </cell>
        </row>
        <row r="2614">
          <cell r="A2614" t="str">
            <v>Y1812-0838</v>
          </cell>
          <cell r="B2614">
            <v>201809</v>
          </cell>
          <cell r="C2614" t="str">
            <v>0100171010</v>
          </cell>
          <cell r="D2614" t="str">
            <v>663654C</v>
          </cell>
          <cell r="E2614">
            <v>678</v>
          </cell>
          <cell r="F2614">
            <v>43448</v>
          </cell>
          <cell r="G2614" t="str">
            <v>11/13</v>
          </cell>
        </row>
        <row r="2615">
          <cell r="A2615" t="str">
            <v>Y1901-0051</v>
          </cell>
          <cell r="B2615">
            <v>201809</v>
          </cell>
          <cell r="C2615" t="str">
            <v>0100169705</v>
          </cell>
          <cell r="D2615" t="str">
            <v>863985C</v>
          </cell>
          <cell r="E2615">
            <v>1800</v>
          </cell>
          <cell r="F2615">
            <v>43457</v>
          </cell>
          <cell r="G2615" t="str">
            <v>11/13</v>
          </cell>
        </row>
        <row r="2616">
          <cell r="A2616" t="str">
            <v>Y1901-0052</v>
          </cell>
          <cell r="B2616">
            <v>201809</v>
          </cell>
          <cell r="C2616" t="str">
            <v>0100169706</v>
          </cell>
          <cell r="D2616" t="str">
            <v>863986C</v>
          </cell>
          <cell r="E2616">
            <v>1824</v>
          </cell>
          <cell r="F2616">
            <v>43457</v>
          </cell>
          <cell r="G2616" t="str">
            <v>11/20</v>
          </cell>
        </row>
        <row r="2617">
          <cell r="A2617" t="str">
            <v>Y1901-0053</v>
          </cell>
          <cell r="B2617">
            <v>201809</v>
          </cell>
          <cell r="C2617" t="str">
            <v>0100169708</v>
          </cell>
          <cell r="D2617">
            <v>88871</v>
          </cell>
          <cell r="E2617">
            <v>2112</v>
          </cell>
          <cell r="F2617">
            <v>43457</v>
          </cell>
          <cell r="G2617" t="str">
            <v>11/13</v>
          </cell>
        </row>
        <row r="2618">
          <cell r="A2618" t="str">
            <v>Y1901-0054</v>
          </cell>
          <cell r="B2618">
            <v>201809</v>
          </cell>
          <cell r="C2618" t="str">
            <v>0100169709</v>
          </cell>
          <cell r="D2618">
            <v>88875</v>
          </cell>
          <cell r="E2618">
            <v>1680</v>
          </cell>
          <cell r="F2618">
            <v>43457</v>
          </cell>
          <cell r="G2618" t="str">
            <v>11/13</v>
          </cell>
        </row>
        <row r="2619">
          <cell r="A2619" t="str">
            <v>Y1901-0055</v>
          </cell>
          <cell r="B2619">
            <v>201809</v>
          </cell>
          <cell r="C2619" t="str">
            <v>0100169710</v>
          </cell>
          <cell r="D2619">
            <v>88877</v>
          </cell>
          <cell r="E2619">
            <v>3648</v>
          </cell>
          <cell r="F2619">
            <v>43457</v>
          </cell>
          <cell r="G2619" t="str">
            <v>11/13</v>
          </cell>
        </row>
        <row r="2620">
          <cell r="A2620" t="str">
            <v>Y1901-0056</v>
          </cell>
          <cell r="B2620">
            <v>201809</v>
          </cell>
          <cell r="C2620" t="str">
            <v>0100169711</v>
          </cell>
          <cell r="D2620" t="str">
            <v>8J231</v>
          </cell>
          <cell r="E2620">
            <v>264</v>
          </cell>
          <cell r="F2620">
            <v>43457</v>
          </cell>
          <cell r="G2620" t="str">
            <v>11/13</v>
          </cell>
        </row>
        <row r="2621">
          <cell r="A2621" t="str">
            <v>Y1812-0632</v>
          </cell>
          <cell r="B2621">
            <v>201809</v>
          </cell>
          <cell r="C2621" t="str">
            <v>0100171140</v>
          </cell>
          <cell r="D2621" t="str">
            <v>359792C</v>
          </cell>
          <cell r="E2621">
            <v>852</v>
          </cell>
          <cell r="F2621">
            <v>43461</v>
          </cell>
          <cell r="G2621" t="str">
            <v>11/06</v>
          </cell>
        </row>
        <row r="2622">
          <cell r="A2622" t="str">
            <v>Y1812-0776</v>
          </cell>
          <cell r="B2622">
            <v>201809</v>
          </cell>
          <cell r="C2622" t="str">
            <v>CD-CON-2019-0101-CORE1</v>
          </cell>
          <cell r="D2622" t="str">
            <v>3J236C</v>
          </cell>
          <cell r="E2622">
            <v>360</v>
          </cell>
          <cell r="F2622">
            <v>43437</v>
          </cell>
          <cell r="G2622" t="str">
            <v>OK</v>
          </cell>
        </row>
        <row r="2623">
          <cell r="A2623" t="str">
            <v>Y1812-0777</v>
          </cell>
          <cell r="B2623">
            <v>201809</v>
          </cell>
          <cell r="C2623" t="str">
            <v>CD-CON-2019-0101-CORE1</v>
          </cell>
          <cell r="D2623" t="str">
            <v>3J238C</v>
          </cell>
          <cell r="E2623">
            <v>360</v>
          </cell>
          <cell r="F2623">
            <v>43436</v>
          </cell>
          <cell r="G2623" t="str">
            <v>OK</v>
          </cell>
        </row>
        <row r="2624">
          <cell r="A2624" t="str">
            <v>Y1812-0778</v>
          </cell>
          <cell r="B2624">
            <v>201809</v>
          </cell>
          <cell r="C2624" t="str">
            <v>CD-CON-2019-0101-CORE1</v>
          </cell>
          <cell r="D2624" t="str">
            <v>3J253C</v>
          </cell>
          <cell r="E2624">
            <v>360</v>
          </cell>
          <cell r="F2624">
            <v>43436</v>
          </cell>
          <cell r="G2624" t="str">
            <v>OK</v>
          </cell>
        </row>
        <row r="2625">
          <cell r="A2625" t="str">
            <v>Y1812-0779</v>
          </cell>
          <cell r="B2625">
            <v>201809</v>
          </cell>
          <cell r="C2625" t="str">
            <v>CD-CON-2019-0101-CORE1</v>
          </cell>
          <cell r="D2625" t="str">
            <v>3J235C</v>
          </cell>
          <cell r="E2625">
            <v>912</v>
          </cell>
          <cell r="F2625">
            <v>43436</v>
          </cell>
          <cell r="G2625" t="str">
            <v>OK</v>
          </cell>
        </row>
        <row r="2626">
          <cell r="A2626" t="str">
            <v>Y1812-0780</v>
          </cell>
          <cell r="B2626">
            <v>201809</v>
          </cell>
          <cell r="C2626" t="str">
            <v>CD-CON-2019-0101-CORE1</v>
          </cell>
          <cell r="D2626" t="str">
            <v>3J232C</v>
          </cell>
          <cell r="E2626">
            <v>408</v>
          </cell>
          <cell r="F2626">
            <v>43436</v>
          </cell>
          <cell r="G2626" t="str">
            <v>OK</v>
          </cell>
        </row>
        <row r="2627">
          <cell r="A2627" t="str">
            <v>Y1812-0781</v>
          </cell>
          <cell r="B2627">
            <v>201809</v>
          </cell>
          <cell r="C2627" t="str">
            <v>CD-CON-2019-0101-CORE1</v>
          </cell>
          <cell r="D2627" t="str">
            <v>3J256C</v>
          </cell>
          <cell r="E2627">
            <v>1320</v>
          </cell>
          <cell r="F2627">
            <v>43436</v>
          </cell>
          <cell r="G2627" t="str">
            <v>11/13</v>
          </cell>
        </row>
        <row r="2628">
          <cell r="A2628" t="str">
            <v>Y1812-0782</v>
          </cell>
          <cell r="B2628">
            <v>201809</v>
          </cell>
          <cell r="C2628" t="str">
            <v>CD-CON-2019-0101-CORE1</v>
          </cell>
          <cell r="D2628" t="str">
            <v>7J231C</v>
          </cell>
          <cell r="E2628">
            <v>396</v>
          </cell>
          <cell r="F2628">
            <v>43436</v>
          </cell>
          <cell r="G2628" t="str">
            <v>OK</v>
          </cell>
        </row>
        <row r="2629">
          <cell r="A2629" t="str">
            <v>Y1812-0783</v>
          </cell>
          <cell r="B2629">
            <v>201809</v>
          </cell>
          <cell r="C2629" t="str">
            <v>CD-CON-2019-0101-CORE1</v>
          </cell>
          <cell r="D2629" t="str">
            <v>7J253C</v>
          </cell>
          <cell r="E2629">
            <v>372</v>
          </cell>
          <cell r="F2629">
            <v>43436</v>
          </cell>
          <cell r="G2629" t="str">
            <v>OK</v>
          </cell>
        </row>
        <row r="2630">
          <cell r="A2630" t="str">
            <v>Y1812-0784</v>
          </cell>
          <cell r="B2630">
            <v>201809</v>
          </cell>
          <cell r="C2630" t="str">
            <v>CD-CON-2019-0101-CORE1</v>
          </cell>
          <cell r="D2630" t="str">
            <v>7J256C</v>
          </cell>
          <cell r="E2630">
            <v>564</v>
          </cell>
          <cell r="F2630">
            <v>43436</v>
          </cell>
          <cell r="G2630" t="str">
            <v>OK</v>
          </cell>
        </row>
        <row r="2631">
          <cell r="A2631" t="str">
            <v>Y1812-0785</v>
          </cell>
          <cell r="B2631">
            <v>201809</v>
          </cell>
          <cell r="C2631" t="str">
            <v>CD-CON-2019-0101-CORE1</v>
          </cell>
          <cell r="D2631" t="str">
            <v>3J231C</v>
          </cell>
          <cell r="E2631">
            <v>1632</v>
          </cell>
          <cell r="F2631">
            <v>43436</v>
          </cell>
          <cell r="G2631" t="str">
            <v>11/06</v>
          </cell>
        </row>
        <row r="2632">
          <cell r="A2632" t="str">
            <v>Y1812-0786</v>
          </cell>
          <cell r="B2632">
            <v>201809</v>
          </cell>
          <cell r="C2632" t="str">
            <v>TL1809010-SOL</v>
          </cell>
          <cell r="D2632" t="str">
            <v>M7652C</v>
          </cell>
          <cell r="E2632">
            <v>3600</v>
          </cell>
          <cell r="F2632">
            <v>43460</v>
          </cell>
          <cell r="G2632" t="str">
            <v>11/06</v>
          </cell>
        </row>
        <row r="2633">
          <cell r="A2633" t="str">
            <v>Y1812-0787</v>
          </cell>
          <cell r="B2633">
            <v>201809</v>
          </cell>
          <cell r="C2633" t="str">
            <v>WS1809001-SOL</v>
          </cell>
          <cell r="D2633" t="str">
            <v>M7652C</v>
          </cell>
          <cell r="E2633">
            <v>132</v>
          </cell>
          <cell r="F2633">
            <v>43437</v>
          </cell>
          <cell r="G2633" t="str">
            <v>OK</v>
          </cell>
        </row>
        <row r="2634">
          <cell r="A2634" t="str">
            <v>Y1812-0788</v>
          </cell>
          <cell r="B2634">
            <v>201809</v>
          </cell>
          <cell r="C2634" t="str">
            <v>FEB SP KIDS 01 19</v>
          </cell>
          <cell r="D2634" t="str">
            <v>363711C</v>
          </cell>
          <cell r="E2634">
            <v>360</v>
          </cell>
          <cell r="F2634">
            <v>43457</v>
          </cell>
          <cell r="G2634" t="str">
            <v>11/13</v>
          </cell>
        </row>
        <row r="2635">
          <cell r="A2635" t="str">
            <v>Y1812-0005</v>
          </cell>
          <cell r="B2635">
            <v>201807</v>
          </cell>
          <cell r="C2635" t="str">
            <v>0100160686</v>
          </cell>
          <cell r="D2635" t="str">
            <v>163377C</v>
          </cell>
          <cell r="E2635">
            <v>1128</v>
          </cell>
          <cell r="F2635">
            <v>43453</v>
          </cell>
          <cell r="G2635" t="str">
            <v>OK</v>
          </cell>
        </row>
        <row r="2636">
          <cell r="A2636" t="str">
            <v>Y1812-0006</v>
          </cell>
          <cell r="B2636">
            <v>201807</v>
          </cell>
          <cell r="C2636" t="str">
            <v>0100160690</v>
          </cell>
          <cell r="D2636" t="str">
            <v>163380C</v>
          </cell>
          <cell r="E2636">
            <v>720</v>
          </cell>
          <cell r="F2636">
            <v>43453</v>
          </cell>
          <cell r="G2636" t="str">
            <v>OK</v>
          </cell>
        </row>
        <row r="2637">
          <cell r="A2637" t="str">
            <v>Y1812-0009</v>
          </cell>
          <cell r="B2637">
            <v>201807</v>
          </cell>
          <cell r="C2637" t="str">
            <v>0100160744</v>
          </cell>
          <cell r="D2637" t="str">
            <v>563425C</v>
          </cell>
          <cell r="E2637">
            <v>1068</v>
          </cell>
          <cell r="F2637">
            <v>43442</v>
          </cell>
          <cell r="G2637" t="str">
            <v>OK</v>
          </cell>
        </row>
        <row r="2638">
          <cell r="A2638" t="str">
            <v>Y1812-0010</v>
          </cell>
          <cell r="B2638">
            <v>201807</v>
          </cell>
          <cell r="C2638" t="str">
            <v>0100160745</v>
          </cell>
          <cell r="D2638" t="str">
            <v>163373C</v>
          </cell>
          <cell r="E2638">
            <v>6312</v>
          </cell>
          <cell r="F2638">
            <v>43435</v>
          </cell>
          <cell r="G2638" t="str">
            <v>OK</v>
          </cell>
        </row>
        <row r="2639">
          <cell r="A2639" t="str">
            <v>Y1812-0011</v>
          </cell>
          <cell r="B2639">
            <v>201807</v>
          </cell>
          <cell r="C2639" t="str">
            <v>0100160746</v>
          </cell>
          <cell r="D2639" t="str">
            <v>163374C</v>
          </cell>
          <cell r="E2639">
            <v>7692</v>
          </cell>
          <cell r="F2639">
            <v>43435</v>
          </cell>
          <cell r="G2639" t="str">
            <v>OK</v>
          </cell>
        </row>
        <row r="2640">
          <cell r="A2640" t="str">
            <v>Y1812-0019</v>
          </cell>
          <cell r="B2640">
            <v>201807</v>
          </cell>
          <cell r="C2640" t="str">
            <v>4600059413</v>
          </cell>
          <cell r="D2640" t="str">
            <v>663605C</v>
          </cell>
          <cell r="E2640">
            <v>660</v>
          </cell>
          <cell r="F2640">
            <v>43435</v>
          </cell>
          <cell r="G2640" t="str">
            <v>OK</v>
          </cell>
        </row>
        <row r="2641">
          <cell r="A2641" t="str">
            <v>Y1812-0030</v>
          </cell>
          <cell r="B2641">
            <v>201807</v>
          </cell>
          <cell r="C2641" t="str">
            <v>4600059453</v>
          </cell>
          <cell r="D2641" t="str">
            <v>163249C</v>
          </cell>
          <cell r="E2641">
            <v>228</v>
          </cell>
          <cell r="F2641">
            <v>43438</v>
          </cell>
          <cell r="G2641" t="str">
            <v>OK</v>
          </cell>
        </row>
        <row r="2642">
          <cell r="A2642" t="str">
            <v>Y1812-0034</v>
          </cell>
          <cell r="B2642">
            <v>201807</v>
          </cell>
          <cell r="C2642" t="str">
            <v>4600059457</v>
          </cell>
          <cell r="D2642" t="str">
            <v>158427C</v>
          </cell>
          <cell r="E2642">
            <v>192</v>
          </cell>
          <cell r="F2642">
            <v>43438</v>
          </cell>
          <cell r="G2642" t="str">
            <v>OK</v>
          </cell>
        </row>
        <row r="2643">
          <cell r="A2643" t="str">
            <v>Y1812-0035</v>
          </cell>
          <cell r="B2643">
            <v>201807</v>
          </cell>
          <cell r="C2643" t="str">
            <v>4600059458</v>
          </cell>
          <cell r="D2643" t="str">
            <v>163246C</v>
          </cell>
          <cell r="E2643">
            <v>228</v>
          </cell>
          <cell r="F2643">
            <v>43438</v>
          </cell>
          <cell r="G2643" t="str">
            <v>OK</v>
          </cell>
        </row>
        <row r="2644">
          <cell r="A2644" t="str">
            <v>Y1812-0036</v>
          </cell>
          <cell r="B2644">
            <v>201807</v>
          </cell>
          <cell r="C2644" t="str">
            <v>4600059459</v>
          </cell>
          <cell r="D2644" t="str">
            <v>563428C</v>
          </cell>
          <cell r="E2644">
            <v>516</v>
          </cell>
          <cell r="F2644">
            <v>43438</v>
          </cell>
          <cell r="G2644" t="str">
            <v>OK</v>
          </cell>
        </row>
        <row r="2645">
          <cell r="A2645" t="str">
            <v>Y1812-0038</v>
          </cell>
          <cell r="B2645">
            <v>201807</v>
          </cell>
          <cell r="C2645" t="str">
            <v>4600059461</v>
          </cell>
          <cell r="D2645" t="str">
            <v>161608C</v>
          </cell>
          <cell r="E2645">
            <v>288</v>
          </cell>
          <cell r="F2645">
            <v>43441</v>
          </cell>
          <cell r="G2645" t="str">
            <v>OK</v>
          </cell>
        </row>
        <row r="2646">
          <cell r="A2646" t="str">
            <v>Y1812-0039</v>
          </cell>
          <cell r="B2646">
            <v>201807</v>
          </cell>
          <cell r="C2646" t="str">
            <v>4600059462</v>
          </cell>
          <cell r="D2646" t="str">
            <v>163247C</v>
          </cell>
          <cell r="E2646">
            <v>132</v>
          </cell>
          <cell r="F2646">
            <v>43438</v>
          </cell>
          <cell r="G2646" t="str">
            <v>OK</v>
          </cell>
        </row>
        <row r="2647">
          <cell r="A2647" t="str">
            <v>Y1812-0040</v>
          </cell>
          <cell r="B2647">
            <v>201807</v>
          </cell>
          <cell r="C2647" t="str">
            <v>4600059463</v>
          </cell>
          <cell r="D2647" t="str">
            <v>563428C</v>
          </cell>
          <cell r="E2647">
            <v>216</v>
          </cell>
          <cell r="F2647">
            <v>43438</v>
          </cell>
          <cell r="G2647" t="str">
            <v>OK</v>
          </cell>
        </row>
        <row r="2648">
          <cell r="A2648" t="str">
            <v>Y1812-0041</v>
          </cell>
          <cell r="B2648">
            <v>201807</v>
          </cell>
          <cell r="C2648" t="str">
            <v>4600059464</v>
          </cell>
          <cell r="D2648" t="str">
            <v>563429C</v>
          </cell>
          <cell r="E2648">
            <v>480</v>
          </cell>
          <cell r="F2648">
            <v>43438</v>
          </cell>
          <cell r="G2648" t="str">
            <v>OK</v>
          </cell>
        </row>
        <row r="2649">
          <cell r="A2649" t="str">
            <v>Y1812-0048</v>
          </cell>
          <cell r="B2649">
            <v>201807</v>
          </cell>
          <cell r="C2649" t="str">
            <v>4600059471</v>
          </cell>
          <cell r="D2649" t="str">
            <v>163193C</v>
          </cell>
          <cell r="E2649">
            <v>180</v>
          </cell>
          <cell r="F2649">
            <v>43438</v>
          </cell>
          <cell r="G2649" t="str">
            <v>OK</v>
          </cell>
        </row>
        <row r="2650">
          <cell r="A2650" t="str">
            <v>Y1812-0053</v>
          </cell>
          <cell r="B2650">
            <v>201807</v>
          </cell>
          <cell r="C2650" t="str">
            <v>4600059476</v>
          </cell>
          <cell r="D2650" t="str">
            <v>163245C</v>
          </cell>
          <cell r="E2650">
            <v>156</v>
          </cell>
          <cell r="F2650">
            <v>43438</v>
          </cell>
          <cell r="G2650" t="str">
            <v>OK</v>
          </cell>
        </row>
        <row r="2651">
          <cell r="A2651" t="str">
            <v>Y1812-0054</v>
          </cell>
          <cell r="B2651">
            <v>201807</v>
          </cell>
          <cell r="C2651" t="str">
            <v>4600059477</v>
          </cell>
          <cell r="D2651" t="str">
            <v>563430C</v>
          </cell>
          <cell r="E2651">
            <v>660</v>
          </cell>
          <cell r="F2651">
            <v>43438</v>
          </cell>
          <cell r="G2651" t="str">
            <v>OK</v>
          </cell>
        </row>
        <row r="2652">
          <cell r="A2652" t="str">
            <v>Y1812-0058</v>
          </cell>
          <cell r="B2652">
            <v>201807</v>
          </cell>
          <cell r="C2652" t="str">
            <v>4600059481</v>
          </cell>
          <cell r="D2652" t="str">
            <v>163247C</v>
          </cell>
          <cell r="E2652">
            <v>144</v>
          </cell>
          <cell r="F2652">
            <v>43438</v>
          </cell>
          <cell r="G2652" t="str">
            <v>OK</v>
          </cell>
        </row>
        <row r="2653">
          <cell r="A2653" t="str">
            <v>Y1812-0059</v>
          </cell>
          <cell r="B2653">
            <v>201807</v>
          </cell>
          <cell r="C2653" t="str">
            <v>4600059482</v>
          </cell>
          <cell r="D2653" t="str">
            <v>563430C</v>
          </cell>
          <cell r="E2653">
            <v>216</v>
          </cell>
          <cell r="F2653">
            <v>43438</v>
          </cell>
          <cell r="G2653" t="str">
            <v>OK</v>
          </cell>
        </row>
        <row r="2654">
          <cell r="A2654" t="str">
            <v>Y1812-0060</v>
          </cell>
          <cell r="B2654">
            <v>201807</v>
          </cell>
          <cell r="C2654" t="str">
            <v>4600059483</v>
          </cell>
          <cell r="D2654" t="str">
            <v>163370C</v>
          </cell>
          <cell r="E2654">
            <v>240</v>
          </cell>
          <cell r="F2654">
            <v>43438</v>
          </cell>
          <cell r="G2654" t="str">
            <v>OK</v>
          </cell>
        </row>
        <row r="2655">
          <cell r="A2655" t="str">
            <v>Y1812-0061</v>
          </cell>
          <cell r="B2655">
            <v>201807</v>
          </cell>
          <cell r="C2655" t="str">
            <v>4600059484</v>
          </cell>
          <cell r="D2655" t="str">
            <v>163368C</v>
          </cell>
          <cell r="E2655">
            <v>240</v>
          </cell>
          <cell r="F2655">
            <v>43438</v>
          </cell>
          <cell r="G2655" t="str">
            <v>OK</v>
          </cell>
        </row>
        <row r="2656">
          <cell r="A2656" t="str">
            <v>Y1812-0062</v>
          </cell>
          <cell r="B2656">
            <v>201807</v>
          </cell>
          <cell r="C2656" t="str">
            <v>4600059485</v>
          </cell>
          <cell r="D2656" t="str">
            <v>163369C</v>
          </cell>
          <cell r="E2656">
            <v>120</v>
          </cell>
          <cell r="F2656">
            <v>43438</v>
          </cell>
          <cell r="G2656" t="str">
            <v>OK</v>
          </cell>
        </row>
        <row r="2657">
          <cell r="A2657" t="str">
            <v>Y1812-0063</v>
          </cell>
          <cell r="B2657">
            <v>201807</v>
          </cell>
          <cell r="C2657" t="str">
            <v>4600059486</v>
          </cell>
          <cell r="D2657" t="str">
            <v>163369C</v>
          </cell>
          <cell r="E2657">
            <v>252</v>
          </cell>
          <cell r="F2657">
            <v>43438</v>
          </cell>
          <cell r="G2657" t="str">
            <v>OK</v>
          </cell>
        </row>
        <row r="2658">
          <cell r="A2658" t="str">
            <v>Y1812-0064</v>
          </cell>
          <cell r="B2658">
            <v>201807</v>
          </cell>
          <cell r="C2658" t="str">
            <v>4600059487</v>
          </cell>
          <cell r="D2658" t="str">
            <v>163370C</v>
          </cell>
          <cell r="E2658">
            <v>120</v>
          </cell>
          <cell r="F2658">
            <v>43438</v>
          </cell>
          <cell r="G2658" t="str">
            <v>OK</v>
          </cell>
        </row>
        <row r="2659">
          <cell r="A2659" t="str">
            <v>Y1812-0070</v>
          </cell>
          <cell r="B2659">
            <v>201807</v>
          </cell>
          <cell r="C2659" t="str">
            <v>4600059493</v>
          </cell>
          <cell r="D2659" t="str">
            <v>158369C</v>
          </cell>
          <cell r="E2659">
            <v>120</v>
          </cell>
          <cell r="F2659">
            <v>43438</v>
          </cell>
          <cell r="G2659" t="str">
            <v>OK</v>
          </cell>
        </row>
        <row r="2660">
          <cell r="A2660" t="str">
            <v>Y1812-0071</v>
          </cell>
          <cell r="B2660">
            <v>201807</v>
          </cell>
          <cell r="C2660" t="str">
            <v>4600059494</v>
          </cell>
          <cell r="D2660" t="str">
            <v>663588C</v>
          </cell>
          <cell r="E2660">
            <v>120</v>
          </cell>
          <cell r="F2660">
            <v>43438</v>
          </cell>
          <cell r="G2660" t="str">
            <v>OK</v>
          </cell>
        </row>
        <row r="2661">
          <cell r="A2661" t="str">
            <v>Y1812-0072</v>
          </cell>
          <cell r="B2661">
            <v>201807</v>
          </cell>
          <cell r="C2661" t="str">
            <v>4600059495</v>
          </cell>
          <cell r="D2661" t="str">
            <v>663589C</v>
          </cell>
          <cell r="E2661">
            <v>120</v>
          </cell>
          <cell r="F2661">
            <v>43438</v>
          </cell>
          <cell r="G2661" t="str">
            <v>OK</v>
          </cell>
        </row>
        <row r="2662">
          <cell r="A2662" t="str">
            <v>Y1812-0075</v>
          </cell>
          <cell r="B2662">
            <v>201807</v>
          </cell>
          <cell r="C2662" t="str">
            <v>4600059500</v>
          </cell>
          <cell r="D2662" t="str">
            <v>163189C</v>
          </cell>
          <cell r="E2662">
            <v>240</v>
          </cell>
          <cell r="F2662">
            <v>43438</v>
          </cell>
          <cell r="G2662" t="str">
            <v>OK</v>
          </cell>
        </row>
        <row r="2663">
          <cell r="A2663" t="str">
            <v>Y1812-0147</v>
          </cell>
          <cell r="B2663">
            <v>201807</v>
          </cell>
          <cell r="C2663" t="str">
            <v>4600059808</v>
          </cell>
          <cell r="D2663" t="str">
            <v>663590C</v>
          </cell>
          <cell r="E2663">
            <v>180</v>
          </cell>
          <cell r="F2663">
            <v>43438</v>
          </cell>
          <cell r="G2663" t="str">
            <v>OK</v>
          </cell>
        </row>
        <row r="2664">
          <cell r="A2664" t="str">
            <v>Y1812-0150</v>
          </cell>
          <cell r="B2664">
            <v>201807</v>
          </cell>
          <cell r="C2664" t="str">
            <v>4600059812</v>
          </cell>
          <cell r="D2664" t="str">
            <v>763521C</v>
          </cell>
          <cell r="E2664">
            <v>360</v>
          </cell>
          <cell r="F2664">
            <v>43438</v>
          </cell>
          <cell r="G2664" t="str">
            <v>OK</v>
          </cell>
        </row>
        <row r="2665">
          <cell r="A2665" t="str">
            <v>Y1812-0151</v>
          </cell>
          <cell r="B2665">
            <v>201807</v>
          </cell>
          <cell r="C2665" t="str">
            <v>4600059820</v>
          </cell>
          <cell r="D2665" t="str">
            <v>663588C</v>
          </cell>
          <cell r="E2665">
            <v>360</v>
          </cell>
          <cell r="F2665">
            <v>43438</v>
          </cell>
          <cell r="G2665" t="str">
            <v>OK</v>
          </cell>
        </row>
        <row r="2666">
          <cell r="A2666" t="str">
            <v>Y1812-0152</v>
          </cell>
          <cell r="B2666">
            <v>201807</v>
          </cell>
          <cell r="C2666" t="str">
            <v>4600059888</v>
          </cell>
          <cell r="D2666" t="str">
            <v>163189C</v>
          </cell>
          <cell r="E2666">
            <v>240</v>
          </cell>
          <cell r="F2666">
            <v>43463</v>
          </cell>
          <cell r="G2666" t="str">
            <v>OK</v>
          </cell>
        </row>
        <row r="2667">
          <cell r="A2667" t="str">
            <v>Y1812-0153</v>
          </cell>
          <cell r="B2667">
            <v>201807</v>
          </cell>
          <cell r="C2667" t="str">
            <v>4600059889</v>
          </cell>
          <cell r="D2667" t="str">
            <v>163192C</v>
          </cell>
          <cell r="E2667">
            <v>360</v>
          </cell>
          <cell r="F2667">
            <v>43463</v>
          </cell>
          <cell r="G2667" t="str">
            <v>OK</v>
          </cell>
        </row>
        <row r="2668">
          <cell r="A2668" t="str">
            <v>Y1812-0154</v>
          </cell>
          <cell r="B2668">
            <v>201807</v>
          </cell>
          <cell r="C2668" t="str">
            <v>4600059910</v>
          </cell>
          <cell r="D2668" t="str">
            <v>163385C</v>
          </cell>
          <cell r="E2668">
            <v>192</v>
          </cell>
          <cell r="F2668">
            <v>43463</v>
          </cell>
          <cell r="G2668" t="str">
            <v>OK</v>
          </cell>
        </row>
        <row r="2669">
          <cell r="A2669" t="str">
            <v>Y1812-0155</v>
          </cell>
          <cell r="B2669">
            <v>201807</v>
          </cell>
          <cell r="C2669" t="str">
            <v>4600059911</v>
          </cell>
          <cell r="D2669" t="str">
            <v>163193C</v>
          </cell>
          <cell r="E2669">
            <v>396</v>
          </cell>
          <cell r="F2669">
            <v>43463</v>
          </cell>
          <cell r="G2669" t="str">
            <v>OK</v>
          </cell>
        </row>
        <row r="2670">
          <cell r="A2670" t="str">
            <v>Y1812-0001</v>
          </cell>
          <cell r="B2670">
            <v>201807</v>
          </cell>
          <cell r="C2670" t="str">
            <v>0100160653</v>
          </cell>
          <cell r="D2670" t="str">
            <v>163203C</v>
          </cell>
          <cell r="E2670">
            <v>864</v>
          </cell>
          <cell r="F2670">
            <v>43453</v>
          </cell>
          <cell r="G2670" t="str">
            <v>OK</v>
          </cell>
        </row>
        <row r="2671">
          <cell r="A2671" t="str">
            <v>Y1812-0002</v>
          </cell>
          <cell r="B2671">
            <v>201807</v>
          </cell>
          <cell r="C2671" t="str">
            <v>0100160667</v>
          </cell>
          <cell r="D2671" t="str">
            <v>763529C</v>
          </cell>
          <cell r="E2671">
            <v>756</v>
          </cell>
          <cell r="F2671">
            <v>43453</v>
          </cell>
          <cell r="G2671" t="str">
            <v>OK</v>
          </cell>
        </row>
        <row r="2672">
          <cell r="A2672" t="str">
            <v>Y1812-0018</v>
          </cell>
          <cell r="B2672">
            <v>201807</v>
          </cell>
          <cell r="C2672" t="str">
            <v>0100161150</v>
          </cell>
          <cell r="D2672" t="str">
            <v>663601F</v>
          </cell>
          <cell r="E2672">
            <v>1452</v>
          </cell>
          <cell r="F2672">
            <v>43447</v>
          </cell>
          <cell r="G2672" t="str">
            <v>OK</v>
          </cell>
        </row>
        <row r="2673">
          <cell r="A2673" t="str">
            <v>Y1812-0020</v>
          </cell>
          <cell r="B2673">
            <v>201807</v>
          </cell>
          <cell r="C2673" t="str">
            <v>4600059426</v>
          </cell>
          <cell r="D2673" t="str">
            <v>163202C</v>
          </cell>
          <cell r="E2673">
            <v>504</v>
          </cell>
          <cell r="F2673">
            <v>43435</v>
          </cell>
          <cell r="G2673" t="str">
            <v>OK</v>
          </cell>
        </row>
        <row r="2674">
          <cell r="A2674" t="str">
            <v>Y1812-0021</v>
          </cell>
          <cell r="B2674">
            <v>201807</v>
          </cell>
          <cell r="C2674" t="str">
            <v>4600059427</v>
          </cell>
          <cell r="D2674" t="str">
            <v>163203C</v>
          </cell>
          <cell r="E2674">
            <v>1188</v>
          </cell>
          <cell r="F2674">
            <v>43435</v>
          </cell>
          <cell r="G2674" t="str">
            <v>OK</v>
          </cell>
        </row>
        <row r="2675">
          <cell r="A2675" t="str">
            <v>Y1812-0022</v>
          </cell>
          <cell r="B2675">
            <v>201807</v>
          </cell>
          <cell r="C2675" t="str">
            <v>4600059428</v>
          </cell>
          <cell r="D2675" t="str">
            <v>162579C</v>
          </cell>
          <cell r="E2675">
            <v>900</v>
          </cell>
          <cell r="F2675">
            <v>43435</v>
          </cell>
          <cell r="G2675" t="str">
            <v>OK</v>
          </cell>
        </row>
        <row r="2676">
          <cell r="A2676" t="str">
            <v>Y1812-0023</v>
          </cell>
          <cell r="B2676">
            <v>201807</v>
          </cell>
          <cell r="C2676" t="str">
            <v>4600059429</v>
          </cell>
          <cell r="D2676" t="str">
            <v>162580C</v>
          </cell>
          <cell r="E2676">
            <v>972</v>
          </cell>
          <cell r="F2676">
            <v>43435</v>
          </cell>
          <cell r="G2676" t="str">
            <v>OK</v>
          </cell>
        </row>
        <row r="2677">
          <cell r="A2677" t="str">
            <v>Y1812-0024</v>
          </cell>
          <cell r="B2677">
            <v>201807</v>
          </cell>
          <cell r="C2677" t="str">
            <v>4600059430</v>
          </cell>
          <cell r="D2677" t="str">
            <v>163204C</v>
          </cell>
          <cell r="E2677">
            <v>792</v>
          </cell>
          <cell r="F2677">
            <v>43435</v>
          </cell>
          <cell r="G2677" t="str">
            <v>OK</v>
          </cell>
        </row>
        <row r="2678">
          <cell r="A2678" t="str">
            <v>Y1812-0025</v>
          </cell>
          <cell r="B2678">
            <v>201807</v>
          </cell>
          <cell r="C2678" t="str">
            <v>4600059440</v>
          </cell>
          <cell r="D2678" t="str">
            <v>163204C</v>
          </cell>
          <cell r="E2678">
            <v>240</v>
          </cell>
          <cell r="F2678">
            <v>43438</v>
          </cell>
          <cell r="G2678" t="str">
            <v>OK</v>
          </cell>
        </row>
        <row r="2679">
          <cell r="A2679" t="str">
            <v>Y1812-0026</v>
          </cell>
          <cell r="B2679">
            <v>201807</v>
          </cell>
          <cell r="C2679" t="str">
            <v>4600059449</v>
          </cell>
          <cell r="D2679" t="str">
            <v>159792C</v>
          </cell>
          <cell r="E2679">
            <v>540</v>
          </cell>
          <cell r="F2679">
            <v>43441</v>
          </cell>
          <cell r="G2679" t="str">
            <v>OK</v>
          </cell>
        </row>
        <row r="2680">
          <cell r="A2680" t="str">
            <v>Y1812-0027</v>
          </cell>
          <cell r="B2680">
            <v>201807</v>
          </cell>
          <cell r="C2680" t="str">
            <v>4600059450</v>
          </cell>
          <cell r="D2680" t="str">
            <v>144150C</v>
          </cell>
          <cell r="E2680">
            <v>144</v>
          </cell>
          <cell r="F2680">
            <v>43441</v>
          </cell>
          <cell r="G2680" t="str">
            <v>OK</v>
          </cell>
        </row>
        <row r="2681">
          <cell r="A2681" t="str">
            <v>Y1812-0028</v>
          </cell>
          <cell r="B2681">
            <v>201807</v>
          </cell>
          <cell r="C2681" t="str">
            <v>4600059451</v>
          </cell>
          <cell r="D2681" t="str">
            <v>144151C</v>
          </cell>
          <cell r="E2681">
            <v>144</v>
          </cell>
          <cell r="F2681">
            <v>43441</v>
          </cell>
          <cell r="G2681" t="str">
            <v>OK</v>
          </cell>
        </row>
        <row r="2682">
          <cell r="A2682" t="str">
            <v>Y1812-0029</v>
          </cell>
          <cell r="B2682">
            <v>201807</v>
          </cell>
          <cell r="C2682" t="str">
            <v>4600059452</v>
          </cell>
          <cell r="D2682" t="str">
            <v>155065C</v>
          </cell>
          <cell r="E2682">
            <v>120</v>
          </cell>
          <cell r="F2682">
            <v>43438</v>
          </cell>
          <cell r="G2682" t="str">
            <v>OK</v>
          </cell>
        </row>
        <row r="2683">
          <cell r="A2683" t="str">
            <v>Y1812-0031</v>
          </cell>
          <cell r="B2683">
            <v>201807</v>
          </cell>
          <cell r="C2683" t="str">
            <v>4600059454</v>
          </cell>
          <cell r="D2683" t="str">
            <v>162580C</v>
          </cell>
          <cell r="E2683">
            <v>144</v>
          </cell>
          <cell r="F2683">
            <v>43438</v>
          </cell>
          <cell r="G2683" t="str">
            <v>OK</v>
          </cell>
        </row>
        <row r="2684">
          <cell r="A2684" t="str">
            <v>Y1812-0032</v>
          </cell>
          <cell r="B2684">
            <v>201807</v>
          </cell>
          <cell r="C2684" t="str">
            <v>4600059455</v>
          </cell>
          <cell r="D2684" t="str">
            <v>161602C</v>
          </cell>
          <cell r="E2684">
            <v>372</v>
          </cell>
          <cell r="F2684">
            <v>43438</v>
          </cell>
          <cell r="G2684" t="str">
            <v>OK</v>
          </cell>
        </row>
        <row r="2685">
          <cell r="A2685" t="str">
            <v>Y1812-0033</v>
          </cell>
          <cell r="B2685">
            <v>201807</v>
          </cell>
          <cell r="C2685" t="str">
            <v>4600059456</v>
          </cell>
          <cell r="D2685" t="str">
            <v>161603C</v>
          </cell>
          <cell r="E2685">
            <v>444</v>
          </cell>
          <cell r="F2685">
            <v>43438</v>
          </cell>
          <cell r="G2685" t="str">
            <v>OK</v>
          </cell>
        </row>
        <row r="2686">
          <cell r="A2686" t="str">
            <v>Y1812-0037</v>
          </cell>
          <cell r="B2686">
            <v>201807</v>
          </cell>
          <cell r="C2686" t="str">
            <v>4600059460</v>
          </cell>
          <cell r="D2686" t="str">
            <v>159786C</v>
          </cell>
          <cell r="E2686">
            <v>144</v>
          </cell>
          <cell r="F2686">
            <v>43441</v>
          </cell>
          <cell r="G2686" t="str">
            <v>OK</v>
          </cell>
        </row>
        <row r="2687">
          <cell r="A2687" t="str">
            <v>Y1812-0042</v>
          </cell>
          <cell r="B2687">
            <v>201807</v>
          </cell>
          <cell r="C2687" t="str">
            <v>4600059465</v>
          </cell>
          <cell r="D2687" t="str">
            <v>563432C</v>
          </cell>
          <cell r="E2687">
            <v>120</v>
          </cell>
          <cell r="F2687">
            <v>43438</v>
          </cell>
          <cell r="G2687" t="str">
            <v>OK</v>
          </cell>
        </row>
        <row r="2688">
          <cell r="A2688" t="str">
            <v>Y1812-0043</v>
          </cell>
          <cell r="B2688">
            <v>201807</v>
          </cell>
          <cell r="C2688" t="str">
            <v>4600059466</v>
          </cell>
          <cell r="D2688" t="str">
            <v>563433C</v>
          </cell>
          <cell r="E2688">
            <v>276</v>
          </cell>
          <cell r="F2688">
            <v>43438</v>
          </cell>
          <cell r="G2688" t="str">
            <v>OK</v>
          </cell>
        </row>
        <row r="2689">
          <cell r="A2689" t="str">
            <v>Y1812-0044</v>
          </cell>
          <cell r="B2689">
            <v>201807</v>
          </cell>
          <cell r="C2689" t="str">
            <v>4600059467</v>
          </cell>
          <cell r="D2689" t="str">
            <v>563433C</v>
          </cell>
          <cell r="E2689">
            <v>120</v>
          </cell>
          <cell r="F2689">
            <v>43438</v>
          </cell>
          <cell r="G2689" t="str">
            <v>OK</v>
          </cell>
        </row>
        <row r="2690">
          <cell r="A2690" t="str">
            <v>Y1812-0045</v>
          </cell>
          <cell r="B2690">
            <v>201807</v>
          </cell>
          <cell r="C2690" t="str">
            <v>4600059468</v>
          </cell>
          <cell r="D2690" t="str">
            <v>162580C</v>
          </cell>
          <cell r="E2690">
            <v>288</v>
          </cell>
          <cell r="F2690">
            <v>43438</v>
          </cell>
          <cell r="G2690" t="str">
            <v>OK</v>
          </cell>
        </row>
        <row r="2691">
          <cell r="A2691" t="str">
            <v>Y1812-0046</v>
          </cell>
          <cell r="B2691">
            <v>201807</v>
          </cell>
          <cell r="C2691" t="str">
            <v>4600059469</v>
          </cell>
          <cell r="D2691" t="str">
            <v>163186C</v>
          </cell>
          <cell r="E2691">
            <v>444</v>
          </cell>
          <cell r="F2691">
            <v>43438</v>
          </cell>
          <cell r="G2691" t="str">
            <v>OK</v>
          </cell>
        </row>
        <row r="2692">
          <cell r="A2692" t="str">
            <v>Y1812-0047</v>
          </cell>
          <cell r="B2692">
            <v>201807</v>
          </cell>
          <cell r="C2692" t="str">
            <v>4600059470</v>
          </cell>
          <cell r="D2692" t="str">
            <v>163187C</v>
          </cell>
          <cell r="E2692">
            <v>444</v>
          </cell>
          <cell r="F2692">
            <v>43438</v>
          </cell>
          <cell r="G2692" t="str">
            <v>OK</v>
          </cell>
        </row>
        <row r="2693">
          <cell r="A2693" t="str">
            <v>Y1812-0049</v>
          </cell>
          <cell r="B2693">
            <v>201807</v>
          </cell>
          <cell r="C2693" t="str">
            <v>4600059472</v>
          </cell>
          <cell r="D2693" t="str">
            <v>163201C</v>
          </cell>
          <cell r="E2693">
            <v>264</v>
          </cell>
          <cell r="F2693">
            <v>43438</v>
          </cell>
          <cell r="G2693" t="str">
            <v>OK</v>
          </cell>
        </row>
        <row r="2694">
          <cell r="A2694" t="str">
            <v>Y1812-0050</v>
          </cell>
          <cell r="B2694">
            <v>201807</v>
          </cell>
          <cell r="C2694" t="str">
            <v>4600059473</v>
          </cell>
          <cell r="D2694" t="str">
            <v>163202C</v>
          </cell>
          <cell r="E2694">
            <v>540</v>
          </cell>
          <cell r="F2694">
            <v>43438</v>
          </cell>
          <cell r="G2694" t="str">
            <v>OK</v>
          </cell>
        </row>
        <row r="2695">
          <cell r="A2695" t="str">
            <v>Y1812-0051</v>
          </cell>
          <cell r="B2695">
            <v>201807</v>
          </cell>
          <cell r="C2695" t="str">
            <v>4600059474</v>
          </cell>
          <cell r="D2695" t="str">
            <v>163203C</v>
          </cell>
          <cell r="E2695">
            <v>600</v>
          </cell>
          <cell r="F2695">
            <v>43438</v>
          </cell>
          <cell r="G2695" t="str">
            <v>OK</v>
          </cell>
        </row>
        <row r="2696">
          <cell r="A2696" t="str">
            <v>Y1812-0052</v>
          </cell>
          <cell r="B2696">
            <v>201807</v>
          </cell>
          <cell r="C2696" t="str">
            <v>4600059475</v>
          </cell>
          <cell r="D2696" t="str">
            <v>155310C</v>
          </cell>
          <cell r="E2696">
            <v>360</v>
          </cell>
          <cell r="F2696">
            <v>43438</v>
          </cell>
          <cell r="G2696" t="str">
            <v>OK</v>
          </cell>
        </row>
        <row r="2697">
          <cell r="A2697" t="str">
            <v>Y1812-0055</v>
          </cell>
          <cell r="B2697">
            <v>201807</v>
          </cell>
          <cell r="C2697" t="str">
            <v>4600059478</v>
          </cell>
          <cell r="D2697" t="str">
            <v>162579C</v>
          </cell>
          <cell r="E2697">
            <v>264</v>
          </cell>
          <cell r="F2697">
            <v>43438</v>
          </cell>
          <cell r="G2697" t="str">
            <v>OK</v>
          </cell>
        </row>
        <row r="2698">
          <cell r="A2698" t="str">
            <v>Y1812-0056</v>
          </cell>
          <cell r="B2698">
            <v>201807</v>
          </cell>
          <cell r="C2698" t="str">
            <v>4600059479</v>
          </cell>
          <cell r="D2698" t="str">
            <v>163187C</v>
          </cell>
          <cell r="E2698">
            <v>468</v>
          </cell>
          <cell r="F2698">
            <v>43438</v>
          </cell>
          <cell r="G2698" t="str">
            <v>OK</v>
          </cell>
        </row>
        <row r="2699">
          <cell r="A2699" t="str">
            <v>Y1812-0057</v>
          </cell>
          <cell r="B2699">
            <v>201807</v>
          </cell>
          <cell r="C2699" t="str">
            <v>4600059480</v>
          </cell>
          <cell r="D2699" t="str">
            <v>163186C</v>
          </cell>
          <cell r="E2699">
            <v>432</v>
          </cell>
          <cell r="F2699">
            <v>43438</v>
          </cell>
          <cell r="G2699" t="str">
            <v>OK</v>
          </cell>
        </row>
        <row r="2700">
          <cell r="A2700" t="str">
            <v>Y1812-0065</v>
          </cell>
          <cell r="B2700">
            <v>201807</v>
          </cell>
          <cell r="C2700" t="str">
            <v>4600059488</v>
          </cell>
          <cell r="D2700" t="str">
            <v>363710C</v>
          </cell>
          <cell r="E2700">
            <v>120</v>
          </cell>
          <cell r="F2700">
            <v>43438</v>
          </cell>
          <cell r="G2700" t="str">
            <v>OK</v>
          </cell>
        </row>
        <row r="2701">
          <cell r="A2701" t="str">
            <v>Y1812-0066</v>
          </cell>
          <cell r="B2701">
            <v>201807</v>
          </cell>
          <cell r="C2701" t="str">
            <v>4600059489</v>
          </cell>
          <cell r="D2701" t="str">
            <v>363711C</v>
          </cell>
          <cell r="E2701">
            <v>144</v>
          </cell>
          <cell r="F2701">
            <v>43438</v>
          </cell>
          <cell r="G2701" t="str">
            <v>OK</v>
          </cell>
        </row>
        <row r="2702">
          <cell r="A2702" t="str">
            <v>Y1812-0067</v>
          </cell>
          <cell r="B2702">
            <v>201807</v>
          </cell>
          <cell r="C2702" t="str">
            <v>4600059490</v>
          </cell>
          <cell r="D2702" t="str">
            <v>144145C</v>
          </cell>
          <cell r="E2702">
            <v>144</v>
          </cell>
          <cell r="F2702">
            <v>43441</v>
          </cell>
          <cell r="G2702" t="str">
            <v>OK</v>
          </cell>
        </row>
        <row r="2703">
          <cell r="A2703" t="str">
            <v>Y1812-0068</v>
          </cell>
          <cell r="B2703">
            <v>201807</v>
          </cell>
          <cell r="C2703" t="str">
            <v>4600059491</v>
          </cell>
          <cell r="D2703" t="str">
            <v>155065C</v>
          </cell>
          <cell r="E2703">
            <v>504</v>
          </cell>
          <cell r="F2703">
            <v>43438</v>
          </cell>
          <cell r="G2703" t="str">
            <v>OK</v>
          </cell>
        </row>
        <row r="2704">
          <cell r="A2704" t="str">
            <v>Y1812-0069</v>
          </cell>
          <cell r="B2704">
            <v>201807</v>
          </cell>
          <cell r="C2704" t="str">
            <v>4600059492</v>
          </cell>
          <cell r="D2704" t="str">
            <v>155310C</v>
          </cell>
          <cell r="E2704">
            <v>120</v>
          </cell>
          <cell r="F2704">
            <v>43438</v>
          </cell>
          <cell r="G2704" t="str">
            <v>OK</v>
          </cell>
        </row>
        <row r="2705">
          <cell r="A2705" t="str">
            <v>Y1812-0073</v>
          </cell>
          <cell r="B2705">
            <v>201807</v>
          </cell>
          <cell r="C2705" t="str">
            <v>4600059496</v>
          </cell>
          <cell r="D2705" t="str">
            <v>159786C</v>
          </cell>
          <cell r="E2705">
            <v>240</v>
          </cell>
          <cell r="F2705">
            <v>43439</v>
          </cell>
          <cell r="G2705" t="str">
            <v>OK</v>
          </cell>
        </row>
        <row r="2706">
          <cell r="A2706" t="str">
            <v>Y1812-0074</v>
          </cell>
          <cell r="B2706">
            <v>201807</v>
          </cell>
          <cell r="C2706" t="str">
            <v>4600059497</v>
          </cell>
          <cell r="D2706" t="str">
            <v>563431C</v>
          </cell>
          <cell r="E2706">
            <v>156</v>
          </cell>
          <cell r="F2706">
            <v>43438</v>
          </cell>
          <cell r="G2706" t="str">
            <v>OK</v>
          </cell>
        </row>
        <row r="2707">
          <cell r="A2707" t="str">
            <v>Y1812-0076</v>
          </cell>
          <cell r="B2707">
            <v>201807</v>
          </cell>
          <cell r="C2707" t="str">
            <v>4600059501</v>
          </cell>
          <cell r="D2707" t="str">
            <v>163199C</v>
          </cell>
          <cell r="E2707">
            <v>480</v>
          </cell>
          <cell r="F2707">
            <v>43438</v>
          </cell>
          <cell r="G2707" t="str">
            <v>OK</v>
          </cell>
        </row>
        <row r="2708">
          <cell r="A2708" t="str">
            <v>Y1812-0077</v>
          </cell>
          <cell r="B2708">
            <v>201807</v>
          </cell>
          <cell r="C2708" t="str">
            <v>4600059502</v>
          </cell>
          <cell r="D2708" t="str">
            <v>563432C</v>
          </cell>
          <cell r="E2708">
            <v>264</v>
          </cell>
          <cell r="F2708">
            <v>43438</v>
          </cell>
          <cell r="G2708" t="str">
            <v>OK</v>
          </cell>
        </row>
        <row r="2709">
          <cell r="A2709" t="str">
            <v>Y1812-0078</v>
          </cell>
          <cell r="B2709">
            <v>201807</v>
          </cell>
          <cell r="C2709" t="str">
            <v>4600059503</v>
          </cell>
          <cell r="D2709" t="str">
            <v>161602C</v>
          </cell>
          <cell r="E2709">
            <v>444</v>
          </cell>
          <cell r="F2709">
            <v>43438</v>
          </cell>
          <cell r="G2709" t="str">
            <v>OK</v>
          </cell>
        </row>
        <row r="2710">
          <cell r="A2710" t="str">
            <v>Y1812-0079</v>
          </cell>
          <cell r="B2710">
            <v>201807</v>
          </cell>
          <cell r="C2710" t="str">
            <v>4600059504</v>
          </cell>
          <cell r="D2710" t="str">
            <v>161603C</v>
          </cell>
          <cell r="E2710">
            <v>396</v>
          </cell>
          <cell r="F2710">
            <v>43438</v>
          </cell>
          <cell r="G2710" t="str">
            <v>OK</v>
          </cell>
        </row>
        <row r="2711">
          <cell r="A2711" t="str">
            <v>Y1812-0080</v>
          </cell>
          <cell r="B2711">
            <v>201807</v>
          </cell>
          <cell r="C2711" t="str">
            <v>4600059505</v>
          </cell>
          <cell r="D2711" t="str">
            <v>161603C</v>
          </cell>
          <cell r="E2711">
            <v>120</v>
          </cell>
          <cell r="F2711">
            <v>43438</v>
          </cell>
          <cell r="G2711" t="str">
            <v>OK</v>
          </cell>
        </row>
        <row r="2712">
          <cell r="A2712" t="str">
            <v>Y1812-0081</v>
          </cell>
          <cell r="B2712">
            <v>201807</v>
          </cell>
          <cell r="C2712" t="str">
            <v>4600059506</v>
          </cell>
          <cell r="D2712" t="str">
            <v>159792C</v>
          </cell>
          <cell r="E2712">
            <v>132</v>
          </cell>
          <cell r="F2712">
            <v>43441</v>
          </cell>
          <cell r="G2712" t="str">
            <v>OK</v>
          </cell>
        </row>
        <row r="2713">
          <cell r="A2713" t="str">
            <v>Y1812-0082</v>
          </cell>
          <cell r="B2713">
            <v>201807</v>
          </cell>
          <cell r="C2713" t="str">
            <v>4600059507</v>
          </cell>
          <cell r="D2713" t="str">
            <v>163204C</v>
          </cell>
          <cell r="E2713">
            <v>228</v>
          </cell>
          <cell r="F2713">
            <v>43438</v>
          </cell>
          <cell r="G2713" t="str">
            <v>OK</v>
          </cell>
        </row>
        <row r="2714">
          <cell r="A2714" t="str">
            <v>Y1812-0148</v>
          </cell>
          <cell r="B2714">
            <v>201807</v>
          </cell>
          <cell r="C2714" t="str">
            <v>4600059809</v>
          </cell>
          <cell r="D2714" t="str">
            <v>363710C</v>
          </cell>
          <cell r="E2714">
            <v>360</v>
          </cell>
          <cell r="F2714">
            <v>43438</v>
          </cell>
          <cell r="G2714" t="str">
            <v>OK</v>
          </cell>
        </row>
        <row r="2715">
          <cell r="A2715" t="str">
            <v>Y1812-0149</v>
          </cell>
          <cell r="B2715">
            <v>201807</v>
          </cell>
          <cell r="C2715" t="str">
            <v>4600059810</v>
          </cell>
          <cell r="D2715" t="str">
            <v>363711C</v>
          </cell>
          <cell r="E2715">
            <v>240</v>
          </cell>
          <cell r="F2715">
            <v>43438</v>
          </cell>
          <cell r="G2715" t="str">
            <v>OK</v>
          </cell>
        </row>
        <row r="2716">
          <cell r="A2716" t="str">
            <v>Y1812-0096</v>
          </cell>
          <cell r="B2716">
            <v>201807</v>
          </cell>
          <cell r="C2716" t="str">
            <v>4600059636</v>
          </cell>
          <cell r="D2716" t="str">
            <v>163199C</v>
          </cell>
          <cell r="E2716">
            <v>1980</v>
          </cell>
          <cell r="F2716">
            <v>43438</v>
          </cell>
          <cell r="G2716" t="str">
            <v>OK</v>
          </cell>
        </row>
        <row r="2717">
          <cell r="A2717" t="str">
            <v>Y1812-0097</v>
          </cell>
          <cell r="B2717">
            <v>201807</v>
          </cell>
          <cell r="C2717" t="str">
            <v>4600059637</v>
          </cell>
          <cell r="D2717" t="str">
            <v>163246C</v>
          </cell>
          <cell r="E2717">
            <v>996</v>
          </cell>
          <cell r="F2717">
            <v>43449</v>
          </cell>
          <cell r="G2717" t="str">
            <v>OK</v>
          </cell>
        </row>
        <row r="2718">
          <cell r="A2718" t="str">
            <v>Y1812-0098</v>
          </cell>
          <cell r="B2718">
            <v>201807</v>
          </cell>
          <cell r="C2718" t="str">
            <v>4600059638</v>
          </cell>
          <cell r="D2718" t="str">
            <v>163247C</v>
          </cell>
          <cell r="E2718">
            <v>1128</v>
          </cell>
          <cell r="F2718">
            <v>43449</v>
          </cell>
          <cell r="G2718" t="str">
            <v>OK</v>
          </cell>
        </row>
        <row r="2719">
          <cell r="A2719" t="str">
            <v>Y1812-0099</v>
          </cell>
          <cell r="B2719">
            <v>201807</v>
          </cell>
          <cell r="C2719" t="str">
            <v>4600059639</v>
          </cell>
          <cell r="D2719" t="str">
            <v>163247C</v>
          </cell>
          <cell r="E2719">
            <v>288</v>
          </cell>
          <cell r="F2719">
            <v>43449</v>
          </cell>
          <cell r="G2719" t="str">
            <v>OK</v>
          </cell>
        </row>
        <row r="2720">
          <cell r="A2720" t="str">
            <v>Y1812-0100</v>
          </cell>
          <cell r="B2720">
            <v>201807</v>
          </cell>
          <cell r="C2720" t="str">
            <v>4600059640</v>
          </cell>
          <cell r="D2720" t="str">
            <v>163248C</v>
          </cell>
          <cell r="E2720">
            <v>996</v>
          </cell>
          <cell r="F2720">
            <v>43449</v>
          </cell>
          <cell r="G2720" t="str">
            <v>OK</v>
          </cell>
        </row>
        <row r="2721">
          <cell r="A2721" t="str">
            <v>Y1812-0101</v>
          </cell>
          <cell r="B2721">
            <v>201807</v>
          </cell>
          <cell r="C2721" t="str">
            <v>4600059641</v>
          </cell>
          <cell r="D2721" t="str">
            <v>163248C</v>
          </cell>
          <cell r="E2721">
            <v>252</v>
          </cell>
          <cell r="F2721">
            <v>43449</v>
          </cell>
          <cell r="G2721" t="str">
            <v>OK</v>
          </cell>
        </row>
        <row r="2722">
          <cell r="A2722" t="str">
            <v>Y1812-0102</v>
          </cell>
          <cell r="B2722">
            <v>201807</v>
          </cell>
          <cell r="C2722" t="str">
            <v>4600059642</v>
          </cell>
          <cell r="D2722" t="str">
            <v>162950C</v>
          </cell>
          <cell r="E2722">
            <v>168</v>
          </cell>
          <cell r="F2722">
            <v>43449</v>
          </cell>
          <cell r="G2722" t="str">
            <v>OK</v>
          </cell>
        </row>
        <row r="2723">
          <cell r="A2723" t="str">
            <v>Y1812-0103</v>
          </cell>
          <cell r="B2723">
            <v>201807</v>
          </cell>
          <cell r="C2723" t="str">
            <v>4600059643</v>
          </cell>
          <cell r="D2723" t="str">
            <v>563428C</v>
          </cell>
          <cell r="E2723">
            <v>1980</v>
          </cell>
          <cell r="F2723">
            <v>43457</v>
          </cell>
          <cell r="G2723" t="str">
            <v>OK</v>
          </cell>
        </row>
        <row r="2724">
          <cell r="A2724" t="str">
            <v>Y1812-0104</v>
          </cell>
          <cell r="B2724">
            <v>201807</v>
          </cell>
          <cell r="C2724" t="str">
            <v>4600059644</v>
          </cell>
          <cell r="D2724" t="str">
            <v>163229C</v>
          </cell>
          <cell r="E2724">
            <v>180</v>
          </cell>
          <cell r="F2724">
            <v>43457</v>
          </cell>
          <cell r="G2724" t="str">
            <v>OK</v>
          </cell>
        </row>
        <row r="2725">
          <cell r="A2725" t="str">
            <v>Y1812-0106</v>
          </cell>
          <cell r="B2725">
            <v>201807</v>
          </cell>
          <cell r="C2725" t="str">
            <v>4600059646</v>
          </cell>
          <cell r="D2725" t="str">
            <v>163199C</v>
          </cell>
          <cell r="E2725">
            <v>504</v>
          </cell>
          <cell r="F2725">
            <v>43438</v>
          </cell>
          <cell r="G2725" t="str">
            <v>OK</v>
          </cell>
        </row>
        <row r="2726">
          <cell r="A2726" t="str">
            <v>Y1812-0108</v>
          </cell>
          <cell r="B2726">
            <v>201807</v>
          </cell>
          <cell r="C2726" t="str">
            <v>4600059648</v>
          </cell>
          <cell r="D2726" t="str">
            <v>163227C</v>
          </cell>
          <cell r="E2726">
            <v>180</v>
          </cell>
          <cell r="F2726">
            <v>43457</v>
          </cell>
          <cell r="G2726" t="str">
            <v>OK</v>
          </cell>
        </row>
        <row r="2727">
          <cell r="A2727" t="str">
            <v>Y1812-0109</v>
          </cell>
          <cell r="B2727">
            <v>201807</v>
          </cell>
          <cell r="C2727" t="str">
            <v>4600059649</v>
          </cell>
          <cell r="D2727" t="str">
            <v>163226C</v>
          </cell>
          <cell r="E2727">
            <v>180</v>
          </cell>
          <cell r="F2727">
            <v>43457</v>
          </cell>
          <cell r="G2727" t="str">
            <v>OK</v>
          </cell>
        </row>
        <row r="2728">
          <cell r="A2728" t="str">
            <v>Y1812-0111</v>
          </cell>
          <cell r="B2728">
            <v>201807</v>
          </cell>
          <cell r="C2728" t="str">
            <v>4600059651</v>
          </cell>
          <cell r="D2728" t="str">
            <v>161603C</v>
          </cell>
          <cell r="E2728">
            <v>516</v>
          </cell>
          <cell r="F2728">
            <v>43438</v>
          </cell>
          <cell r="G2728" t="str">
            <v>OK</v>
          </cell>
        </row>
        <row r="2729">
          <cell r="A2729" t="str">
            <v>Y1812-0112</v>
          </cell>
          <cell r="B2729">
            <v>201807</v>
          </cell>
          <cell r="C2729" t="str">
            <v>4600059652</v>
          </cell>
          <cell r="D2729" t="str">
            <v>163226C</v>
          </cell>
          <cell r="E2729">
            <v>720</v>
          </cell>
          <cell r="F2729">
            <v>43457</v>
          </cell>
          <cell r="G2729" t="str">
            <v>OK</v>
          </cell>
        </row>
        <row r="2730">
          <cell r="A2730" t="str">
            <v>Y1812-0114</v>
          </cell>
          <cell r="B2730">
            <v>201807</v>
          </cell>
          <cell r="C2730" t="str">
            <v>4600059654</v>
          </cell>
          <cell r="D2730" t="str">
            <v>563430C</v>
          </cell>
          <cell r="E2730">
            <v>2052</v>
          </cell>
          <cell r="F2730">
            <v>43457</v>
          </cell>
          <cell r="G2730" t="str">
            <v>OK</v>
          </cell>
        </row>
        <row r="2731">
          <cell r="A2731" t="str">
            <v>Y1812-0115</v>
          </cell>
          <cell r="B2731">
            <v>201807</v>
          </cell>
          <cell r="C2731" t="str">
            <v>4600059655</v>
          </cell>
          <cell r="D2731" t="str">
            <v>163229C</v>
          </cell>
          <cell r="E2731">
            <v>792</v>
          </cell>
          <cell r="F2731">
            <v>43457</v>
          </cell>
          <cell r="G2731" t="str">
            <v>OK</v>
          </cell>
        </row>
        <row r="2732">
          <cell r="A2732" t="str">
            <v>Y1812-0121</v>
          </cell>
          <cell r="B2732">
            <v>201807</v>
          </cell>
          <cell r="C2732" t="str">
            <v>4600059661</v>
          </cell>
          <cell r="D2732" t="str">
            <v>162580C</v>
          </cell>
          <cell r="E2732">
            <v>504</v>
          </cell>
          <cell r="F2732">
            <v>43438</v>
          </cell>
          <cell r="G2732" t="str">
            <v>OK</v>
          </cell>
        </row>
        <row r="2733">
          <cell r="A2733" t="str">
            <v>Y1812-0122</v>
          </cell>
          <cell r="B2733">
            <v>201807</v>
          </cell>
          <cell r="C2733" t="str">
            <v>4600059662</v>
          </cell>
          <cell r="D2733" t="str">
            <v>163227C</v>
          </cell>
          <cell r="E2733">
            <v>732</v>
          </cell>
          <cell r="F2733">
            <v>43457</v>
          </cell>
          <cell r="G2733" t="str">
            <v>OK</v>
          </cell>
        </row>
        <row r="2734">
          <cell r="A2734" t="str">
            <v>Y1812-0125</v>
          </cell>
          <cell r="B2734">
            <v>201807</v>
          </cell>
          <cell r="C2734" t="str">
            <v>4600059666</v>
          </cell>
          <cell r="D2734" t="str">
            <v>163192C</v>
          </cell>
          <cell r="E2734">
            <v>576</v>
          </cell>
          <cell r="F2734">
            <v>43460</v>
          </cell>
          <cell r="G2734" t="str">
            <v>OK</v>
          </cell>
        </row>
        <row r="2735">
          <cell r="A2735" t="str">
            <v>Y1812-0126</v>
          </cell>
          <cell r="B2735">
            <v>201807</v>
          </cell>
          <cell r="C2735" t="str">
            <v>4600059667</v>
          </cell>
          <cell r="D2735" t="str">
            <v>163192C</v>
          </cell>
          <cell r="E2735">
            <v>144</v>
          </cell>
          <cell r="F2735">
            <v>43460</v>
          </cell>
          <cell r="G2735" t="str">
            <v>OK</v>
          </cell>
        </row>
        <row r="2736">
          <cell r="A2736" t="str">
            <v>Y1812-0127</v>
          </cell>
          <cell r="B2736">
            <v>201807</v>
          </cell>
          <cell r="C2736" t="str">
            <v>4600059670</v>
          </cell>
          <cell r="D2736" t="str">
            <v>563428C</v>
          </cell>
          <cell r="E2736">
            <v>480</v>
          </cell>
          <cell r="F2736">
            <v>43457</v>
          </cell>
          <cell r="G2736" t="str">
            <v>OK</v>
          </cell>
        </row>
        <row r="2737">
          <cell r="A2737" t="str">
            <v>Y1812-0128</v>
          </cell>
          <cell r="B2737">
            <v>201807</v>
          </cell>
          <cell r="C2737" t="str">
            <v>4600059671</v>
          </cell>
          <cell r="D2737" t="str">
            <v>763521C</v>
          </cell>
          <cell r="E2737">
            <v>432</v>
          </cell>
          <cell r="F2737">
            <v>43438</v>
          </cell>
          <cell r="G2737" t="str">
            <v>OK</v>
          </cell>
        </row>
        <row r="2738">
          <cell r="A2738" t="str">
            <v>Y1812-0129</v>
          </cell>
          <cell r="B2738">
            <v>201807</v>
          </cell>
          <cell r="C2738" t="str">
            <v>4600059672</v>
          </cell>
          <cell r="D2738" t="str">
            <v>763521C</v>
          </cell>
          <cell r="E2738">
            <v>120</v>
          </cell>
          <cell r="F2738">
            <v>43438</v>
          </cell>
          <cell r="G2738" t="str">
            <v>OK</v>
          </cell>
        </row>
        <row r="2739">
          <cell r="A2739" t="str">
            <v>Y1812-0131</v>
          </cell>
          <cell r="B2739">
            <v>201807</v>
          </cell>
          <cell r="C2739" t="str">
            <v>4600059674</v>
          </cell>
          <cell r="D2739" t="str">
            <v>162580C</v>
          </cell>
          <cell r="E2739">
            <v>2016</v>
          </cell>
          <cell r="F2739">
            <v>43438</v>
          </cell>
          <cell r="G2739" t="str">
            <v>OK</v>
          </cell>
        </row>
        <row r="2740">
          <cell r="A2740" t="str">
            <v>Y1812-0132</v>
          </cell>
          <cell r="B2740">
            <v>201807</v>
          </cell>
          <cell r="C2740" t="str">
            <v>4600059675</v>
          </cell>
          <cell r="D2740" t="str">
            <v>161603C</v>
          </cell>
          <cell r="E2740">
            <v>2052</v>
          </cell>
          <cell r="F2740">
            <v>43438</v>
          </cell>
          <cell r="G2740" t="str">
            <v>OK</v>
          </cell>
        </row>
        <row r="2741">
          <cell r="A2741" t="str">
            <v>Y1812-0133</v>
          </cell>
          <cell r="B2741">
            <v>201807</v>
          </cell>
          <cell r="C2741" t="str">
            <v>4600059676</v>
          </cell>
          <cell r="D2741" t="str">
            <v>163189C</v>
          </cell>
          <cell r="E2741">
            <v>600</v>
          </cell>
          <cell r="F2741">
            <v>43460</v>
          </cell>
          <cell r="G2741" t="str">
            <v>OK</v>
          </cell>
        </row>
        <row r="2742">
          <cell r="A2742" t="str">
            <v>Y1812-0134</v>
          </cell>
          <cell r="B2742">
            <v>201807</v>
          </cell>
          <cell r="C2742" t="str">
            <v>4600059677</v>
          </cell>
          <cell r="D2742" t="str">
            <v>163189C</v>
          </cell>
          <cell r="E2742">
            <v>144</v>
          </cell>
          <cell r="F2742">
            <v>43460</v>
          </cell>
          <cell r="G2742" t="str">
            <v>OK</v>
          </cell>
        </row>
        <row r="2743">
          <cell r="A2743" t="str">
            <v>Y1812-0135</v>
          </cell>
          <cell r="B2743">
            <v>201807</v>
          </cell>
          <cell r="C2743" t="str">
            <v>4600059678</v>
          </cell>
          <cell r="D2743" t="str">
            <v>163190C</v>
          </cell>
          <cell r="E2743">
            <v>588</v>
          </cell>
          <cell r="F2743">
            <v>43460</v>
          </cell>
          <cell r="G2743" t="str">
            <v>OK</v>
          </cell>
        </row>
        <row r="2744">
          <cell r="A2744" t="str">
            <v>Y1812-0136</v>
          </cell>
          <cell r="B2744">
            <v>201807</v>
          </cell>
          <cell r="C2744" t="str">
            <v>4600059679</v>
          </cell>
          <cell r="D2744" t="str">
            <v>163190C</v>
          </cell>
          <cell r="E2744">
            <v>144</v>
          </cell>
          <cell r="F2744">
            <v>43460</v>
          </cell>
          <cell r="G2744" t="str">
            <v>OK</v>
          </cell>
        </row>
        <row r="2745">
          <cell r="A2745" t="str">
            <v>Y1812-0137</v>
          </cell>
          <cell r="B2745">
            <v>201807</v>
          </cell>
          <cell r="C2745" t="str">
            <v>4600059680</v>
          </cell>
          <cell r="D2745" t="str">
            <v>163246C</v>
          </cell>
          <cell r="E2745">
            <v>252</v>
          </cell>
          <cell r="F2745">
            <v>43449</v>
          </cell>
          <cell r="G2745" t="str">
            <v>OK</v>
          </cell>
        </row>
        <row r="2746">
          <cell r="A2746" t="str">
            <v>Y1812-0138</v>
          </cell>
          <cell r="B2746">
            <v>201807</v>
          </cell>
          <cell r="C2746" t="str">
            <v>4600059681</v>
          </cell>
          <cell r="D2746" t="str">
            <v>163249C</v>
          </cell>
          <cell r="E2746">
            <v>1032</v>
          </cell>
          <cell r="F2746">
            <v>43449</v>
          </cell>
          <cell r="G2746" t="str">
            <v>OK</v>
          </cell>
        </row>
        <row r="2747">
          <cell r="A2747" t="str">
            <v>Y1812-0139</v>
          </cell>
          <cell r="B2747">
            <v>201807</v>
          </cell>
          <cell r="C2747" t="str">
            <v>4600059682</v>
          </cell>
          <cell r="D2747" t="str">
            <v>163249C</v>
          </cell>
          <cell r="E2747">
            <v>252</v>
          </cell>
          <cell r="F2747">
            <v>43449</v>
          </cell>
          <cell r="G2747" t="str">
            <v>OK</v>
          </cell>
        </row>
        <row r="2748">
          <cell r="A2748" t="str">
            <v>Y1812-0140</v>
          </cell>
          <cell r="B2748">
            <v>201807</v>
          </cell>
          <cell r="C2748" t="str">
            <v>4600059683</v>
          </cell>
          <cell r="D2748" t="str">
            <v>162950C</v>
          </cell>
          <cell r="E2748">
            <v>672</v>
          </cell>
          <cell r="F2748">
            <v>43449</v>
          </cell>
          <cell r="G2748" t="str">
            <v>OK</v>
          </cell>
        </row>
        <row r="2749">
          <cell r="A2749" t="str">
            <v>Y1812-0145</v>
          </cell>
          <cell r="B2749">
            <v>201807</v>
          </cell>
          <cell r="C2749" t="str">
            <v>4600059691</v>
          </cell>
          <cell r="D2749" t="str">
            <v>563430C</v>
          </cell>
          <cell r="E2749">
            <v>504</v>
          </cell>
          <cell r="F2749">
            <v>43457</v>
          </cell>
          <cell r="G2749" t="str">
            <v>OK</v>
          </cell>
        </row>
        <row r="2750">
          <cell r="A2750" t="str">
            <v>Y1812-0146</v>
          </cell>
          <cell r="B2750">
            <v>201807</v>
          </cell>
          <cell r="C2750" t="str">
            <v>4600059745</v>
          </cell>
          <cell r="D2750" t="str">
            <v>163202C</v>
          </cell>
          <cell r="E2750">
            <v>12060</v>
          </cell>
          <cell r="F2750">
            <v>43435</v>
          </cell>
          <cell r="G2750" t="str">
            <v>OK</v>
          </cell>
        </row>
        <row r="2751">
          <cell r="A2751" t="str">
            <v>Y1812-0085</v>
          </cell>
          <cell r="B2751">
            <v>201807</v>
          </cell>
          <cell r="C2751" t="str">
            <v>4600059513</v>
          </cell>
          <cell r="D2751" t="str">
            <v>163204C</v>
          </cell>
          <cell r="E2751">
            <v>1008</v>
          </cell>
          <cell r="F2751">
            <v>43437</v>
          </cell>
          <cell r="G2751" t="str">
            <v>OK</v>
          </cell>
        </row>
        <row r="2752">
          <cell r="A2752" t="str">
            <v>Y1812-0086</v>
          </cell>
          <cell r="B2752">
            <v>201807</v>
          </cell>
          <cell r="C2752" t="str">
            <v>4600059514</v>
          </cell>
          <cell r="D2752" t="str">
            <v>163199C</v>
          </cell>
          <cell r="E2752">
            <v>312</v>
          </cell>
          <cell r="F2752">
            <v>43437</v>
          </cell>
          <cell r="G2752" t="str">
            <v>OK</v>
          </cell>
        </row>
        <row r="2753">
          <cell r="A2753" t="str">
            <v>Y1812-0087</v>
          </cell>
          <cell r="B2753">
            <v>201807</v>
          </cell>
          <cell r="C2753" t="str">
            <v>4600059515</v>
          </cell>
          <cell r="D2753" t="str">
            <v>163243C</v>
          </cell>
          <cell r="E2753">
            <v>120</v>
          </cell>
          <cell r="F2753">
            <v>43437</v>
          </cell>
          <cell r="G2753" t="str">
            <v>OK</v>
          </cell>
        </row>
        <row r="2754">
          <cell r="A2754" t="str">
            <v>Y1812-0088</v>
          </cell>
          <cell r="B2754">
            <v>201807</v>
          </cell>
          <cell r="C2754" t="str">
            <v>4600059527</v>
          </cell>
          <cell r="D2754" t="str">
            <v>161603C</v>
          </cell>
          <cell r="E2754">
            <v>756</v>
          </cell>
          <cell r="F2754">
            <v>43437</v>
          </cell>
          <cell r="G2754" t="str">
            <v>OK</v>
          </cell>
        </row>
        <row r="2755">
          <cell r="A2755" t="str">
            <v>Y1812-0089</v>
          </cell>
          <cell r="B2755">
            <v>201807</v>
          </cell>
          <cell r="C2755" t="str">
            <v>4600059528</v>
          </cell>
          <cell r="D2755" t="str">
            <v>361817C</v>
          </cell>
          <cell r="E2755">
            <v>864</v>
          </cell>
          <cell r="F2755">
            <v>43437</v>
          </cell>
          <cell r="G2755" t="str">
            <v>OK</v>
          </cell>
        </row>
        <row r="2756">
          <cell r="A2756" t="str">
            <v>Y1812-0090</v>
          </cell>
          <cell r="B2756">
            <v>201807</v>
          </cell>
          <cell r="C2756" t="str">
            <v>4600059529</v>
          </cell>
          <cell r="D2756" t="str">
            <v>563431C</v>
          </cell>
          <cell r="E2756">
            <v>300</v>
          </cell>
          <cell r="F2756">
            <v>43437</v>
          </cell>
          <cell r="G2756" t="str">
            <v>OK</v>
          </cell>
        </row>
        <row r="2757">
          <cell r="A2757" t="str">
            <v>Y1812-0091</v>
          </cell>
          <cell r="B2757">
            <v>201807</v>
          </cell>
          <cell r="C2757" t="str">
            <v>4600059530</v>
          </cell>
          <cell r="D2757" t="str">
            <v>563433C</v>
          </cell>
          <cell r="E2757">
            <v>864</v>
          </cell>
          <cell r="F2757">
            <v>43437</v>
          </cell>
          <cell r="G2757" t="str">
            <v>OK</v>
          </cell>
        </row>
        <row r="2758">
          <cell r="A2758" t="str">
            <v>Y1812-0092</v>
          </cell>
          <cell r="B2758">
            <v>201807</v>
          </cell>
          <cell r="C2758" t="str">
            <v>4600059531</v>
          </cell>
          <cell r="D2758" t="str">
            <v>563432C</v>
          </cell>
          <cell r="E2758">
            <v>600</v>
          </cell>
          <cell r="F2758">
            <v>43437</v>
          </cell>
          <cell r="G2758" t="str">
            <v>OK</v>
          </cell>
        </row>
        <row r="2759">
          <cell r="A2759" t="str">
            <v>Y1812-0083</v>
          </cell>
          <cell r="B2759">
            <v>201807</v>
          </cell>
          <cell r="C2759" t="str">
            <v>4600059511</v>
          </cell>
          <cell r="D2759" t="str">
            <v>163188C</v>
          </cell>
          <cell r="E2759">
            <v>1320</v>
          </cell>
          <cell r="F2759">
            <v>43437</v>
          </cell>
          <cell r="G2759" t="str">
            <v>OK</v>
          </cell>
        </row>
        <row r="2760">
          <cell r="A2760" t="str">
            <v>Y1812-0084</v>
          </cell>
          <cell r="B2760">
            <v>201807</v>
          </cell>
          <cell r="C2760" t="str">
            <v>4600059512</v>
          </cell>
          <cell r="D2760" t="str">
            <v>163187C</v>
          </cell>
          <cell r="E2760">
            <v>1080</v>
          </cell>
          <cell r="F2760">
            <v>43437</v>
          </cell>
          <cell r="G2760" t="str">
            <v>OK</v>
          </cell>
        </row>
        <row r="2761">
          <cell r="A2761" t="str">
            <v>Y1812-0093</v>
          </cell>
          <cell r="B2761">
            <v>201807</v>
          </cell>
          <cell r="C2761" t="str">
            <v>4600059532</v>
          </cell>
          <cell r="D2761" t="str">
            <v>163186C</v>
          </cell>
          <cell r="E2761">
            <v>252</v>
          </cell>
          <cell r="F2761">
            <v>43437</v>
          </cell>
          <cell r="G2761" t="str">
            <v>OK</v>
          </cell>
        </row>
        <row r="2762">
          <cell r="A2762" t="str">
            <v>Y1812-0175A</v>
          </cell>
          <cell r="B2762">
            <v>201808</v>
          </cell>
          <cell r="C2762" t="str">
            <v>0100166104</v>
          </cell>
          <cell r="D2762" t="str">
            <v>144150C</v>
          </cell>
          <cell r="E2762">
            <v>10896</v>
          </cell>
          <cell r="F2762">
            <v>43437</v>
          </cell>
          <cell r="G2762" t="str">
            <v>11/06</v>
          </cell>
        </row>
        <row r="2763">
          <cell r="A2763" t="str">
            <v>Y1812-0175B</v>
          </cell>
          <cell r="B2763">
            <v>201808</v>
          </cell>
          <cell r="C2763" t="str">
            <v>0100172069</v>
          </cell>
          <cell r="D2763" t="str">
            <v>144150C</v>
          </cell>
          <cell r="E2763">
            <v>240</v>
          </cell>
          <cell r="F2763">
            <v>43437</v>
          </cell>
          <cell r="G2763" t="str">
            <v>11/06</v>
          </cell>
        </row>
        <row r="2764">
          <cell r="A2764" t="str">
            <v>Y1812-0179A</v>
          </cell>
          <cell r="B2764">
            <v>201808</v>
          </cell>
          <cell r="C2764" t="str">
            <v>0100166110</v>
          </cell>
          <cell r="D2764" t="str">
            <v>144151C</v>
          </cell>
          <cell r="E2764">
            <v>6924</v>
          </cell>
          <cell r="F2764">
            <v>43437</v>
          </cell>
          <cell r="G2764" t="str">
            <v>11/06</v>
          </cell>
        </row>
        <row r="2765">
          <cell r="A2765" t="str">
            <v>Y1812-0179B</v>
          </cell>
          <cell r="B2765">
            <v>201808</v>
          </cell>
          <cell r="C2765" t="str">
            <v>0100172097</v>
          </cell>
          <cell r="D2765" t="str">
            <v>144151C</v>
          </cell>
          <cell r="E2765">
            <v>672</v>
          </cell>
          <cell r="F2765">
            <v>43437</v>
          </cell>
          <cell r="G2765" t="str">
            <v>11/06</v>
          </cell>
        </row>
        <row r="2766">
          <cell r="A2766" t="str">
            <v>Y1812-0179C</v>
          </cell>
          <cell r="B2766">
            <v>201808</v>
          </cell>
          <cell r="C2766" t="str">
            <v>0100172098</v>
          </cell>
          <cell r="D2766" t="str">
            <v>144151C</v>
          </cell>
          <cell r="E2766">
            <v>672</v>
          </cell>
          <cell r="F2766">
            <v>43437</v>
          </cell>
          <cell r="G2766" t="str">
            <v>11/06</v>
          </cell>
        </row>
        <row r="2767">
          <cell r="A2767" t="str">
            <v>Y1812-0223A</v>
          </cell>
          <cell r="B2767">
            <v>201808</v>
          </cell>
          <cell r="C2767" t="str">
            <v>0100166165</v>
          </cell>
          <cell r="D2767" t="str">
            <v>663992C</v>
          </cell>
          <cell r="E2767">
            <v>10956</v>
          </cell>
          <cell r="F2767">
            <v>43437</v>
          </cell>
          <cell r="G2767" t="str">
            <v>11/06</v>
          </cell>
        </row>
        <row r="2768">
          <cell r="A2768" t="str">
            <v>Y1812-0223B</v>
          </cell>
          <cell r="B2768">
            <v>201808</v>
          </cell>
          <cell r="C2768" t="str">
            <v>0100174537</v>
          </cell>
          <cell r="D2768" t="str">
            <v>663992C</v>
          </cell>
          <cell r="E2768">
            <v>240</v>
          </cell>
          <cell r="F2768">
            <v>43437</v>
          </cell>
          <cell r="G2768" t="str">
            <v>11/27</v>
          </cell>
        </row>
        <row r="2769">
          <cell r="A2769" t="str">
            <v>Y1812-0472A</v>
          </cell>
          <cell r="B2769">
            <v>201809</v>
          </cell>
          <cell r="C2769" t="str">
            <v>0100169659</v>
          </cell>
          <cell r="D2769" t="str">
            <v>3J253C</v>
          </cell>
          <cell r="E2769">
            <v>4284</v>
          </cell>
          <cell r="F2769">
            <v>43437</v>
          </cell>
          <cell r="G2769" t="str">
            <v>11/06</v>
          </cell>
        </row>
        <row r="2770">
          <cell r="A2770" t="str">
            <v>Y1812-0472B</v>
          </cell>
          <cell r="B2770">
            <v>201809</v>
          </cell>
          <cell r="C2770" t="str">
            <v>0100172070</v>
          </cell>
          <cell r="D2770" t="str">
            <v>3J253C</v>
          </cell>
          <cell r="E2770">
            <v>360</v>
          </cell>
          <cell r="F2770">
            <v>43437</v>
          </cell>
          <cell r="G2770" t="str">
            <v>11/06</v>
          </cell>
        </row>
        <row r="2771">
          <cell r="A2771" t="str">
            <v>Y1812-0473A</v>
          </cell>
          <cell r="B2771">
            <v>201809</v>
          </cell>
          <cell r="C2771" t="str">
            <v>0100169662</v>
          </cell>
          <cell r="D2771" t="str">
            <v>M9166C</v>
          </cell>
          <cell r="E2771">
            <v>14364</v>
          </cell>
          <cell r="F2771">
            <v>43437</v>
          </cell>
          <cell r="G2771" t="str">
            <v>11/06</v>
          </cell>
        </row>
        <row r="2772">
          <cell r="A2772" t="str">
            <v>Y1812-0473B</v>
          </cell>
          <cell r="B2772">
            <v>201809</v>
          </cell>
          <cell r="C2772" t="str">
            <v>0100172073</v>
          </cell>
          <cell r="D2772" t="str">
            <v>M9166C</v>
          </cell>
          <cell r="E2772">
            <v>360</v>
          </cell>
          <cell r="F2772">
            <v>43437</v>
          </cell>
          <cell r="G2772" t="str">
            <v>11/06</v>
          </cell>
        </row>
        <row r="2773">
          <cell r="A2773" t="str">
            <v>Y1812-0473C</v>
          </cell>
          <cell r="B2773">
            <v>201809</v>
          </cell>
          <cell r="C2773" t="str">
            <v>0100172072</v>
          </cell>
          <cell r="D2773" t="str">
            <v>M9166C</v>
          </cell>
          <cell r="E2773">
            <v>312</v>
          </cell>
          <cell r="F2773">
            <v>43437</v>
          </cell>
          <cell r="G2773" t="str">
            <v>11/06</v>
          </cell>
        </row>
        <row r="2774">
          <cell r="A2774" t="str">
            <v>Y1812-0473D</v>
          </cell>
          <cell r="B2774">
            <v>201809</v>
          </cell>
          <cell r="C2774" t="str">
            <v>0100172104</v>
          </cell>
          <cell r="D2774" t="str">
            <v>M9166C</v>
          </cell>
          <cell r="E2774">
            <v>456</v>
          </cell>
          <cell r="F2774">
            <v>43437</v>
          </cell>
          <cell r="G2774" t="str">
            <v>11/06</v>
          </cell>
        </row>
        <row r="2775">
          <cell r="A2775" t="str">
            <v>Y1812-0473E</v>
          </cell>
          <cell r="B2775">
            <v>201809</v>
          </cell>
          <cell r="C2775" t="str">
            <v>0100172071</v>
          </cell>
          <cell r="D2775" t="str">
            <v>M9166C</v>
          </cell>
          <cell r="E2775">
            <v>1008</v>
          </cell>
          <cell r="F2775">
            <v>43437</v>
          </cell>
          <cell r="G2775" t="str">
            <v>11/06</v>
          </cell>
        </row>
        <row r="2776">
          <cell r="A2776" t="str">
            <v>Y1812-0475A</v>
          </cell>
          <cell r="B2776">
            <v>201809</v>
          </cell>
          <cell r="C2776" t="str">
            <v>0100169669</v>
          </cell>
          <cell r="D2776" t="str">
            <v>M9696C</v>
          </cell>
          <cell r="E2776">
            <v>2664</v>
          </cell>
          <cell r="F2776">
            <v>43460</v>
          </cell>
          <cell r="G2776" t="str">
            <v>11/13</v>
          </cell>
        </row>
        <row r="2777">
          <cell r="A2777" t="str">
            <v>Y1812-0475B</v>
          </cell>
          <cell r="B2777">
            <v>201809</v>
          </cell>
          <cell r="C2777" t="str">
            <v>0100172080</v>
          </cell>
          <cell r="D2777" t="str">
            <v>M9696C</v>
          </cell>
          <cell r="E2777">
            <v>312</v>
          </cell>
          <cell r="F2777">
            <v>43460</v>
          </cell>
          <cell r="G2777" t="str">
            <v>11/13</v>
          </cell>
        </row>
        <row r="2778">
          <cell r="A2778" t="str">
            <v>Y1812-0475C</v>
          </cell>
          <cell r="B2778">
            <v>201809</v>
          </cell>
          <cell r="C2778" t="str">
            <v>0100172079</v>
          </cell>
          <cell r="D2778" t="str">
            <v>M9696C</v>
          </cell>
          <cell r="E2778">
            <v>276</v>
          </cell>
          <cell r="F2778">
            <v>43460</v>
          </cell>
          <cell r="G2778" t="str">
            <v>11/13</v>
          </cell>
        </row>
        <row r="2779">
          <cell r="A2779" t="str">
            <v>Y1812-0475D</v>
          </cell>
          <cell r="B2779">
            <v>201809</v>
          </cell>
          <cell r="C2779" t="str">
            <v>0100172078</v>
          </cell>
          <cell r="D2779" t="str">
            <v>M9696C</v>
          </cell>
          <cell r="E2779">
            <v>1116</v>
          </cell>
          <cell r="F2779">
            <v>43460</v>
          </cell>
          <cell r="G2779" t="str">
            <v>11/13</v>
          </cell>
        </row>
        <row r="2780">
          <cell r="A2780" t="str">
            <v>Y1812-0487A</v>
          </cell>
          <cell r="B2780">
            <v>201809</v>
          </cell>
          <cell r="C2780" t="str">
            <v>0100169692</v>
          </cell>
          <cell r="D2780" t="str">
            <v>7J234C</v>
          </cell>
          <cell r="E2780">
            <v>816</v>
          </cell>
          <cell r="F2780">
            <v>43437</v>
          </cell>
          <cell r="G2780" t="str">
            <v>11/06</v>
          </cell>
        </row>
        <row r="2781">
          <cell r="A2781" t="str">
            <v>Y1812-0487B</v>
          </cell>
          <cell r="B2781">
            <v>201809</v>
          </cell>
          <cell r="C2781" t="str">
            <v>0100172088</v>
          </cell>
          <cell r="D2781" t="str">
            <v>7J234C</v>
          </cell>
          <cell r="E2781">
            <v>336</v>
          </cell>
          <cell r="F2781">
            <v>43437</v>
          </cell>
          <cell r="G2781" t="str">
            <v>11/06</v>
          </cell>
        </row>
        <row r="2782">
          <cell r="A2782" t="str">
            <v>Y1812-0489A</v>
          </cell>
          <cell r="B2782">
            <v>201809</v>
          </cell>
          <cell r="C2782" t="str">
            <v>0100169694</v>
          </cell>
          <cell r="D2782" t="str">
            <v>7J235C</v>
          </cell>
          <cell r="E2782">
            <v>480</v>
          </cell>
          <cell r="F2782">
            <v>43437</v>
          </cell>
          <cell r="G2782" t="str">
            <v>11/06</v>
          </cell>
        </row>
        <row r="2783">
          <cell r="A2783" t="str">
            <v>Y1812-0489B</v>
          </cell>
          <cell r="B2783">
            <v>201809</v>
          </cell>
          <cell r="C2783" t="str">
            <v>0100172089</v>
          </cell>
          <cell r="D2783" t="str">
            <v>7J235C</v>
          </cell>
          <cell r="E2783">
            <v>312</v>
          </cell>
          <cell r="F2783">
            <v>43437</v>
          </cell>
          <cell r="G2783" t="str">
            <v>11/06</v>
          </cell>
        </row>
        <row r="2784">
          <cell r="A2784" t="str">
            <v>Y1812-0490A</v>
          </cell>
          <cell r="B2784">
            <v>201809</v>
          </cell>
          <cell r="C2784" t="str">
            <v>0100169695</v>
          </cell>
          <cell r="D2784" t="str">
            <v>7J236C</v>
          </cell>
          <cell r="E2784">
            <v>876</v>
          </cell>
          <cell r="F2784">
            <v>43460</v>
          </cell>
          <cell r="G2784" t="str">
            <v>11/06</v>
          </cell>
        </row>
        <row r="2785">
          <cell r="A2785" t="str">
            <v>Y1812-0490B</v>
          </cell>
          <cell r="B2785">
            <v>201809</v>
          </cell>
          <cell r="C2785" t="str">
            <v>0100172090</v>
          </cell>
          <cell r="D2785" t="str">
            <v>7J236C</v>
          </cell>
          <cell r="E2785">
            <v>336</v>
          </cell>
          <cell r="F2785">
            <v>43460</v>
          </cell>
          <cell r="G2785" t="str">
            <v>11/06</v>
          </cell>
        </row>
        <row r="2786">
          <cell r="A2786" t="str">
            <v>Y1812-0491A</v>
          </cell>
          <cell r="B2786">
            <v>201809</v>
          </cell>
          <cell r="C2786" t="str">
            <v>0100169696</v>
          </cell>
          <cell r="D2786" t="str">
            <v>7J237C</v>
          </cell>
          <cell r="E2786">
            <v>768</v>
          </cell>
          <cell r="F2786">
            <v>43460</v>
          </cell>
          <cell r="G2786" t="str">
            <v>11/06</v>
          </cell>
        </row>
        <row r="2787">
          <cell r="A2787" t="str">
            <v>Y1812-0491B</v>
          </cell>
          <cell r="B2787">
            <v>201809</v>
          </cell>
          <cell r="C2787" t="str">
            <v>0100172092</v>
          </cell>
          <cell r="D2787" t="str">
            <v>7J237C</v>
          </cell>
          <cell r="E2787">
            <v>264</v>
          </cell>
          <cell r="F2787">
            <v>43460</v>
          </cell>
          <cell r="G2787" t="str">
            <v>11/06</v>
          </cell>
        </row>
        <row r="2788">
          <cell r="A2788" t="str">
            <v>Y1812-0491C</v>
          </cell>
          <cell r="B2788">
            <v>201809</v>
          </cell>
          <cell r="C2788" t="str">
            <v>0100172091</v>
          </cell>
          <cell r="D2788" t="str">
            <v>7J237C</v>
          </cell>
          <cell r="E2788">
            <v>300</v>
          </cell>
          <cell r="F2788">
            <v>43460</v>
          </cell>
          <cell r="G2788" t="str">
            <v>11/06</v>
          </cell>
        </row>
        <row r="2789">
          <cell r="A2789" t="str">
            <v>Y1812-0492A</v>
          </cell>
          <cell r="B2789">
            <v>201809</v>
          </cell>
          <cell r="C2789" t="str">
            <v>0100169697</v>
          </cell>
          <cell r="D2789" t="str">
            <v>7J238C</v>
          </cell>
          <cell r="E2789">
            <v>852</v>
          </cell>
          <cell r="F2789">
            <v>43460</v>
          </cell>
          <cell r="G2789" t="str">
            <v>11/06</v>
          </cell>
        </row>
        <row r="2790">
          <cell r="A2790" t="str">
            <v>Y1812-0492B</v>
          </cell>
          <cell r="B2790">
            <v>201809</v>
          </cell>
          <cell r="C2790" t="str">
            <v>0100172093</v>
          </cell>
          <cell r="D2790" t="str">
            <v>7J238C</v>
          </cell>
          <cell r="E2790">
            <v>240</v>
          </cell>
          <cell r="F2790">
            <v>43460</v>
          </cell>
          <cell r="G2790" t="str">
            <v>11/06</v>
          </cell>
        </row>
        <row r="2791">
          <cell r="A2791" t="str">
            <v>Y1812-0493A</v>
          </cell>
          <cell r="B2791">
            <v>201809</v>
          </cell>
          <cell r="C2791" t="str">
            <v>0100169698</v>
          </cell>
          <cell r="D2791" t="str">
            <v>7J253C</v>
          </cell>
          <cell r="E2791">
            <v>1536</v>
          </cell>
          <cell r="F2791">
            <v>43460</v>
          </cell>
          <cell r="G2791" t="str">
            <v>11/06</v>
          </cell>
        </row>
        <row r="2792">
          <cell r="A2792" t="str">
            <v>Y1812-0493B</v>
          </cell>
          <cell r="B2792">
            <v>201809</v>
          </cell>
          <cell r="C2792" t="str">
            <v>0100172094</v>
          </cell>
          <cell r="D2792" t="str">
            <v>7J253C</v>
          </cell>
          <cell r="E2792">
            <v>360</v>
          </cell>
          <cell r="F2792">
            <v>43460</v>
          </cell>
          <cell r="G2792" t="str">
            <v>11/06</v>
          </cell>
        </row>
        <row r="2793">
          <cell r="A2793" t="str">
            <v>Y1812-0494A</v>
          </cell>
          <cell r="B2793">
            <v>201809</v>
          </cell>
          <cell r="C2793" t="str">
            <v>0100169701</v>
          </cell>
          <cell r="D2793" t="str">
            <v>7J256C</v>
          </cell>
          <cell r="E2793">
            <v>3720</v>
          </cell>
          <cell r="F2793">
            <v>43460</v>
          </cell>
          <cell r="G2793" t="str">
            <v>11/13</v>
          </cell>
        </row>
        <row r="2794">
          <cell r="A2794" t="str">
            <v>Y1812-0494B</v>
          </cell>
          <cell r="B2794">
            <v>201809</v>
          </cell>
          <cell r="C2794" t="str">
            <v>0100172106</v>
          </cell>
          <cell r="D2794" t="str">
            <v>7J256C</v>
          </cell>
          <cell r="E2794">
            <v>1104</v>
          </cell>
          <cell r="F2794">
            <v>43460</v>
          </cell>
          <cell r="G2794" t="str">
            <v>11/13</v>
          </cell>
        </row>
        <row r="2795">
          <cell r="A2795" t="str">
            <v>Y1812-0494C</v>
          </cell>
          <cell r="B2795">
            <v>201809</v>
          </cell>
          <cell r="C2795" t="str">
            <v>0100172095</v>
          </cell>
          <cell r="D2795" t="str">
            <v>7J256C</v>
          </cell>
          <cell r="E2795">
            <v>300</v>
          </cell>
          <cell r="F2795">
            <v>43460</v>
          </cell>
          <cell r="G2795" t="str">
            <v>11/13</v>
          </cell>
        </row>
        <row r="2796">
          <cell r="A2796" t="str">
            <v>Y1812-0494D</v>
          </cell>
          <cell r="B2796">
            <v>201809</v>
          </cell>
          <cell r="C2796" t="str">
            <v>0100172096</v>
          </cell>
          <cell r="D2796" t="str">
            <v>7J256C</v>
          </cell>
          <cell r="E2796">
            <v>300</v>
          </cell>
          <cell r="F2796">
            <v>43460</v>
          </cell>
          <cell r="G2796" t="str">
            <v>11/13</v>
          </cell>
        </row>
        <row r="2797">
          <cell r="A2797" t="str">
            <v>Y1901-0031A</v>
          </cell>
          <cell r="B2797">
            <v>201809</v>
          </cell>
          <cell r="C2797" t="str">
            <v>0100169664</v>
          </cell>
          <cell r="D2797" t="str">
            <v>M9166C</v>
          </cell>
          <cell r="E2797">
            <v>10854</v>
          </cell>
          <cell r="F2797">
            <v>43437</v>
          </cell>
          <cell r="G2797" t="str">
            <v>11/06</v>
          </cell>
        </row>
        <row r="2798">
          <cell r="A2798" t="str">
            <v>Y1901-0031C</v>
          </cell>
          <cell r="B2798">
            <v>201809</v>
          </cell>
          <cell r="C2798" t="str">
            <v>0100172076</v>
          </cell>
          <cell r="D2798" t="str">
            <v>M9166C</v>
          </cell>
          <cell r="E2798">
            <v>240</v>
          </cell>
          <cell r="F2798">
            <v>43437</v>
          </cell>
          <cell r="G2798" t="str">
            <v>11/06</v>
          </cell>
        </row>
        <row r="2799">
          <cell r="A2799" t="str">
            <v>Y1901-0031D</v>
          </cell>
          <cell r="B2799">
            <v>201809</v>
          </cell>
          <cell r="C2799" t="str">
            <v>0100172075</v>
          </cell>
          <cell r="D2799" t="str">
            <v>M9166C</v>
          </cell>
          <cell r="E2799">
            <v>300</v>
          </cell>
          <cell r="F2799">
            <v>43437</v>
          </cell>
          <cell r="G2799" t="str">
            <v>11/06</v>
          </cell>
        </row>
        <row r="2800">
          <cell r="A2800" t="str">
            <v>Y1901-0031E</v>
          </cell>
          <cell r="B2800">
            <v>201809</v>
          </cell>
          <cell r="C2800" t="str">
            <v>0100172074</v>
          </cell>
          <cell r="D2800" t="str">
            <v>M9166C</v>
          </cell>
          <cell r="E2800">
            <v>252</v>
          </cell>
          <cell r="F2800">
            <v>43437</v>
          </cell>
          <cell r="G2800" t="str">
            <v>11/06</v>
          </cell>
        </row>
        <row r="2801">
          <cell r="A2801" t="str">
            <v>Y1901-0034A</v>
          </cell>
          <cell r="B2801">
            <v>201809</v>
          </cell>
          <cell r="C2801" t="str">
            <v>0100169668</v>
          </cell>
          <cell r="D2801" t="str">
            <v>M9691C</v>
          </cell>
          <cell r="E2801">
            <v>4536</v>
          </cell>
          <cell r="F2801">
            <v>43457</v>
          </cell>
          <cell r="G2801" t="str">
            <v>11/13</v>
          </cell>
        </row>
        <row r="2802">
          <cell r="A2802" t="str">
            <v>Y1901-0034B</v>
          </cell>
          <cell r="B2802">
            <v>201809</v>
          </cell>
          <cell r="C2802" t="str">
            <v>0100172077</v>
          </cell>
          <cell r="D2802" t="str">
            <v>M9691C</v>
          </cell>
          <cell r="E2802">
            <v>252</v>
          </cell>
          <cell r="F2802">
            <v>43457</v>
          </cell>
          <cell r="G2802" t="str">
            <v>11/13</v>
          </cell>
        </row>
        <row r="2803">
          <cell r="A2803" t="str">
            <v>Y1901-0037A</v>
          </cell>
          <cell r="B2803">
            <v>201809</v>
          </cell>
          <cell r="C2803" t="str">
            <v>0100169673</v>
          </cell>
          <cell r="D2803" t="str">
            <v>M7652C</v>
          </cell>
          <cell r="E2803">
            <v>14064</v>
          </cell>
          <cell r="F2803">
            <v>43437</v>
          </cell>
          <cell r="G2803" t="str">
            <v>11/06</v>
          </cell>
        </row>
        <row r="2804">
          <cell r="A2804" t="str">
            <v>Y1901-0037B</v>
          </cell>
          <cell r="B2804">
            <v>201809</v>
          </cell>
          <cell r="C2804" t="str">
            <v>0100172081</v>
          </cell>
          <cell r="D2804" t="str">
            <v>M7652C</v>
          </cell>
          <cell r="E2804">
            <v>372</v>
          </cell>
          <cell r="F2804">
            <v>43437</v>
          </cell>
          <cell r="G2804" t="str">
            <v>11/06</v>
          </cell>
        </row>
        <row r="2805">
          <cell r="A2805" t="str">
            <v>Y1901-0037C</v>
          </cell>
          <cell r="B2805">
            <v>201809</v>
          </cell>
          <cell r="C2805" t="str">
            <v>0100172082</v>
          </cell>
          <cell r="D2805" t="str">
            <v>M7652C</v>
          </cell>
          <cell r="E2805">
            <v>372</v>
          </cell>
          <cell r="F2805">
            <v>43437</v>
          </cell>
          <cell r="G2805" t="str">
            <v>11/06</v>
          </cell>
        </row>
        <row r="2806">
          <cell r="A2806" t="str">
            <v>Y1901-0037D</v>
          </cell>
          <cell r="B2806">
            <v>201809</v>
          </cell>
          <cell r="C2806" t="str">
            <v>0100172083</v>
          </cell>
          <cell r="D2806" t="str">
            <v>M7652C</v>
          </cell>
          <cell r="E2806">
            <v>372</v>
          </cell>
          <cell r="F2806">
            <v>43437</v>
          </cell>
          <cell r="G2806" t="str">
            <v>11/06</v>
          </cell>
        </row>
        <row r="2807">
          <cell r="A2807" t="str">
            <v>Y1901-0037E</v>
          </cell>
          <cell r="B2807">
            <v>201809</v>
          </cell>
          <cell r="C2807" t="str">
            <v>0100172084</v>
          </cell>
          <cell r="D2807" t="str">
            <v>M7652C</v>
          </cell>
          <cell r="E2807">
            <v>1008</v>
          </cell>
          <cell r="F2807">
            <v>43437</v>
          </cell>
          <cell r="G2807" t="str">
            <v>11/06</v>
          </cell>
        </row>
        <row r="2808">
          <cell r="A2808" t="str">
            <v>Y1901-0037F</v>
          </cell>
          <cell r="B2808">
            <v>201809</v>
          </cell>
          <cell r="C2808" t="str">
            <v>0100172105</v>
          </cell>
          <cell r="D2808" t="str">
            <v>M7652C</v>
          </cell>
          <cell r="E2808">
            <v>2340</v>
          </cell>
          <cell r="F2808">
            <v>43437</v>
          </cell>
          <cell r="G2808" t="str">
            <v>11/06</v>
          </cell>
        </row>
        <row r="2809">
          <cell r="A2809" t="str">
            <v>Y1901-0037G</v>
          </cell>
          <cell r="B2809">
            <v>201809</v>
          </cell>
          <cell r="C2809" t="str">
            <v>0100172107</v>
          </cell>
          <cell r="D2809" t="str">
            <v>M7652C</v>
          </cell>
          <cell r="E2809">
            <v>636</v>
          </cell>
          <cell r="F2809">
            <v>43437</v>
          </cell>
          <cell r="G2809" t="str">
            <v>11/06</v>
          </cell>
        </row>
        <row r="2810">
          <cell r="A2810" t="str">
            <v>Y1901-0037H</v>
          </cell>
          <cell r="B2810">
            <v>201809</v>
          </cell>
          <cell r="C2810" t="str">
            <v>0100172085</v>
          </cell>
          <cell r="D2810" t="str">
            <v>M7652C</v>
          </cell>
          <cell r="E2810">
            <v>1200</v>
          </cell>
          <cell r="F2810">
            <v>43437</v>
          </cell>
          <cell r="G2810" t="str">
            <v>11/06</v>
          </cell>
        </row>
        <row r="2811">
          <cell r="A2811" t="str">
            <v>Y1901-0041A</v>
          </cell>
          <cell r="B2811">
            <v>201809</v>
          </cell>
          <cell r="C2811" t="str">
            <v>0100169677</v>
          </cell>
          <cell r="D2811" t="str">
            <v>144150C</v>
          </cell>
          <cell r="E2811">
            <v>828</v>
          </cell>
          <cell r="F2811">
            <v>43461</v>
          </cell>
          <cell r="G2811" t="str">
            <v>11/13</v>
          </cell>
        </row>
        <row r="2812">
          <cell r="A2812" t="str">
            <v>Y1901-0041B</v>
          </cell>
          <cell r="B2812">
            <v>201809</v>
          </cell>
          <cell r="C2812" t="str">
            <v>0100172086</v>
          </cell>
          <cell r="D2812" t="str">
            <v>144150C</v>
          </cell>
          <cell r="E2812">
            <v>672</v>
          </cell>
          <cell r="F2812">
            <v>43461</v>
          </cell>
          <cell r="G2812" t="str">
            <v>11/13</v>
          </cell>
        </row>
        <row r="2813">
          <cell r="A2813" t="str">
            <v>Y1901-0041C</v>
          </cell>
          <cell r="B2813">
            <v>201809</v>
          </cell>
          <cell r="C2813" t="str">
            <v>0100172087</v>
          </cell>
          <cell r="D2813" t="str">
            <v>144150C</v>
          </cell>
          <cell r="E2813">
            <v>672</v>
          </cell>
          <cell r="F2813">
            <v>43461</v>
          </cell>
          <cell r="G2813" t="str">
            <v>11/13</v>
          </cell>
        </row>
        <row r="2814">
          <cell r="A2814" t="str">
            <v>Y1902-0013A</v>
          </cell>
          <cell r="B2814">
            <v>201809</v>
          </cell>
          <cell r="C2814" t="str">
            <v>0100170994</v>
          </cell>
          <cell r="D2814" t="str">
            <v>M7652C</v>
          </cell>
          <cell r="E2814">
            <v>3792</v>
          </cell>
          <cell r="F2814">
            <v>43437</v>
          </cell>
          <cell r="G2814" t="str">
            <v>11/06</v>
          </cell>
        </row>
        <row r="2815">
          <cell r="A2815" t="str">
            <v>Y1902-0013B</v>
          </cell>
          <cell r="B2815">
            <v>201809</v>
          </cell>
          <cell r="C2815" t="str">
            <v>0100172101</v>
          </cell>
          <cell r="D2815" t="str">
            <v>M7652C</v>
          </cell>
          <cell r="E2815">
            <v>420</v>
          </cell>
          <cell r="F2815">
            <v>43437</v>
          </cell>
          <cell r="G2815" t="str">
            <v>11/06</v>
          </cell>
        </row>
        <row r="2816">
          <cell r="A2816" t="str">
            <v>Y1902-0013C</v>
          </cell>
          <cell r="B2816">
            <v>201809</v>
          </cell>
          <cell r="C2816" t="str">
            <v>0100172100</v>
          </cell>
          <cell r="D2816" t="str">
            <v>M7652C</v>
          </cell>
          <cell r="E2816">
            <v>396</v>
          </cell>
          <cell r="F2816">
            <v>43437</v>
          </cell>
          <cell r="G2816" t="str">
            <v>11/06</v>
          </cell>
        </row>
        <row r="2817">
          <cell r="A2817" t="str">
            <v>Y1902-0013D</v>
          </cell>
          <cell r="B2817">
            <v>201809</v>
          </cell>
          <cell r="C2817" t="str">
            <v>0100172099</v>
          </cell>
          <cell r="D2817" t="str">
            <v>M7652C</v>
          </cell>
          <cell r="E2817">
            <v>348</v>
          </cell>
          <cell r="F2817">
            <v>43437</v>
          </cell>
          <cell r="G2817" t="str">
            <v>11/06</v>
          </cell>
        </row>
        <row r="2818">
          <cell r="A2818" t="str">
            <v>Y1902-0013E</v>
          </cell>
          <cell r="B2818">
            <v>201809</v>
          </cell>
          <cell r="C2818" t="str">
            <v>0100172102</v>
          </cell>
          <cell r="D2818" t="str">
            <v>M7652C</v>
          </cell>
          <cell r="E2818">
            <v>300</v>
          </cell>
          <cell r="F2818">
            <v>43437</v>
          </cell>
          <cell r="G2818" t="str">
            <v>11/06</v>
          </cell>
        </row>
        <row r="2819">
          <cell r="A2819" t="str">
            <v>Y1901-0022</v>
          </cell>
          <cell r="B2819">
            <v>201808</v>
          </cell>
          <cell r="C2819" t="str">
            <v>0100166229</v>
          </cell>
          <cell r="D2819" t="str">
            <v>563426C</v>
          </cell>
          <cell r="E2819">
            <v>516</v>
          </cell>
          <cell r="F2819">
            <v>43435</v>
          </cell>
          <cell r="G2819" t="str">
            <v>OK</v>
          </cell>
        </row>
        <row r="2820">
          <cell r="A2820" t="str">
            <v>Y1901-0031B</v>
          </cell>
          <cell r="B2820">
            <v>201809</v>
          </cell>
          <cell r="C2820" t="str">
            <v>0100172160</v>
          </cell>
          <cell r="D2820" t="str">
            <v>M9166C</v>
          </cell>
          <cell r="E2820">
            <v>360</v>
          </cell>
          <cell r="F2820">
            <v>43437</v>
          </cell>
          <cell r="G2820" t="str">
            <v>OK</v>
          </cell>
        </row>
        <row r="2821">
          <cell r="A2821" t="str">
            <v>Y1811-0430</v>
          </cell>
          <cell r="B2821">
            <v>201807</v>
          </cell>
          <cell r="C2821" t="str">
            <v>4600059903</v>
          </cell>
          <cell r="D2821" t="str">
            <v>663605C</v>
          </cell>
          <cell r="E2821">
            <v>276</v>
          </cell>
          <cell r="F2821">
            <v>43440</v>
          </cell>
          <cell r="G2821" t="str">
            <v>OK</v>
          </cell>
        </row>
        <row r="2822">
          <cell r="A2822" t="str">
            <v>Y1811-0431</v>
          </cell>
          <cell r="B2822">
            <v>201807</v>
          </cell>
          <cell r="C2822" t="str">
            <v>4600059904</v>
          </cell>
          <cell r="D2822" t="str">
            <v>663608C</v>
          </cell>
          <cell r="E2822">
            <v>360</v>
          </cell>
          <cell r="F2822">
            <v>43440</v>
          </cell>
          <cell r="G2822" t="str">
            <v>OK</v>
          </cell>
        </row>
        <row r="2823">
          <cell r="A2823" t="str">
            <v>Y1811-0423</v>
          </cell>
          <cell r="B2823">
            <v>201807</v>
          </cell>
          <cell r="C2823" t="str">
            <v>4600059893</v>
          </cell>
          <cell r="D2823" t="str">
            <v>163199C</v>
          </cell>
          <cell r="E2823">
            <v>912</v>
          </cell>
          <cell r="F2823">
            <v>43440</v>
          </cell>
          <cell r="G2823" t="str">
            <v>OK</v>
          </cell>
        </row>
        <row r="2824">
          <cell r="A2824" t="str">
            <v>Y1811-0424</v>
          </cell>
          <cell r="B2824">
            <v>201807</v>
          </cell>
          <cell r="C2824" t="str">
            <v>4600059894</v>
          </cell>
          <cell r="D2824" t="str">
            <v>163200C</v>
          </cell>
          <cell r="E2824">
            <v>816</v>
          </cell>
          <cell r="F2824">
            <v>43440</v>
          </cell>
          <cell r="G2824" t="str">
            <v>OK</v>
          </cell>
        </row>
        <row r="2825">
          <cell r="A2825" t="str">
            <v>Y1811-0425</v>
          </cell>
          <cell r="B2825">
            <v>201807</v>
          </cell>
          <cell r="C2825" t="str">
            <v>4600059895</v>
          </cell>
          <cell r="D2825" t="str">
            <v>163201C</v>
          </cell>
          <cell r="E2825">
            <v>696</v>
          </cell>
          <cell r="F2825">
            <v>43440</v>
          </cell>
          <cell r="G2825" t="str">
            <v>OK</v>
          </cell>
        </row>
        <row r="2826">
          <cell r="A2826" t="str">
            <v>Y1811-0441</v>
          </cell>
          <cell r="B2826">
            <v>201807</v>
          </cell>
          <cell r="C2826" t="str">
            <v>4600059919</v>
          </cell>
          <cell r="D2826" t="str">
            <v>563431C</v>
          </cell>
          <cell r="E2826">
            <v>288</v>
          </cell>
          <cell r="F2826">
            <v>43440</v>
          </cell>
          <cell r="G2826" t="str">
            <v>OK</v>
          </cell>
        </row>
        <row r="2827">
          <cell r="A2827" t="str">
            <v>Y1811-0442</v>
          </cell>
          <cell r="B2827">
            <v>201807</v>
          </cell>
          <cell r="C2827" t="str">
            <v>4600059920</v>
          </cell>
          <cell r="D2827" t="str">
            <v>363710C</v>
          </cell>
          <cell r="E2827">
            <v>600</v>
          </cell>
          <cell r="F2827">
            <v>43440</v>
          </cell>
          <cell r="G2827" t="str">
            <v>OK</v>
          </cell>
        </row>
        <row r="2828">
          <cell r="A2828" t="str">
            <v>Y1811-0443</v>
          </cell>
          <cell r="B2828">
            <v>201807</v>
          </cell>
          <cell r="C2828" t="str">
            <v>4600059921</v>
          </cell>
          <cell r="D2828" t="str">
            <v>363711C</v>
          </cell>
          <cell r="E2828">
            <v>360</v>
          </cell>
          <cell r="F2828">
            <v>43440</v>
          </cell>
          <cell r="G2828" t="str">
            <v>OK</v>
          </cell>
        </row>
        <row r="2829">
          <cell r="A2829" t="str">
            <v>Y1811-0432</v>
          </cell>
          <cell r="B2829">
            <v>201807</v>
          </cell>
          <cell r="C2829" t="str">
            <v>4600059905</v>
          </cell>
          <cell r="D2829" t="str">
            <v>164023C</v>
          </cell>
          <cell r="E2829">
            <v>484</v>
          </cell>
          <cell r="F2829">
            <v>43440</v>
          </cell>
          <cell r="G2829" t="str">
            <v>OK</v>
          </cell>
        </row>
        <row r="2830">
          <cell r="A2830" t="str">
            <v>Y1811-0433</v>
          </cell>
          <cell r="B2830">
            <v>201807</v>
          </cell>
          <cell r="C2830" t="str">
            <v>4600059906</v>
          </cell>
          <cell r="D2830" t="str">
            <v>164024C</v>
          </cell>
          <cell r="E2830">
            <v>484</v>
          </cell>
          <cell r="F2830">
            <v>43440</v>
          </cell>
          <cell r="G2830" t="str">
            <v>OK</v>
          </cell>
        </row>
        <row r="2831">
          <cell r="A2831" t="str">
            <v>Y1810-0938</v>
          </cell>
          <cell r="B2831">
            <v>201807</v>
          </cell>
          <cell r="C2831" t="str">
            <v>4600059912</v>
          </cell>
          <cell r="D2831" t="str">
            <v>763527C</v>
          </cell>
          <cell r="E2831">
            <v>648</v>
          </cell>
          <cell r="F2831">
            <v>43440</v>
          </cell>
          <cell r="G2831" t="str">
            <v>OK</v>
          </cell>
        </row>
        <row r="2832">
          <cell r="A2832" t="str">
            <v>Y1810-0939</v>
          </cell>
          <cell r="B2832">
            <v>201807</v>
          </cell>
          <cell r="C2832" t="str">
            <v>4600059913</v>
          </cell>
          <cell r="D2832" t="str">
            <v>763528C</v>
          </cell>
          <cell r="E2832">
            <v>780</v>
          </cell>
          <cell r="F2832">
            <v>43440</v>
          </cell>
          <cell r="G2832" t="str">
            <v>OK</v>
          </cell>
        </row>
        <row r="2833">
          <cell r="A2833" t="str">
            <v>Y1810-0940</v>
          </cell>
          <cell r="B2833">
            <v>201807</v>
          </cell>
          <cell r="C2833" t="str">
            <v>4600059914</v>
          </cell>
          <cell r="D2833" t="str">
            <v>763529C</v>
          </cell>
          <cell r="E2833">
            <v>312</v>
          </cell>
          <cell r="F2833">
            <v>43440</v>
          </cell>
          <cell r="G2833" t="str">
            <v>OK</v>
          </cell>
        </row>
        <row r="2834">
          <cell r="A2834" t="str">
            <v>Y1810-0941</v>
          </cell>
          <cell r="B2834">
            <v>201807</v>
          </cell>
          <cell r="C2834" t="str">
            <v>4600059922</v>
          </cell>
          <cell r="D2834" t="str">
            <v>663600C</v>
          </cell>
          <cell r="E2834">
            <v>192</v>
          </cell>
          <cell r="F2834">
            <v>43440</v>
          </cell>
          <cell r="G2834" t="str">
            <v>OK</v>
          </cell>
        </row>
        <row r="2835">
          <cell r="A2835" t="str">
            <v>Y1810-0942</v>
          </cell>
          <cell r="B2835">
            <v>201807</v>
          </cell>
          <cell r="C2835" t="str">
            <v>4600059923</v>
          </cell>
          <cell r="D2835" t="str">
            <v>663601C</v>
          </cell>
          <cell r="E2835">
            <v>168</v>
          </cell>
          <cell r="F2835">
            <v>43440</v>
          </cell>
          <cell r="G2835" t="str">
            <v>OK</v>
          </cell>
        </row>
        <row r="2836">
          <cell r="A2836" t="str">
            <v>Y1812-0839</v>
          </cell>
          <cell r="B2836">
            <v>201810</v>
          </cell>
          <cell r="C2836" t="str">
            <v>0100174985</v>
          </cell>
          <cell r="D2836" t="str">
            <v>M7650C</v>
          </cell>
          <cell r="E2836">
            <v>360</v>
          </cell>
          <cell r="F2836">
            <v>43456</v>
          </cell>
          <cell r="G2836" t="str">
            <v>OK</v>
          </cell>
        </row>
        <row r="2837">
          <cell r="A2837" t="str">
            <v>Y1812-0840</v>
          </cell>
          <cell r="B2837">
            <v>201810</v>
          </cell>
          <cell r="C2837" t="str">
            <v>0100174987</v>
          </cell>
          <cell r="D2837" t="str">
            <v>M9621C</v>
          </cell>
          <cell r="E2837">
            <v>360</v>
          </cell>
          <cell r="F2837">
            <v>43456</v>
          </cell>
          <cell r="G2837" t="str">
            <v>OK</v>
          </cell>
        </row>
        <row r="2838">
          <cell r="A2838" t="str">
            <v>Y1812-0841</v>
          </cell>
          <cell r="B2838">
            <v>201810</v>
          </cell>
          <cell r="C2838" t="str">
            <v>0100174988</v>
          </cell>
          <cell r="D2838" t="str">
            <v>M9621C</v>
          </cell>
          <cell r="E2838">
            <v>420</v>
          </cell>
          <cell r="F2838">
            <v>43456</v>
          </cell>
          <cell r="G2838" t="str">
            <v>OK</v>
          </cell>
        </row>
        <row r="2839">
          <cell r="A2839" t="str">
            <v>Y1812-0842</v>
          </cell>
          <cell r="B2839">
            <v>201810</v>
          </cell>
          <cell r="C2839" t="str">
            <v>0100174989</v>
          </cell>
          <cell r="D2839" t="str">
            <v>M9697C</v>
          </cell>
          <cell r="E2839">
            <v>408</v>
          </cell>
          <cell r="F2839">
            <v>43456</v>
          </cell>
          <cell r="G2839" t="str">
            <v>OK</v>
          </cell>
        </row>
        <row r="2840">
          <cell r="A2840" t="str">
            <v>Y1812-0843</v>
          </cell>
          <cell r="B2840">
            <v>201810</v>
          </cell>
          <cell r="C2840" t="str">
            <v>0100175013</v>
          </cell>
          <cell r="D2840" t="str">
            <v>3J232C</v>
          </cell>
          <cell r="E2840">
            <v>504</v>
          </cell>
          <cell r="F2840">
            <v>43446</v>
          </cell>
          <cell r="G2840" t="str">
            <v>OK</v>
          </cell>
        </row>
        <row r="2841">
          <cell r="A2841" t="str">
            <v>Y1812-0844</v>
          </cell>
          <cell r="B2841">
            <v>201810</v>
          </cell>
          <cell r="C2841" t="str">
            <v>0100175017</v>
          </cell>
          <cell r="D2841" t="str">
            <v>3J256C</v>
          </cell>
          <cell r="E2841">
            <v>540</v>
          </cell>
          <cell r="F2841">
            <v>43446</v>
          </cell>
          <cell r="G2841" t="str">
            <v>OK</v>
          </cell>
        </row>
        <row r="2842">
          <cell r="A2842" t="str">
            <v>Y1812-0845</v>
          </cell>
          <cell r="B2842">
            <v>201810</v>
          </cell>
          <cell r="C2842" t="str">
            <v>0100175022</v>
          </cell>
          <cell r="D2842" t="str">
            <v>7J232C</v>
          </cell>
          <cell r="E2842">
            <v>1008</v>
          </cell>
          <cell r="F2842">
            <v>43446</v>
          </cell>
          <cell r="G2842" t="str">
            <v>OK</v>
          </cell>
        </row>
        <row r="2843">
          <cell r="A2843" t="str">
            <v>Y1812-0846</v>
          </cell>
          <cell r="B2843">
            <v>201810</v>
          </cell>
          <cell r="C2843" t="str">
            <v>0100175025</v>
          </cell>
          <cell r="D2843" t="str">
            <v>7J256C</v>
          </cell>
          <cell r="E2843">
            <v>2040</v>
          </cell>
          <cell r="F2843">
            <v>43446</v>
          </cell>
          <cell r="G2843" t="str">
            <v>OK</v>
          </cell>
        </row>
        <row r="2844">
          <cell r="A2844" t="str">
            <v>Y1812-0847</v>
          </cell>
          <cell r="B2844">
            <v>201810</v>
          </cell>
          <cell r="C2844" t="str">
            <v>0100175397</v>
          </cell>
          <cell r="D2844" t="str">
            <v>7J234</v>
          </cell>
          <cell r="E2844">
            <v>372</v>
          </cell>
          <cell r="F2844">
            <v>43462</v>
          </cell>
          <cell r="G2844" t="str">
            <v>OK</v>
          </cell>
        </row>
        <row r="2845">
          <cell r="A2845" t="str">
            <v>Y1812-0848</v>
          </cell>
          <cell r="B2845">
            <v>201810</v>
          </cell>
          <cell r="C2845" t="str">
            <v>0100175403</v>
          </cell>
          <cell r="D2845" t="str">
            <v>7J256</v>
          </cell>
          <cell r="E2845">
            <v>384</v>
          </cell>
          <cell r="F2845">
            <v>43462</v>
          </cell>
          <cell r="G2845" t="str">
            <v>OK</v>
          </cell>
        </row>
        <row r="2846">
          <cell r="A2846" t="str">
            <v>Y1812-0849</v>
          </cell>
          <cell r="B2846">
            <v>201810</v>
          </cell>
          <cell r="C2846" t="str">
            <v>0100175404</v>
          </cell>
          <cell r="D2846" t="str">
            <v>159484F</v>
          </cell>
          <cell r="E2846">
            <v>348</v>
          </cell>
          <cell r="F2846">
            <v>43462</v>
          </cell>
          <cell r="G2846" t="str">
            <v>OK</v>
          </cell>
        </row>
        <row r="2847">
          <cell r="A2847" t="str">
            <v>Y1812-0850</v>
          </cell>
          <cell r="B2847">
            <v>201810</v>
          </cell>
          <cell r="C2847" t="str">
            <v>0100175414</v>
          </cell>
          <cell r="D2847" t="str">
            <v>W9160</v>
          </cell>
          <cell r="E2847">
            <v>2184</v>
          </cell>
          <cell r="F2847">
            <v>43462</v>
          </cell>
          <cell r="G2847" t="str">
            <v>OK</v>
          </cell>
        </row>
        <row r="2848">
          <cell r="A2848" t="str">
            <v>Y1812-0851</v>
          </cell>
          <cell r="B2848">
            <v>201810</v>
          </cell>
          <cell r="C2848" t="str">
            <v>0100175426</v>
          </cell>
          <cell r="D2848" t="str">
            <v>3J234</v>
          </cell>
          <cell r="E2848">
            <v>1128</v>
          </cell>
          <cell r="F2848">
            <v>43462</v>
          </cell>
          <cell r="G2848" t="str">
            <v>OK</v>
          </cell>
        </row>
        <row r="2849">
          <cell r="A2849" t="str">
            <v>Y1812-0852</v>
          </cell>
          <cell r="B2849">
            <v>201810</v>
          </cell>
          <cell r="C2849" t="str">
            <v>4600064489</v>
          </cell>
          <cell r="D2849" t="str">
            <v>7J256C</v>
          </cell>
          <cell r="E2849">
            <v>1812</v>
          </cell>
          <cell r="F2849">
            <v>43464</v>
          </cell>
          <cell r="G2849" t="str">
            <v>OK</v>
          </cell>
        </row>
        <row r="2850">
          <cell r="A2850" t="str">
            <v>Y1812-0853</v>
          </cell>
          <cell r="B2850">
            <v>201810</v>
          </cell>
          <cell r="C2850" t="str">
            <v>4600064490</v>
          </cell>
          <cell r="D2850" t="str">
            <v>7J253C</v>
          </cell>
          <cell r="E2850">
            <v>840</v>
          </cell>
          <cell r="F2850">
            <v>43464</v>
          </cell>
          <cell r="G2850" t="str">
            <v>OK</v>
          </cell>
        </row>
        <row r="2851">
          <cell r="A2851" t="str">
            <v>Y1812-0854</v>
          </cell>
          <cell r="B2851">
            <v>201810</v>
          </cell>
          <cell r="C2851" t="str">
            <v>4600064492</v>
          </cell>
          <cell r="D2851" t="str">
            <v>3J253C</v>
          </cell>
          <cell r="E2851">
            <v>576</v>
          </cell>
          <cell r="F2851">
            <v>43464</v>
          </cell>
          <cell r="G2851" t="str">
            <v>OK</v>
          </cell>
        </row>
        <row r="2852">
          <cell r="A2852" t="str">
            <v>Y1812-0855</v>
          </cell>
          <cell r="B2852">
            <v>201810</v>
          </cell>
          <cell r="C2852" t="str">
            <v>4600064494</v>
          </cell>
          <cell r="D2852" t="str">
            <v>M7652C</v>
          </cell>
          <cell r="E2852">
            <v>11184</v>
          </cell>
          <cell r="F2852">
            <v>43464</v>
          </cell>
          <cell r="G2852" t="str">
            <v>OK</v>
          </cell>
        </row>
        <row r="2853">
          <cell r="A2853" t="str">
            <v>Y1812-0856</v>
          </cell>
          <cell r="B2853">
            <v>201810</v>
          </cell>
          <cell r="C2853" t="str">
            <v>4600064495</v>
          </cell>
          <cell r="D2853" t="str">
            <v>3J234C</v>
          </cell>
          <cell r="E2853">
            <v>384</v>
          </cell>
          <cell r="F2853">
            <v>43464</v>
          </cell>
          <cell r="G2853" t="str">
            <v>OK</v>
          </cell>
        </row>
        <row r="2854">
          <cell r="A2854" t="str">
            <v>Y1812-0857</v>
          </cell>
          <cell r="B2854">
            <v>201810</v>
          </cell>
          <cell r="C2854" t="str">
            <v>4600064515</v>
          </cell>
          <cell r="D2854" t="str">
            <v>7J238C</v>
          </cell>
          <cell r="E2854">
            <v>372</v>
          </cell>
          <cell r="F2854">
            <v>43464</v>
          </cell>
          <cell r="G2854" t="str">
            <v>OK</v>
          </cell>
        </row>
        <row r="2855">
          <cell r="A2855" t="str">
            <v>Y1812-0858</v>
          </cell>
          <cell r="B2855">
            <v>201810</v>
          </cell>
          <cell r="C2855" t="str">
            <v>4600064516</v>
          </cell>
          <cell r="D2855" t="str">
            <v>7J232C</v>
          </cell>
          <cell r="E2855">
            <v>384</v>
          </cell>
          <cell r="F2855">
            <v>43464</v>
          </cell>
          <cell r="G2855" t="str">
            <v>OK</v>
          </cell>
        </row>
        <row r="2856">
          <cell r="A2856" t="str">
            <v>Y1812-0859</v>
          </cell>
          <cell r="B2856">
            <v>201810</v>
          </cell>
          <cell r="C2856" t="str">
            <v>4600064517</v>
          </cell>
          <cell r="D2856" t="str">
            <v>3J236C</v>
          </cell>
          <cell r="E2856">
            <v>372</v>
          </cell>
          <cell r="F2856">
            <v>43464</v>
          </cell>
          <cell r="G2856" t="str">
            <v>OK</v>
          </cell>
        </row>
        <row r="2857">
          <cell r="A2857" t="str">
            <v>Y1812-0860</v>
          </cell>
          <cell r="B2857">
            <v>201810</v>
          </cell>
          <cell r="C2857" t="str">
            <v>4600064518</v>
          </cell>
          <cell r="D2857" t="str">
            <v>1J794C</v>
          </cell>
          <cell r="E2857">
            <v>372</v>
          </cell>
          <cell r="F2857">
            <v>43464</v>
          </cell>
          <cell r="G2857" t="str">
            <v>OK</v>
          </cell>
        </row>
        <row r="2858">
          <cell r="A2858" t="str">
            <v>Y1812-0861</v>
          </cell>
          <cell r="B2858">
            <v>201810</v>
          </cell>
          <cell r="C2858" t="str">
            <v>4600064519</v>
          </cell>
          <cell r="D2858" t="str">
            <v>M9696C</v>
          </cell>
          <cell r="E2858">
            <v>1632</v>
          </cell>
          <cell r="F2858">
            <v>43464</v>
          </cell>
          <cell r="G2858" t="str">
            <v>OK</v>
          </cell>
        </row>
        <row r="2859">
          <cell r="A2859" t="str">
            <v>Y1812-0862</v>
          </cell>
          <cell r="B2859">
            <v>201810</v>
          </cell>
          <cell r="C2859" t="str">
            <v>4600064521</v>
          </cell>
          <cell r="D2859" t="str">
            <v>M9621C</v>
          </cell>
          <cell r="E2859">
            <v>1608</v>
          </cell>
          <cell r="F2859">
            <v>43464</v>
          </cell>
          <cell r="G2859" t="str">
            <v>OK</v>
          </cell>
        </row>
        <row r="2860">
          <cell r="A2860" t="str">
            <v>Y1812-0863</v>
          </cell>
          <cell r="B2860">
            <v>201810</v>
          </cell>
          <cell r="C2860" t="str">
            <v>4600064525</v>
          </cell>
          <cell r="D2860" t="str">
            <v>3J256C</v>
          </cell>
          <cell r="E2860">
            <v>1488</v>
          </cell>
          <cell r="F2860">
            <v>43464</v>
          </cell>
          <cell r="G2860" t="str">
            <v>OK</v>
          </cell>
        </row>
        <row r="2861">
          <cell r="A2861" t="str">
            <v>Y1812-0864</v>
          </cell>
          <cell r="B2861">
            <v>201810</v>
          </cell>
          <cell r="C2861" t="str">
            <v>4600064526</v>
          </cell>
          <cell r="D2861" t="str">
            <v>M7650C</v>
          </cell>
          <cell r="E2861">
            <v>1812</v>
          </cell>
          <cell r="F2861">
            <v>43464</v>
          </cell>
          <cell r="G2861" t="str">
            <v>OK</v>
          </cell>
        </row>
        <row r="2862">
          <cell r="A2862" t="str">
            <v>Y1812-0865</v>
          </cell>
          <cell r="B2862">
            <v>201810</v>
          </cell>
          <cell r="C2862" t="str">
            <v>4600064527</v>
          </cell>
          <cell r="D2862" t="str">
            <v>M3310C</v>
          </cell>
          <cell r="E2862">
            <v>4224</v>
          </cell>
          <cell r="F2862">
            <v>43464</v>
          </cell>
          <cell r="G2862" t="str">
            <v>OK</v>
          </cell>
        </row>
        <row r="2863">
          <cell r="A2863" t="str">
            <v>Y1812-0866</v>
          </cell>
          <cell r="B2863">
            <v>201810</v>
          </cell>
          <cell r="C2863" t="str">
            <v>4600064528</v>
          </cell>
          <cell r="D2863" t="str">
            <v>M9697C</v>
          </cell>
          <cell r="E2863">
            <v>492</v>
          </cell>
          <cell r="F2863">
            <v>43464</v>
          </cell>
          <cell r="G2863" t="str">
            <v>OK</v>
          </cell>
        </row>
        <row r="2864">
          <cell r="A2864" t="str">
            <v>Y1812-0867</v>
          </cell>
          <cell r="B2864">
            <v>201810</v>
          </cell>
          <cell r="C2864" t="str">
            <v>4600064529</v>
          </cell>
          <cell r="D2864" t="str">
            <v>M9166C</v>
          </cell>
          <cell r="E2864">
            <v>8712</v>
          </cell>
          <cell r="F2864">
            <v>43464</v>
          </cell>
          <cell r="G2864" t="str">
            <v>OK</v>
          </cell>
        </row>
        <row r="2865">
          <cell r="A2865" t="str">
            <v>Y1812-0868</v>
          </cell>
          <cell r="B2865">
            <v>201810</v>
          </cell>
          <cell r="C2865" t="str">
            <v>4600064532</v>
          </cell>
          <cell r="D2865" t="str">
            <v>M5039C</v>
          </cell>
          <cell r="E2865">
            <v>3528</v>
          </cell>
          <cell r="F2865">
            <v>43464</v>
          </cell>
          <cell r="G2865" t="str">
            <v>OK</v>
          </cell>
        </row>
        <row r="2866">
          <cell r="A2866" t="str">
            <v>Y1812-0869</v>
          </cell>
          <cell r="B2866">
            <v>201810</v>
          </cell>
          <cell r="C2866" t="str">
            <v>4600064534</v>
          </cell>
          <cell r="D2866" t="str">
            <v>M9696C</v>
          </cell>
          <cell r="E2866">
            <v>396</v>
          </cell>
          <cell r="F2866">
            <v>43464</v>
          </cell>
          <cell r="G2866" t="str">
            <v>OK</v>
          </cell>
        </row>
        <row r="2867">
          <cell r="A2867" t="str">
            <v>Y1812-0870</v>
          </cell>
          <cell r="B2867">
            <v>201810</v>
          </cell>
          <cell r="C2867" t="str">
            <v>4600064535</v>
          </cell>
          <cell r="D2867" t="str">
            <v>M9621C</v>
          </cell>
          <cell r="E2867">
            <v>360</v>
          </cell>
          <cell r="F2867">
            <v>43464</v>
          </cell>
          <cell r="G2867" t="str">
            <v>OK</v>
          </cell>
        </row>
        <row r="2868">
          <cell r="A2868" t="str">
            <v>Y1812-0871</v>
          </cell>
          <cell r="B2868">
            <v>201810</v>
          </cell>
          <cell r="C2868" t="str">
            <v>4600064536</v>
          </cell>
          <cell r="D2868" t="str">
            <v>7J256C</v>
          </cell>
          <cell r="E2868">
            <v>360</v>
          </cell>
          <cell r="F2868">
            <v>43464</v>
          </cell>
          <cell r="G2868" t="str">
            <v>OK</v>
          </cell>
        </row>
        <row r="2869">
          <cell r="A2869" t="str">
            <v>Y1812-0872</v>
          </cell>
          <cell r="B2869">
            <v>201810</v>
          </cell>
          <cell r="C2869" t="str">
            <v>4600064537</v>
          </cell>
          <cell r="D2869" t="str">
            <v>3J253C</v>
          </cell>
          <cell r="E2869">
            <v>240</v>
          </cell>
          <cell r="F2869">
            <v>43464</v>
          </cell>
          <cell r="G2869" t="str">
            <v>OK</v>
          </cell>
        </row>
        <row r="2870">
          <cell r="A2870" t="str">
            <v>Y1812-0873</v>
          </cell>
          <cell r="B2870">
            <v>201810</v>
          </cell>
          <cell r="C2870" t="str">
            <v>4600064538</v>
          </cell>
          <cell r="D2870" t="str">
            <v>M9697C</v>
          </cell>
          <cell r="E2870">
            <v>828</v>
          </cell>
          <cell r="F2870">
            <v>43464</v>
          </cell>
          <cell r="G2870" t="str">
            <v>OK</v>
          </cell>
        </row>
        <row r="2871">
          <cell r="A2871" t="str">
            <v>Y1812-0874</v>
          </cell>
          <cell r="B2871">
            <v>201810</v>
          </cell>
          <cell r="C2871" t="str">
            <v>4600064539</v>
          </cell>
          <cell r="D2871" t="str">
            <v>M3310C</v>
          </cell>
          <cell r="E2871">
            <v>756</v>
          </cell>
          <cell r="F2871">
            <v>43464</v>
          </cell>
          <cell r="G2871" t="str">
            <v>OK</v>
          </cell>
        </row>
        <row r="2872">
          <cell r="A2872" t="str">
            <v>Y1812-0875</v>
          </cell>
          <cell r="B2872">
            <v>201810</v>
          </cell>
          <cell r="C2872" t="str">
            <v>4600064551</v>
          </cell>
          <cell r="D2872" t="str">
            <v>M7652C</v>
          </cell>
          <cell r="E2872">
            <v>3024</v>
          </cell>
          <cell r="F2872">
            <v>43464</v>
          </cell>
          <cell r="G2872" t="str">
            <v>OK</v>
          </cell>
        </row>
        <row r="2873">
          <cell r="A2873" t="str">
            <v>Y1812-0876</v>
          </cell>
          <cell r="B2873">
            <v>201810</v>
          </cell>
          <cell r="C2873" t="str">
            <v>4600064552</v>
          </cell>
          <cell r="D2873" t="str">
            <v>M7650C</v>
          </cell>
          <cell r="E2873">
            <v>1080</v>
          </cell>
          <cell r="F2873">
            <v>43464</v>
          </cell>
          <cell r="G2873" t="str">
            <v>OK</v>
          </cell>
        </row>
        <row r="2874">
          <cell r="A2874" t="str">
            <v>Y1812-0877</v>
          </cell>
          <cell r="B2874">
            <v>201810</v>
          </cell>
          <cell r="C2874" t="str">
            <v>4600064553</v>
          </cell>
          <cell r="D2874" t="str">
            <v>M9166C</v>
          </cell>
          <cell r="E2874">
            <v>3072</v>
          </cell>
          <cell r="F2874">
            <v>43464</v>
          </cell>
          <cell r="G2874" t="str">
            <v>OK</v>
          </cell>
        </row>
        <row r="2875">
          <cell r="A2875" t="str">
            <v>Y1812-0878</v>
          </cell>
          <cell r="B2875">
            <v>201810</v>
          </cell>
          <cell r="C2875" t="str">
            <v>4600064554</v>
          </cell>
          <cell r="D2875" t="str">
            <v>M5039C</v>
          </cell>
          <cell r="E2875">
            <v>444</v>
          </cell>
          <cell r="F2875">
            <v>43464</v>
          </cell>
          <cell r="G2875" t="str">
            <v>OK</v>
          </cell>
        </row>
        <row r="2876">
          <cell r="A2876" t="str">
            <v>Y1812-0879</v>
          </cell>
          <cell r="B2876">
            <v>201810</v>
          </cell>
          <cell r="C2876" t="str">
            <v>4600064555</v>
          </cell>
          <cell r="D2876" t="str">
            <v>3J256C</v>
          </cell>
          <cell r="E2876">
            <v>240</v>
          </cell>
          <cell r="F2876">
            <v>43464</v>
          </cell>
          <cell r="G2876" t="str">
            <v>OK</v>
          </cell>
        </row>
        <row r="2877">
          <cell r="A2877" t="str">
            <v>Y1812-0443</v>
          </cell>
          <cell r="B2877">
            <v>201810</v>
          </cell>
          <cell r="C2877" t="str">
            <v>4600064593</v>
          </cell>
          <cell r="D2877" t="str">
            <v>150759C</v>
          </cell>
          <cell r="E2877">
            <v>1800</v>
          </cell>
          <cell r="F2877">
            <v>43444</v>
          </cell>
          <cell r="G2877" t="str">
            <v>OK</v>
          </cell>
        </row>
        <row r="2878">
          <cell r="A2878" t="str">
            <v>Y1812-0442</v>
          </cell>
          <cell r="B2878">
            <v>201810</v>
          </cell>
          <cell r="C2878" t="str">
            <v>4600064594</v>
          </cell>
          <cell r="D2878" t="str">
            <v>150764C</v>
          </cell>
          <cell r="E2878">
            <v>2676</v>
          </cell>
          <cell r="F2878">
            <v>43444</v>
          </cell>
          <cell r="G2878" t="str">
            <v>OK</v>
          </cell>
        </row>
        <row r="2879">
          <cell r="A2879" t="str">
            <v>Y1812-0437</v>
          </cell>
          <cell r="B2879">
            <v>201810</v>
          </cell>
          <cell r="C2879" t="str">
            <v>4600064595</v>
          </cell>
          <cell r="D2879" t="str">
            <v>150763C</v>
          </cell>
          <cell r="E2879">
            <v>3168</v>
          </cell>
          <cell r="F2879">
            <v>43444</v>
          </cell>
          <cell r="G2879" t="str">
            <v>OK</v>
          </cell>
        </row>
        <row r="2880">
          <cell r="A2880" t="str">
            <v>Y1812-0435</v>
          </cell>
          <cell r="B2880">
            <v>201810</v>
          </cell>
          <cell r="C2880" t="str">
            <v>4600064596</v>
          </cell>
          <cell r="D2880" t="str">
            <v>150770C</v>
          </cell>
          <cell r="E2880">
            <v>1812</v>
          </cell>
          <cell r="F2880">
            <v>43444</v>
          </cell>
          <cell r="G2880" t="str">
            <v>OK</v>
          </cell>
        </row>
        <row r="2881">
          <cell r="A2881" t="str">
            <v>Y1812-0440</v>
          </cell>
          <cell r="B2881">
            <v>201810</v>
          </cell>
          <cell r="C2881" t="str">
            <v>4600064597</v>
          </cell>
          <cell r="D2881" t="str">
            <v>150760C</v>
          </cell>
          <cell r="E2881">
            <v>1812</v>
          </cell>
          <cell r="F2881">
            <v>43444</v>
          </cell>
          <cell r="G2881" t="str">
            <v>OK</v>
          </cell>
        </row>
        <row r="2882">
          <cell r="A2882" t="str">
            <v>Y1812-0444</v>
          </cell>
          <cell r="B2882">
            <v>201810</v>
          </cell>
          <cell r="C2882" t="str">
            <v>4600064599</v>
          </cell>
          <cell r="D2882" t="str">
            <v>150768C</v>
          </cell>
          <cell r="E2882">
            <v>2916</v>
          </cell>
          <cell r="F2882">
            <v>43444</v>
          </cell>
          <cell r="G2882" t="str">
            <v>OK</v>
          </cell>
        </row>
        <row r="2883">
          <cell r="A2883" t="str">
            <v>Y1812-0441</v>
          </cell>
          <cell r="B2883">
            <v>201810</v>
          </cell>
          <cell r="C2883" t="str">
            <v>4600064600</v>
          </cell>
          <cell r="D2883" t="str">
            <v>150762C</v>
          </cell>
          <cell r="E2883">
            <v>1836</v>
          </cell>
          <cell r="F2883">
            <v>43444</v>
          </cell>
          <cell r="G2883" t="str">
            <v>OK</v>
          </cell>
        </row>
        <row r="2884">
          <cell r="A2884" t="str">
            <v>Y1812-0439</v>
          </cell>
          <cell r="B2884">
            <v>201810</v>
          </cell>
          <cell r="C2884" t="str">
            <v>4600064601</v>
          </cell>
          <cell r="D2884" t="str">
            <v>150756C</v>
          </cell>
          <cell r="E2884">
            <v>1980</v>
          </cell>
          <cell r="F2884">
            <v>43444</v>
          </cell>
          <cell r="G2884" t="str">
            <v>OK</v>
          </cell>
        </row>
        <row r="2885">
          <cell r="A2885" t="str">
            <v>Y1812-0436</v>
          </cell>
          <cell r="B2885">
            <v>201810</v>
          </cell>
          <cell r="C2885" t="str">
            <v>4600064602</v>
          </cell>
          <cell r="D2885" t="str">
            <v>150757C</v>
          </cell>
          <cell r="E2885">
            <v>1800</v>
          </cell>
          <cell r="F2885">
            <v>43444</v>
          </cell>
          <cell r="G2885" t="str">
            <v>OK</v>
          </cell>
        </row>
        <row r="2886">
          <cell r="A2886" t="str">
            <v>Y1812-0438</v>
          </cell>
          <cell r="B2886">
            <v>201810</v>
          </cell>
          <cell r="C2886" t="str">
            <v>4600064603</v>
          </cell>
          <cell r="D2886" t="str">
            <v>150767C</v>
          </cell>
          <cell r="E2886">
            <v>2196</v>
          </cell>
          <cell r="F2886">
            <v>43444</v>
          </cell>
          <cell r="G2886" t="str">
            <v>OK</v>
          </cell>
        </row>
        <row r="2887">
          <cell r="A2887" t="str">
            <v>Y1812-0880</v>
          </cell>
          <cell r="B2887">
            <v>201810</v>
          </cell>
          <cell r="C2887" t="str">
            <v>4600064710</v>
          </cell>
          <cell r="D2887" t="str">
            <v>3J234C</v>
          </cell>
          <cell r="E2887">
            <v>372</v>
          </cell>
          <cell r="F2887">
            <v>43464</v>
          </cell>
          <cell r="G2887" t="str">
            <v>OK</v>
          </cell>
        </row>
        <row r="2888">
          <cell r="A2888" t="str">
            <v>Y1812-0881</v>
          </cell>
          <cell r="B2888">
            <v>201810</v>
          </cell>
          <cell r="C2888" t="str">
            <v>4600064711</v>
          </cell>
          <cell r="D2888" t="str">
            <v>3J237C</v>
          </cell>
          <cell r="E2888">
            <v>360</v>
          </cell>
          <cell r="F2888">
            <v>43464</v>
          </cell>
          <cell r="G2888" t="str">
            <v>OK</v>
          </cell>
        </row>
        <row r="2889">
          <cell r="A2889" t="str">
            <v>Y1812-0882</v>
          </cell>
          <cell r="B2889">
            <v>201810</v>
          </cell>
          <cell r="C2889" t="str">
            <v>4600064712</v>
          </cell>
          <cell r="D2889" t="str">
            <v>3J236C</v>
          </cell>
          <cell r="E2889">
            <v>360</v>
          </cell>
          <cell r="F2889">
            <v>43464</v>
          </cell>
          <cell r="G2889" t="str">
            <v>OK</v>
          </cell>
        </row>
        <row r="2890">
          <cell r="A2890" t="str">
            <v>Y1812-0883</v>
          </cell>
          <cell r="B2890">
            <v>201810</v>
          </cell>
          <cell r="C2890" t="str">
            <v>4600064713</v>
          </cell>
          <cell r="D2890" t="str">
            <v>3J256C</v>
          </cell>
          <cell r="E2890">
            <v>360</v>
          </cell>
          <cell r="F2890">
            <v>43464</v>
          </cell>
          <cell r="G2890" t="str">
            <v>OK</v>
          </cell>
        </row>
        <row r="2891">
          <cell r="A2891" t="str">
            <v>Y1812-0884</v>
          </cell>
          <cell r="B2891">
            <v>201810</v>
          </cell>
          <cell r="C2891" t="str">
            <v>4600064714</v>
          </cell>
          <cell r="D2891" t="str">
            <v>M9696C</v>
          </cell>
          <cell r="E2891">
            <v>924</v>
          </cell>
          <cell r="F2891">
            <v>43464</v>
          </cell>
          <cell r="G2891" t="str">
            <v>OK</v>
          </cell>
        </row>
        <row r="2892">
          <cell r="A2892" t="str">
            <v>Y1812-0885</v>
          </cell>
          <cell r="B2892">
            <v>201810</v>
          </cell>
          <cell r="C2892" t="str">
            <v>4600064716</v>
          </cell>
          <cell r="D2892" t="str">
            <v>3J232C</v>
          </cell>
          <cell r="E2892">
            <v>384</v>
          </cell>
          <cell r="F2892">
            <v>43464</v>
          </cell>
          <cell r="G2892" t="str">
            <v>OK</v>
          </cell>
        </row>
        <row r="2893">
          <cell r="A2893" t="str">
            <v>Y1812-0886</v>
          </cell>
          <cell r="B2893">
            <v>201810</v>
          </cell>
          <cell r="C2893" t="str">
            <v>4600064717</v>
          </cell>
          <cell r="D2893" t="str">
            <v>3J238C</v>
          </cell>
          <cell r="E2893">
            <v>372</v>
          </cell>
          <cell r="F2893">
            <v>43464</v>
          </cell>
          <cell r="G2893" t="str">
            <v>OK</v>
          </cell>
        </row>
        <row r="2894">
          <cell r="A2894" t="str">
            <v>Y1812-0887</v>
          </cell>
          <cell r="B2894">
            <v>201810</v>
          </cell>
          <cell r="C2894" t="str">
            <v>4600064718</v>
          </cell>
          <cell r="D2894" t="str">
            <v>M5039C</v>
          </cell>
          <cell r="E2894">
            <v>504</v>
          </cell>
          <cell r="F2894">
            <v>43464</v>
          </cell>
          <cell r="G2894" t="str">
            <v>OK</v>
          </cell>
        </row>
        <row r="2895">
          <cell r="A2895" t="str">
            <v>Y1812-0888</v>
          </cell>
          <cell r="B2895">
            <v>201810</v>
          </cell>
          <cell r="C2895" t="str">
            <v>4600064719</v>
          </cell>
          <cell r="D2895" t="str">
            <v>M7652C</v>
          </cell>
          <cell r="E2895">
            <v>2688</v>
          </cell>
          <cell r="F2895">
            <v>43464</v>
          </cell>
          <cell r="G2895" t="str">
            <v>OK</v>
          </cell>
        </row>
        <row r="2896">
          <cell r="A2896" t="str">
            <v>Y1812-0889</v>
          </cell>
          <cell r="B2896">
            <v>201810</v>
          </cell>
          <cell r="C2896" t="str">
            <v>4600064720</v>
          </cell>
          <cell r="D2896" t="str">
            <v>M9166C</v>
          </cell>
          <cell r="E2896">
            <v>372</v>
          </cell>
          <cell r="F2896">
            <v>43464</v>
          </cell>
          <cell r="G2896" t="str">
            <v>OK</v>
          </cell>
        </row>
        <row r="2897">
          <cell r="A2897" t="str">
            <v>Y1812-0890</v>
          </cell>
          <cell r="B2897">
            <v>201810</v>
          </cell>
          <cell r="C2897" t="str">
            <v>4600064723</v>
          </cell>
          <cell r="D2897" t="str">
            <v>7J234C</v>
          </cell>
          <cell r="E2897">
            <v>384</v>
          </cell>
          <cell r="F2897">
            <v>43464</v>
          </cell>
          <cell r="G2897" t="str">
            <v>OK</v>
          </cell>
        </row>
        <row r="2898">
          <cell r="A2898" t="str">
            <v>Y1812-0891</v>
          </cell>
          <cell r="B2898">
            <v>201810</v>
          </cell>
          <cell r="C2898" t="str">
            <v>4600064724</v>
          </cell>
          <cell r="D2898" t="str">
            <v>7J232C</v>
          </cell>
          <cell r="E2898">
            <v>372</v>
          </cell>
          <cell r="F2898">
            <v>43464</v>
          </cell>
          <cell r="G2898" t="str">
            <v>OK</v>
          </cell>
        </row>
        <row r="2899">
          <cell r="A2899" t="str">
            <v>Y1812-0892</v>
          </cell>
          <cell r="B2899">
            <v>201810</v>
          </cell>
          <cell r="C2899" t="str">
            <v>4600064725</v>
          </cell>
          <cell r="D2899" t="str">
            <v>7J238C</v>
          </cell>
          <cell r="E2899">
            <v>372</v>
          </cell>
          <cell r="F2899">
            <v>43464</v>
          </cell>
          <cell r="G2899" t="str">
            <v>OK</v>
          </cell>
        </row>
        <row r="2900">
          <cell r="A2900" t="str">
            <v>Y1812-0893</v>
          </cell>
          <cell r="B2900">
            <v>201810</v>
          </cell>
          <cell r="C2900" t="str">
            <v>4600064726</v>
          </cell>
          <cell r="D2900" t="str">
            <v>7J256C</v>
          </cell>
          <cell r="E2900">
            <v>372</v>
          </cell>
          <cell r="F2900">
            <v>43464</v>
          </cell>
          <cell r="G2900" t="str">
            <v>OK</v>
          </cell>
        </row>
        <row r="2901">
          <cell r="A2901" t="str">
            <v>Y1812-0894</v>
          </cell>
          <cell r="B2901">
            <v>201810</v>
          </cell>
          <cell r="C2901" t="str">
            <v>4600064732</v>
          </cell>
          <cell r="D2901" t="str">
            <v>M7652C</v>
          </cell>
          <cell r="E2901">
            <v>6840</v>
          </cell>
          <cell r="F2901">
            <v>43464</v>
          </cell>
          <cell r="G2901" t="str">
            <v>OK</v>
          </cell>
        </row>
        <row r="2902">
          <cell r="A2902" t="str">
            <v>Y1812-0895</v>
          </cell>
          <cell r="B2902">
            <v>201810</v>
          </cell>
          <cell r="C2902" t="str">
            <v>4600064733</v>
          </cell>
          <cell r="D2902" t="str">
            <v>M5039C</v>
          </cell>
          <cell r="E2902">
            <v>1020</v>
          </cell>
          <cell r="F2902">
            <v>43464</v>
          </cell>
          <cell r="G2902" t="str">
            <v>OK</v>
          </cell>
        </row>
        <row r="2903">
          <cell r="A2903" t="str">
            <v>Y1812-0896</v>
          </cell>
          <cell r="B2903">
            <v>201810</v>
          </cell>
          <cell r="C2903" t="str">
            <v>4600064734</v>
          </cell>
          <cell r="D2903" t="str">
            <v>M9166C</v>
          </cell>
          <cell r="E2903">
            <v>6540</v>
          </cell>
          <cell r="F2903">
            <v>43464</v>
          </cell>
          <cell r="G2903" t="str">
            <v>OK</v>
          </cell>
        </row>
        <row r="2904">
          <cell r="A2904" t="str">
            <v>Y1812-0897</v>
          </cell>
          <cell r="B2904">
            <v>201810</v>
          </cell>
          <cell r="C2904" t="str">
            <v>4600064735</v>
          </cell>
          <cell r="D2904" t="str">
            <v>M7650C</v>
          </cell>
          <cell r="E2904">
            <v>1092</v>
          </cell>
          <cell r="F2904">
            <v>43464</v>
          </cell>
          <cell r="G2904" t="str">
            <v>OK</v>
          </cell>
        </row>
        <row r="2905">
          <cell r="A2905" t="str">
            <v>Y1812-0898</v>
          </cell>
          <cell r="B2905">
            <v>201810</v>
          </cell>
          <cell r="C2905" t="str">
            <v>4600064736</v>
          </cell>
          <cell r="D2905" t="str">
            <v>3J256C</v>
          </cell>
          <cell r="E2905">
            <v>480</v>
          </cell>
          <cell r="F2905">
            <v>43464</v>
          </cell>
          <cell r="G2905" t="str">
            <v>OK</v>
          </cell>
        </row>
        <row r="2906">
          <cell r="A2906" t="str">
            <v>Y1812-0899</v>
          </cell>
          <cell r="B2906">
            <v>201810</v>
          </cell>
          <cell r="C2906" t="str">
            <v>4600064737</v>
          </cell>
          <cell r="D2906" t="str">
            <v>3J253C</v>
          </cell>
          <cell r="E2906">
            <v>960</v>
          </cell>
          <cell r="F2906">
            <v>43464</v>
          </cell>
          <cell r="G2906" t="str">
            <v>OK</v>
          </cell>
        </row>
        <row r="2907">
          <cell r="A2907" t="str">
            <v>Y1812-0900</v>
          </cell>
          <cell r="B2907">
            <v>201810</v>
          </cell>
          <cell r="C2907" t="str">
            <v>4600064738</v>
          </cell>
          <cell r="D2907" t="str">
            <v>7J253C</v>
          </cell>
          <cell r="E2907">
            <v>540</v>
          </cell>
          <cell r="F2907">
            <v>43464</v>
          </cell>
          <cell r="G2907" t="str">
            <v>OK</v>
          </cell>
        </row>
        <row r="2908">
          <cell r="A2908" t="str">
            <v>Y1812-0901</v>
          </cell>
          <cell r="B2908">
            <v>201810</v>
          </cell>
          <cell r="C2908" t="str">
            <v>4600064739</v>
          </cell>
          <cell r="D2908" t="str">
            <v>M9697C</v>
          </cell>
          <cell r="E2908">
            <v>3636</v>
          </cell>
          <cell r="F2908">
            <v>43464</v>
          </cell>
          <cell r="G2908" t="str">
            <v>OK</v>
          </cell>
        </row>
        <row r="2909">
          <cell r="A2909" t="str">
            <v>Y1808-0343R</v>
          </cell>
          <cell r="B2909">
            <v>201810</v>
          </cell>
          <cell r="C2909" t="str">
            <v>4600064787</v>
          </cell>
          <cell r="D2909" t="str">
            <v>163167C</v>
          </cell>
          <cell r="E2909">
            <v>144</v>
          </cell>
          <cell r="F2909">
            <v>43439</v>
          </cell>
          <cell r="G2909" t="str">
            <v>OK</v>
          </cell>
        </row>
        <row r="2910">
          <cell r="A2910" t="str">
            <v>Y1812-0902</v>
          </cell>
          <cell r="B2910">
            <v>201810</v>
          </cell>
          <cell r="C2910" t="str">
            <v>4600064827</v>
          </cell>
          <cell r="D2910" t="str">
            <v>M9697C</v>
          </cell>
          <cell r="E2910">
            <v>576</v>
          </cell>
          <cell r="F2910">
            <v>43464</v>
          </cell>
          <cell r="G2910" t="str">
            <v>OK</v>
          </cell>
        </row>
        <row r="2911">
          <cell r="A2911" t="str">
            <v>Y1812-0903</v>
          </cell>
          <cell r="B2911">
            <v>201810</v>
          </cell>
          <cell r="C2911" t="str">
            <v>4600064828</v>
          </cell>
          <cell r="D2911" t="str">
            <v>M9696C</v>
          </cell>
          <cell r="E2911">
            <v>468</v>
          </cell>
          <cell r="F2911">
            <v>43464</v>
          </cell>
          <cell r="G2911" t="str">
            <v>OK</v>
          </cell>
        </row>
        <row r="2912">
          <cell r="A2912" t="str">
            <v>Y1812-0904</v>
          </cell>
          <cell r="B2912">
            <v>201810</v>
          </cell>
          <cell r="C2912" t="str">
            <v>4600064829</v>
          </cell>
          <cell r="D2912" t="str">
            <v>M7650C</v>
          </cell>
          <cell r="E2912">
            <v>192</v>
          </cell>
          <cell r="F2912">
            <v>43464</v>
          </cell>
          <cell r="G2912" t="str">
            <v>OK</v>
          </cell>
        </row>
        <row r="2913">
          <cell r="A2913" t="str">
            <v>Y1812-0905</v>
          </cell>
          <cell r="B2913">
            <v>201810</v>
          </cell>
          <cell r="C2913" t="str">
            <v>4600064830</v>
          </cell>
          <cell r="D2913" t="str">
            <v>M5039C</v>
          </cell>
          <cell r="E2913">
            <v>444</v>
          </cell>
          <cell r="F2913">
            <v>43464</v>
          </cell>
          <cell r="G2913" t="str">
            <v>OK</v>
          </cell>
        </row>
        <row r="2914">
          <cell r="A2914" t="str">
            <v>Y1812-0906</v>
          </cell>
          <cell r="B2914">
            <v>201810</v>
          </cell>
          <cell r="C2914" t="str">
            <v>4600064831</v>
          </cell>
          <cell r="D2914" t="str">
            <v>M3310C</v>
          </cell>
          <cell r="E2914">
            <v>372</v>
          </cell>
          <cell r="F2914">
            <v>43464</v>
          </cell>
          <cell r="G2914" t="str">
            <v>OK</v>
          </cell>
        </row>
        <row r="2915">
          <cell r="A2915" t="str">
            <v>Y1812-0907</v>
          </cell>
          <cell r="B2915">
            <v>201810</v>
          </cell>
          <cell r="C2915" t="str">
            <v>4600064832</v>
          </cell>
          <cell r="D2915" t="str">
            <v>M9621C</v>
          </cell>
          <cell r="E2915">
            <v>648</v>
          </cell>
          <cell r="F2915">
            <v>43464</v>
          </cell>
          <cell r="G2915" t="str">
            <v>OK</v>
          </cell>
        </row>
        <row r="2916">
          <cell r="A2916" t="str">
            <v>Y1812-0908</v>
          </cell>
          <cell r="B2916">
            <v>201810</v>
          </cell>
          <cell r="C2916" t="str">
            <v>4600064833</v>
          </cell>
          <cell r="D2916" t="str">
            <v>M9166C</v>
          </cell>
          <cell r="E2916">
            <v>504</v>
          </cell>
          <cell r="F2916">
            <v>43464</v>
          </cell>
          <cell r="G2916" t="str">
            <v>OK</v>
          </cell>
        </row>
        <row r="2917">
          <cell r="A2917" t="str">
            <v>Y1812-0909</v>
          </cell>
          <cell r="B2917">
            <v>201810</v>
          </cell>
          <cell r="C2917" t="str">
            <v>4600064834</v>
          </cell>
          <cell r="D2917" t="str">
            <v>M7652C</v>
          </cell>
          <cell r="E2917">
            <v>1260</v>
          </cell>
          <cell r="F2917">
            <v>43464</v>
          </cell>
          <cell r="G2917" t="str">
            <v>OK</v>
          </cell>
        </row>
        <row r="2918">
          <cell r="A2918" t="str">
            <v>Y1812-0910</v>
          </cell>
          <cell r="B2918">
            <v>201810</v>
          </cell>
          <cell r="C2918" t="str">
            <v>4600064835</v>
          </cell>
          <cell r="D2918" t="str">
            <v>M9166C</v>
          </cell>
          <cell r="E2918">
            <v>6000</v>
          </cell>
          <cell r="F2918">
            <v>43464</v>
          </cell>
          <cell r="G2918" t="str">
            <v>OK</v>
          </cell>
        </row>
        <row r="2919">
          <cell r="A2919" t="str">
            <v>Y1811-0330</v>
          </cell>
          <cell r="B2919">
            <v>201807</v>
          </cell>
          <cell r="C2919" t="str">
            <v>0100163713</v>
          </cell>
          <cell r="D2919" t="str">
            <v>M5039C</v>
          </cell>
          <cell r="E2919">
            <v>1224</v>
          </cell>
          <cell r="F2919">
            <v>43417</v>
          </cell>
          <cell r="G2919" t="str">
            <v>OK</v>
          </cell>
        </row>
        <row r="2920">
          <cell r="A2920" t="str">
            <v>Y1811-0469</v>
          </cell>
          <cell r="B2920">
            <v>201807</v>
          </cell>
          <cell r="C2920" t="str">
            <v>0100164494</v>
          </cell>
          <cell r="D2920" t="str">
            <v>W9160</v>
          </cell>
          <cell r="E2920">
            <v>1692</v>
          </cell>
          <cell r="F2920">
            <v>43413</v>
          </cell>
          <cell r="G2920" t="str">
            <v>OK</v>
          </cell>
        </row>
        <row r="2921">
          <cell r="A2921" t="str">
            <v>Y1809-0501</v>
          </cell>
          <cell r="B2921">
            <v>201807</v>
          </cell>
          <cell r="C2921" t="str">
            <v>0100160985</v>
          </cell>
          <cell r="D2921" t="str">
            <v>M7652C</v>
          </cell>
          <cell r="E2921">
            <v>12816</v>
          </cell>
          <cell r="F2921">
            <v>43405</v>
          </cell>
          <cell r="G2921" t="str">
            <v>OK</v>
          </cell>
        </row>
        <row r="2922">
          <cell r="A2922" t="str">
            <v>Y1811-0287</v>
          </cell>
          <cell r="B2922">
            <v>201807</v>
          </cell>
          <cell r="C2922" t="str">
            <v>0100161148</v>
          </cell>
          <cell r="D2922">
            <v>88871</v>
          </cell>
          <cell r="E2922">
            <v>360</v>
          </cell>
          <cell r="F2922">
            <v>43406</v>
          </cell>
          <cell r="G2922" t="str">
            <v>OK</v>
          </cell>
        </row>
        <row r="2923">
          <cell r="A2923" t="str">
            <v>Y1811-0005</v>
          </cell>
          <cell r="B2923">
            <v>201806</v>
          </cell>
          <cell r="C2923" t="str">
            <v>0100156566</v>
          </cell>
          <cell r="D2923" t="str">
            <v>163904C</v>
          </cell>
          <cell r="E2923">
            <v>565</v>
          </cell>
          <cell r="F2923">
            <v>43405</v>
          </cell>
          <cell r="G2923" t="str">
            <v>OK</v>
          </cell>
        </row>
        <row r="2924">
          <cell r="A2924" t="str">
            <v>Y1811-0006</v>
          </cell>
          <cell r="B2924">
            <v>201806</v>
          </cell>
          <cell r="C2924" t="str">
            <v>0100156567</v>
          </cell>
          <cell r="D2924" t="str">
            <v>163904C</v>
          </cell>
          <cell r="E2924">
            <v>120</v>
          </cell>
          <cell r="F2924">
            <v>43409</v>
          </cell>
          <cell r="G2924" t="str">
            <v>OK</v>
          </cell>
        </row>
        <row r="2925">
          <cell r="A2925" t="str">
            <v>Y1811-0004</v>
          </cell>
          <cell r="B2925">
            <v>201806</v>
          </cell>
          <cell r="C2925" t="str">
            <v>0100156565</v>
          </cell>
          <cell r="D2925" t="str">
            <v>763908C</v>
          </cell>
          <cell r="E2925">
            <v>445</v>
          </cell>
          <cell r="F2925">
            <v>43405</v>
          </cell>
          <cell r="G2925" t="str">
            <v>OK</v>
          </cell>
        </row>
        <row r="2926">
          <cell r="A2926" t="str">
            <v>Y1811-0010</v>
          </cell>
          <cell r="B2926">
            <v>201806</v>
          </cell>
          <cell r="C2926" t="str">
            <v>0100156571</v>
          </cell>
          <cell r="D2926" t="str">
            <v>763908C</v>
          </cell>
          <cell r="E2926">
            <v>120</v>
          </cell>
          <cell r="F2926">
            <v>43409</v>
          </cell>
          <cell r="G2926" t="str">
            <v>OK</v>
          </cell>
        </row>
        <row r="2927">
          <cell r="A2927" t="str">
            <v>Y1811-0012</v>
          </cell>
          <cell r="B2927">
            <v>201806</v>
          </cell>
          <cell r="C2927" t="str">
            <v>0100157342</v>
          </cell>
          <cell r="D2927" t="str">
            <v>763909C</v>
          </cell>
          <cell r="E2927">
            <v>394</v>
          </cell>
          <cell r="F2927">
            <v>43405</v>
          </cell>
          <cell r="G2927" t="str">
            <v>OK</v>
          </cell>
        </row>
        <row r="2928">
          <cell r="A2928" t="str">
            <v>Y1811-0013</v>
          </cell>
          <cell r="B2928">
            <v>201806</v>
          </cell>
          <cell r="C2928" t="str">
            <v>0100157343</v>
          </cell>
          <cell r="D2928" t="str">
            <v>763909C</v>
          </cell>
          <cell r="E2928">
            <v>120</v>
          </cell>
          <cell r="F2928">
            <v>43409</v>
          </cell>
          <cell r="G2928" t="str">
            <v>OK</v>
          </cell>
        </row>
        <row r="2929">
          <cell r="A2929" t="str">
            <v>Y1811-0001</v>
          </cell>
          <cell r="B2929">
            <v>201806</v>
          </cell>
          <cell r="C2929" t="str">
            <v>0100156562</v>
          </cell>
          <cell r="D2929" t="str">
            <v>163905C</v>
          </cell>
          <cell r="E2929">
            <v>410</v>
          </cell>
          <cell r="F2929">
            <v>43405</v>
          </cell>
          <cell r="G2929" t="str">
            <v>OK</v>
          </cell>
        </row>
        <row r="2930">
          <cell r="A2930" t="str">
            <v>Y1811-0002</v>
          </cell>
          <cell r="B2930">
            <v>201806</v>
          </cell>
          <cell r="C2930" t="str">
            <v>0100156563</v>
          </cell>
          <cell r="D2930" t="str">
            <v>363906C</v>
          </cell>
          <cell r="E2930">
            <v>426</v>
          </cell>
          <cell r="F2930">
            <v>43405</v>
          </cell>
          <cell r="G2930" t="str">
            <v>OK</v>
          </cell>
        </row>
        <row r="2931">
          <cell r="A2931" t="str">
            <v>Y1811-0003</v>
          </cell>
          <cell r="B2931">
            <v>201806</v>
          </cell>
          <cell r="C2931" t="str">
            <v>0100156564</v>
          </cell>
          <cell r="D2931" t="str">
            <v>363907C</v>
          </cell>
          <cell r="E2931">
            <v>326</v>
          </cell>
          <cell r="F2931">
            <v>43405</v>
          </cell>
          <cell r="G2931" t="str">
            <v>OK</v>
          </cell>
        </row>
        <row r="2932">
          <cell r="A2932" t="str">
            <v>Y1811-0007</v>
          </cell>
          <cell r="B2932">
            <v>201806</v>
          </cell>
          <cell r="C2932" t="str">
            <v>0100156568</v>
          </cell>
          <cell r="D2932" t="str">
            <v>163905C</v>
          </cell>
          <cell r="E2932">
            <v>120</v>
          </cell>
          <cell r="F2932">
            <v>43409</v>
          </cell>
          <cell r="G2932" t="str">
            <v>OK</v>
          </cell>
        </row>
        <row r="2933">
          <cell r="A2933" t="str">
            <v>Y1811-0008</v>
          </cell>
          <cell r="B2933">
            <v>201806</v>
          </cell>
          <cell r="C2933" t="str">
            <v>0100156569</v>
          </cell>
          <cell r="D2933" t="str">
            <v>363906C</v>
          </cell>
          <cell r="E2933">
            <v>144</v>
          </cell>
          <cell r="F2933">
            <v>43409</v>
          </cell>
          <cell r="G2933" t="str">
            <v>OK</v>
          </cell>
        </row>
        <row r="2934">
          <cell r="A2934" t="str">
            <v>Y1811-0009</v>
          </cell>
          <cell r="B2934">
            <v>201806</v>
          </cell>
          <cell r="C2934" t="str">
            <v>0100156570</v>
          </cell>
          <cell r="D2934" t="str">
            <v>363907C</v>
          </cell>
          <cell r="E2934">
            <v>120</v>
          </cell>
          <cell r="F2934">
            <v>43409</v>
          </cell>
          <cell r="G2934" t="str">
            <v>OK</v>
          </cell>
        </row>
        <row r="2935">
          <cell r="A2935" t="str">
            <v>Y1811-0011</v>
          </cell>
          <cell r="B2935">
            <v>201806</v>
          </cell>
          <cell r="C2935" t="str">
            <v>0100156659</v>
          </cell>
          <cell r="D2935" t="str">
            <v>7J235</v>
          </cell>
          <cell r="E2935">
            <v>900</v>
          </cell>
          <cell r="F2935">
            <v>43408</v>
          </cell>
          <cell r="G2935" t="str">
            <v>OK</v>
          </cell>
        </row>
        <row r="2936">
          <cell r="A2936" t="str">
            <v>Y1811-0203</v>
          </cell>
          <cell r="B2936">
            <v>201807</v>
          </cell>
          <cell r="C2936" t="str">
            <v>0100169236</v>
          </cell>
          <cell r="D2936" t="str">
            <v>163343C</v>
          </cell>
          <cell r="E2936">
            <v>168</v>
          </cell>
          <cell r="F2936">
            <v>43432</v>
          </cell>
          <cell r="G2936" t="str">
            <v>OK</v>
          </cell>
        </row>
        <row r="2937">
          <cell r="A2937" t="str">
            <v>Y1811-0204</v>
          </cell>
          <cell r="B2937">
            <v>201807</v>
          </cell>
          <cell r="C2937" t="str">
            <v>0100169237</v>
          </cell>
          <cell r="D2937" t="str">
            <v>163344C</v>
          </cell>
          <cell r="E2937">
            <v>192</v>
          </cell>
          <cell r="F2937">
            <v>43432</v>
          </cell>
          <cell r="G2937" t="str">
            <v>OK</v>
          </cell>
        </row>
        <row r="2938">
          <cell r="A2938" t="str">
            <v>Y1811-0205</v>
          </cell>
          <cell r="B2938">
            <v>201807</v>
          </cell>
          <cell r="C2938" t="str">
            <v>0100169238</v>
          </cell>
          <cell r="D2938" t="str">
            <v>163345C</v>
          </cell>
          <cell r="E2938">
            <v>192</v>
          </cell>
          <cell r="F2938">
            <v>43432</v>
          </cell>
          <cell r="G2938" t="str">
            <v>OK</v>
          </cell>
        </row>
        <row r="2939">
          <cell r="A2939" t="str">
            <v>Y1811-0206</v>
          </cell>
          <cell r="B2939">
            <v>201807</v>
          </cell>
          <cell r="C2939" t="str">
            <v>0100169239</v>
          </cell>
          <cell r="D2939" t="str">
            <v>163346C</v>
          </cell>
          <cell r="E2939">
            <v>192</v>
          </cell>
          <cell r="F2939">
            <v>43432</v>
          </cell>
          <cell r="G2939" t="str">
            <v>OK</v>
          </cell>
        </row>
        <row r="2940">
          <cell r="A2940" t="str">
            <v>Y1811-0269</v>
          </cell>
          <cell r="B2940">
            <v>201807</v>
          </cell>
          <cell r="C2940" t="str">
            <v>0100169234</v>
          </cell>
          <cell r="D2940" t="str">
            <v>163343C</v>
          </cell>
          <cell r="E2940">
            <v>552</v>
          </cell>
          <cell r="F2940">
            <v>43428</v>
          </cell>
          <cell r="G2940" t="str">
            <v>OK</v>
          </cell>
        </row>
        <row r="2941">
          <cell r="A2941" t="str">
            <v>Y1811-0270</v>
          </cell>
          <cell r="B2941">
            <v>201807</v>
          </cell>
          <cell r="C2941" t="str">
            <v>0100169235</v>
          </cell>
          <cell r="D2941" t="str">
            <v>163346C</v>
          </cell>
          <cell r="E2941">
            <v>708</v>
          </cell>
          <cell r="F2941">
            <v>43428</v>
          </cell>
          <cell r="G2941" t="str">
            <v>OK</v>
          </cell>
        </row>
        <row r="2942">
          <cell r="A2942" t="str">
            <v>Y1811-0268</v>
          </cell>
          <cell r="B2942">
            <v>201807</v>
          </cell>
          <cell r="C2942" t="str">
            <v>0100169233</v>
          </cell>
          <cell r="D2942" t="str">
            <v>163229C</v>
          </cell>
          <cell r="E2942">
            <v>408</v>
          </cell>
          <cell r="F2942">
            <v>43428</v>
          </cell>
          <cell r="G2942" t="str">
            <v>OK</v>
          </cell>
        </row>
        <row r="2943">
          <cell r="A2943" t="str">
            <v>Y1810-0994A</v>
          </cell>
          <cell r="B2943">
            <v>201807</v>
          </cell>
          <cell r="C2943" t="str">
            <v>4600060000</v>
          </cell>
          <cell r="D2943" t="str">
            <v>144148C</v>
          </cell>
          <cell r="E2943">
            <v>204</v>
          </cell>
          <cell r="F2943">
            <v>43405</v>
          </cell>
          <cell r="G2943" t="str">
            <v>OK</v>
          </cell>
        </row>
        <row r="2944">
          <cell r="A2944" t="str">
            <v>Y1809-0021</v>
          </cell>
          <cell r="B2944">
            <v>201804</v>
          </cell>
          <cell r="C2944" t="str">
            <v>0100152314</v>
          </cell>
          <cell r="D2944" t="str">
            <v>163167C</v>
          </cell>
          <cell r="E2944">
            <v>111</v>
          </cell>
          <cell r="F2944">
            <v>43427</v>
          </cell>
          <cell r="G2944" t="str">
            <v>OK</v>
          </cell>
        </row>
        <row r="2945">
          <cell r="A2945" t="str">
            <v>Y1810-1006</v>
          </cell>
          <cell r="B2945">
            <v>201807</v>
          </cell>
          <cell r="C2945" t="str">
            <v>4600060012</v>
          </cell>
          <cell r="D2945" t="str">
            <v>163246C</v>
          </cell>
          <cell r="E2945">
            <v>120</v>
          </cell>
          <cell r="F2945">
            <v>43405</v>
          </cell>
          <cell r="G2945" t="str">
            <v>OK</v>
          </cell>
        </row>
        <row r="2946">
          <cell r="A2946" t="str">
            <v>Y1810-1000</v>
          </cell>
          <cell r="B2946">
            <v>201807</v>
          </cell>
          <cell r="C2946" t="str">
            <v>4600060006</v>
          </cell>
          <cell r="D2946" t="str">
            <v>763529C</v>
          </cell>
          <cell r="E2946">
            <v>132</v>
          </cell>
          <cell r="F2946">
            <v>43405</v>
          </cell>
          <cell r="G2946" t="str">
            <v>OK</v>
          </cell>
        </row>
        <row r="2947">
          <cell r="A2947" t="str">
            <v>Y1810-1009</v>
          </cell>
          <cell r="B2947">
            <v>201807</v>
          </cell>
          <cell r="C2947" t="str">
            <v>4600060015</v>
          </cell>
          <cell r="D2947" t="str">
            <v>763527C</v>
          </cell>
          <cell r="E2947">
            <v>348</v>
          </cell>
          <cell r="F2947">
            <v>43405</v>
          </cell>
          <cell r="G2947" t="str">
            <v>OK</v>
          </cell>
        </row>
        <row r="2948">
          <cell r="A2948" t="str">
            <v>Y1810-1010</v>
          </cell>
          <cell r="B2948">
            <v>201807</v>
          </cell>
          <cell r="C2948" t="str">
            <v>4600060016</v>
          </cell>
          <cell r="D2948" t="str">
            <v>763528C</v>
          </cell>
          <cell r="E2948">
            <v>252</v>
          </cell>
          <cell r="F2948">
            <v>43405</v>
          </cell>
          <cell r="G2948" t="str">
            <v>OK</v>
          </cell>
        </row>
        <row r="2949">
          <cell r="A2949" t="str">
            <v>Y1810-1007</v>
          </cell>
          <cell r="B2949">
            <v>201807</v>
          </cell>
          <cell r="C2949" t="str">
            <v>4600060013</v>
          </cell>
          <cell r="D2949" t="str">
            <v>163269C</v>
          </cell>
          <cell r="E2949">
            <v>120</v>
          </cell>
          <cell r="F2949">
            <v>43405</v>
          </cell>
          <cell r="G2949" t="str">
            <v>OK</v>
          </cell>
        </row>
        <row r="2950">
          <cell r="A2950" t="str">
            <v>Y1810-0202</v>
          </cell>
          <cell r="B2950">
            <v>201807</v>
          </cell>
          <cell r="C2950" t="str">
            <v>0100160693</v>
          </cell>
          <cell r="D2950" t="str">
            <v>663654C</v>
          </cell>
          <cell r="E2950">
            <v>2124</v>
          </cell>
          <cell r="F2950">
            <v>43419</v>
          </cell>
          <cell r="G2950" t="str">
            <v>OK</v>
          </cell>
        </row>
        <row r="2951">
          <cell r="A2951" t="str">
            <v>Y1810-0992</v>
          </cell>
          <cell r="B2951">
            <v>201807</v>
          </cell>
          <cell r="C2951" t="str">
            <v>4600059998</v>
          </cell>
          <cell r="D2951" t="str">
            <v>164023C</v>
          </cell>
          <cell r="E2951">
            <v>18</v>
          </cell>
          <cell r="F2951">
            <v>43405</v>
          </cell>
          <cell r="G2951" t="str">
            <v>OK</v>
          </cell>
        </row>
        <row r="2952">
          <cell r="A2952" t="str">
            <v>Y1810-0996A</v>
          </cell>
          <cell r="B2952">
            <v>201807</v>
          </cell>
          <cell r="C2952" t="str">
            <v>19SS JULY EREN FTW05</v>
          </cell>
          <cell r="D2952" t="str">
            <v>163190C</v>
          </cell>
          <cell r="E2952">
            <v>144</v>
          </cell>
          <cell r="F2952">
            <v>43405</v>
          </cell>
          <cell r="G2952" t="str">
            <v>OK</v>
          </cell>
        </row>
        <row r="2953">
          <cell r="A2953" t="str">
            <v>Y1810-1002A</v>
          </cell>
          <cell r="B2953">
            <v>201807</v>
          </cell>
          <cell r="C2953" t="str">
            <v>19SS JULY EREN FTW05</v>
          </cell>
          <cell r="D2953" t="str">
            <v>163189C</v>
          </cell>
          <cell r="E2953">
            <v>144</v>
          </cell>
          <cell r="F2953">
            <v>43405</v>
          </cell>
          <cell r="G2953" t="str">
            <v>OK</v>
          </cell>
        </row>
        <row r="2954">
          <cell r="A2954" t="str">
            <v>Y1810-1011</v>
          </cell>
          <cell r="B2954">
            <v>201807</v>
          </cell>
          <cell r="C2954" t="str">
            <v>4600060017</v>
          </cell>
          <cell r="D2954" t="str">
            <v>163245C</v>
          </cell>
          <cell r="E2954">
            <v>120</v>
          </cell>
          <cell r="F2954">
            <v>43405</v>
          </cell>
          <cell r="G2954" t="str">
            <v>OK</v>
          </cell>
        </row>
        <row r="2955">
          <cell r="A2955" t="str">
            <v>Y1810-0995B</v>
          </cell>
          <cell r="B2955">
            <v>201807</v>
          </cell>
          <cell r="C2955" t="str">
            <v>19SS JULY EREN FTW05</v>
          </cell>
          <cell r="D2955" t="str">
            <v>159786C</v>
          </cell>
          <cell r="E2955">
            <v>432</v>
          </cell>
          <cell r="F2955">
            <v>43405</v>
          </cell>
          <cell r="G2955" t="str">
            <v>OK</v>
          </cell>
        </row>
        <row r="2956">
          <cell r="A2956" t="str">
            <v>Y1810-0998B</v>
          </cell>
          <cell r="B2956">
            <v>201807</v>
          </cell>
          <cell r="C2956" t="str">
            <v>19SS JULY EREN FTW05</v>
          </cell>
          <cell r="D2956" t="str">
            <v>163202C</v>
          </cell>
          <cell r="E2956">
            <v>456</v>
          </cell>
          <cell r="F2956">
            <v>43405</v>
          </cell>
          <cell r="G2956" t="str">
            <v>OK</v>
          </cell>
        </row>
        <row r="2957">
          <cell r="A2957" t="str">
            <v>Y1810-0999B</v>
          </cell>
          <cell r="B2957">
            <v>201807</v>
          </cell>
          <cell r="C2957" t="str">
            <v>19SS JULY EREN FTW05</v>
          </cell>
          <cell r="D2957" t="str">
            <v>163203C</v>
          </cell>
          <cell r="E2957">
            <v>480</v>
          </cell>
          <cell r="F2957">
            <v>43405</v>
          </cell>
          <cell r="G2957" t="str">
            <v>OK</v>
          </cell>
        </row>
        <row r="2958">
          <cell r="A2958" t="str">
            <v>Y1810-1005</v>
          </cell>
          <cell r="B2958">
            <v>201807</v>
          </cell>
          <cell r="C2958" t="str">
            <v>4600060011</v>
          </cell>
          <cell r="D2958" t="str">
            <v>164024C</v>
          </cell>
          <cell r="E2958">
            <v>18</v>
          </cell>
          <cell r="F2958">
            <v>43405</v>
          </cell>
          <cell r="G2958" t="str">
            <v>OK</v>
          </cell>
        </row>
        <row r="2959">
          <cell r="A2959" t="str">
            <v>YL1811-0001A</v>
          </cell>
          <cell r="B2959">
            <v>201810</v>
          </cell>
          <cell r="C2959" t="str">
            <v>0100172047</v>
          </cell>
          <cell r="D2959" t="str">
            <v>M9160</v>
          </cell>
          <cell r="E2959">
            <v>11160</v>
          </cell>
          <cell r="F2959">
            <v>43413</v>
          </cell>
          <cell r="G2959" t="str">
            <v>OK</v>
          </cell>
        </row>
        <row r="2960">
          <cell r="A2960" t="str">
            <v>YL1811-0003A</v>
          </cell>
          <cell r="B2960">
            <v>201810</v>
          </cell>
          <cell r="C2960" t="str">
            <v>0100172048</v>
          </cell>
          <cell r="D2960" t="str">
            <v>M9166</v>
          </cell>
          <cell r="E2960">
            <v>13632</v>
          </cell>
          <cell r="F2960">
            <v>43413</v>
          </cell>
          <cell r="G2960" t="str">
            <v>OK</v>
          </cell>
        </row>
        <row r="2961">
          <cell r="A2961" t="str">
            <v>YL1811-0006A</v>
          </cell>
          <cell r="B2961">
            <v>201810</v>
          </cell>
          <cell r="C2961" t="str">
            <v>0100172049</v>
          </cell>
          <cell r="D2961" t="str">
            <v>3J235</v>
          </cell>
          <cell r="E2961">
            <v>6756</v>
          </cell>
          <cell r="F2961">
            <v>43413</v>
          </cell>
          <cell r="G2961" t="str">
            <v>OK</v>
          </cell>
        </row>
        <row r="2962">
          <cell r="A2962" t="str">
            <v>YL1811-0007A</v>
          </cell>
          <cell r="B2962">
            <v>201810</v>
          </cell>
          <cell r="C2962" t="str">
            <v>0100172050</v>
          </cell>
          <cell r="D2962" t="str">
            <v>7J231</v>
          </cell>
          <cell r="E2962">
            <v>2256</v>
          </cell>
          <cell r="F2962">
            <v>43413</v>
          </cell>
          <cell r="G2962" t="str">
            <v>OK</v>
          </cell>
        </row>
        <row r="2963">
          <cell r="A2963" t="str">
            <v>YL1811-0008A</v>
          </cell>
          <cell r="B2963">
            <v>201810</v>
          </cell>
          <cell r="C2963" t="str">
            <v>0100172051</v>
          </cell>
          <cell r="D2963" t="str">
            <v>7J235</v>
          </cell>
          <cell r="E2963">
            <v>4500</v>
          </cell>
          <cell r="F2963">
            <v>43413</v>
          </cell>
          <cell r="G2963" t="str">
            <v>OK</v>
          </cell>
        </row>
        <row r="2964">
          <cell r="A2964" t="str">
            <v>YL1811-0001B</v>
          </cell>
          <cell r="B2964">
            <v>201810</v>
          </cell>
          <cell r="C2964" t="str">
            <v>0100172052</v>
          </cell>
          <cell r="D2964" t="str">
            <v>M9160</v>
          </cell>
          <cell r="E2964">
            <v>11004</v>
          </cell>
          <cell r="F2964">
            <v>43413</v>
          </cell>
          <cell r="G2964" t="str">
            <v>OK</v>
          </cell>
        </row>
        <row r="2965">
          <cell r="A2965" t="str">
            <v>YL1811-0004A</v>
          </cell>
          <cell r="B2965">
            <v>201810</v>
          </cell>
          <cell r="C2965" t="str">
            <v>0100172139</v>
          </cell>
          <cell r="D2965" t="str">
            <v>W9166</v>
          </cell>
          <cell r="E2965">
            <v>10008</v>
          </cell>
          <cell r="F2965">
            <v>43413</v>
          </cell>
          <cell r="G2965" t="str">
            <v>OK</v>
          </cell>
        </row>
        <row r="2966">
          <cell r="A2966" t="str">
            <v>Y1810-0696</v>
          </cell>
          <cell r="B2966">
            <v>201807</v>
          </cell>
          <cell r="C2966" t="str">
            <v>4600059525</v>
          </cell>
          <cell r="D2966" t="str">
            <v>164024C</v>
          </cell>
          <cell r="E2966">
            <v>29</v>
          </cell>
          <cell r="F2966">
            <v>43416</v>
          </cell>
          <cell r="G2966" t="str">
            <v>OK</v>
          </cell>
        </row>
        <row r="2967">
          <cell r="A2967" t="str">
            <v>Y1810-0697</v>
          </cell>
          <cell r="B2967">
            <v>201807</v>
          </cell>
          <cell r="C2967" t="str">
            <v>4600059526</v>
          </cell>
          <cell r="D2967" t="str">
            <v>164023C</v>
          </cell>
          <cell r="E2967">
            <v>29</v>
          </cell>
          <cell r="F2967">
            <v>43416</v>
          </cell>
          <cell r="G2967" t="str">
            <v>OK</v>
          </cell>
        </row>
        <row r="2968">
          <cell r="A2968" t="str">
            <v>Y1810-0910</v>
          </cell>
          <cell r="B2968">
            <v>201807</v>
          </cell>
          <cell r="C2968" t="str">
            <v>4600059861</v>
          </cell>
          <cell r="D2968" t="str">
            <v>163757C</v>
          </cell>
          <cell r="E2968">
            <v>324</v>
          </cell>
          <cell r="F2968">
            <v>43416</v>
          </cell>
          <cell r="G2968" t="str">
            <v>OK</v>
          </cell>
        </row>
        <row r="2969">
          <cell r="A2969" t="str">
            <v>Y1810-0911</v>
          </cell>
          <cell r="B2969">
            <v>201807</v>
          </cell>
          <cell r="C2969" t="str">
            <v>4600059862</v>
          </cell>
          <cell r="D2969" t="str">
            <v>163758C</v>
          </cell>
          <cell r="E2969">
            <v>276</v>
          </cell>
          <cell r="F2969">
            <v>43416</v>
          </cell>
          <cell r="G2969" t="str">
            <v>OK</v>
          </cell>
        </row>
        <row r="2970">
          <cell r="A2970" t="str">
            <v>Y1810-0180</v>
          </cell>
          <cell r="B2970">
            <v>201807</v>
          </cell>
          <cell r="C2970" t="str">
            <v>0100160654</v>
          </cell>
          <cell r="D2970" t="str">
            <v>163226C</v>
          </cell>
          <cell r="E2970">
            <v>216</v>
          </cell>
          <cell r="F2970">
            <v>43406</v>
          </cell>
          <cell r="G2970" t="str">
            <v>OK</v>
          </cell>
        </row>
        <row r="2971">
          <cell r="A2971" t="str">
            <v>Y1810-0181</v>
          </cell>
          <cell r="B2971">
            <v>201807</v>
          </cell>
          <cell r="C2971" t="str">
            <v>0100160655</v>
          </cell>
          <cell r="D2971" t="str">
            <v>163227C</v>
          </cell>
          <cell r="E2971">
            <v>168</v>
          </cell>
          <cell r="F2971">
            <v>43406</v>
          </cell>
          <cell r="G2971" t="str">
            <v>OK</v>
          </cell>
        </row>
        <row r="2972">
          <cell r="A2972" t="str">
            <v>Y1810-0309</v>
          </cell>
          <cell r="B2972">
            <v>201807</v>
          </cell>
          <cell r="C2972" t="str">
            <v>0100161069</v>
          </cell>
          <cell r="D2972" t="str">
            <v>163226C</v>
          </cell>
          <cell r="E2972">
            <v>684</v>
          </cell>
          <cell r="F2972">
            <v>43406</v>
          </cell>
          <cell r="G2972" t="str">
            <v>OK</v>
          </cell>
        </row>
        <row r="2973">
          <cell r="A2973" t="str">
            <v>Y1810-0310</v>
          </cell>
          <cell r="B2973">
            <v>201807</v>
          </cell>
          <cell r="C2973" t="str">
            <v>0100161070</v>
          </cell>
          <cell r="D2973" t="str">
            <v>163227C</v>
          </cell>
          <cell r="E2973">
            <v>804</v>
          </cell>
          <cell r="F2973">
            <v>43406</v>
          </cell>
          <cell r="G2973" t="str">
            <v>OK</v>
          </cell>
        </row>
        <row r="2974">
          <cell r="A2974" t="str">
            <v>Y1810-0904</v>
          </cell>
          <cell r="B2974">
            <v>201807</v>
          </cell>
          <cell r="C2974" t="str">
            <v>4600059855</v>
          </cell>
          <cell r="D2974" t="str">
            <v>163226C</v>
          </cell>
          <cell r="E2974">
            <v>120</v>
          </cell>
          <cell r="F2974">
            <v>43406</v>
          </cell>
          <cell r="G2974" t="str">
            <v>OK</v>
          </cell>
        </row>
        <row r="2975">
          <cell r="A2975" t="str">
            <v>Y1810-0905</v>
          </cell>
          <cell r="B2975">
            <v>201807</v>
          </cell>
          <cell r="C2975" t="str">
            <v>4600059856</v>
          </cell>
          <cell r="D2975" t="str">
            <v>163227C</v>
          </cell>
          <cell r="E2975">
            <v>120</v>
          </cell>
          <cell r="F2975">
            <v>43406</v>
          </cell>
          <cell r="G2975" t="str">
            <v>OK</v>
          </cell>
        </row>
        <row r="2976">
          <cell r="A2976" t="str">
            <v>Y1810-0825</v>
          </cell>
          <cell r="B2976">
            <v>201807</v>
          </cell>
          <cell r="C2976" t="str">
            <v>4600059735</v>
          </cell>
          <cell r="D2976" t="str">
            <v>163227C</v>
          </cell>
          <cell r="E2976">
            <v>168</v>
          </cell>
          <cell r="F2976">
            <v>43406</v>
          </cell>
          <cell r="G2976" t="str">
            <v>OK</v>
          </cell>
        </row>
        <row r="2977">
          <cell r="A2977" t="str">
            <v>Y1810-0857</v>
          </cell>
          <cell r="B2977">
            <v>201807</v>
          </cell>
          <cell r="C2977" t="str">
            <v>4600059776</v>
          </cell>
          <cell r="D2977" t="str">
            <v>163226C</v>
          </cell>
          <cell r="E2977">
            <v>120</v>
          </cell>
          <cell r="F2977">
            <v>43406</v>
          </cell>
          <cell r="G2977" t="str">
            <v>OK</v>
          </cell>
        </row>
        <row r="2978">
          <cell r="A2978" t="str">
            <v>Y1810-0715</v>
          </cell>
          <cell r="B2978">
            <v>201807</v>
          </cell>
          <cell r="C2978" t="str">
            <v>4600059563</v>
          </cell>
          <cell r="D2978" t="str">
            <v>163226C</v>
          </cell>
          <cell r="E2978">
            <v>192</v>
          </cell>
          <cell r="F2978">
            <v>43406</v>
          </cell>
          <cell r="G2978" t="str">
            <v>OK</v>
          </cell>
        </row>
        <row r="2979">
          <cell r="A2979" t="str">
            <v>Y1810-0726</v>
          </cell>
          <cell r="B2979">
            <v>201807</v>
          </cell>
          <cell r="C2979" t="str">
            <v>4600059574</v>
          </cell>
          <cell r="D2979" t="str">
            <v>163227C</v>
          </cell>
          <cell r="E2979">
            <v>192</v>
          </cell>
          <cell r="F2979">
            <v>43406</v>
          </cell>
          <cell r="G2979" t="str">
            <v>OK</v>
          </cell>
        </row>
        <row r="2980">
          <cell r="A2980" t="str">
            <v>Y1810-0186</v>
          </cell>
          <cell r="B2980">
            <v>201807</v>
          </cell>
          <cell r="C2980" t="str">
            <v>0100160663</v>
          </cell>
          <cell r="D2980" t="str">
            <v>163343C</v>
          </cell>
          <cell r="E2980">
            <v>252</v>
          </cell>
          <cell r="F2980">
            <v>43406</v>
          </cell>
          <cell r="G2980" t="str">
            <v>OK</v>
          </cell>
        </row>
        <row r="2981">
          <cell r="A2981" t="str">
            <v>Y1810-0190</v>
          </cell>
          <cell r="B2981">
            <v>201807</v>
          </cell>
          <cell r="C2981" t="str">
            <v>0100160668</v>
          </cell>
          <cell r="D2981" t="str">
            <v>163346C</v>
          </cell>
          <cell r="E2981">
            <v>180</v>
          </cell>
          <cell r="F2981">
            <v>43406</v>
          </cell>
          <cell r="G2981" t="str">
            <v>OK</v>
          </cell>
        </row>
        <row r="2982">
          <cell r="A2982" t="str">
            <v>Y1810-0351</v>
          </cell>
          <cell r="B2982">
            <v>201807</v>
          </cell>
          <cell r="C2982" t="str">
            <v>0100161115</v>
          </cell>
          <cell r="D2982" t="str">
            <v>163343C</v>
          </cell>
          <cell r="E2982">
            <v>900</v>
          </cell>
          <cell r="F2982">
            <v>43406</v>
          </cell>
          <cell r="G2982" t="str">
            <v>OK</v>
          </cell>
        </row>
        <row r="2983">
          <cell r="A2983" t="str">
            <v>Y1810-0352</v>
          </cell>
          <cell r="B2983">
            <v>201807</v>
          </cell>
          <cell r="C2983" t="str">
            <v>0100161116</v>
          </cell>
          <cell r="D2983" t="str">
            <v>163344C</v>
          </cell>
          <cell r="E2983">
            <v>696</v>
          </cell>
          <cell r="F2983">
            <v>43406</v>
          </cell>
          <cell r="G2983" t="str">
            <v>OK</v>
          </cell>
        </row>
        <row r="2984">
          <cell r="A2984" t="str">
            <v>Y1810-0354</v>
          </cell>
          <cell r="B2984">
            <v>201807</v>
          </cell>
          <cell r="C2984" t="str">
            <v>0100161118</v>
          </cell>
          <cell r="D2984" t="str">
            <v>163346C</v>
          </cell>
          <cell r="E2984">
            <v>672</v>
          </cell>
          <cell r="F2984">
            <v>43406</v>
          </cell>
          <cell r="G2984" t="str">
            <v>OK</v>
          </cell>
        </row>
        <row r="2985">
          <cell r="A2985" t="str">
            <v>Y1810-0931</v>
          </cell>
          <cell r="B2985">
            <v>201807</v>
          </cell>
          <cell r="C2985" t="str">
            <v>4600059884</v>
          </cell>
          <cell r="D2985" t="str">
            <v>163190C</v>
          </cell>
          <cell r="E2985">
            <v>288</v>
          </cell>
          <cell r="F2985">
            <v>43416</v>
          </cell>
          <cell r="G2985" t="str">
            <v>OK</v>
          </cell>
        </row>
        <row r="2986">
          <cell r="A2986" t="str">
            <v>Y1810-0932</v>
          </cell>
          <cell r="B2986">
            <v>201807</v>
          </cell>
          <cell r="C2986" t="str">
            <v>4600059885</v>
          </cell>
          <cell r="D2986" t="str">
            <v>163189C</v>
          </cell>
          <cell r="E2986">
            <v>408</v>
          </cell>
          <cell r="F2986">
            <v>43416</v>
          </cell>
          <cell r="G2986" t="str">
            <v>OK</v>
          </cell>
        </row>
        <row r="2987">
          <cell r="A2987" t="str">
            <v>Y1810-0933</v>
          </cell>
          <cell r="B2987">
            <v>201807</v>
          </cell>
          <cell r="C2987" t="str">
            <v>4600059886</v>
          </cell>
          <cell r="D2987" t="str">
            <v>163192C</v>
          </cell>
          <cell r="E2987">
            <v>372</v>
          </cell>
          <cell r="F2987">
            <v>43416</v>
          </cell>
          <cell r="G2987" t="str">
            <v>OK</v>
          </cell>
        </row>
        <row r="2988">
          <cell r="A2988" t="str">
            <v>Y1808-0368</v>
          </cell>
          <cell r="B2988">
            <v>201804</v>
          </cell>
          <cell r="C2988" t="str">
            <v>4600053989</v>
          </cell>
          <cell r="D2988" t="str">
            <v>562608C</v>
          </cell>
          <cell r="E2988">
            <v>312</v>
          </cell>
          <cell r="F2988">
            <v>43416</v>
          </cell>
          <cell r="G2988" t="str">
            <v>OK</v>
          </cell>
        </row>
        <row r="2989">
          <cell r="A2989" t="str">
            <v>Y1808-0369</v>
          </cell>
          <cell r="B2989">
            <v>201804</v>
          </cell>
          <cell r="C2989" t="str">
            <v>4600053990</v>
          </cell>
          <cell r="D2989" t="str">
            <v>562609C</v>
          </cell>
          <cell r="E2989">
            <v>288</v>
          </cell>
          <cell r="F2989">
            <v>43416</v>
          </cell>
          <cell r="G2989" t="str">
            <v>OK</v>
          </cell>
        </row>
        <row r="2990">
          <cell r="A2990" t="str">
            <v>Y1808-0370</v>
          </cell>
          <cell r="B2990">
            <v>201804</v>
          </cell>
          <cell r="C2990" t="str">
            <v>4600053991</v>
          </cell>
          <cell r="D2990" t="str">
            <v>562610C</v>
          </cell>
          <cell r="E2990">
            <v>216</v>
          </cell>
          <cell r="F2990">
            <v>43416</v>
          </cell>
          <cell r="G2990" t="str">
            <v>OK</v>
          </cell>
        </row>
        <row r="2991">
          <cell r="A2991" t="str">
            <v>Y1808-0657</v>
          </cell>
          <cell r="B2991">
            <v>201805</v>
          </cell>
          <cell r="C2991" t="str">
            <v>4600055884</v>
          </cell>
          <cell r="D2991" t="str">
            <v>162618C</v>
          </cell>
          <cell r="E2991">
            <v>420</v>
          </cell>
          <cell r="F2991">
            <v>43416</v>
          </cell>
          <cell r="G2991" t="str">
            <v>OK</v>
          </cell>
        </row>
        <row r="2992">
          <cell r="A2992" t="str">
            <v>Y1807-0553</v>
          </cell>
          <cell r="B2992">
            <v>201804</v>
          </cell>
          <cell r="C2992" t="str">
            <v>4600053992</v>
          </cell>
          <cell r="D2992" t="str">
            <v>163169C</v>
          </cell>
          <cell r="E2992">
            <v>132</v>
          </cell>
          <cell r="F2992">
            <v>43416</v>
          </cell>
          <cell r="G2992" t="str">
            <v>OK</v>
          </cell>
        </row>
        <row r="2993">
          <cell r="A2993" t="str">
            <v>Y1807-0156</v>
          </cell>
          <cell r="B2993">
            <v>201803</v>
          </cell>
          <cell r="C2993" t="str">
            <v>4600052145</v>
          </cell>
          <cell r="D2993" t="str">
            <v>159792C</v>
          </cell>
          <cell r="E2993">
            <v>2556</v>
          </cell>
          <cell r="F2993">
            <v>43416</v>
          </cell>
          <cell r="G2993" t="str">
            <v>OK</v>
          </cell>
        </row>
        <row r="2994">
          <cell r="A2994" t="str">
            <v>Y1807-0157</v>
          </cell>
          <cell r="B2994">
            <v>201803</v>
          </cell>
          <cell r="C2994" t="str">
            <v>4600052146</v>
          </cell>
          <cell r="D2994" t="str">
            <v>155065C</v>
          </cell>
          <cell r="E2994">
            <v>4656</v>
          </cell>
          <cell r="F2994">
            <v>43416</v>
          </cell>
          <cell r="G2994" t="str">
            <v>OK</v>
          </cell>
        </row>
        <row r="2995">
          <cell r="A2995" t="str">
            <v>Y1807-0158</v>
          </cell>
          <cell r="B2995">
            <v>201803</v>
          </cell>
          <cell r="C2995" t="str">
            <v>4600052147</v>
          </cell>
          <cell r="D2995" t="str">
            <v>155064C</v>
          </cell>
          <cell r="E2995">
            <v>6732</v>
          </cell>
          <cell r="F2995">
            <v>43416</v>
          </cell>
          <cell r="G2995" t="str">
            <v>OK</v>
          </cell>
        </row>
        <row r="2996">
          <cell r="A2996" t="str">
            <v>Y1805-1021</v>
          </cell>
          <cell r="B2996">
            <v>201802</v>
          </cell>
          <cell r="C2996" t="str">
            <v>4600051047</v>
          </cell>
          <cell r="D2996" t="str">
            <v>561682C</v>
          </cell>
          <cell r="E2996">
            <v>492</v>
          </cell>
          <cell r="F2996">
            <v>43416</v>
          </cell>
          <cell r="G2996" t="str">
            <v>OK</v>
          </cell>
        </row>
        <row r="2997">
          <cell r="A2997" t="str">
            <v>Y1805-1022</v>
          </cell>
          <cell r="B2997">
            <v>201802</v>
          </cell>
          <cell r="C2997" t="str">
            <v>4600051048</v>
          </cell>
          <cell r="D2997" t="str">
            <v>561684C</v>
          </cell>
          <cell r="E2997">
            <v>504</v>
          </cell>
          <cell r="F2997">
            <v>43416</v>
          </cell>
          <cell r="G2997" t="str">
            <v>OK</v>
          </cell>
        </row>
        <row r="2998">
          <cell r="A2998" t="str">
            <v>Y1805-1023</v>
          </cell>
          <cell r="B2998">
            <v>201802</v>
          </cell>
          <cell r="C2998" t="str">
            <v>4600051049</v>
          </cell>
          <cell r="D2998" t="str">
            <v>561685C</v>
          </cell>
          <cell r="E2998">
            <v>600</v>
          </cell>
          <cell r="F2998">
            <v>43416</v>
          </cell>
          <cell r="G2998" t="str">
            <v>OK</v>
          </cell>
        </row>
        <row r="2999">
          <cell r="A2999" t="str">
            <v>Y1805-1024</v>
          </cell>
          <cell r="B2999">
            <v>201802</v>
          </cell>
          <cell r="C2999" t="str">
            <v>4600051050</v>
          </cell>
          <cell r="D2999" t="str">
            <v>161546C</v>
          </cell>
          <cell r="E2999">
            <v>180</v>
          </cell>
          <cell r="F2999">
            <v>43416</v>
          </cell>
          <cell r="G2999" t="str">
            <v>OK</v>
          </cell>
        </row>
        <row r="3000">
          <cell r="A3000" t="str">
            <v>Y1806-0070</v>
          </cell>
          <cell r="B3000">
            <v>201801</v>
          </cell>
          <cell r="C3000" t="str">
            <v>AR18-MAY-FA18-L1TD</v>
          </cell>
          <cell r="D3000" t="str">
            <v>161575C</v>
          </cell>
          <cell r="E3000">
            <v>360</v>
          </cell>
          <cell r="F3000">
            <v>43416</v>
          </cell>
          <cell r="G3000" t="str">
            <v>OK</v>
          </cell>
        </row>
        <row r="3001">
          <cell r="A3001" t="str">
            <v>Y1806-0071</v>
          </cell>
          <cell r="B3001">
            <v>201801</v>
          </cell>
          <cell r="C3001" t="str">
            <v>AR18-MAY-FA18-L1TD</v>
          </cell>
          <cell r="D3001" t="str">
            <v>161574C</v>
          </cell>
          <cell r="E3001">
            <v>180</v>
          </cell>
          <cell r="F3001">
            <v>43416</v>
          </cell>
          <cell r="G3001" t="str">
            <v>OK</v>
          </cell>
        </row>
        <row r="3002">
          <cell r="A3002" t="str">
            <v>Y1806-0072</v>
          </cell>
          <cell r="B3002">
            <v>201801</v>
          </cell>
          <cell r="C3002" t="str">
            <v>AR18-MAY-FA18-L1TD</v>
          </cell>
          <cell r="D3002" t="str">
            <v>161613C</v>
          </cell>
          <cell r="E3002">
            <v>240</v>
          </cell>
          <cell r="F3002">
            <v>43416</v>
          </cell>
          <cell r="G3002" t="str">
            <v>OK</v>
          </cell>
        </row>
        <row r="3003">
          <cell r="A3003" t="str">
            <v>Y1806-0073</v>
          </cell>
          <cell r="B3003">
            <v>201801</v>
          </cell>
          <cell r="C3003" t="str">
            <v>AR18-MAY-FA18-L1TD</v>
          </cell>
          <cell r="D3003" t="str">
            <v>561780C</v>
          </cell>
          <cell r="E3003">
            <v>1500</v>
          </cell>
          <cell r="F3003">
            <v>43416</v>
          </cell>
          <cell r="G3003" t="str">
            <v>OK</v>
          </cell>
        </row>
        <row r="3004">
          <cell r="A3004" t="str">
            <v>Y1806-0074</v>
          </cell>
          <cell r="B3004">
            <v>201801</v>
          </cell>
          <cell r="C3004" t="str">
            <v>AR18-MAY-FA18-L1TD</v>
          </cell>
          <cell r="D3004" t="str">
            <v>561779C</v>
          </cell>
          <cell r="E3004">
            <v>600</v>
          </cell>
          <cell r="F3004">
            <v>43416</v>
          </cell>
          <cell r="G3004" t="str">
            <v>OK</v>
          </cell>
        </row>
        <row r="3005">
          <cell r="A3005" t="str">
            <v>Y1806-0075</v>
          </cell>
          <cell r="B3005">
            <v>201801</v>
          </cell>
          <cell r="C3005" t="str">
            <v>AR18-MAY-FA18-L1TD</v>
          </cell>
          <cell r="D3005" t="str">
            <v>161590C</v>
          </cell>
          <cell r="E3005">
            <v>396</v>
          </cell>
          <cell r="F3005">
            <v>43416</v>
          </cell>
          <cell r="G3005" t="str">
            <v>OK</v>
          </cell>
        </row>
        <row r="3006">
          <cell r="A3006" t="str">
            <v>Y1806-0076</v>
          </cell>
          <cell r="B3006">
            <v>201801</v>
          </cell>
          <cell r="C3006" t="str">
            <v>AR18-MAY-FA18-L1TD</v>
          </cell>
          <cell r="D3006" t="str">
            <v>361360C</v>
          </cell>
          <cell r="E3006">
            <v>924</v>
          </cell>
          <cell r="F3006">
            <v>43416</v>
          </cell>
          <cell r="G3006" t="str">
            <v>OK</v>
          </cell>
        </row>
        <row r="3007">
          <cell r="A3007" t="str">
            <v>Y1806-0077</v>
          </cell>
          <cell r="B3007">
            <v>201801</v>
          </cell>
          <cell r="C3007" t="str">
            <v>AR18-MAY-FA18-L1TD</v>
          </cell>
          <cell r="D3007" t="str">
            <v>561781C</v>
          </cell>
          <cell r="E3007">
            <v>1512</v>
          </cell>
          <cell r="F3007">
            <v>43416</v>
          </cell>
          <cell r="G3007" t="str">
            <v>OK</v>
          </cell>
        </row>
        <row r="3008">
          <cell r="A3008" t="str">
            <v>Y1806-0078</v>
          </cell>
          <cell r="B3008">
            <v>201801</v>
          </cell>
          <cell r="C3008" t="str">
            <v>AR18-MAY-FA18-L1TD</v>
          </cell>
          <cell r="D3008" t="str">
            <v>161589C</v>
          </cell>
          <cell r="E3008">
            <v>384</v>
          </cell>
          <cell r="F3008">
            <v>43416</v>
          </cell>
          <cell r="G3008" t="str">
            <v>OK</v>
          </cell>
        </row>
        <row r="3009">
          <cell r="A3009" t="str">
            <v>Y1806-0079</v>
          </cell>
          <cell r="B3009">
            <v>201801</v>
          </cell>
          <cell r="C3009" t="str">
            <v>AR18-MAY-FA18-L1TD</v>
          </cell>
          <cell r="D3009" t="str">
            <v>161362C</v>
          </cell>
          <cell r="E3009">
            <v>1224</v>
          </cell>
          <cell r="F3009">
            <v>43416</v>
          </cell>
          <cell r="G3009" t="str">
            <v>OK</v>
          </cell>
        </row>
        <row r="3010">
          <cell r="A3010" t="str">
            <v>Y1810-0281</v>
          </cell>
          <cell r="B3010">
            <v>201807</v>
          </cell>
          <cell r="C3010" t="str">
            <v>0100160879</v>
          </cell>
          <cell r="D3010" t="str">
            <v>163343C</v>
          </cell>
          <cell r="E3010">
            <v>1920</v>
          </cell>
          <cell r="F3010">
            <v>43405</v>
          </cell>
          <cell r="G3010" t="str">
            <v>OK</v>
          </cell>
        </row>
        <row r="3011">
          <cell r="A3011" t="str">
            <v>Y1810-0282</v>
          </cell>
          <cell r="B3011">
            <v>201807</v>
          </cell>
          <cell r="C3011" t="str">
            <v>0100160880</v>
          </cell>
          <cell r="D3011" t="str">
            <v>163344C</v>
          </cell>
          <cell r="E3011">
            <v>936</v>
          </cell>
          <cell r="F3011">
            <v>43405</v>
          </cell>
          <cell r="G3011" t="str">
            <v>OK</v>
          </cell>
        </row>
        <row r="3012">
          <cell r="A3012" t="str">
            <v>Y1810-0283</v>
          </cell>
          <cell r="B3012">
            <v>201807</v>
          </cell>
          <cell r="C3012" t="str">
            <v>0100160881</v>
          </cell>
          <cell r="D3012" t="str">
            <v>163345C</v>
          </cell>
          <cell r="E3012">
            <v>1020</v>
          </cell>
          <cell r="F3012">
            <v>43406</v>
          </cell>
          <cell r="G3012" t="str">
            <v>OK</v>
          </cell>
        </row>
        <row r="3013">
          <cell r="A3013" t="str">
            <v>Y1810-0284</v>
          </cell>
          <cell r="B3013">
            <v>201807</v>
          </cell>
          <cell r="C3013" t="str">
            <v>0100160882</v>
          </cell>
          <cell r="D3013" t="str">
            <v>163346C</v>
          </cell>
          <cell r="E3013">
            <v>1620</v>
          </cell>
          <cell r="F3013">
            <v>43406</v>
          </cell>
          <cell r="G3013" t="str">
            <v>OK</v>
          </cell>
        </row>
        <row r="3014">
          <cell r="A3014" t="str">
            <v>Y1810-0353</v>
          </cell>
          <cell r="B3014">
            <v>201807</v>
          </cell>
          <cell r="C3014" t="str">
            <v>0100161117</v>
          </cell>
          <cell r="D3014" t="str">
            <v>163345C</v>
          </cell>
          <cell r="E3014">
            <v>456</v>
          </cell>
          <cell r="F3014">
            <v>43406</v>
          </cell>
          <cell r="G3014" t="str">
            <v>OK</v>
          </cell>
        </row>
        <row r="3015">
          <cell r="A3015" t="str">
            <v>Y1809-0019R</v>
          </cell>
          <cell r="B3015">
            <v>201810</v>
          </cell>
          <cell r="C3015" t="str">
            <v>0100175078</v>
          </cell>
          <cell r="D3015" t="str">
            <v>163167C</v>
          </cell>
          <cell r="E3015">
            <v>661</v>
          </cell>
          <cell r="F3015">
            <v>43427</v>
          </cell>
          <cell r="G3015" t="str">
            <v>OK</v>
          </cell>
        </row>
        <row r="3016">
          <cell r="A3016" t="str">
            <v>Y1807-0359R</v>
          </cell>
          <cell r="B3016">
            <v>201810</v>
          </cell>
          <cell r="C3016" t="str">
            <v>0100175093</v>
          </cell>
          <cell r="D3016" t="str">
            <v>163167C</v>
          </cell>
          <cell r="E3016">
            <v>96</v>
          </cell>
          <cell r="F3016">
            <v>43427</v>
          </cell>
          <cell r="G3016" t="str">
            <v>OK</v>
          </cell>
        </row>
        <row r="3017">
          <cell r="A3017" t="str">
            <v>Y1807-0398R</v>
          </cell>
          <cell r="B3017">
            <v>201810</v>
          </cell>
          <cell r="C3017" t="str">
            <v>0100175094</v>
          </cell>
          <cell r="D3017" t="str">
            <v>163167C</v>
          </cell>
          <cell r="E3017">
            <v>54</v>
          </cell>
          <cell r="F3017">
            <v>43427</v>
          </cell>
          <cell r="G3017" t="str">
            <v>OK</v>
          </cell>
        </row>
        <row r="3018">
          <cell r="A3018" t="str">
            <v>Y1807-0357R</v>
          </cell>
          <cell r="B3018">
            <v>201810</v>
          </cell>
          <cell r="C3018" t="str">
            <v>0100175095</v>
          </cell>
          <cell r="D3018" t="str">
            <v>163167C</v>
          </cell>
          <cell r="E3018">
            <v>60</v>
          </cell>
          <cell r="F3018">
            <v>43427</v>
          </cell>
          <cell r="G3018" t="str">
            <v>OK</v>
          </cell>
        </row>
        <row r="3019">
          <cell r="A3019" t="str">
            <v>Y1807-0358R</v>
          </cell>
          <cell r="B3019">
            <v>201810</v>
          </cell>
          <cell r="C3019" t="str">
            <v>0100175096</v>
          </cell>
          <cell r="D3019" t="str">
            <v>163167C</v>
          </cell>
          <cell r="E3019">
            <v>24</v>
          </cell>
          <cell r="F3019">
            <v>43427</v>
          </cell>
          <cell r="G3019" t="str">
            <v>OK</v>
          </cell>
        </row>
        <row r="3020">
          <cell r="A3020" t="str">
            <v>Y1809-0022R</v>
          </cell>
          <cell r="B3020">
            <v>201810</v>
          </cell>
          <cell r="C3020" t="str">
            <v>0100175355</v>
          </cell>
          <cell r="D3020" t="str">
            <v>163167C</v>
          </cell>
          <cell r="E3020">
            <v>79</v>
          </cell>
          <cell r="F3020">
            <v>43427</v>
          </cell>
          <cell r="G3020" t="str">
            <v>OK</v>
          </cell>
        </row>
        <row r="3021">
          <cell r="A3021" t="str">
            <v>Y1809-0023R</v>
          </cell>
          <cell r="B3021">
            <v>201810</v>
          </cell>
          <cell r="C3021" t="str">
            <v>0100175388</v>
          </cell>
          <cell r="D3021" t="str">
            <v>163167C</v>
          </cell>
          <cell r="E3021">
            <v>34</v>
          </cell>
          <cell r="F3021">
            <v>43427</v>
          </cell>
          <cell r="G3021" t="str">
            <v>OK</v>
          </cell>
        </row>
        <row r="3022">
          <cell r="A3022" t="str">
            <v>Y1807-0372R</v>
          </cell>
          <cell r="B3022">
            <v>201810</v>
          </cell>
          <cell r="C3022" t="str">
            <v>0100178222</v>
          </cell>
          <cell r="D3022" t="str">
            <v>163167C</v>
          </cell>
          <cell r="E3022">
            <v>372</v>
          </cell>
          <cell r="F3022">
            <v>43427</v>
          </cell>
          <cell r="G3022" t="str">
            <v>OK</v>
          </cell>
        </row>
        <row r="3023">
          <cell r="A3023" t="str">
            <v>Y1807-0386R</v>
          </cell>
          <cell r="B3023">
            <v>201810</v>
          </cell>
          <cell r="C3023" t="str">
            <v>0100178525</v>
          </cell>
          <cell r="D3023" t="str">
            <v>163167C</v>
          </cell>
          <cell r="E3023">
            <v>900</v>
          </cell>
          <cell r="F3023">
            <v>43427</v>
          </cell>
          <cell r="G3023" t="str">
            <v>OK</v>
          </cell>
        </row>
        <row r="3024">
          <cell r="A3024" t="str">
            <v>Y1807-0388R</v>
          </cell>
          <cell r="B3024">
            <v>201810</v>
          </cell>
          <cell r="C3024" t="str">
            <v>0100178526</v>
          </cell>
          <cell r="D3024" t="str">
            <v>163167C</v>
          </cell>
          <cell r="E3024">
            <v>216</v>
          </cell>
          <cell r="F3024">
            <v>43427</v>
          </cell>
          <cell r="G3024" t="str">
            <v>OK</v>
          </cell>
        </row>
        <row r="3025">
          <cell r="A3025" t="str">
            <v>Y1807-0360R</v>
          </cell>
          <cell r="B3025">
            <v>201810</v>
          </cell>
          <cell r="C3025" t="str">
            <v>0100178896</v>
          </cell>
          <cell r="D3025" t="str">
            <v>163167C</v>
          </cell>
          <cell r="E3025">
            <v>1920</v>
          </cell>
          <cell r="F3025">
            <v>43427</v>
          </cell>
          <cell r="G3025" t="str">
            <v>OK</v>
          </cell>
        </row>
        <row r="3026">
          <cell r="A3026" t="str">
            <v>Y1808-0311R</v>
          </cell>
          <cell r="B3026">
            <v>201810</v>
          </cell>
          <cell r="C3026" t="str">
            <v>0100178897</v>
          </cell>
          <cell r="D3026" t="str">
            <v>163167C</v>
          </cell>
          <cell r="E3026">
            <v>210</v>
          </cell>
          <cell r="F3026">
            <v>43427</v>
          </cell>
          <cell r="G3026" t="str">
            <v>OK</v>
          </cell>
        </row>
        <row r="3027">
          <cell r="A3027" t="str">
            <v>Y1808-0448R</v>
          </cell>
          <cell r="B3027">
            <v>201810</v>
          </cell>
          <cell r="C3027" t="str">
            <v>1000002719</v>
          </cell>
          <cell r="D3027" t="str">
            <v>163167C</v>
          </cell>
          <cell r="E3027">
            <v>132</v>
          </cell>
          <cell r="F3027">
            <v>43427</v>
          </cell>
          <cell r="G3027" t="str">
            <v>OK</v>
          </cell>
        </row>
        <row r="3028">
          <cell r="A3028" t="str">
            <v>Y1807-0476R</v>
          </cell>
          <cell r="B3028">
            <v>201810</v>
          </cell>
          <cell r="C3028" t="str">
            <v>4600064505</v>
          </cell>
          <cell r="D3028" t="str">
            <v>163167C</v>
          </cell>
          <cell r="E3028">
            <v>171</v>
          </cell>
          <cell r="F3028">
            <v>43427</v>
          </cell>
          <cell r="G3028" t="str">
            <v>OK</v>
          </cell>
        </row>
        <row r="3029">
          <cell r="A3029" t="str">
            <v>Y1807-0485R</v>
          </cell>
          <cell r="B3029">
            <v>201810</v>
          </cell>
          <cell r="C3029" t="str">
            <v>4600064540</v>
          </cell>
          <cell r="D3029" t="str">
            <v>163167C</v>
          </cell>
          <cell r="E3029">
            <v>56</v>
          </cell>
          <cell r="F3029">
            <v>43427</v>
          </cell>
          <cell r="G3029" t="str">
            <v>OK</v>
          </cell>
        </row>
        <row r="3030">
          <cell r="A3030" t="str">
            <v>Y1807-0556R</v>
          </cell>
          <cell r="B3030">
            <v>201810</v>
          </cell>
          <cell r="C3030" t="str">
            <v>4600064568</v>
          </cell>
          <cell r="D3030" t="str">
            <v>163167C</v>
          </cell>
          <cell r="E3030">
            <v>26</v>
          </cell>
          <cell r="F3030">
            <v>43427</v>
          </cell>
          <cell r="G3030" t="str">
            <v>OK</v>
          </cell>
        </row>
        <row r="3031">
          <cell r="A3031" t="str">
            <v>Y1809-0085R</v>
          </cell>
          <cell r="B3031">
            <v>201810</v>
          </cell>
          <cell r="C3031" t="str">
            <v>4600064620</v>
          </cell>
          <cell r="D3031" t="str">
            <v>163167C</v>
          </cell>
          <cell r="E3031">
            <v>36</v>
          </cell>
          <cell r="F3031">
            <v>43427</v>
          </cell>
          <cell r="G3031" t="str">
            <v>OK</v>
          </cell>
        </row>
        <row r="3032">
          <cell r="A3032" t="str">
            <v>Y1807-0608R</v>
          </cell>
          <cell r="B3032">
            <v>201810</v>
          </cell>
          <cell r="C3032" t="str">
            <v>4600064672</v>
          </cell>
          <cell r="D3032" t="str">
            <v>163167C</v>
          </cell>
          <cell r="E3032">
            <v>54</v>
          </cell>
          <cell r="F3032">
            <v>43427</v>
          </cell>
          <cell r="G3032" t="str">
            <v>OK</v>
          </cell>
        </row>
        <row r="3033">
          <cell r="A3033" t="str">
            <v>Y1808-0431R</v>
          </cell>
          <cell r="B3033">
            <v>201810</v>
          </cell>
          <cell r="C3033" t="str">
            <v>4600064745</v>
          </cell>
          <cell r="D3033" t="str">
            <v>163167C</v>
          </cell>
          <cell r="E3033">
            <v>36</v>
          </cell>
          <cell r="F3033">
            <v>43427</v>
          </cell>
          <cell r="G3033" t="str">
            <v>OK</v>
          </cell>
        </row>
        <row r="3034">
          <cell r="A3034" t="str">
            <v>Y1807-0494R</v>
          </cell>
          <cell r="B3034">
            <v>201810</v>
          </cell>
          <cell r="C3034" t="str">
            <v>4600064816</v>
          </cell>
          <cell r="D3034" t="str">
            <v>163167C</v>
          </cell>
          <cell r="E3034">
            <v>72</v>
          </cell>
          <cell r="F3034">
            <v>43427</v>
          </cell>
          <cell r="G3034" t="str">
            <v>OK</v>
          </cell>
        </row>
        <row r="3035">
          <cell r="A3035" t="str">
            <v>YL1811-0001C</v>
          </cell>
          <cell r="B3035">
            <v>201810</v>
          </cell>
          <cell r="C3035" t="str">
            <v>0100178959</v>
          </cell>
          <cell r="D3035" t="str">
            <v>M9160</v>
          </cell>
          <cell r="E3035">
            <v>16800</v>
          </cell>
          <cell r="F3035">
            <v>43427</v>
          </cell>
          <cell r="G3035" t="str">
            <v>OK</v>
          </cell>
        </row>
        <row r="3036">
          <cell r="A3036" t="str">
            <v>YL1811-0003B</v>
          </cell>
          <cell r="B3036">
            <v>201810</v>
          </cell>
          <cell r="C3036" t="str">
            <v>0100178960</v>
          </cell>
          <cell r="D3036" t="str">
            <v>M9166</v>
          </cell>
          <cell r="E3036">
            <v>11664</v>
          </cell>
          <cell r="F3036">
            <v>43427</v>
          </cell>
          <cell r="G3036" t="str">
            <v>11/06</v>
          </cell>
        </row>
        <row r="3037">
          <cell r="A3037" t="str">
            <v>YL1811-0001D</v>
          </cell>
          <cell r="B3037">
            <v>201810</v>
          </cell>
          <cell r="C3037" t="str">
            <v>0100178961</v>
          </cell>
          <cell r="D3037" t="str">
            <v>M9160</v>
          </cell>
          <cell r="E3037">
            <v>16800</v>
          </cell>
          <cell r="F3037">
            <v>43427</v>
          </cell>
          <cell r="G3037" t="str">
            <v>OK</v>
          </cell>
        </row>
        <row r="3038">
          <cell r="A3038" t="str">
            <v>YL1811-0001E</v>
          </cell>
          <cell r="B3038">
            <v>201810</v>
          </cell>
          <cell r="C3038" t="str">
            <v>0100178962</v>
          </cell>
          <cell r="D3038" t="str">
            <v>M9160</v>
          </cell>
          <cell r="E3038">
            <v>17220</v>
          </cell>
          <cell r="F3038">
            <v>43427</v>
          </cell>
          <cell r="G3038" t="str">
            <v>OK</v>
          </cell>
        </row>
        <row r="3039">
          <cell r="A3039" t="str">
            <v>YL1811-0003C</v>
          </cell>
          <cell r="B3039">
            <v>201810</v>
          </cell>
          <cell r="C3039" t="str">
            <v>0100178963</v>
          </cell>
          <cell r="D3039" t="str">
            <v>M9166</v>
          </cell>
          <cell r="E3039">
            <v>11664</v>
          </cell>
          <cell r="F3039">
            <v>43427</v>
          </cell>
          <cell r="G3039" t="str">
            <v>11/06</v>
          </cell>
        </row>
        <row r="3040">
          <cell r="A3040" t="str">
            <v>YL1811-0003D</v>
          </cell>
          <cell r="B3040">
            <v>201810</v>
          </cell>
          <cell r="C3040" t="str">
            <v>0100178964</v>
          </cell>
          <cell r="D3040" t="str">
            <v>M9166</v>
          </cell>
          <cell r="E3040">
            <v>12036</v>
          </cell>
          <cell r="F3040">
            <v>43427</v>
          </cell>
          <cell r="G3040" t="str">
            <v>11/06</v>
          </cell>
        </row>
        <row r="3041">
          <cell r="A3041" t="str">
            <v>YL1811-0003E</v>
          </cell>
          <cell r="B3041">
            <v>201810</v>
          </cell>
          <cell r="C3041" t="str">
            <v>0100178965</v>
          </cell>
          <cell r="D3041" t="str">
            <v>M9166</v>
          </cell>
          <cell r="E3041">
            <v>5004</v>
          </cell>
          <cell r="F3041">
            <v>43427</v>
          </cell>
          <cell r="G3041" t="str">
            <v>11/06</v>
          </cell>
        </row>
        <row r="3042">
          <cell r="A3042" t="str">
            <v>YL1811-0003F</v>
          </cell>
          <cell r="B3042">
            <v>201810</v>
          </cell>
          <cell r="C3042" t="str">
            <v>0100178966</v>
          </cell>
          <cell r="D3042" t="str">
            <v>M9166</v>
          </cell>
          <cell r="E3042">
            <v>2700</v>
          </cell>
          <cell r="F3042">
            <v>43427</v>
          </cell>
          <cell r="G3042" t="str">
            <v>11/06</v>
          </cell>
        </row>
        <row r="3043">
          <cell r="A3043" t="str">
            <v>YL1811-0003G</v>
          </cell>
          <cell r="B3043">
            <v>201810</v>
          </cell>
          <cell r="C3043" t="str">
            <v>0100178967</v>
          </cell>
          <cell r="D3043" t="str">
            <v>M9166</v>
          </cell>
          <cell r="E3043">
            <v>6300</v>
          </cell>
          <cell r="F3043">
            <v>43427</v>
          </cell>
          <cell r="G3043" t="str">
            <v>11/06</v>
          </cell>
        </row>
        <row r="3044">
          <cell r="A3044" t="str">
            <v>YL1811-0001F</v>
          </cell>
          <cell r="B3044">
            <v>201810</v>
          </cell>
          <cell r="C3044" t="str">
            <v>0100178968</v>
          </cell>
          <cell r="D3044" t="str">
            <v>M9160</v>
          </cell>
          <cell r="E3044">
            <v>1908</v>
          </cell>
          <cell r="F3044">
            <v>43427</v>
          </cell>
          <cell r="G3044" t="str">
            <v>OK</v>
          </cell>
        </row>
        <row r="3045">
          <cell r="A3045" t="str">
            <v>YL1811-0001G</v>
          </cell>
          <cell r="B3045">
            <v>201810</v>
          </cell>
          <cell r="C3045" t="str">
            <v>0100178969</v>
          </cell>
          <cell r="D3045" t="str">
            <v>M9160</v>
          </cell>
          <cell r="E3045">
            <v>2616</v>
          </cell>
          <cell r="F3045">
            <v>43427</v>
          </cell>
          <cell r="G3045" t="str">
            <v>OK</v>
          </cell>
        </row>
        <row r="3046">
          <cell r="E3046">
            <v>4361676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2018-10"/>
      <sheetName val="2018-03"/>
      <sheetName val="2017-09 "/>
      <sheetName val="2017-10"/>
      <sheetName val="2017-11"/>
      <sheetName val="2017-12"/>
      <sheetName val="2018-01"/>
      <sheetName val="2018-02"/>
      <sheetName val="2018-04"/>
      <sheetName val="2018-05"/>
      <sheetName val="2017-07(凉鞋&amp;運動鞋)  "/>
      <sheetName val="2017-08(凉鞋&amp;運動鞋)    "/>
      <sheetName val="2017-09(凉鞋&amp;運動鞋)   (2)"/>
      <sheetName val="2017-11(凉鞋&amp;運動鞋)   (2)"/>
      <sheetName val="2018-06"/>
      <sheetName val="2018-07"/>
      <sheetName val="2018-08"/>
      <sheetName val="2018-01(凉鞋&amp;運動鞋)"/>
      <sheetName val="2018-02(凉鞋&amp;運動鞋)"/>
      <sheetName val="2018-09"/>
      <sheetName val="2018-03(凉鞋&amp;運動鞋)"/>
      <sheetName val="2017-11越南內銷訂單（拖鞋） "/>
      <sheetName val="2018-04(凉鞋&amp;運動鞋)"/>
      <sheetName val="2018-05(凉鞋&amp;運動鞋)"/>
      <sheetName val="2018-11"/>
      <sheetName val="2018-06(凉鞋&amp;運動鞋)"/>
      <sheetName val="2018-12"/>
      <sheetName val="2019-01"/>
      <sheetName val="2018-07(凉鞋&amp;運動鞋)"/>
      <sheetName val="2019-02"/>
      <sheetName val="2018-08 (拖鞋+凉鞋&amp;運動鞋)"/>
      <sheetName val="2018-09(凉鞋&amp;運動鞋)"/>
      <sheetName val="2018-10(凉鞋&amp;運動鞋)"/>
      <sheetName val="2019-04"/>
      <sheetName val="2018-11(凉鞋&amp;運動鞋)"/>
      <sheetName val="2018-12(凉鞋&amp;運動鞋)"/>
      <sheetName val="2019-01(凉鞋&amp;運動鞋)"/>
      <sheetName val="2019-02(凉鞋&amp;運動鞋)"/>
      <sheetName val="2019-03(凉鞋&amp;運動鞋)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A3" t="str">
            <v>Y1902-0001</v>
          </cell>
          <cell r="B3">
            <v>201808</v>
          </cell>
          <cell r="C3" t="str">
            <v>0100166055</v>
          </cell>
          <cell r="D3" t="str">
            <v>264476F</v>
          </cell>
          <cell r="E3">
            <v>468</v>
          </cell>
          <cell r="F3">
            <v>43510</v>
          </cell>
          <cell r="G3" t="str">
            <v>OK</v>
          </cell>
        </row>
        <row r="4">
          <cell r="A4" t="str">
            <v>Y1902-0002</v>
          </cell>
          <cell r="B4">
            <v>201809</v>
          </cell>
          <cell r="C4" t="str">
            <v>0100169624</v>
          </cell>
          <cell r="D4" t="str">
            <v>264477F</v>
          </cell>
          <cell r="E4">
            <v>360</v>
          </cell>
          <cell r="F4">
            <v>43510</v>
          </cell>
          <cell r="G4" t="str">
            <v>OK</v>
          </cell>
        </row>
        <row r="5">
          <cell r="A5" t="str">
            <v>Y1902-0003</v>
          </cell>
          <cell r="B5">
            <v>201809</v>
          </cell>
          <cell r="C5" t="str">
            <v>0100169626</v>
          </cell>
          <cell r="D5" t="str">
            <v>264477F</v>
          </cell>
          <cell r="E5">
            <v>360</v>
          </cell>
          <cell r="F5">
            <v>43510</v>
          </cell>
          <cell r="G5" t="str">
            <v>OK</v>
          </cell>
        </row>
        <row r="6">
          <cell r="A6" t="str">
            <v>Y1902-0004</v>
          </cell>
          <cell r="B6">
            <v>201809</v>
          </cell>
          <cell r="C6" t="str">
            <v>0100169628</v>
          </cell>
          <cell r="D6">
            <v>88875</v>
          </cell>
          <cell r="E6">
            <v>240</v>
          </cell>
          <cell r="F6">
            <v>43510</v>
          </cell>
          <cell r="G6" t="str">
            <v>OK</v>
          </cell>
        </row>
        <row r="7">
          <cell r="A7" t="str">
            <v>Y1902-0020</v>
          </cell>
          <cell r="B7">
            <v>201810</v>
          </cell>
          <cell r="C7" t="str">
            <v>0100174979</v>
          </cell>
          <cell r="D7">
            <v>88877</v>
          </cell>
          <cell r="E7">
            <v>552</v>
          </cell>
          <cell r="F7">
            <v>43510</v>
          </cell>
          <cell r="G7" t="str">
            <v>OK</v>
          </cell>
        </row>
        <row r="8">
          <cell r="A8" t="str">
            <v>Y1902-0021</v>
          </cell>
          <cell r="B8">
            <v>201810</v>
          </cell>
          <cell r="C8" t="str">
            <v>0100174980</v>
          </cell>
          <cell r="D8">
            <v>81229</v>
          </cell>
          <cell r="E8">
            <v>240</v>
          </cell>
          <cell r="F8">
            <v>43510</v>
          </cell>
          <cell r="G8" t="str">
            <v>12/20</v>
          </cell>
        </row>
        <row r="9">
          <cell r="A9" t="str">
            <v>Y1902-0022</v>
          </cell>
          <cell r="B9">
            <v>201810</v>
          </cell>
          <cell r="C9" t="str">
            <v>0100174982</v>
          </cell>
          <cell r="D9" t="str">
            <v>8J231</v>
          </cell>
          <cell r="E9">
            <v>792</v>
          </cell>
          <cell r="F9">
            <v>43510</v>
          </cell>
          <cell r="G9" t="str">
            <v>OK</v>
          </cell>
        </row>
        <row r="10">
          <cell r="A10" t="str">
            <v>Y1902-0023</v>
          </cell>
          <cell r="B10">
            <v>201810</v>
          </cell>
          <cell r="C10" t="str">
            <v>0100174992</v>
          </cell>
          <cell r="D10" t="str">
            <v>664184C</v>
          </cell>
          <cell r="E10">
            <v>156</v>
          </cell>
          <cell r="F10">
            <v>43510</v>
          </cell>
          <cell r="G10" t="str">
            <v>OK</v>
          </cell>
        </row>
        <row r="11">
          <cell r="A11" t="str">
            <v>Y1902-0024</v>
          </cell>
          <cell r="B11">
            <v>201810</v>
          </cell>
          <cell r="C11" t="str">
            <v>0100174994</v>
          </cell>
          <cell r="D11">
            <v>88871</v>
          </cell>
          <cell r="E11">
            <v>612</v>
          </cell>
          <cell r="F11">
            <v>43510</v>
          </cell>
          <cell r="G11" t="str">
            <v>OK</v>
          </cell>
        </row>
        <row r="12">
          <cell r="A12" t="str">
            <v>Y1902-0025</v>
          </cell>
          <cell r="B12">
            <v>201810</v>
          </cell>
          <cell r="C12" t="str">
            <v>0100174996</v>
          </cell>
          <cell r="D12">
            <v>88875</v>
          </cell>
          <cell r="E12">
            <v>120</v>
          </cell>
          <cell r="F12">
            <v>43510</v>
          </cell>
          <cell r="G12" t="str">
            <v>OK</v>
          </cell>
        </row>
        <row r="13">
          <cell r="A13" t="str">
            <v>Y1902-0026</v>
          </cell>
          <cell r="B13">
            <v>201810</v>
          </cell>
          <cell r="C13" t="str">
            <v>0100175000</v>
          </cell>
          <cell r="D13" t="str">
            <v>663599C</v>
          </cell>
          <cell r="E13">
            <v>336</v>
          </cell>
          <cell r="F13">
            <v>43510</v>
          </cell>
          <cell r="G13" t="str">
            <v>OK</v>
          </cell>
        </row>
        <row r="14">
          <cell r="A14" t="str">
            <v>Y1902-0027</v>
          </cell>
          <cell r="B14">
            <v>201810</v>
          </cell>
          <cell r="C14" t="str">
            <v>0100175010</v>
          </cell>
          <cell r="D14" t="str">
            <v>3J253C</v>
          </cell>
          <cell r="E14">
            <v>576</v>
          </cell>
          <cell r="F14">
            <v>43506</v>
          </cell>
          <cell r="G14" t="str">
            <v>OK</v>
          </cell>
        </row>
        <row r="15">
          <cell r="A15" t="str">
            <v>Y1902-0028</v>
          </cell>
          <cell r="B15">
            <v>201810</v>
          </cell>
          <cell r="C15" t="str">
            <v>0100175011</v>
          </cell>
          <cell r="D15" t="str">
            <v>3J253C</v>
          </cell>
          <cell r="E15">
            <v>2508</v>
          </cell>
          <cell r="F15">
            <v>43510</v>
          </cell>
          <cell r="G15" t="str">
            <v>OK</v>
          </cell>
        </row>
        <row r="16">
          <cell r="A16" t="str">
            <v>Y1902-0029</v>
          </cell>
          <cell r="B16">
            <v>201810</v>
          </cell>
          <cell r="C16" t="str">
            <v>0100175012</v>
          </cell>
          <cell r="D16" t="str">
            <v>3J236C</v>
          </cell>
          <cell r="E16">
            <v>1584</v>
          </cell>
          <cell r="F16">
            <v>43510</v>
          </cell>
          <cell r="G16" t="str">
            <v>OK</v>
          </cell>
        </row>
        <row r="17">
          <cell r="A17" t="str">
            <v>Y1902-0030</v>
          </cell>
          <cell r="B17">
            <v>201810</v>
          </cell>
          <cell r="C17" t="str">
            <v>0100175014</v>
          </cell>
          <cell r="D17" t="str">
            <v>3J232C</v>
          </cell>
          <cell r="E17">
            <v>1692</v>
          </cell>
          <cell r="F17">
            <v>43510</v>
          </cell>
          <cell r="G17" t="str">
            <v>OK</v>
          </cell>
        </row>
        <row r="18">
          <cell r="A18" t="str">
            <v>Y1902-0032</v>
          </cell>
          <cell r="B18">
            <v>201810</v>
          </cell>
          <cell r="C18" t="str">
            <v>0100175016</v>
          </cell>
          <cell r="D18" t="str">
            <v>M8437C</v>
          </cell>
          <cell r="E18">
            <v>2736</v>
          </cell>
          <cell r="F18">
            <v>43510</v>
          </cell>
          <cell r="G18" t="str">
            <v>OK</v>
          </cell>
        </row>
        <row r="19">
          <cell r="A19" t="str">
            <v>Y1902-0033</v>
          </cell>
          <cell r="B19">
            <v>201810</v>
          </cell>
          <cell r="C19" t="str">
            <v>0100175018</v>
          </cell>
          <cell r="D19" t="str">
            <v>3J256C</v>
          </cell>
          <cell r="E19">
            <v>2940</v>
          </cell>
          <cell r="F19">
            <v>43510</v>
          </cell>
          <cell r="G19" t="str">
            <v>OK</v>
          </cell>
        </row>
        <row r="20">
          <cell r="A20" t="str">
            <v>Y1902-0037</v>
          </cell>
          <cell r="B20">
            <v>201810</v>
          </cell>
          <cell r="C20" t="str">
            <v>0100175023</v>
          </cell>
          <cell r="D20" t="str">
            <v>7J253C</v>
          </cell>
          <cell r="E20">
            <v>420</v>
          </cell>
          <cell r="F20">
            <v>43506</v>
          </cell>
          <cell r="G20" t="str">
            <v>OK</v>
          </cell>
        </row>
        <row r="21">
          <cell r="A21" t="str">
            <v>Y1902-0038</v>
          </cell>
          <cell r="B21">
            <v>201810</v>
          </cell>
          <cell r="C21" t="str">
            <v>0100175024</v>
          </cell>
          <cell r="D21" t="str">
            <v>7J253C</v>
          </cell>
          <cell r="E21">
            <v>1020</v>
          </cell>
          <cell r="F21">
            <v>43510</v>
          </cell>
          <cell r="G21" t="str">
            <v>OK</v>
          </cell>
        </row>
        <row r="22">
          <cell r="A22" t="str">
            <v>Y1902-0039</v>
          </cell>
          <cell r="B22">
            <v>201810</v>
          </cell>
          <cell r="C22" t="str">
            <v>0100175026</v>
          </cell>
          <cell r="D22">
            <v>88871</v>
          </cell>
          <cell r="E22">
            <v>300</v>
          </cell>
          <cell r="F22">
            <v>43506</v>
          </cell>
          <cell r="G22" t="str">
            <v>OK</v>
          </cell>
        </row>
        <row r="23">
          <cell r="A23" t="str">
            <v>Y1902-0045</v>
          </cell>
          <cell r="B23">
            <v>201810</v>
          </cell>
          <cell r="C23" t="str">
            <v>0100175032</v>
          </cell>
          <cell r="D23" t="str">
            <v>M3494</v>
          </cell>
          <cell r="E23">
            <v>2772</v>
          </cell>
          <cell r="F23">
            <v>43510</v>
          </cell>
          <cell r="G23" t="str">
            <v>OK</v>
          </cell>
        </row>
        <row r="24">
          <cell r="A24" t="str">
            <v>Y1902-0052</v>
          </cell>
          <cell r="B24">
            <v>201810</v>
          </cell>
          <cell r="C24" t="str">
            <v>0100175039</v>
          </cell>
          <cell r="D24" t="str">
            <v>162884C</v>
          </cell>
          <cell r="E24">
            <v>492</v>
          </cell>
          <cell r="F24">
            <v>43513</v>
          </cell>
          <cell r="G24" t="str">
            <v>OK</v>
          </cell>
        </row>
        <row r="25">
          <cell r="A25" t="str">
            <v>Y1902-0056</v>
          </cell>
          <cell r="B25">
            <v>201810</v>
          </cell>
          <cell r="C25" t="str">
            <v>0100175043</v>
          </cell>
          <cell r="D25" t="str">
            <v>364169C</v>
          </cell>
          <cell r="E25">
            <v>168</v>
          </cell>
          <cell r="F25">
            <v>43513</v>
          </cell>
          <cell r="G25" t="str">
            <v>OK</v>
          </cell>
        </row>
        <row r="26">
          <cell r="A26" t="str">
            <v>Y1902-0061</v>
          </cell>
          <cell r="B26">
            <v>201810</v>
          </cell>
          <cell r="C26" t="str">
            <v>0100175048</v>
          </cell>
          <cell r="D26" t="str">
            <v>564151C</v>
          </cell>
          <cell r="E26">
            <v>744</v>
          </cell>
          <cell r="F26">
            <v>43513</v>
          </cell>
          <cell r="G26" t="str">
            <v>12/20</v>
          </cell>
        </row>
        <row r="27">
          <cell r="A27" t="str">
            <v>Y1902-0064</v>
          </cell>
          <cell r="B27">
            <v>201810</v>
          </cell>
          <cell r="C27" t="str">
            <v>0100175051</v>
          </cell>
          <cell r="D27" t="str">
            <v>564154C</v>
          </cell>
          <cell r="E27">
            <v>576</v>
          </cell>
          <cell r="F27">
            <v>43513</v>
          </cell>
          <cell r="G27" t="str">
            <v>OK</v>
          </cell>
        </row>
        <row r="28">
          <cell r="A28" t="str">
            <v>Y1902-0071</v>
          </cell>
          <cell r="B28">
            <v>201810</v>
          </cell>
          <cell r="C28" t="str">
            <v>0100175062</v>
          </cell>
          <cell r="D28" t="str">
            <v>164217C</v>
          </cell>
          <cell r="E28">
            <v>324</v>
          </cell>
          <cell r="F28">
            <v>43513</v>
          </cell>
          <cell r="G28" t="str">
            <v>OK</v>
          </cell>
        </row>
        <row r="29">
          <cell r="A29" t="str">
            <v>Y1902-0072</v>
          </cell>
          <cell r="B29">
            <v>201810</v>
          </cell>
          <cell r="C29" t="str">
            <v>0100175063</v>
          </cell>
          <cell r="D29" t="str">
            <v>164218C</v>
          </cell>
          <cell r="E29">
            <v>300</v>
          </cell>
          <cell r="F29">
            <v>43513</v>
          </cell>
          <cell r="G29" t="str">
            <v>OK</v>
          </cell>
        </row>
        <row r="30">
          <cell r="A30" t="str">
            <v>Y1902-0073</v>
          </cell>
          <cell r="B30">
            <v>201810</v>
          </cell>
          <cell r="C30" t="str">
            <v>0100175064</v>
          </cell>
          <cell r="D30" t="str">
            <v>164220C</v>
          </cell>
          <cell r="E30">
            <v>372</v>
          </cell>
          <cell r="F30">
            <v>43513</v>
          </cell>
          <cell r="G30" t="str">
            <v>OK</v>
          </cell>
        </row>
        <row r="31">
          <cell r="A31" t="str">
            <v>Y1902-0075</v>
          </cell>
          <cell r="B31">
            <v>201810</v>
          </cell>
          <cell r="C31" t="str">
            <v>0100175066</v>
          </cell>
          <cell r="D31" t="str">
            <v>164359C</v>
          </cell>
          <cell r="E31">
            <v>624</v>
          </cell>
          <cell r="F31">
            <v>43513</v>
          </cell>
          <cell r="G31" t="str">
            <v>OK</v>
          </cell>
        </row>
        <row r="32">
          <cell r="A32" t="str">
            <v>Y1902-0087</v>
          </cell>
          <cell r="B32">
            <v>201810</v>
          </cell>
          <cell r="C32" t="str">
            <v>0100175079</v>
          </cell>
          <cell r="D32" t="str">
            <v>160472C</v>
          </cell>
          <cell r="E32">
            <v>3060</v>
          </cell>
          <cell r="F32">
            <v>43513</v>
          </cell>
          <cell r="G32" t="str">
            <v>OK</v>
          </cell>
        </row>
        <row r="33">
          <cell r="A33" t="str">
            <v>Y1902-0088</v>
          </cell>
          <cell r="B33">
            <v>201810</v>
          </cell>
          <cell r="C33" t="str">
            <v>0100175080</v>
          </cell>
          <cell r="D33" t="str">
            <v>160471C</v>
          </cell>
          <cell r="E33">
            <v>3072</v>
          </cell>
          <cell r="F33">
            <v>43513</v>
          </cell>
          <cell r="G33" t="str">
            <v>OK</v>
          </cell>
        </row>
        <row r="34">
          <cell r="A34" t="str">
            <v>Y1902-0091</v>
          </cell>
          <cell r="B34">
            <v>201810</v>
          </cell>
          <cell r="C34" t="str">
            <v>0100175101</v>
          </cell>
          <cell r="D34" t="str">
            <v>3J253C</v>
          </cell>
          <cell r="E34">
            <v>2100</v>
          </cell>
          <cell r="F34">
            <v>43517</v>
          </cell>
          <cell r="G34" t="str">
            <v>OK</v>
          </cell>
        </row>
        <row r="35">
          <cell r="A35" t="str">
            <v>Y1902-0092</v>
          </cell>
          <cell r="B35">
            <v>201810</v>
          </cell>
          <cell r="C35" t="str">
            <v>0100175104</v>
          </cell>
          <cell r="D35" t="str">
            <v>3J256C</v>
          </cell>
          <cell r="E35">
            <v>7152</v>
          </cell>
          <cell r="F35">
            <v>43517</v>
          </cell>
          <cell r="G35" t="str">
            <v>OK</v>
          </cell>
        </row>
        <row r="36">
          <cell r="A36" t="str">
            <v>Y1902-0093</v>
          </cell>
          <cell r="B36">
            <v>201810</v>
          </cell>
          <cell r="C36" t="str">
            <v>0100175106</v>
          </cell>
          <cell r="D36" t="str">
            <v>M7650C</v>
          </cell>
          <cell r="E36">
            <v>19560</v>
          </cell>
          <cell r="F36">
            <v>43517</v>
          </cell>
          <cell r="G36" t="str">
            <v>OK</v>
          </cell>
        </row>
        <row r="37">
          <cell r="A37" t="str">
            <v>Y1902-0094</v>
          </cell>
          <cell r="B37">
            <v>201810</v>
          </cell>
          <cell r="C37" t="str">
            <v>0100175107</v>
          </cell>
          <cell r="D37" t="str">
            <v>M7652C</v>
          </cell>
          <cell r="E37">
            <v>18828</v>
          </cell>
          <cell r="F37">
            <v>43517</v>
          </cell>
          <cell r="G37" t="str">
            <v>OK</v>
          </cell>
        </row>
        <row r="38">
          <cell r="A38" t="str">
            <v>Y1902-0095</v>
          </cell>
          <cell r="B38">
            <v>201810</v>
          </cell>
          <cell r="C38" t="str">
            <v>0100175110</v>
          </cell>
          <cell r="D38" t="str">
            <v>M9697C</v>
          </cell>
          <cell r="E38">
            <v>5988</v>
          </cell>
          <cell r="F38">
            <v>43517</v>
          </cell>
          <cell r="G38" t="str">
            <v>OK</v>
          </cell>
        </row>
        <row r="39">
          <cell r="A39" t="str">
            <v>Y1902-0096</v>
          </cell>
          <cell r="B39">
            <v>201810</v>
          </cell>
          <cell r="C39" t="str">
            <v>0100175112</v>
          </cell>
          <cell r="D39" t="str">
            <v>155065C</v>
          </cell>
          <cell r="E39">
            <v>1404</v>
          </cell>
          <cell r="F39">
            <v>43510</v>
          </cell>
          <cell r="G39" t="str">
            <v>12/20</v>
          </cell>
        </row>
        <row r="40">
          <cell r="A40" t="str">
            <v>Y1902-0098</v>
          </cell>
          <cell r="B40">
            <v>201810</v>
          </cell>
          <cell r="C40" t="str">
            <v>0100175119</v>
          </cell>
          <cell r="D40" t="str">
            <v>763527C</v>
          </cell>
          <cell r="E40">
            <v>1800</v>
          </cell>
          <cell r="F40">
            <v>43507</v>
          </cell>
          <cell r="G40" t="str">
            <v>OK</v>
          </cell>
        </row>
        <row r="41">
          <cell r="A41" t="str">
            <v>Y1902-0099</v>
          </cell>
          <cell r="B41">
            <v>201810</v>
          </cell>
          <cell r="C41" t="str">
            <v>0100175122</v>
          </cell>
          <cell r="D41" t="str">
            <v>361817C</v>
          </cell>
          <cell r="E41">
            <v>3240</v>
          </cell>
          <cell r="F41">
            <v>43511</v>
          </cell>
          <cell r="G41" t="str">
            <v>OK</v>
          </cell>
        </row>
        <row r="42">
          <cell r="A42" t="str">
            <v>Y1902-0100</v>
          </cell>
          <cell r="B42">
            <v>201810</v>
          </cell>
          <cell r="C42" t="str">
            <v>0100175123</v>
          </cell>
          <cell r="D42" t="str">
            <v>361818C</v>
          </cell>
          <cell r="E42">
            <v>1680</v>
          </cell>
          <cell r="F42">
            <v>43511</v>
          </cell>
          <cell r="G42" t="str">
            <v>OK</v>
          </cell>
        </row>
        <row r="43">
          <cell r="A43" t="str">
            <v>Y1902-0101</v>
          </cell>
          <cell r="B43">
            <v>201810</v>
          </cell>
          <cell r="C43" t="str">
            <v>0100175126</v>
          </cell>
          <cell r="D43" t="str">
            <v>364009C</v>
          </cell>
          <cell r="E43">
            <v>1800</v>
          </cell>
          <cell r="F43">
            <v>43507</v>
          </cell>
          <cell r="G43" t="str">
            <v>OK</v>
          </cell>
        </row>
        <row r="44">
          <cell r="A44" t="str">
            <v>Y1902-0102</v>
          </cell>
          <cell r="B44">
            <v>201810</v>
          </cell>
          <cell r="C44" t="str">
            <v>0100175127</v>
          </cell>
          <cell r="D44" t="str">
            <v>364169C</v>
          </cell>
          <cell r="E44">
            <v>516</v>
          </cell>
          <cell r="F44">
            <v>43508</v>
          </cell>
          <cell r="G44" t="str">
            <v>OK</v>
          </cell>
        </row>
        <row r="45">
          <cell r="A45" t="str">
            <v>Y1902-0104</v>
          </cell>
          <cell r="B45">
            <v>201810</v>
          </cell>
          <cell r="C45" t="str">
            <v>0100175130</v>
          </cell>
          <cell r="D45" t="str">
            <v>764172C</v>
          </cell>
          <cell r="E45">
            <v>636</v>
          </cell>
          <cell r="F45">
            <v>43508</v>
          </cell>
          <cell r="G45" t="str">
            <v>OK</v>
          </cell>
        </row>
        <row r="46">
          <cell r="A46" t="str">
            <v>Y1902-0113</v>
          </cell>
          <cell r="B46">
            <v>201810</v>
          </cell>
          <cell r="C46" t="str">
            <v>0100175142</v>
          </cell>
          <cell r="D46" t="str">
            <v>764437C</v>
          </cell>
          <cell r="E46">
            <v>3420</v>
          </cell>
          <cell r="F46">
            <v>43508</v>
          </cell>
          <cell r="G46" t="str">
            <v>OK</v>
          </cell>
        </row>
        <row r="47">
          <cell r="A47" t="str">
            <v>Y1902-0114</v>
          </cell>
          <cell r="B47">
            <v>201810</v>
          </cell>
          <cell r="C47" t="str">
            <v>0100175143</v>
          </cell>
          <cell r="D47" t="str">
            <v>764438C</v>
          </cell>
          <cell r="E47">
            <v>1224</v>
          </cell>
          <cell r="F47">
            <v>43507</v>
          </cell>
          <cell r="G47" t="str">
            <v>OK</v>
          </cell>
        </row>
        <row r="48">
          <cell r="A48" t="str">
            <v>Y1902-0115</v>
          </cell>
          <cell r="B48">
            <v>201810</v>
          </cell>
          <cell r="C48" t="str">
            <v>0100175144</v>
          </cell>
          <cell r="D48" t="str">
            <v>764439C</v>
          </cell>
          <cell r="E48">
            <v>2364</v>
          </cell>
          <cell r="F48">
            <v>43508</v>
          </cell>
          <cell r="G48" t="str">
            <v>OK</v>
          </cell>
        </row>
        <row r="49">
          <cell r="A49" t="str">
            <v>Y1902-0116</v>
          </cell>
          <cell r="B49">
            <v>201810</v>
          </cell>
          <cell r="C49" t="str">
            <v>0100175145</v>
          </cell>
          <cell r="D49" t="str">
            <v>764861C</v>
          </cell>
          <cell r="E49">
            <v>1800</v>
          </cell>
          <cell r="F49">
            <v>43507</v>
          </cell>
          <cell r="G49" t="str">
            <v>OK</v>
          </cell>
        </row>
        <row r="50">
          <cell r="A50" t="str">
            <v>Y1902-0117</v>
          </cell>
          <cell r="B50">
            <v>201810</v>
          </cell>
          <cell r="C50" t="str">
            <v>0100175146</v>
          </cell>
          <cell r="D50" t="str">
            <v>M3494</v>
          </cell>
          <cell r="E50">
            <v>1800</v>
          </cell>
          <cell r="F50">
            <v>43508</v>
          </cell>
          <cell r="G50" t="str">
            <v>OK</v>
          </cell>
        </row>
        <row r="51">
          <cell r="A51" t="str">
            <v>Y1902-0118</v>
          </cell>
          <cell r="B51">
            <v>201810</v>
          </cell>
          <cell r="C51" t="str">
            <v>0100175147</v>
          </cell>
          <cell r="D51" t="str">
            <v>163376C</v>
          </cell>
          <cell r="E51">
            <v>954</v>
          </cell>
          <cell r="F51">
            <v>43508</v>
          </cell>
          <cell r="G51" t="str">
            <v>OK</v>
          </cell>
        </row>
        <row r="52">
          <cell r="A52" t="str">
            <v>Y1902-0119</v>
          </cell>
          <cell r="B52">
            <v>201810</v>
          </cell>
          <cell r="C52" t="str">
            <v>0100175148</v>
          </cell>
          <cell r="D52" t="str">
            <v>764862C</v>
          </cell>
          <cell r="E52">
            <v>1728</v>
          </cell>
          <cell r="F52">
            <v>43507</v>
          </cell>
          <cell r="G52" t="str">
            <v>OK</v>
          </cell>
        </row>
        <row r="53">
          <cell r="A53" t="str">
            <v>Y1902-0126</v>
          </cell>
          <cell r="B53">
            <v>201810</v>
          </cell>
          <cell r="C53" t="str">
            <v>0100175160</v>
          </cell>
          <cell r="D53" t="str">
            <v>664434C</v>
          </cell>
          <cell r="E53">
            <v>5124</v>
          </cell>
          <cell r="F53">
            <v>43508</v>
          </cell>
          <cell r="G53" t="str">
            <v>OK</v>
          </cell>
        </row>
        <row r="54">
          <cell r="A54" t="str">
            <v>Y1902-0127</v>
          </cell>
          <cell r="B54">
            <v>201810</v>
          </cell>
          <cell r="C54" t="str">
            <v>0100175161</v>
          </cell>
          <cell r="D54" t="str">
            <v>664436C</v>
          </cell>
          <cell r="E54">
            <v>1764</v>
          </cell>
          <cell r="F54">
            <v>43508</v>
          </cell>
          <cell r="G54" t="str">
            <v>OK</v>
          </cell>
        </row>
        <row r="55">
          <cell r="A55" t="str">
            <v>Y1902-0128</v>
          </cell>
          <cell r="B55">
            <v>201810</v>
          </cell>
          <cell r="C55" t="str">
            <v>0100175163</v>
          </cell>
          <cell r="D55" t="str">
            <v>664859C</v>
          </cell>
          <cell r="E55">
            <v>1800</v>
          </cell>
          <cell r="F55">
            <v>43507</v>
          </cell>
          <cell r="G55" t="str">
            <v>OK</v>
          </cell>
        </row>
        <row r="56">
          <cell r="A56" t="str">
            <v>Y1902-0129</v>
          </cell>
          <cell r="B56">
            <v>201810</v>
          </cell>
          <cell r="C56" t="str">
            <v>0100175164</v>
          </cell>
          <cell r="D56" t="str">
            <v>664860C</v>
          </cell>
          <cell r="E56">
            <v>1356</v>
          </cell>
          <cell r="F56">
            <v>43507</v>
          </cell>
          <cell r="G56" t="str">
            <v>OK</v>
          </cell>
        </row>
        <row r="57">
          <cell r="A57" t="str">
            <v>Y1902-0130</v>
          </cell>
          <cell r="B57">
            <v>201810</v>
          </cell>
          <cell r="C57" t="str">
            <v>0100175165</v>
          </cell>
          <cell r="D57" t="str">
            <v>7J253C</v>
          </cell>
          <cell r="E57">
            <v>840</v>
          </cell>
          <cell r="F57">
            <v>43517</v>
          </cell>
          <cell r="G57" t="str">
            <v>OK</v>
          </cell>
        </row>
        <row r="58">
          <cell r="A58" t="str">
            <v>Y1902-0131</v>
          </cell>
          <cell r="B58">
            <v>201810</v>
          </cell>
          <cell r="C58" t="str">
            <v>0100175167</v>
          </cell>
          <cell r="D58" t="str">
            <v>7J256C</v>
          </cell>
          <cell r="E58">
            <v>4452</v>
          </cell>
          <cell r="F58">
            <v>43517</v>
          </cell>
          <cell r="G58" t="str">
            <v>OK</v>
          </cell>
        </row>
        <row r="59">
          <cell r="A59" t="str">
            <v>Y1902-0132</v>
          </cell>
          <cell r="B59">
            <v>201810</v>
          </cell>
          <cell r="C59" t="str">
            <v>0100175169</v>
          </cell>
          <cell r="D59" t="str">
            <v>164058C</v>
          </cell>
          <cell r="E59">
            <v>4668</v>
          </cell>
          <cell r="F59">
            <v>43510</v>
          </cell>
          <cell r="G59" t="str">
            <v>OK</v>
          </cell>
        </row>
        <row r="60">
          <cell r="A60" t="str">
            <v>Y1902-0133</v>
          </cell>
          <cell r="B60">
            <v>201810</v>
          </cell>
          <cell r="C60" t="str">
            <v>0100175170</v>
          </cell>
          <cell r="D60" t="str">
            <v>164059C</v>
          </cell>
          <cell r="E60">
            <v>6036</v>
          </cell>
          <cell r="F60">
            <v>43508</v>
          </cell>
          <cell r="G60" t="str">
            <v>OK</v>
          </cell>
        </row>
        <row r="61">
          <cell r="A61" t="str">
            <v>Y1902-0134</v>
          </cell>
          <cell r="B61">
            <v>201810</v>
          </cell>
          <cell r="C61" t="str">
            <v>0100175171</v>
          </cell>
          <cell r="D61" t="str">
            <v>164060C</v>
          </cell>
          <cell r="E61">
            <v>276</v>
          </cell>
          <cell r="F61">
            <v>43510</v>
          </cell>
          <cell r="G61" t="str">
            <v>OK</v>
          </cell>
        </row>
        <row r="62">
          <cell r="A62" t="str">
            <v>Y1902-0135</v>
          </cell>
          <cell r="B62">
            <v>201810</v>
          </cell>
          <cell r="C62" t="str">
            <v>0100175172</v>
          </cell>
          <cell r="D62" t="str">
            <v>164101C</v>
          </cell>
          <cell r="E62">
            <v>264</v>
          </cell>
          <cell r="F62">
            <v>43508</v>
          </cell>
          <cell r="G62" t="str">
            <v>OK</v>
          </cell>
        </row>
        <row r="63">
          <cell r="A63" t="str">
            <v>Y1902-0136</v>
          </cell>
          <cell r="B63">
            <v>201810</v>
          </cell>
          <cell r="C63" t="str">
            <v>0100175173</v>
          </cell>
          <cell r="D63" t="str">
            <v>164103C</v>
          </cell>
          <cell r="E63">
            <v>684</v>
          </cell>
          <cell r="F63">
            <v>43507</v>
          </cell>
          <cell r="G63" t="str">
            <v>OK</v>
          </cell>
        </row>
        <row r="64">
          <cell r="A64" t="str">
            <v>Y1902-0141</v>
          </cell>
          <cell r="B64">
            <v>201810</v>
          </cell>
          <cell r="C64" t="str">
            <v>0100175178</v>
          </cell>
          <cell r="D64" t="str">
            <v>164281C</v>
          </cell>
          <cell r="E64">
            <v>180</v>
          </cell>
          <cell r="F64">
            <v>43509</v>
          </cell>
          <cell r="G64" t="str">
            <v>OK</v>
          </cell>
        </row>
        <row r="65">
          <cell r="A65" t="str">
            <v>Y1902-0149</v>
          </cell>
          <cell r="B65">
            <v>201810</v>
          </cell>
          <cell r="C65" t="str">
            <v>0100175188</v>
          </cell>
          <cell r="D65" t="str">
            <v>164363C</v>
          </cell>
          <cell r="E65">
            <v>1590</v>
          </cell>
          <cell r="F65">
            <v>43507</v>
          </cell>
          <cell r="G65" t="str">
            <v>OK</v>
          </cell>
        </row>
        <row r="66">
          <cell r="A66" t="str">
            <v>Y1902-0152</v>
          </cell>
          <cell r="B66">
            <v>201810</v>
          </cell>
          <cell r="C66" t="str">
            <v>0100175191</v>
          </cell>
          <cell r="D66" t="str">
            <v>164392C</v>
          </cell>
          <cell r="E66">
            <v>876</v>
          </cell>
          <cell r="F66">
            <v>43508</v>
          </cell>
          <cell r="G66" t="str">
            <v>12/20</v>
          </cell>
        </row>
        <row r="67">
          <cell r="A67" t="str">
            <v>Y1902-0154</v>
          </cell>
          <cell r="B67">
            <v>201810</v>
          </cell>
          <cell r="C67" t="str">
            <v>0100175195</v>
          </cell>
          <cell r="D67" t="str">
            <v>565548C</v>
          </cell>
          <cell r="E67">
            <v>893</v>
          </cell>
          <cell r="F67">
            <v>43521</v>
          </cell>
          <cell r="G67" t="str">
            <v>OK</v>
          </cell>
        </row>
        <row r="68">
          <cell r="A68" t="str">
            <v>Y1902-0161</v>
          </cell>
          <cell r="B68">
            <v>201810</v>
          </cell>
          <cell r="C68" t="str">
            <v>0100175203</v>
          </cell>
          <cell r="D68" t="str">
            <v>M7652C</v>
          </cell>
          <cell r="E68">
            <v>8508</v>
          </cell>
          <cell r="F68">
            <v>43510</v>
          </cell>
          <cell r="G68" t="str">
            <v>OK</v>
          </cell>
        </row>
        <row r="69">
          <cell r="A69" t="str">
            <v>Y1902-0162</v>
          </cell>
          <cell r="B69">
            <v>201810</v>
          </cell>
          <cell r="C69" t="str">
            <v>0100175204</v>
          </cell>
          <cell r="D69" t="str">
            <v>M7650C</v>
          </cell>
          <cell r="E69">
            <v>408</v>
          </cell>
          <cell r="F69">
            <v>43510</v>
          </cell>
          <cell r="G69" t="str">
            <v>OK</v>
          </cell>
        </row>
        <row r="70">
          <cell r="A70" t="str">
            <v>Y1902-0163</v>
          </cell>
          <cell r="B70">
            <v>201810</v>
          </cell>
          <cell r="C70" t="str">
            <v>0100175205</v>
          </cell>
          <cell r="D70" t="str">
            <v>M7652C</v>
          </cell>
          <cell r="E70">
            <v>756</v>
          </cell>
          <cell r="F70">
            <v>43510</v>
          </cell>
          <cell r="G70" t="str">
            <v>OK</v>
          </cell>
        </row>
        <row r="71">
          <cell r="A71" t="str">
            <v>Y1902-0164</v>
          </cell>
          <cell r="B71">
            <v>201810</v>
          </cell>
          <cell r="C71" t="str">
            <v>0100175206</v>
          </cell>
          <cell r="D71" t="str">
            <v>M7652C</v>
          </cell>
          <cell r="E71">
            <v>516</v>
          </cell>
          <cell r="F71">
            <v>43510</v>
          </cell>
          <cell r="G71" t="str">
            <v>OK</v>
          </cell>
        </row>
        <row r="72">
          <cell r="A72" t="str">
            <v>Y1902-0165</v>
          </cell>
          <cell r="B72">
            <v>201810</v>
          </cell>
          <cell r="C72" t="str">
            <v>0100175207</v>
          </cell>
          <cell r="D72" t="str">
            <v>M9697C</v>
          </cell>
          <cell r="E72">
            <v>396</v>
          </cell>
          <cell r="F72">
            <v>43510</v>
          </cell>
          <cell r="G72" t="str">
            <v>OK</v>
          </cell>
        </row>
        <row r="73">
          <cell r="A73" t="str">
            <v>Y1902-0166</v>
          </cell>
          <cell r="B73">
            <v>201810</v>
          </cell>
          <cell r="C73" t="str">
            <v>0100175208</v>
          </cell>
          <cell r="D73" t="str">
            <v>M3310C</v>
          </cell>
          <cell r="E73">
            <v>432</v>
          </cell>
          <cell r="F73">
            <v>43510</v>
          </cell>
          <cell r="G73" t="str">
            <v>OK</v>
          </cell>
        </row>
        <row r="74">
          <cell r="A74" t="str">
            <v>Y1902-0167</v>
          </cell>
          <cell r="B74">
            <v>201810</v>
          </cell>
          <cell r="C74" t="str">
            <v>0100175209</v>
          </cell>
          <cell r="D74" t="str">
            <v>M7650C</v>
          </cell>
          <cell r="E74">
            <v>420</v>
          </cell>
          <cell r="F74">
            <v>43510</v>
          </cell>
          <cell r="G74" t="str">
            <v>OK</v>
          </cell>
        </row>
        <row r="75">
          <cell r="A75" t="str">
            <v>Y1902-0168</v>
          </cell>
          <cell r="B75">
            <v>201810</v>
          </cell>
          <cell r="C75" t="str">
            <v>0100175210</v>
          </cell>
          <cell r="D75" t="str">
            <v>M7652C</v>
          </cell>
          <cell r="E75">
            <v>516</v>
          </cell>
          <cell r="F75">
            <v>43510</v>
          </cell>
          <cell r="G75" t="str">
            <v>OK</v>
          </cell>
        </row>
        <row r="76">
          <cell r="A76" t="str">
            <v>Y1902-0169</v>
          </cell>
          <cell r="B76">
            <v>201810</v>
          </cell>
          <cell r="C76" t="str">
            <v>0100175211</v>
          </cell>
          <cell r="D76" t="str">
            <v>M7650C</v>
          </cell>
          <cell r="E76">
            <v>420</v>
          </cell>
          <cell r="F76">
            <v>43510</v>
          </cell>
          <cell r="G76" t="str">
            <v>OK</v>
          </cell>
        </row>
        <row r="77">
          <cell r="A77" t="str">
            <v>Y1902-0170</v>
          </cell>
          <cell r="B77">
            <v>201810</v>
          </cell>
          <cell r="C77" t="str">
            <v>0100175212</v>
          </cell>
          <cell r="D77" t="str">
            <v>M7652C</v>
          </cell>
          <cell r="E77">
            <v>576</v>
          </cell>
          <cell r="F77">
            <v>43510</v>
          </cell>
          <cell r="G77" t="str">
            <v>OK</v>
          </cell>
        </row>
        <row r="78">
          <cell r="A78" t="str">
            <v>Y1902-0171</v>
          </cell>
          <cell r="B78">
            <v>201810</v>
          </cell>
          <cell r="C78" t="str">
            <v>0100175213</v>
          </cell>
          <cell r="D78" t="str">
            <v>M7650C</v>
          </cell>
          <cell r="E78">
            <v>420</v>
          </cell>
          <cell r="F78">
            <v>43510</v>
          </cell>
          <cell r="G78" t="str">
            <v>OK</v>
          </cell>
        </row>
        <row r="79">
          <cell r="A79" t="str">
            <v>Y1902-0172</v>
          </cell>
          <cell r="B79">
            <v>201810</v>
          </cell>
          <cell r="C79" t="str">
            <v>0100175214</v>
          </cell>
          <cell r="D79" t="str">
            <v>M7652C</v>
          </cell>
          <cell r="E79">
            <v>720</v>
          </cell>
          <cell r="F79">
            <v>43510</v>
          </cell>
          <cell r="G79" t="str">
            <v>OK</v>
          </cell>
        </row>
        <row r="80">
          <cell r="A80" t="str">
            <v>Y1902-0173</v>
          </cell>
          <cell r="B80">
            <v>201810</v>
          </cell>
          <cell r="C80" t="str">
            <v>0100175215</v>
          </cell>
          <cell r="D80" t="str">
            <v>M7650C</v>
          </cell>
          <cell r="E80">
            <v>1008</v>
          </cell>
          <cell r="F80">
            <v>43510</v>
          </cell>
          <cell r="G80" t="str">
            <v>OK</v>
          </cell>
        </row>
        <row r="81">
          <cell r="A81" t="str">
            <v>Y1902-0174</v>
          </cell>
          <cell r="B81">
            <v>201810</v>
          </cell>
          <cell r="C81" t="str">
            <v>0100175216</v>
          </cell>
          <cell r="D81" t="str">
            <v>M7652C</v>
          </cell>
          <cell r="E81">
            <v>5004</v>
          </cell>
          <cell r="F81">
            <v>43510</v>
          </cell>
          <cell r="G81" t="str">
            <v>OK</v>
          </cell>
        </row>
        <row r="82">
          <cell r="A82" t="str">
            <v>Y1902-0175</v>
          </cell>
          <cell r="B82">
            <v>201810</v>
          </cell>
          <cell r="C82" t="str">
            <v>0100175217</v>
          </cell>
          <cell r="D82" t="str">
            <v>M7652C</v>
          </cell>
          <cell r="E82">
            <v>5004</v>
          </cell>
          <cell r="F82">
            <v>43510</v>
          </cell>
          <cell r="G82" t="str">
            <v>OK</v>
          </cell>
        </row>
        <row r="83">
          <cell r="A83" t="str">
            <v>Y1902-0176</v>
          </cell>
          <cell r="B83">
            <v>201810</v>
          </cell>
          <cell r="C83" t="str">
            <v>0100175218</v>
          </cell>
          <cell r="D83" t="str">
            <v>M7652C</v>
          </cell>
          <cell r="E83">
            <v>5004</v>
          </cell>
          <cell r="F83">
            <v>43510</v>
          </cell>
          <cell r="G83" t="str">
            <v>OK</v>
          </cell>
        </row>
        <row r="84">
          <cell r="A84" t="str">
            <v>Y1902-0177</v>
          </cell>
          <cell r="B84">
            <v>201810</v>
          </cell>
          <cell r="C84" t="str">
            <v>0100175219</v>
          </cell>
          <cell r="D84" t="str">
            <v>155065C</v>
          </cell>
          <cell r="E84">
            <v>3012</v>
          </cell>
          <cell r="F84">
            <v>43510</v>
          </cell>
          <cell r="G84" t="str">
            <v>12/20</v>
          </cell>
        </row>
        <row r="85">
          <cell r="A85" t="str">
            <v>Y1902-0178</v>
          </cell>
          <cell r="B85">
            <v>201810</v>
          </cell>
          <cell r="C85" t="str">
            <v>0100175220</v>
          </cell>
          <cell r="D85" t="str">
            <v>155064C</v>
          </cell>
          <cell r="E85">
            <v>576</v>
          </cell>
          <cell r="F85">
            <v>43510</v>
          </cell>
          <cell r="G85" t="str">
            <v>OK</v>
          </cell>
        </row>
        <row r="86">
          <cell r="A86" t="str">
            <v>Y1902-0179</v>
          </cell>
          <cell r="B86">
            <v>201810</v>
          </cell>
          <cell r="C86" t="str">
            <v>0100175221</v>
          </cell>
          <cell r="D86" t="str">
            <v>155065C</v>
          </cell>
          <cell r="E86">
            <v>960</v>
          </cell>
          <cell r="F86">
            <v>43510</v>
          </cell>
          <cell r="G86" t="str">
            <v>12/20</v>
          </cell>
        </row>
        <row r="87">
          <cell r="A87" t="str">
            <v>Y1902-0180</v>
          </cell>
          <cell r="B87">
            <v>201810</v>
          </cell>
          <cell r="C87" t="str">
            <v>0100175222</v>
          </cell>
          <cell r="D87" t="str">
            <v>155064C</v>
          </cell>
          <cell r="E87">
            <v>552</v>
          </cell>
          <cell r="F87">
            <v>43510</v>
          </cell>
          <cell r="G87" t="str">
            <v>OK</v>
          </cell>
        </row>
        <row r="88">
          <cell r="A88" t="str">
            <v>Y1902-0181</v>
          </cell>
          <cell r="B88">
            <v>201810</v>
          </cell>
          <cell r="C88" t="str">
            <v>0100175223</v>
          </cell>
          <cell r="D88" t="str">
            <v>155065C</v>
          </cell>
          <cell r="E88">
            <v>2328</v>
          </cell>
          <cell r="F88">
            <v>43510</v>
          </cell>
          <cell r="G88" t="str">
            <v>12/20</v>
          </cell>
        </row>
        <row r="89">
          <cell r="A89" t="str">
            <v>Y1902-0182</v>
          </cell>
          <cell r="B89">
            <v>201810</v>
          </cell>
          <cell r="C89" t="str">
            <v>0100175224</v>
          </cell>
          <cell r="D89" t="str">
            <v>155064C</v>
          </cell>
          <cell r="E89">
            <v>1368</v>
          </cell>
          <cell r="F89">
            <v>43510</v>
          </cell>
          <cell r="G89" t="str">
            <v>OK</v>
          </cell>
        </row>
        <row r="90">
          <cell r="A90" t="str">
            <v>Y1902-0183</v>
          </cell>
          <cell r="B90">
            <v>201810</v>
          </cell>
          <cell r="C90" t="str">
            <v>0100175225</v>
          </cell>
          <cell r="D90" t="str">
            <v>764438C</v>
          </cell>
          <cell r="E90">
            <v>408</v>
          </cell>
          <cell r="F90">
            <v>43510</v>
          </cell>
          <cell r="G90" t="str">
            <v>OK</v>
          </cell>
        </row>
        <row r="91">
          <cell r="A91" t="str">
            <v>Y1902-0184</v>
          </cell>
          <cell r="B91">
            <v>201810</v>
          </cell>
          <cell r="C91" t="str">
            <v>0100175226</v>
          </cell>
          <cell r="D91" t="str">
            <v>764439C</v>
          </cell>
          <cell r="E91">
            <v>408</v>
          </cell>
          <cell r="F91">
            <v>43510</v>
          </cell>
          <cell r="G91" t="str">
            <v>OK</v>
          </cell>
        </row>
        <row r="92">
          <cell r="A92" t="str">
            <v>Y1902-0185</v>
          </cell>
          <cell r="B92">
            <v>201810</v>
          </cell>
          <cell r="C92" t="str">
            <v>0100175227</v>
          </cell>
          <cell r="D92" t="str">
            <v>M7650C</v>
          </cell>
          <cell r="E92">
            <v>384</v>
          </cell>
          <cell r="F92">
            <v>43510</v>
          </cell>
          <cell r="G92" t="str">
            <v>OK</v>
          </cell>
        </row>
        <row r="93">
          <cell r="A93" t="str">
            <v>Y1902-0186</v>
          </cell>
          <cell r="B93">
            <v>201810</v>
          </cell>
          <cell r="C93" t="str">
            <v>0100175228</v>
          </cell>
          <cell r="D93" t="str">
            <v>160359C</v>
          </cell>
          <cell r="E93">
            <v>1860</v>
          </cell>
          <cell r="F93">
            <v>43510</v>
          </cell>
          <cell r="G93" t="str">
            <v>OK</v>
          </cell>
        </row>
        <row r="94">
          <cell r="A94" t="str">
            <v>Y1902-0188</v>
          </cell>
          <cell r="B94">
            <v>201810</v>
          </cell>
          <cell r="C94" t="str">
            <v>0100175230</v>
          </cell>
          <cell r="D94" t="str">
            <v>M7652C</v>
          </cell>
          <cell r="E94">
            <v>420</v>
          </cell>
          <cell r="F94">
            <v>43510</v>
          </cell>
          <cell r="G94" t="str">
            <v>OK</v>
          </cell>
        </row>
        <row r="95">
          <cell r="A95" t="str">
            <v>Y1902-0189</v>
          </cell>
          <cell r="B95">
            <v>201810</v>
          </cell>
          <cell r="C95" t="str">
            <v>0100175231</v>
          </cell>
          <cell r="D95" t="str">
            <v>162884C</v>
          </cell>
          <cell r="E95">
            <v>804</v>
          </cell>
          <cell r="F95">
            <v>43510</v>
          </cell>
          <cell r="G95" t="str">
            <v>OK</v>
          </cell>
        </row>
        <row r="96">
          <cell r="A96" t="str">
            <v>Y1902-0190</v>
          </cell>
          <cell r="B96">
            <v>201810</v>
          </cell>
          <cell r="C96" t="str">
            <v>0100175232</v>
          </cell>
          <cell r="D96" t="str">
            <v>162884C</v>
          </cell>
          <cell r="E96">
            <v>1104</v>
          </cell>
          <cell r="F96">
            <v>43510</v>
          </cell>
          <cell r="G96" t="str">
            <v>OK</v>
          </cell>
        </row>
        <row r="97">
          <cell r="A97" t="str">
            <v>Y1902-0191</v>
          </cell>
          <cell r="B97">
            <v>201810</v>
          </cell>
          <cell r="C97" t="str">
            <v>0100175233</v>
          </cell>
          <cell r="D97" t="str">
            <v>160359C</v>
          </cell>
          <cell r="E97">
            <v>1140</v>
          </cell>
          <cell r="F97">
            <v>43510</v>
          </cell>
          <cell r="G97" t="str">
            <v>OK</v>
          </cell>
        </row>
        <row r="98">
          <cell r="A98" t="str">
            <v>Y1902-0192</v>
          </cell>
          <cell r="B98">
            <v>201810</v>
          </cell>
          <cell r="C98" t="str">
            <v>0100175234</v>
          </cell>
          <cell r="D98" t="str">
            <v>7J253C</v>
          </cell>
          <cell r="E98">
            <v>432</v>
          </cell>
          <cell r="F98">
            <v>43510</v>
          </cell>
          <cell r="G98" t="str">
            <v>OK</v>
          </cell>
        </row>
        <row r="99">
          <cell r="A99" t="str">
            <v>Y1902-0193</v>
          </cell>
          <cell r="B99">
            <v>201810</v>
          </cell>
          <cell r="C99" t="str">
            <v>0100175235</v>
          </cell>
          <cell r="D99" t="str">
            <v>7J256C</v>
          </cell>
          <cell r="E99">
            <v>1188</v>
          </cell>
          <cell r="F99">
            <v>43510</v>
          </cell>
          <cell r="G99" t="str">
            <v>OK</v>
          </cell>
        </row>
        <row r="100">
          <cell r="A100" t="str">
            <v>Y1902-0194</v>
          </cell>
          <cell r="B100">
            <v>201810</v>
          </cell>
          <cell r="C100" t="str">
            <v>0100175236</v>
          </cell>
          <cell r="D100" t="str">
            <v>3J256C</v>
          </cell>
          <cell r="E100">
            <v>528</v>
          </cell>
          <cell r="F100">
            <v>43510</v>
          </cell>
          <cell r="G100" t="str">
            <v>OK</v>
          </cell>
        </row>
        <row r="101">
          <cell r="A101" t="str">
            <v>Y1902-0195</v>
          </cell>
          <cell r="B101">
            <v>201810</v>
          </cell>
          <cell r="C101" t="str">
            <v>0100175237</v>
          </cell>
          <cell r="D101" t="str">
            <v>764862C</v>
          </cell>
          <cell r="E101">
            <v>600</v>
          </cell>
          <cell r="F101">
            <v>43510</v>
          </cell>
          <cell r="G101" t="str">
            <v>OK</v>
          </cell>
        </row>
        <row r="102">
          <cell r="A102" t="str">
            <v>Y1902-0196</v>
          </cell>
          <cell r="B102">
            <v>201810</v>
          </cell>
          <cell r="C102" t="str">
            <v>0100175238</v>
          </cell>
          <cell r="D102" t="str">
            <v>664860C</v>
          </cell>
          <cell r="E102">
            <v>384</v>
          </cell>
          <cell r="F102">
            <v>43510</v>
          </cell>
          <cell r="G102" t="str">
            <v>OK</v>
          </cell>
        </row>
        <row r="103">
          <cell r="A103" t="str">
            <v>Y1902-0198</v>
          </cell>
          <cell r="B103">
            <v>201810</v>
          </cell>
          <cell r="C103" t="str">
            <v>0100175240</v>
          </cell>
          <cell r="D103" t="str">
            <v>3J253C</v>
          </cell>
          <cell r="E103">
            <v>348</v>
          </cell>
          <cell r="F103">
            <v>43510</v>
          </cell>
          <cell r="G103" t="str">
            <v>OK</v>
          </cell>
        </row>
        <row r="104">
          <cell r="A104" t="str">
            <v>Y1902-0199</v>
          </cell>
          <cell r="B104">
            <v>201810</v>
          </cell>
          <cell r="C104" t="str">
            <v>0100175241</v>
          </cell>
          <cell r="D104" t="str">
            <v>3J256C</v>
          </cell>
          <cell r="E104">
            <v>996</v>
          </cell>
          <cell r="F104">
            <v>43510</v>
          </cell>
          <cell r="G104" t="str">
            <v>OK</v>
          </cell>
        </row>
        <row r="105">
          <cell r="A105" t="str">
            <v>Y1902-0200</v>
          </cell>
          <cell r="B105">
            <v>201810</v>
          </cell>
          <cell r="C105" t="str">
            <v>0100175242</v>
          </cell>
          <cell r="D105" t="str">
            <v>159484C</v>
          </cell>
          <cell r="E105">
            <v>204</v>
          </cell>
          <cell r="F105">
            <v>43507</v>
          </cell>
          <cell r="G105" t="str">
            <v>OK</v>
          </cell>
        </row>
        <row r="106">
          <cell r="A106" t="str">
            <v>Y1902-0201</v>
          </cell>
          <cell r="B106">
            <v>201810</v>
          </cell>
          <cell r="C106" t="str">
            <v>0100175244</v>
          </cell>
          <cell r="D106" t="str">
            <v>M7652C</v>
          </cell>
          <cell r="E106">
            <v>3300</v>
          </cell>
          <cell r="F106">
            <v>43510</v>
          </cell>
          <cell r="G106" t="str">
            <v>OK</v>
          </cell>
        </row>
        <row r="107">
          <cell r="A107" t="str">
            <v>Y1902-0202</v>
          </cell>
          <cell r="B107">
            <v>201810</v>
          </cell>
          <cell r="C107" t="str">
            <v>0100175245</v>
          </cell>
          <cell r="D107" t="str">
            <v>M7652C</v>
          </cell>
          <cell r="E107">
            <v>3024</v>
          </cell>
          <cell r="F107">
            <v>43524</v>
          </cell>
          <cell r="G107" t="str">
            <v>OK</v>
          </cell>
        </row>
        <row r="108">
          <cell r="A108" t="str">
            <v>Y1902-0203</v>
          </cell>
          <cell r="B108">
            <v>201810</v>
          </cell>
          <cell r="C108" t="str">
            <v>0100175247</v>
          </cell>
          <cell r="D108" t="str">
            <v>M7650C</v>
          </cell>
          <cell r="E108">
            <v>1452</v>
          </cell>
          <cell r="F108">
            <v>43510</v>
          </cell>
          <cell r="G108" t="str">
            <v>OK</v>
          </cell>
        </row>
        <row r="109">
          <cell r="A109" t="str">
            <v>Y1902-0204</v>
          </cell>
          <cell r="B109">
            <v>201810</v>
          </cell>
          <cell r="C109" t="str">
            <v>0100175248</v>
          </cell>
          <cell r="D109" t="str">
            <v>M7650C</v>
          </cell>
          <cell r="E109">
            <v>1092</v>
          </cell>
          <cell r="F109">
            <v>43524</v>
          </cell>
          <cell r="G109" t="str">
            <v>OK</v>
          </cell>
        </row>
        <row r="110">
          <cell r="A110" t="str">
            <v>Y1902-0205</v>
          </cell>
          <cell r="B110">
            <v>201810</v>
          </cell>
          <cell r="C110" t="str">
            <v>0100175249</v>
          </cell>
          <cell r="D110" t="str">
            <v>M7652C</v>
          </cell>
          <cell r="E110">
            <v>732</v>
          </cell>
          <cell r="F110">
            <v>43510</v>
          </cell>
          <cell r="G110" t="str">
            <v>OK</v>
          </cell>
        </row>
        <row r="111">
          <cell r="A111" t="str">
            <v>Y1902-0206</v>
          </cell>
          <cell r="B111">
            <v>201810</v>
          </cell>
          <cell r="C111" t="str">
            <v>0100175250</v>
          </cell>
          <cell r="D111" t="str">
            <v>M9697C</v>
          </cell>
          <cell r="E111">
            <v>468</v>
          </cell>
          <cell r="F111">
            <v>43510</v>
          </cell>
          <cell r="G111" t="str">
            <v>OK</v>
          </cell>
        </row>
        <row r="112">
          <cell r="A112" t="str">
            <v>Y1902-0207</v>
          </cell>
          <cell r="B112">
            <v>201810</v>
          </cell>
          <cell r="C112" t="str">
            <v>0100175251</v>
          </cell>
          <cell r="D112" t="str">
            <v>3J256C</v>
          </cell>
          <cell r="E112">
            <v>468</v>
          </cell>
          <cell r="F112">
            <v>43510</v>
          </cell>
          <cell r="G112" t="str">
            <v>OK</v>
          </cell>
        </row>
        <row r="113">
          <cell r="A113" t="str">
            <v>Y1902-0208</v>
          </cell>
          <cell r="B113">
            <v>201810</v>
          </cell>
          <cell r="C113" t="str">
            <v>0100175253</v>
          </cell>
          <cell r="D113" t="str">
            <v>M9697C</v>
          </cell>
          <cell r="E113">
            <v>456</v>
          </cell>
          <cell r="F113">
            <v>43510</v>
          </cell>
          <cell r="G113" t="str">
            <v>OK</v>
          </cell>
        </row>
        <row r="114">
          <cell r="A114" t="str">
            <v>Y1902-0209</v>
          </cell>
          <cell r="B114">
            <v>201810</v>
          </cell>
          <cell r="C114" t="str">
            <v>0100175254</v>
          </cell>
          <cell r="D114" t="str">
            <v>M7650C</v>
          </cell>
          <cell r="E114">
            <v>432</v>
          </cell>
          <cell r="F114">
            <v>43510</v>
          </cell>
          <cell r="G114" t="str">
            <v>OK</v>
          </cell>
        </row>
        <row r="115">
          <cell r="A115" t="str">
            <v>Y1902-0210</v>
          </cell>
          <cell r="B115">
            <v>201810</v>
          </cell>
          <cell r="C115" t="str">
            <v>0100175255</v>
          </cell>
          <cell r="D115" t="str">
            <v>M9697C</v>
          </cell>
          <cell r="E115">
            <v>420</v>
          </cell>
          <cell r="F115">
            <v>43524</v>
          </cell>
          <cell r="G115" t="str">
            <v>OK</v>
          </cell>
        </row>
        <row r="116">
          <cell r="A116" t="str">
            <v>Y1902-0211</v>
          </cell>
          <cell r="B116">
            <v>201810</v>
          </cell>
          <cell r="C116" t="str">
            <v>0100175256</v>
          </cell>
          <cell r="D116" t="str">
            <v>M7652C</v>
          </cell>
          <cell r="E116">
            <v>276</v>
          </cell>
          <cell r="F116">
            <v>43524</v>
          </cell>
          <cell r="G116" t="str">
            <v>OK</v>
          </cell>
        </row>
        <row r="117">
          <cell r="A117" t="str">
            <v>Y1902-0213</v>
          </cell>
          <cell r="B117">
            <v>201810</v>
          </cell>
          <cell r="C117" t="str">
            <v>0100175259</v>
          </cell>
          <cell r="D117" t="str">
            <v>144148C</v>
          </cell>
          <cell r="E117">
            <v>672</v>
          </cell>
          <cell r="F117">
            <v>43510</v>
          </cell>
          <cell r="G117" t="str">
            <v>OK</v>
          </cell>
        </row>
        <row r="118">
          <cell r="A118" t="str">
            <v>Y1902-0214</v>
          </cell>
          <cell r="B118">
            <v>201810</v>
          </cell>
          <cell r="C118" t="str">
            <v>0100175260</v>
          </cell>
          <cell r="D118" t="str">
            <v>144150C</v>
          </cell>
          <cell r="E118">
            <v>672</v>
          </cell>
          <cell r="F118">
            <v>43510</v>
          </cell>
          <cell r="G118" t="str">
            <v>OK</v>
          </cell>
        </row>
        <row r="119">
          <cell r="A119" t="str">
            <v>Y1902-0215</v>
          </cell>
          <cell r="B119">
            <v>201810</v>
          </cell>
          <cell r="C119" t="str">
            <v>0100175261</v>
          </cell>
          <cell r="D119" t="str">
            <v>144151C</v>
          </cell>
          <cell r="E119">
            <v>672</v>
          </cell>
          <cell r="F119">
            <v>43510</v>
          </cell>
          <cell r="G119" t="str">
            <v>OK</v>
          </cell>
        </row>
        <row r="120">
          <cell r="A120" t="str">
            <v>Y1902-0216</v>
          </cell>
          <cell r="B120">
            <v>201810</v>
          </cell>
          <cell r="C120" t="str">
            <v>0100175262</v>
          </cell>
          <cell r="D120" t="str">
            <v>144151C</v>
          </cell>
          <cell r="E120">
            <v>396</v>
          </cell>
          <cell r="F120">
            <v>43510</v>
          </cell>
          <cell r="G120" t="str">
            <v>OK</v>
          </cell>
        </row>
        <row r="121">
          <cell r="A121" t="str">
            <v>Y1902-0217</v>
          </cell>
          <cell r="B121">
            <v>201810</v>
          </cell>
          <cell r="C121" t="str">
            <v>0100175263</v>
          </cell>
          <cell r="D121" t="str">
            <v>M7652C</v>
          </cell>
          <cell r="E121">
            <v>420</v>
          </cell>
          <cell r="F121">
            <v>43510</v>
          </cell>
          <cell r="G121" t="str">
            <v>OK</v>
          </cell>
        </row>
        <row r="122">
          <cell r="A122" t="str">
            <v>Y1902-0218</v>
          </cell>
          <cell r="B122">
            <v>201810</v>
          </cell>
          <cell r="C122" t="str">
            <v>0100175264</v>
          </cell>
          <cell r="D122" t="str">
            <v>3J253C</v>
          </cell>
          <cell r="E122">
            <v>1008</v>
          </cell>
          <cell r="F122">
            <v>43518</v>
          </cell>
          <cell r="G122" t="str">
            <v>OK</v>
          </cell>
        </row>
        <row r="123">
          <cell r="A123" t="str">
            <v>Y1902-0219</v>
          </cell>
          <cell r="B123">
            <v>201810</v>
          </cell>
          <cell r="C123" t="str">
            <v>0100175265</v>
          </cell>
          <cell r="D123" t="str">
            <v>7J253C</v>
          </cell>
          <cell r="E123">
            <v>1008</v>
          </cell>
          <cell r="F123">
            <v>43518</v>
          </cell>
          <cell r="G123" t="str">
            <v>OK</v>
          </cell>
        </row>
        <row r="124">
          <cell r="A124" t="str">
            <v>Y1902-0220</v>
          </cell>
          <cell r="B124">
            <v>201810</v>
          </cell>
          <cell r="C124" t="str">
            <v>0100175266</v>
          </cell>
          <cell r="D124" t="str">
            <v>7J256C</v>
          </cell>
          <cell r="E124">
            <v>4104</v>
          </cell>
          <cell r="F124">
            <v>43518</v>
          </cell>
          <cell r="G124" t="str">
            <v>OK</v>
          </cell>
        </row>
        <row r="125">
          <cell r="A125" t="str">
            <v>Y1902-0221</v>
          </cell>
          <cell r="B125">
            <v>201810</v>
          </cell>
          <cell r="C125" t="str">
            <v>0100175267</v>
          </cell>
          <cell r="D125" t="str">
            <v>3J256C</v>
          </cell>
          <cell r="E125">
            <v>1008</v>
          </cell>
          <cell r="F125">
            <v>43518</v>
          </cell>
          <cell r="G125" t="str">
            <v>OK</v>
          </cell>
        </row>
        <row r="126">
          <cell r="A126" t="str">
            <v>Y1902-0222</v>
          </cell>
          <cell r="B126">
            <v>201810</v>
          </cell>
          <cell r="C126" t="str">
            <v>0100175268</v>
          </cell>
          <cell r="D126" t="str">
            <v>M7652C</v>
          </cell>
          <cell r="E126">
            <v>1008</v>
          </cell>
          <cell r="F126">
            <v>43509</v>
          </cell>
          <cell r="G126" t="str">
            <v>OK</v>
          </cell>
        </row>
        <row r="127">
          <cell r="A127" t="str">
            <v>Y1902-0223</v>
          </cell>
          <cell r="B127">
            <v>201810</v>
          </cell>
          <cell r="C127" t="str">
            <v>0100175269</v>
          </cell>
          <cell r="D127" t="str">
            <v>M7652C</v>
          </cell>
          <cell r="E127">
            <v>444</v>
          </cell>
          <cell r="F127">
            <v>43510</v>
          </cell>
          <cell r="G127" t="str">
            <v>OK</v>
          </cell>
        </row>
        <row r="128">
          <cell r="A128" t="str">
            <v>Y1902-0224</v>
          </cell>
          <cell r="B128">
            <v>201810</v>
          </cell>
          <cell r="C128" t="str">
            <v>0100175270</v>
          </cell>
          <cell r="D128" t="str">
            <v>M7652C</v>
          </cell>
          <cell r="E128">
            <v>444</v>
          </cell>
          <cell r="F128">
            <v>43510</v>
          </cell>
          <cell r="G128" t="str">
            <v>OK</v>
          </cell>
        </row>
        <row r="129">
          <cell r="A129" t="str">
            <v>Y1902-0225</v>
          </cell>
          <cell r="B129">
            <v>201810</v>
          </cell>
          <cell r="C129" t="str">
            <v>0100175271</v>
          </cell>
          <cell r="D129" t="str">
            <v>M7652C</v>
          </cell>
          <cell r="E129">
            <v>444</v>
          </cell>
          <cell r="F129">
            <v>43510</v>
          </cell>
          <cell r="G129" t="str">
            <v>OK</v>
          </cell>
        </row>
        <row r="130">
          <cell r="A130" t="str">
            <v>Y1902-0226</v>
          </cell>
          <cell r="B130">
            <v>201810</v>
          </cell>
          <cell r="C130" t="str">
            <v>0100175272</v>
          </cell>
          <cell r="D130" t="str">
            <v>3J256C</v>
          </cell>
          <cell r="E130">
            <v>600</v>
          </cell>
          <cell r="F130">
            <v>43510</v>
          </cell>
          <cell r="G130" t="str">
            <v>OK</v>
          </cell>
        </row>
        <row r="131">
          <cell r="A131" t="str">
            <v>Y1902-0227</v>
          </cell>
          <cell r="B131">
            <v>201810</v>
          </cell>
          <cell r="C131" t="str">
            <v>0100175273</v>
          </cell>
          <cell r="D131" t="str">
            <v>M7652C</v>
          </cell>
          <cell r="E131">
            <v>600</v>
          </cell>
          <cell r="F131">
            <v>43510</v>
          </cell>
          <cell r="G131" t="str">
            <v>OK</v>
          </cell>
        </row>
        <row r="132">
          <cell r="A132" t="str">
            <v>Y1902-0228</v>
          </cell>
          <cell r="B132">
            <v>201810</v>
          </cell>
          <cell r="C132" t="str">
            <v>0100175274</v>
          </cell>
          <cell r="D132" t="str">
            <v>1J794C</v>
          </cell>
          <cell r="E132">
            <v>240</v>
          </cell>
          <cell r="F132">
            <v>43510</v>
          </cell>
          <cell r="G132" t="str">
            <v>OK</v>
          </cell>
        </row>
        <row r="133">
          <cell r="A133" t="str">
            <v>Y1902-0229</v>
          </cell>
          <cell r="B133">
            <v>201810</v>
          </cell>
          <cell r="C133" t="str">
            <v>0100175275</v>
          </cell>
          <cell r="D133" t="str">
            <v>M7650C</v>
          </cell>
          <cell r="E133">
            <v>600</v>
          </cell>
          <cell r="F133">
            <v>43510</v>
          </cell>
          <cell r="G133" t="str">
            <v>OK</v>
          </cell>
        </row>
        <row r="134">
          <cell r="A134" t="str">
            <v>Y1902-0230</v>
          </cell>
          <cell r="B134">
            <v>201810</v>
          </cell>
          <cell r="C134" t="str">
            <v>0100175277</v>
          </cell>
          <cell r="D134" t="str">
            <v>3J256C</v>
          </cell>
          <cell r="E134">
            <v>1272</v>
          </cell>
          <cell r="F134">
            <v>43510</v>
          </cell>
          <cell r="G134" t="str">
            <v>OK</v>
          </cell>
        </row>
        <row r="135">
          <cell r="A135" t="str">
            <v>Y1902-0231</v>
          </cell>
          <cell r="B135">
            <v>201810</v>
          </cell>
          <cell r="C135" t="str">
            <v>0100175278</v>
          </cell>
          <cell r="D135" t="str">
            <v>7J256C</v>
          </cell>
          <cell r="E135">
            <v>720</v>
          </cell>
          <cell r="F135">
            <v>43510</v>
          </cell>
          <cell r="G135" t="str">
            <v>OK</v>
          </cell>
        </row>
        <row r="136">
          <cell r="A136" t="str">
            <v>Y1902-0232</v>
          </cell>
          <cell r="B136">
            <v>201810</v>
          </cell>
          <cell r="C136" t="str">
            <v>0100175279</v>
          </cell>
          <cell r="D136" t="str">
            <v>M7652C</v>
          </cell>
          <cell r="E136">
            <v>720</v>
          </cell>
          <cell r="F136">
            <v>43510</v>
          </cell>
          <cell r="G136" t="str">
            <v>OK</v>
          </cell>
        </row>
        <row r="137">
          <cell r="A137" t="str">
            <v>Y1902-0233</v>
          </cell>
          <cell r="B137">
            <v>201810</v>
          </cell>
          <cell r="C137" t="str">
            <v>0100175280</v>
          </cell>
          <cell r="D137" t="str">
            <v>3J253C</v>
          </cell>
          <cell r="E137">
            <v>924</v>
          </cell>
          <cell r="F137">
            <v>43510</v>
          </cell>
          <cell r="G137" t="str">
            <v>OK</v>
          </cell>
        </row>
        <row r="138">
          <cell r="A138" t="str">
            <v>Y1902-0234</v>
          </cell>
          <cell r="B138">
            <v>201810</v>
          </cell>
          <cell r="C138" t="str">
            <v>0100175281</v>
          </cell>
          <cell r="D138" t="str">
            <v>636930C</v>
          </cell>
          <cell r="E138">
            <v>816</v>
          </cell>
          <cell r="F138">
            <v>43510</v>
          </cell>
          <cell r="G138" t="str">
            <v>OK</v>
          </cell>
        </row>
        <row r="139">
          <cell r="A139" t="str">
            <v>Y1902-0235</v>
          </cell>
          <cell r="B139">
            <v>201810</v>
          </cell>
          <cell r="C139" t="str">
            <v>0100175282</v>
          </cell>
          <cell r="D139" t="str">
            <v>7J253C</v>
          </cell>
          <cell r="E139">
            <v>792</v>
          </cell>
          <cell r="F139">
            <v>43510</v>
          </cell>
          <cell r="G139" t="str">
            <v>OK</v>
          </cell>
        </row>
        <row r="140">
          <cell r="A140" t="str">
            <v>Y1902-0236</v>
          </cell>
          <cell r="B140">
            <v>201810</v>
          </cell>
          <cell r="C140" t="str">
            <v>0100175283</v>
          </cell>
          <cell r="D140" t="str">
            <v>7J234C</v>
          </cell>
          <cell r="E140">
            <v>300</v>
          </cell>
          <cell r="F140">
            <v>43510</v>
          </cell>
          <cell r="G140" t="str">
            <v>OK</v>
          </cell>
        </row>
        <row r="141">
          <cell r="A141" t="str">
            <v>Y1902-0237</v>
          </cell>
          <cell r="B141">
            <v>201810</v>
          </cell>
          <cell r="C141" t="str">
            <v>0100175284</v>
          </cell>
          <cell r="D141" t="str">
            <v>7J256C</v>
          </cell>
          <cell r="E141">
            <v>300</v>
          </cell>
          <cell r="F141">
            <v>43510</v>
          </cell>
          <cell r="G141" t="str">
            <v>OK</v>
          </cell>
        </row>
        <row r="142">
          <cell r="A142" t="str">
            <v>Y1902-0238</v>
          </cell>
          <cell r="B142">
            <v>201810</v>
          </cell>
          <cell r="C142" t="str">
            <v>0100175285</v>
          </cell>
          <cell r="D142" t="str">
            <v>M7652C</v>
          </cell>
          <cell r="E142">
            <v>2760</v>
          </cell>
          <cell r="F142">
            <v>43510</v>
          </cell>
          <cell r="G142" t="str">
            <v>OK</v>
          </cell>
        </row>
        <row r="143">
          <cell r="A143" t="str">
            <v>Y1902-0239</v>
          </cell>
          <cell r="B143">
            <v>201810</v>
          </cell>
          <cell r="C143" t="str">
            <v>0100175286</v>
          </cell>
          <cell r="D143" t="str">
            <v>3J253C</v>
          </cell>
          <cell r="E143">
            <v>264</v>
          </cell>
          <cell r="F143">
            <v>43510</v>
          </cell>
          <cell r="G143" t="str">
            <v>OK</v>
          </cell>
        </row>
        <row r="144">
          <cell r="A144" t="str">
            <v>Y1902-0240</v>
          </cell>
          <cell r="B144">
            <v>201810</v>
          </cell>
          <cell r="C144" t="str">
            <v>0100175287</v>
          </cell>
          <cell r="D144" t="str">
            <v>664860C</v>
          </cell>
          <cell r="E144">
            <v>240</v>
          </cell>
          <cell r="F144">
            <v>43510</v>
          </cell>
          <cell r="G144" t="str">
            <v>OK</v>
          </cell>
        </row>
        <row r="145">
          <cell r="A145" t="str">
            <v>Y1902-0242</v>
          </cell>
          <cell r="B145">
            <v>201810</v>
          </cell>
          <cell r="C145" t="str">
            <v>0100175332</v>
          </cell>
          <cell r="D145" t="str">
            <v>158369C</v>
          </cell>
          <cell r="E145">
            <v>492</v>
          </cell>
          <cell r="F145">
            <v>43511</v>
          </cell>
          <cell r="G145" t="str">
            <v>OK</v>
          </cell>
        </row>
        <row r="146">
          <cell r="A146" t="str">
            <v>Y1902-0243</v>
          </cell>
          <cell r="B146">
            <v>201810</v>
          </cell>
          <cell r="C146" t="str">
            <v>0100175333</v>
          </cell>
          <cell r="D146" t="str">
            <v>M7650C</v>
          </cell>
          <cell r="E146">
            <v>2520</v>
          </cell>
          <cell r="F146">
            <v>43511</v>
          </cell>
          <cell r="G146" t="str">
            <v>OK</v>
          </cell>
        </row>
        <row r="147">
          <cell r="A147" t="str">
            <v>Y1902-0244</v>
          </cell>
          <cell r="B147">
            <v>201810</v>
          </cell>
          <cell r="C147" t="str">
            <v>0100175334</v>
          </cell>
          <cell r="D147" t="str">
            <v>M7652C</v>
          </cell>
          <cell r="E147">
            <v>16632</v>
          </cell>
          <cell r="F147">
            <v>43511</v>
          </cell>
          <cell r="G147" t="str">
            <v>OK</v>
          </cell>
        </row>
        <row r="148">
          <cell r="A148" t="str">
            <v>Y1902-0245</v>
          </cell>
          <cell r="B148">
            <v>201810</v>
          </cell>
          <cell r="C148" t="str">
            <v>0100175335</v>
          </cell>
          <cell r="D148" t="str">
            <v>164525C</v>
          </cell>
          <cell r="E148">
            <v>768</v>
          </cell>
          <cell r="F148">
            <v>43511</v>
          </cell>
          <cell r="G148" t="str">
            <v>12/24</v>
          </cell>
        </row>
        <row r="149">
          <cell r="A149" t="str">
            <v>Y1902-0246</v>
          </cell>
          <cell r="B149">
            <v>201810</v>
          </cell>
          <cell r="C149" t="str">
            <v>0100175336</v>
          </cell>
          <cell r="D149" t="str">
            <v>564151C</v>
          </cell>
          <cell r="E149">
            <v>1476</v>
          </cell>
          <cell r="F149">
            <v>43511</v>
          </cell>
          <cell r="G149" t="str">
            <v>12/24</v>
          </cell>
        </row>
        <row r="150">
          <cell r="A150" t="str">
            <v>Y1902-0247</v>
          </cell>
          <cell r="B150">
            <v>201810</v>
          </cell>
          <cell r="C150" t="str">
            <v>0100175337</v>
          </cell>
          <cell r="D150" t="str">
            <v>564152C</v>
          </cell>
          <cell r="E150">
            <v>804</v>
          </cell>
          <cell r="F150">
            <v>43511</v>
          </cell>
          <cell r="G150" t="str">
            <v>12/24</v>
          </cell>
        </row>
        <row r="151">
          <cell r="A151" t="str">
            <v>Y1902-0248</v>
          </cell>
          <cell r="B151">
            <v>201810</v>
          </cell>
          <cell r="C151" t="str">
            <v>0100175338</v>
          </cell>
          <cell r="D151" t="str">
            <v>564153C</v>
          </cell>
          <cell r="E151">
            <v>804</v>
          </cell>
          <cell r="F151">
            <v>43511</v>
          </cell>
          <cell r="G151" t="str">
            <v>12/24</v>
          </cell>
        </row>
        <row r="152">
          <cell r="A152" t="str">
            <v>Y1902-0249</v>
          </cell>
          <cell r="B152">
            <v>201810</v>
          </cell>
          <cell r="C152" t="str">
            <v>0100175339</v>
          </cell>
          <cell r="D152" t="str">
            <v>564154C</v>
          </cell>
          <cell r="E152">
            <v>1344</v>
          </cell>
          <cell r="F152">
            <v>43511</v>
          </cell>
          <cell r="G152" t="str">
            <v>12/24</v>
          </cell>
        </row>
        <row r="153">
          <cell r="A153" t="str">
            <v>Y1902-0250</v>
          </cell>
          <cell r="B153">
            <v>201810</v>
          </cell>
          <cell r="C153" t="str">
            <v>0100175340</v>
          </cell>
          <cell r="D153" t="str">
            <v>564204C</v>
          </cell>
          <cell r="E153">
            <v>756</v>
          </cell>
          <cell r="F153">
            <v>43511</v>
          </cell>
          <cell r="G153" t="str">
            <v>12/25</v>
          </cell>
        </row>
        <row r="154">
          <cell r="A154" t="str">
            <v>Y1902-0251</v>
          </cell>
          <cell r="B154">
            <v>201810</v>
          </cell>
          <cell r="C154" t="str">
            <v>0100175341</v>
          </cell>
          <cell r="D154" t="str">
            <v>564205C</v>
          </cell>
          <cell r="E154">
            <v>888</v>
          </cell>
          <cell r="F154">
            <v>43511</v>
          </cell>
          <cell r="G154" t="str">
            <v>12/24</v>
          </cell>
        </row>
        <row r="155">
          <cell r="A155" t="str">
            <v>Y1902-0252</v>
          </cell>
          <cell r="B155">
            <v>201810</v>
          </cell>
          <cell r="C155" t="str">
            <v>0100175342</v>
          </cell>
          <cell r="D155" t="str">
            <v>162066C</v>
          </cell>
          <cell r="E155">
            <v>3036</v>
          </cell>
          <cell r="F155">
            <v>43511</v>
          </cell>
          <cell r="G155" t="str">
            <v>12/24</v>
          </cell>
        </row>
        <row r="156">
          <cell r="A156" t="str">
            <v>Y1902-0253</v>
          </cell>
          <cell r="B156">
            <v>201810</v>
          </cell>
          <cell r="C156" t="str">
            <v>0100175343</v>
          </cell>
          <cell r="D156" t="str">
            <v>162068C</v>
          </cell>
          <cell r="E156">
            <v>1956</v>
          </cell>
          <cell r="F156">
            <v>43511</v>
          </cell>
          <cell r="G156" t="str">
            <v>12/24</v>
          </cell>
        </row>
        <row r="157">
          <cell r="A157" t="str">
            <v>Y1902-0254</v>
          </cell>
          <cell r="B157">
            <v>201810</v>
          </cell>
          <cell r="C157" t="str">
            <v>0100175344</v>
          </cell>
          <cell r="D157" t="str">
            <v>162884C</v>
          </cell>
          <cell r="E157">
            <v>684</v>
          </cell>
          <cell r="F157">
            <v>43511</v>
          </cell>
          <cell r="G157" t="str">
            <v>OK</v>
          </cell>
        </row>
        <row r="158">
          <cell r="A158" t="str">
            <v>Y1902-0255</v>
          </cell>
          <cell r="B158">
            <v>201810</v>
          </cell>
          <cell r="C158" t="str">
            <v>0100175345</v>
          </cell>
          <cell r="D158" t="str">
            <v>564206C</v>
          </cell>
          <cell r="E158">
            <v>816</v>
          </cell>
          <cell r="F158">
            <v>43511</v>
          </cell>
          <cell r="G158" t="str">
            <v>12/24</v>
          </cell>
        </row>
        <row r="159">
          <cell r="A159" t="str">
            <v>Y1902-0256</v>
          </cell>
          <cell r="B159">
            <v>201810</v>
          </cell>
          <cell r="C159" t="str">
            <v>0100175346</v>
          </cell>
          <cell r="D159" t="str">
            <v>164358C</v>
          </cell>
          <cell r="E159">
            <v>624</v>
          </cell>
          <cell r="F159">
            <v>43511</v>
          </cell>
          <cell r="G159" t="str">
            <v>12/24</v>
          </cell>
        </row>
        <row r="160">
          <cell r="A160" t="str">
            <v>Y1902-0257</v>
          </cell>
          <cell r="B160">
            <v>201810</v>
          </cell>
          <cell r="C160" t="str">
            <v>0100175347</v>
          </cell>
          <cell r="D160" t="str">
            <v>164360C</v>
          </cell>
          <cell r="E160">
            <v>912</v>
          </cell>
          <cell r="F160">
            <v>43511</v>
          </cell>
          <cell r="G160" t="str">
            <v>12/24</v>
          </cell>
        </row>
        <row r="161">
          <cell r="A161" t="str">
            <v>Y1902-0258</v>
          </cell>
          <cell r="B161">
            <v>201810</v>
          </cell>
          <cell r="C161" t="str">
            <v>0100175348</v>
          </cell>
          <cell r="D161" t="str">
            <v>164361C</v>
          </cell>
          <cell r="E161">
            <v>1008</v>
          </cell>
          <cell r="F161">
            <v>43511</v>
          </cell>
          <cell r="G161" t="str">
            <v>12/24</v>
          </cell>
        </row>
        <row r="162">
          <cell r="A162" t="str">
            <v>Y1902-0259</v>
          </cell>
          <cell r="B162">
            <v>201810</v>
          </cell>
          <cell r="C162" t="str">
            <v>0100175349</v>
          </cell>
          <cell r="D162" t="str">
            <v>164390C</v>
          </cell>
          <cell r="E162">
            <v>552</v>
          </cell>
          <cell r="F162">
            <v>43511</v>
          </cell>
          <cell r="G162" t="str">
            <v>12/24</v>
          </cell>
        </row>
        <row r="163">
          <cell r="A163" t="str">
            <v>Y1902-0260</v>
          </cell>
          <cell r="B163">
            <v>201810</v>
          </cell>
          <cell r="C163" t="str">
            <v>0100175350</v>
          </cell>
          <cell r="D163" t="str">
            <v>164391C</v>
          </cell>
          <cell r="E163">
            <v>576</v>
          </cell>
          <cell r="F163">
            <v>43511</v>
          </cell>
          <cell r="G163" t="str">
            <v>12/24</v>
          </cell>
        </row>
        <row r="164">
          <cell r="A164" t="str">
            <v>Y1902-0261</v>
          </cell>
          <cell r="B164">
            <v>201810</v>
          </cell>
          <cell r="C164" t="str">
            <v>0100175351</v>
          </cell>
          <cell r="D164" t="str">
            <v>164392C</v>
          </cell>
          <cell r="E164">
            <v>504</v>
          </cell>
          <cell r="F164">
            <v>43511</v>
          </cell>
          <cell r="G164" t="str">
            <v>12/24</v>
          </cell>
        </row>
        <row r="165">
          <cell r="A165" t="str">
            <v>Y1902-0262</v>
          </cell>
          <cell r="B165">
            <v>201810</v>
          </cell>
          <cell r="C165" t="str">
            <v>0100175352</v>
          </cell>
          <cell r="D165" t="str">
            <v>164393C</v>
          </cell>
          <cell r="E165">
            <v>468</v>
          </cell>
          <cell r="F165">
            <v>43511</v>
          </cell>
          <cell r="G165" t="str">
            <v>12/24</v>
          </cell>
        </row>
        <row r="166">
          <cell r="A166" t="str">
            <v>Y1902-0263</v>
          </cell>
          <cell r="B166">
            <v>201810</v>
          </cell>
          <cell r="C166" t="str">
            <v>0100175353</v>
          </cell>
          <cell r="D166" t="str">
            <v>163269C</v>
          </cell>
          <cell r="E166">
            <v>804</v>
          </cell>
          <cell r="F166">
            <v>43511</v>
          </cell>
          <cell r="G166" t="str">
            <v>12/24</v>
          </cell>
        </row>
        <row r="167">
          <cell r="A167" t="str">
            <v>Y1902-0264</v>
          </cell>
          <cell r="B167">
            <v>201810</v>
          </cell>
          <cell r="C167" t="str">
            <v>0100175354</v>
          </cell>
          <cell r="D167" t="str">
            <v>162069C</v>
          </cell>
          <cell r="E167">
            <v>804</v>
          </cell>
          <cell r="F167">
            <v>43511</v>
          </cell>
          <cell r="G167" t="str">
            <v>12/24</v>
          </cell>
        </row>
        <row r="168">
          <cell r="A168" t="str">
            <v>Y1902-0265</v>
          </cell>
          <cell r="B168">
            <v>201810</v>
          </cell>
          <cell r="C168" t="str">
            <v>0100175358</v>
          </cell>
          <cell r="D168" t="str">
            <v>3J256C</v>
          </cell>
          <cell r="E168">
            <v>192</v>
          </cell>
          <cell r="F168">
            <v>43519</v>
          </cell>
          <cell r="G168" t="str">
            <v>OK</v>
          </cell>
        </row>
        <row r="169">
          <cell r="A169" t="str">
            <v>Y1902-0272</v>
          </cell>
          <cell r="B169">
            <v>201810</v>
          </cell>
          <cell r="C169" t="str">
            <v>0100175365</v>
          </cell>
          <cell r="D169" t="str">
            <v>M9166C</v>
          </cell>
          <cell r="E169">
            <v>8460</v>
          </cell>
          <cell r="F169">
            <v>43519</v>
          </cell>
          <cell r="G169" t="str">
            <v>OK</v>
          </cell>
        </row>
        <row r="170">
          <cell r="A170" t="str">
            <v>Y1902-0274</v>
          </cell>
          <cell r="B170">
            <v>201810</v>
          </cell>
          <cell r="C170" t="str">
            <v>0100175367</v>
          </cell>
          <cell r="D170" t="str">
            <v>761307C</v>
          </cell>
          <cell r="E170">
            <v>396</v>
          </cell>
          <cell r="F170">
            <v>43519</v>
          </cell>
          <cell r="G170" t="str">
            <v>OK</v>
          </cell>
        </row>
        <row r="171">
          <cell r="A171" t="str">
            <v>Y1902-0275</v>
          </cell>
          <cell r="B171">
            <v>201810</v>
          </cell>
          <cell r="C171" t="str">
            <v>0100175368</v>
          </cell>
          <cell r="D171" t="str">
            <v>161577C</v>
          </cell>
          <cell r="E171">
            <v>396</v>
          </cell>
          <cell r="F171">
            <v>43519</v>
          </cell>
          <cell r="G171" t="str">
            <v>OK</v>
          </cell>
        </row>
        <row r="172">
          <cell r="A172" t="str">
            <v>Y1902-0276</v>
          </cell>
          <cell r="B172">
            <v>201810</v>
          </cell>
          <cell r="C172" t="str">
            <v>0100175369</v>
          </cell>
          <cell r="D172" t="str">
            <v>7J256C</v>
          </cell>
          <cell r="E172">
            <v>120</v>
          </cell>
          <cell r="F172">
            <v>43519</v>
          </cell>
          <cell r="G172" t="str">
            <v>OK</v>
          </cell>
        </row>
        <row r="173">
          <cell r="A173" t="str">
            <v>Y1902-0277</v>
          </cell>
          <cell r="B173">
            <v>201810</v>
          </cell>
          <cell r="C173" t="str">
            <v>0100175370</v>
          </cell>
          <cell r="D173" t="str">
            <v>M3310C</v>
          </cell>
          <cell r="E173">
            <v>504</v>
          </cell>
          <cell r="F173">
            <v>43519</v>
          </cell>
          <cell r="G173" t="str">
            <v>OK</v>
          </cell>
        </row>
        <row r="174">
          <cell r="A174" t="str">
            <v>Y1902-0278</v>
          </cell>
          <cell r="B174">
            <v>201810</v>
          </cell>
          <cell r="C174" t="str">
            <v>0100175371</v>
          </cell>
          <cell r="D174" t="str">
            <v>761308C</v>
          </cell>
          <cell r="E174">
            <v>396</v>
          </cell>
          <cell r="F174">
            <v>43519</v>
          </cell>
          <cell r="G174" t="str">
            <v>OK</v>
          </cell>
        </row>
        <row r="175">
          <cell r="A175" t="str">
            <v>Y1902-0279</v>
          </cell>
          <cell r="B175">
            <v>201810</v>
          </cell>
          <cell r="C175" t="str">
            <v>0100175372</v>
          </cell>
          <cell r="D175" t="str">
            <v>361307C</v>
          </cell>
          <cell r="E175">
            <v>468</v>
          </cell>
          <cell r="F175">
            <v>43519</v>
          </cell>
          <cell r="G175" t="str">
            <v>OK</v>
          </cell>
        </row>
        <row r="176">
          <cell r="A176" t="str">
            <v>Y1902-0280</v>
          </cell>
          <cell r="B176">
            <v>201810</v>
          </cell>
          <cell r="C176" t="str">
            <v>0100175373</v>
          </cell>
          <cell r="D176" t="str">
            <v>361308C</v>
          </cell>
          <cell r="E176">
            <v>432</v>
          </cell>
          <cell r="F176">
            <v>43519</v>
          </cell>
          <cell r="G176" t="str">
            <v>OK</v>
          </cell>
        </row>
        <row r="177">
          <cell r="A177" t="str">
            <v>Y1902-0281</v>
          </cell>
          <cell r="B177">
            <v>201810</v>
          </cell>
          <cell r="C177" t="str">
            <v>0100175374</v>
          </cell>
          <cell r="D177" t="str">
            <v>M5039C</v>
          </cell>
          <cell r="E177">
            <v>1884</v>
          </cell>
          <cell r="F177">
            <v>43519</v>
          </cell>
          <cell r="G177" t="str">
            <v>OK</v>
          </cell>
        </row>
        <row r="178">
          <cell r="A178" t="str">
            <v>Y1902-0282</v>
          </cell>
          <cell r="B178">
            <v>201810</v>
          </cell>
          <cell r="C178" t="str">
            <v>0100175375</v>
          </cell>
          <cell r="D178" t="str">
            <v>564152C</v>
          </cell>
          <cell r="E178">
            <v>276</v>
          </cell>
          <cell r="F178">
            <v>43519</v>
          </cell>
          <cell r="G178" t="str">
            <v>OK</v>
          </cell>
        </row>
        <row r="179">
          <cell r="A179" t="str">
            <v>Y1902-0283</v>
          </cell>
          <cell r="B179">
            <v>201810</v>
          </cell>
          <cell r="C179" t="str">
            <v>0100175376</v>
          </cell>
          <cell r="D179" t="str">
            <v>564153C</v>
          </cell>
          <cell r="E179">
            <v>168</v>
          </cell>
          <cell r="F179">
            <v>43519</v>
          </cell>
          <cell r="G179" t="str">
            <v>OK</v>
          </cell>
        </row>
        <row r="180">
          <cell r="A180" t="str">
            <v>Y1902-0284</v>
          </cell>
          <cell r="B180">
            <v>201810</v>
          </cell>
          <cell r="C180" t="str">
            <v>0100175379</v>
          </cell>
          <cell r="D180" t="str">
            <v>164217C</v>
          </cell>
          <cell r="E180">
            <v>168</v>
          </cell>
          <cell r="F180">
            <v>43519</v>
          </cell>
          <cell r="G180" t="str">
            <v>OK</v>
          </cell>
        </row>
        <row r="181">
          <cell r="A181" t="str">
            <v>Y1902-0285</v>
          </cell>
          <cell r="B181">
            <v>201810</v>
          </cell>
          <cell r="C181" t="str">
            <v>0100175380</v>
          </cell>
          <cell r="D181" t="str">
            <v>164218C</v>
          </cell>
          <cell r="E181">
            <v>516</v>
          </cell>
          <cell r="F181">
            <v>43519</v>
          </cell>
          <cell r="G181" t="str">
            <v>OK</v>
          </cell>
        </row>
        <row r="182">
          <cell r="A182" t="str">
            <v>Y1902-0286</v>
          </cell>
          <cell r="B182">
            <v>201810</v>
          </cell>
          <cell r="C182" t="str">
            <v>0100175381</v>
          </cell>
          <cell r="D182" t="str">
            <v>164220C</v>
          </cell>
          <cell r="E182">
            <v>528</v>
          </cell>
          <cell r="F182">
            <v>43519</v>
          </cell>
          <cell r="G182" t="str">
            <v>OK</v>
          </cell>
        </row>
        <row r="183">
          <cell r="A183" t="str">
            <v>Y1902-0287</v>
          </cell>
          <cell r="B183">
            <v>201810</v>
          </cell>
          <cell r="C183" t="str">
            <v>0100175382</v>
          </cell>
          <cell r="D183" t="str">
            <v>164359C</v>
          </cell>
          <cell r="E183">
            <v>240</v>
          </cell>
          <cell r="F183">
            <v>43519</v>
          </cell>
          <cell r="G183" t="str">
            <v>OK</v>
          </cell>
        </row>
        <row r="184">
          <cell r="A184" t="str">
            <v>Y1902-0288</v>
          </cell>
          <cell r="B184">
            <v>201810</v>
          </cell>
          <cell r="C184" t="str">
            <v>0100175383</v>
          </cell>
          <cell r="D184" t="str">
            <v>164360C</v>
          </cell>
          <cell r="E184">
            <v>840</v>
          </cell>
          <cell r="F184">
            <v>43519</v>
          </cell>
          <cell r="G184" t="str">
            <v>OK</v>
          </cell>
        </row>
        <row r="185">
          <cell r="A185" t="str">
            <v>Y1902-0289</v>
          </cell>
          <cell r="B185">
            <v>201810</v>
          </cell>
          <cell r="C185" t="str">
            <v>0100175384</v>
          </cell>
          <cell r="D185" t="str">
            <v>164361C</v>
          </cell>
          <cell r="E185">
            <v>492</v>
          </cell>
          <cell r="F185">
            <v>43519</v>
          </cell>
          <cell r="G185" t="str">
            <v>OK</v>
          </cell>
        </row>
        <row r="186">
          <cell r="A186" t="str">
            <v>Y1902-0290</v>
          </cell>
          <cell r="B186">
            <v>201810</v>
          </cell>
          <cell r="C186" t="str">
            <v>0100175385</v>
          </cell>
          <cell r="D186" t="str">
            <v>162066C</v>
          </cell>
          <cell r="E186">
            <v>780</v>
          </cell>
          <cell r="F186">
            <v>43519</v>
          </cell>
          <cell r="G186" t="str">
            <v>OK</v>
          </cell>
        </row>
        <row r="187">
          <cell r="A187" t="str">
            <v>Y1902-0291</v>
          </cell>
          <cell r="B187">
            <v>201810</v>
          </cell>
          <cell r="C187" t="str">
            <v>0100175386</v>
          </cell>
          <cell r="D187" t="str">
            <v>162068C</v>
          </cell>
          <cell r="E187">
            <v>468</v>
          </cell>
          <cell r="F187">
            <v>43519</v>
          </cell>
          <cell r="G187" t="str">
            <v>OK</v>
          </cell>
        </row>
        <row r="188">
          <cell r="A188" t="str">
            <v>Y1902-0292</v>
          </cell>
          <cell r="B188">
            <v>201810</v>
          </cell>
          <cell r="C188" t="str">
            <v>0100175387</v>
          </cell>
          <cell r="D188" t="str">
            <v>162069C</v>
          </cell>
          <cell r="E188">
            <v>240</v>
          </cell>
          <cell r="F188">
            <v>43519</v>
          </cell>
          <cell r="G188" t="str">
            <v>OK</v>
          </cell>
        </row>
        <row r="189">
          <cell r="A189" t="str">
            <v>Y1902-0293</v>
          </cell>
          <cell r="B189">
            <v>201810</v>
          </cell>
          <cell r="C189" t="str">
            <v>0100175389</v>
          </cell>
          <cell r="D189" t="str">
            <v>163269C</v>
          </cell>
          <cell r="E189">
            <v>336</v>
          </cell>
          <cell r="F189">
            <v>43519</v>
          </cell>
          <cell r="G189" t="str">
            <v>OK</v>
          </cell>
        </row>
        <row r="190">
          <cell r="A190" t="str">
            <v>Y1902-0294</v>
          </cell>
          <cell r="B190">
            <v>201810</v>
          </cell>
          <cell r="C190" t="str">
            <v>0100175390</v>
          </cell>
          <cell r="D190" t="str">
            <v>164390C</v>
          </cell>
          <cell r="E190">
            <v>504</v>
          </cell>
          <cell r="F190">
            <v>43519</v>
          </cell>
          <cell r="G190" t="str">
            <v>OK</v>
          </cell>
        </row>
        <row r="191">
          <cell r="A191" t="str">
            <v>Y1902-0295</v>
          </cell>
          <cell r="B191">
            <v>201810</v>
          </cell>
          <cell r="C191" t="str">
            <v>0100175391</v>
          </cell>
          <cell r="D191" t="str">
            <v>164525C</v>
          </cell>
          <cell r="E191">
            <v>708</v>
          </cell>
          <cell r="F191">
            <v>43519</v>
          </cell>
          <cell r="G191" t="str">
            <v>OK</v>
          </cell>
        </row>
        <row r="192">
          <cell r="A192" t="str">
            <v>Y1902-0296</v>
          </cell>
          <cell r="B192">
            <v>201810</v>
          </cell>
          <cell r="C192" t="str">
            <v>0100175459</v>
          </cell>
          <cell r="D192" t="str">
            <v>617660F</v>
          </cell>
          <cell r="E192">
            <v>528</v>
          </cell>
          <cell r="F192">
            <v>43519</v>
          </cell>
          <cell r="G192" t="str">
            <v>OK</v>
          </cell>
        </row>
        <row r="193">
          <cell r="A193" t="str">
            <v>Y1902-0297</v>
          </cell>
          <cell r="B193">
            <v>201810</v>
          </cell>
          <cell r="C193" t="str">
            <v>0100175463</v>
          </cell>
          <cell r="D193" t="str">
            <v>617663F</v>
          </cell>
          <cell r="E193">
            <v>612</v>
          </cell>
          <cell r="F193">
            <v>43519</v>
          </cell>
          <cell r="G193" t="str">
            <v>OK</v>
          </cell>
        </row>
        <row r="194">
          <cell r="A194" t="str">
            <v>Y1902-0301</v>
          </cell>
          <cell r="B194">
            <v>201810</v>
          </cell>
          <cell r="C194" t="str">
            <v>0100175542</v>
          </cell>
          <cell r="D194">
            <v>81229</v>
          </cell>
          <cell r="E194">
            <v>600</v>
          </cell>
          <cell r="F194">
            <v>43511</v>
          </cell>
          <cell r="G194" t="str">
            <v>OK</v>
          </cell>
        </row>
        <row r="195">
          <cell r="A195" t="str">
            <v>Y1902-0303</v>
          </cell>
          <cell r="B195">
            <v>201810</v>
          </cell>
          <cell r="C195" t="str">
            <v>0100177703</v>
          </cell>
          <cell r="D195" t="str">
            <v>M7650C</v>
          </cell>
          <cell r="E195">
            <v>3444</v>
          </cell>
          <cell r="F195">
            <v>43517</v>
          </cell>
          <cell r="G195" t="str">
            <v>OK</v>
          </cell>
        </row>
        <row r="196">
          <cell r="A196" t="str">
            <v>Y1902-0304</v>
          </cell>
          <cell r="B196">
            <v>201810</v>
          </cell>
          <cell r="C196" t="str">
            <v>0100177704</v>
          </cell>
          <cell r="D196" t="str">
            <v>M7652C</v>
          </cell>
          <cell r="E196">
            <v>18828</v>
          </cell>
          <cell r="F196">
            <v>43517</v>
          </cell>
          <cell r="G196" t="str">
            <v>OK</v>
          </cell>
        </row>
        <row r="197">
          <cell r="A197" t="str">
            <v>Y1902-0305</v>
          </cell>
          <cell r="B197">
            <v>201810</v>
          </cell>
          <cell r="C197" t="str">
            <v>0100177705</v>
          </cell>
          <cell r="D197" t="str">
            <v>565536C</v>
          </cell>
          <cell r="E197">
            <v>1295</v>
          </cell>
          <cell r="F197">
            <v>43521</v>
          </cell>
          <cell r="G197" t="str">
            <v>OK</v>
          </cell>
        </row>
        <row r="198">
          <cell r="A198" t="str">
            <v>Y1902-0306</v>
          </cell>
          <cell r="B198">
            <v>201810</v>
          </cell>
          <cell r="C198" t="str">
            <v>0100177706</v>
          </cell>
          <cell r="D198" t="str">
            <v>164359C</v>
          </cell>
          <cell r="E198">
            <v>204</v>
          </cell>
          <cell r="F198">
            <v>43507</v>
          </cell>
          <cell r="G198" t="str">
            <v>OK</v>
          </cell>
        </row>
        <row r="199">
          <cell r="A199" t="str">
            <v>Y1902-0309</v>
          </cell>
          <cell r="B199">
            <v>201810</v>
          </cell>
          <cell r="C199" t="str">
            <v>0100177850</v>
          </cell>
          <cell r="D199" t="str">
            <v>M7652C</v>
          </cell>
          <cell r="E199">
            <v>18240</v>
          </cell>
          <cell r="F199">
            <v>43517</v>
          </cell>
          <cell r="G199" t="str">
            <v>OK</v>
          </cell>
        </row>
        <row r="200">
          <cell r="A200" t="str">
            <v>Y1902-0310</v>
          </cell>
          <cell r="B200">
            <v>201810</v>
          </cell>
          <cell r="C200" t="str">
            <v>0100177851</v>
          </cell>
          <cell r="D200" t="str">
            <v>565548C</v>
          </cell>
          <cell r="E200">
            <v>12</v>
          </cell>
          <cell r="F200">
            <v>43521</v>
          </cell>
          <cell r="G200" t="str">
            <v>OK</v>
          </cell>
        </row>
        <row r="201">
          <cell r="A201" t="str">
            <v>Y1902-0311</v>
          </cell>
          <cell r="B201">
            <v>201810</v>
          </cell>
          <cell r="C201" t="str">
            <v>0100177852</v>
          </cell>
          <cell r="D201" t="str">
            <v>164390C</v>
          </cell>
          <cell r="E201">
            <v>120</v>
          </cell>
          <cell r="F201">
            <v>43507</v>
          </cell>
          <cell r="G201" t="str">
            <v>OK</v>
          </cell>
        </row>
        <row r="202">
          <cell r="A202" t="str">
            <v>Y1902-0312</v>
          </cell>
          <cell r="B202">
            <v>201810</v>
          </cell>
          <cell r="C202" t="str">
            <v>0100177853</v>
          </cell>
          <cell r="D202" t="str">
            <v>164390C</v>
          </cell>
          <cell r="E202">
            <v>384</v>
          </cell>
          <cell r="F202">
            <v>43509</v>
          </cell>
          <cell r="G202" t="str">
            <v>OK</v>
          </cell>
        </row>
        <row r="203">
          <cell r="A203" t="str">
            <v>Y1902-0313</v>
          </cell>
          <cell r="B203">
            <v>201810</v>
          </cell>
          <cell r="C203" t="str">
            <v>0100177854</v>
          </cell>
          <cell r="D203" t="str">
            <v>155064C</v>
          </cell>
          <cell r="E203">
            <v>324</v>
          </cell>
          <cell r="F203">
            <v>43509</v>
          </cell>
          <cell r="G203" t="str">
            <v>OK</v>
          </cell>
        </row>
        <row r="204">
          <cell r="A204" t="str">
            <v>Y1902-0314</v>
          </cell>
          <cell r="B204">
            <v>201810</v>
          </cell>
          <cell r="C204" t="str">
            <v>0100177855</v>
          </cell>
          <cell r="D204" t="str">
            <v>M7652C</v>
          </cell>
          <cell r="E204">
            <v>492</v>
          </cell>
          <cell r="F204">
            <v>43510</v>
          </cell>
          <cell r="G204" t="str">
            <v>OK</v>
          </cell>
        </row>
        <row r="205">
          <cell r="A205" t="str">
            <v>Y1902-0315</v>
          </cell>
          <cell r="B205">
            <v>201810</v>
          </cell>
          <cell r="C205" t="str">
            <v>0100177936</v>
          </cell>
          <cell r="D205" t="str">
            <v>565536C</v>
          </cell>
          <cell r="E205">
            <v>18</v>
          </cell>
          <cell r="F205">
            <v>43521</v>
          </cell>
          <cell r="G205" t="str">
            <v>OK</v>
          </cell>
        </row>
        <row r="206">
          <cell r="A206" t="str">
            <v>Y1902-0316</v>
          </cell>
          <cell r="B206">
            <v>201810</v>
          </cell>
          <cell r="C206" t="str">
            <v>0100177937</v>
          </cell>
          <cell r="D206" t="str">
            <v>164392C</v>
          </cell>
          <cell r="E206">
            <v>516</v>
          </cell>
          <cell r="F206">
            <v>43509</v>
          </cell>
          <cell r="G206" t="str">
            <v>12/20</v>
          </cell>
        </row>
        <row r="207">
          <cell r="A207" t="str">
            <v>Y1902-0317</v>
          </cell>
          <cell r="B207">
            <v>201810</v>
          </cell>
          <cell r="C207" t="str">
            <v>0100177938</v>
          </cell>
          <cell r="D207" t="str">
            <v>155066C</v>
          </cell>
          <cell r="E207">
            <v>240</v>
          </cell>
          <cell r="F207">
            <v>43509</v>
          </cell>
          <cell r="G207" t="str">
            <v>OK</v>
          </cell>
        </row>
        <row r="208">
          <cell r="A208" t="str">
            <v>Y1902-0318</v>
          </cell>
          <cell r="B208">
            <v>201810</v>
          </cell>
          <cell r="C208" t="str">
            <v>0100177939</v>
          </cell>
          <cell r="D208" t="str">
            <v>1J794C</v>
          </cell>
          <cell r="E208">
            <v>264</v>
          </cell>
          <cell r="F208">
            <v>43510</v>
          </cell>
          <cell r="G208" t="str">
            <v>OK</v>
          </cell>
        </row>
        <row r="209">
          <cell r="A209" t="str">
            <v>Y1902-0319</v>
          </cell>
          <cell r="B209">
            <v>201810</v>
          </cell>
          <cell r="C209" t="str">
            <v>0100178006</v>
          </cell>
          <cell r="D209" t="str">
            <v>164393C</v>
          </cell>
          <cell r="E209">
            <v>516</v>
          </cell>
          <cell r="F209">
            <v>43509</v>
          </cell>
          <cell r="G209" t="str">
            <v>OK</v>
          </cell>
        </row>
        <row r="210">
          <cell r="A210" t="str">
            <v>Y1902-0322</v>
          </cell>
          <cell r="B210">
            <v>201810</v>
          </cell>
          <cell r="C210" t="str">
            <v>0100178078</v>
          </cell>
          <cell r="D210" t="str">
            <v>164219C</v>
          </cell>
          <cell r="E210">
            <v>120</v>
          </cell>
          <cell r="F210">
            <v>43507</v>
          </cell>
          <cell r="G210" t="str">
            <v>OK</v>
          </cell>
        </row>
        <row r="211">
          <cell r="A211" t="str">
            <v>Y1902-0323</v>
          </cell>
          <cell r="B211">
            <v>201810</v>
          </cell>
          <cell r="C211" t="str">
            <v>0100178079</v>
          </cell>
          <cell r="D211" t="str">
            <v>164220C</v>
          </cell>
          <cell r="E211">
            <v>120</v>
          </cell>
          <cell r="F211">
            <v>43507</v>
          </cell>
          <cell r="G211" t="str">
            <v>OK</v>
          </cell>
        </row>
        <row r="212">
          <cell r="A212" t="str">
            <v>Y1902-0324</v>
          </cell>
          <cell r="B212">
            <v>201810</v>
          </cell>
          <cell r="C212" t="str">
            <v>0100178080</v>
          </cell>
          <cell r="D212" t="str">
            <v>164280C</v>
          </cell>
          <cell r="E212">
            <v>204</v>
          </cell>
          <cell r="F212">
            <v>43507</v>
          </cell>
          <cell r="G212" t="str">
            <v>OK</v>
          </cell>
        </row>
        <row r="213">
          <cell r="A213" t="str">
            <v>Y1902-0325</v>
          </cell>
          <cell r="B213">
            <v>201810</v>
          </cell>
          <cell r="C213" t="str">
            <v>0100178081</v>
          </cell>
          <cell r="D213" t="str">
            <v>564204C</v>
          </cell>
          <cell r="E213">
            <v>192</v>
          </cell>
          <cell r="F213">
            <v>43507</v>
          </cell>
          <cell r="G213" t="str">
            <v>OK</v>
          </cell>
        </row>
        <row r="214">
          <cell r="A214" t="str">
            <v>Y1902-0326</v>
          </cell>
          <cell r="B214">
            <v>201810</v>
          </cell>
          <cell r="C214" t="str">
            <v>0100178082</v>
          </cell>
          <cell r="D214" t="str">
            <v>564206C</v>
          </cell>
          <cell r="E214">
            <v>192</v>
          </cell>
          <cell r="F214">
            <v>43507</v>
          </cell>
          <cell r="G214" t="str">
            <v>OK</v>
          </cell>
        </row>
        <row r="215">
          <cell r="A215" t="str">
            <v>Y1902-0328</v>
          </cell>
          <cell r="B215">
            <v>201810</v>
          </cell>
          <cell r="C215" t="str">
            <v>0100178084</v>
          </cell>
          <cell r="D215" t="str">
            <v>159484C</v>
          </cell>
          <cell r="E215">
            <v>132</v>
          </cell>
          <cell r="F215">
            <v>43509</v>
          </cell>
          <cell r="G215" t="str">
            <v>OK</v>
          </cell>
        </row>
        <row r="216">
          <cell r="A216" t="str">
            <v>Y1902-0329</v>
          </cell>
          <cell r="B216">
            <v>201810</v>
          </cell>
          <cell r="C216" t="str">
            <v>0100178085</v>
          </cell>
          <cell r="D216" t="str">
            <v>159786C</v>
          </cell>
          <cell r="E216">
            <v>288</v>
          </cell>
          <cell r="F216">
            <v>43509</v>
          </cell>
          <cell r="G216" t="str">
            <v>OK</v>
          </cell>
        </row>
        <row r="217">
          <cell r="A217" t="str">
            <v>Y1902-0332</v>
          </cell>
          <cell r="B217">
            <v>201810</v>
          </cell>
          <cell r="C217" t="str">
            <v>0100178088</v>
          </cell>
          <cell r="D217" t="str">
            <v>1J794C</v>
          </cell>
          <cell r="E217">
            <v>2280</v>
          </cell>
          <cell r="F217">
            <v>43509</v>
          </cell>
          <cell r="G217" t="str">
            <v>OK</v>
          </cell>
        </row>
        <row r="218">
          <cell r="A218" t="str">
            <v>Y1902-0333</v>
          </cell>
          <cell r="B218">
            <v>201810</v>
          </cell>
          <cell r="C218" t="str">
            <v>0100178089</v>
          </cell>
          <cell r="D218" t="str">
            <v>M3310C</v>
          </cell>
          <cell r="E218">
            <v>1800</v>
          </cell>
          <cell r="F218">
            <v>43509</v>
          </cell>
          <cell r="G218" t="str">
            <v>OK</v>
          </cell>
        </row>
        <row r="219">
          <cell r="A219" t="str">
            <v>Y1902-0336</v>
          </cell>
          <cell r="B219">
            <v>201810</v>
          </cell>
          <cell r="C219" t="str">
            <v>0100178092</v>
          </cell>
          <cell r="D219" t="str">
            <v>M3310C</v>
          </cell>
          <cell r="E219">
            <v>432</v>
          </cell>
          <cell r="F219">
            <v>43510</v>
          </cell>
          <cell r="G219" t="str">
            <v>OK</v>
          </cell>
        </row>
        <row r="220">
          <cell r="A220" t="str">
            <v>Y1902-0337</v>
          </cell>
          <cell r="B220">
            <v>201810</v>
          </cell>
          <cell r="C220" t="str">
            <v>0100178235</v>
          </cell>
          <cell r="D220" t="str">
            <v>164281C</v>
          </cell>
          <cell r="E220">
            <v>144</v>
          </cell>
          <cell r="F220">
            <v>43507</v>
          </cell>
          <cell r="G220" t="str">
            <v>OK</v>
          </cell>
        </row>
        <row r="221">
          <cell r="A221" t="str">
            <v>Y1902-0338</v>
          </cell>
          <cell r="B221">
            <v>201810</v>
          </cell>
          <cell r="C221" t="str">
            <v>0100178236</v>
          </cell>
          <cell r="D221" t="str">
            <v>164282C</v>
          </cell>
          <cell r="E221">
            <v>180</v>
          </cell>
          <cell r="F221">
            <v>43507</v>
          </cell>
          <cell r="G221" t="str">
            <v>OK</v>
          </cell>
        </row>
        <row r="222">
          <cell r="A222" t="str">
            <v>Y1902-0339</v>
          </cell>
          <cell r="B222">
            <v>201810</v>
          </cell>
          <cell r="C222" t="str">
            <v>0100178237</v>
          </cell>
          <cell r="D222" t="str">
            <v>M3310C</v>
          </cell>
          <cell r="E222">
            <v>168</v>
          </cell>
          <cell r="F222">
            <v>43507</v>
          </cell>
          <cell r="G222" t="str">
            <v>OK</v>
          </cell>
        </row>
        <row r="223">
          <cell r="A223" t="str">
            <v>Y1902-0340</v>
          </cell>
          <cell r="B223">
            <v>201810</v>
          </cell>
          <cell r="C223" t="str">
            <v>0100178238</v>
          </cell>
          <cell r="D223" t="str">
            <v>M7650C</v>
          </cell>
          <cell r="E223">
            <v>216</v>
          </cell>
          <cell r="F223">
            <v>43507</v>
          </cell>
          <cell r="G223" t="str">
            <v>OK</v>
          </cell>
        </row>
        <row r="224">
          <cell r="A224" t="str">
            <v>Y1902-0341</v>
          </cell>
          <cell r="B224">
            <v>201810</v>
          </cell>
          <cell r="C224" t="str">
            <v>0100178239</v>
          </cell>
          <cell r="D224" t="str">
            <v>M7652C</v>
          </cell>
          <cell r="E224">
            <v>672</v>
          </cell>
          <cell r="F224">
            <v>43507</v>
          </cell>
          <cell r="G224" t="str">
            <v>OK</v>
          </cell>
        </row>
        <row r="225">
          <cell r="A225" t="str">
            <v>Y1902-0342</v>
          </cell>
          <cell r="B225">
            <v>201810</v>
          </cell>
          <cell r="C225" t="str">
            <v>0100178240</v>
          </cell>
          <cell r="D225" t="str">
            <v>163380C</v>
          </cell>
          <cell r="E225">
            <v>420</v>
          </cell>
          <cell r="F225">
            <v>43507</v>
          </cell>
          <cell r="G225" t="str">
            <v>OK</v>
          </cell>
        </row>
        <row r="226">
          <cell r="A226" t="str">
            <v>Y1902-0343</v>
          </cell>
          <cell r="B226">
            <v>201810</v>
          </cell>
          <cell r="C226" t="str">
            <v>0100178241</v>
          </cell>
          <cell r="D226" t="str">
            <v>M7650C</v>
          </cell>
          <cell r="E226">
            <v>2244</v>
          </cell>
          <cell r="F226">
            <v>43509</v>
          </cell>
          <cell r="G226" t="str">
            <v>OK</v>
          </cell>
        </row>
        <row r="227">
          <cell r="A227" t="str">
            <v>Y1902-0344</v>
          </cell>
          <cell r="B227">
            <v>201810</v>
          </cell>
          <cell r="C227" t="str">
            <v>0100178242</v>
          </cell>
          <cell r="D227" t="str">
            <v>M7652C</v>
          </cell>
          <cell r="E227">
            <v>14892</v>
          </cell>
          <cell r="F227">
            <v>43509</v>
          </cell>
          <cell r="G227" t="str">
            <v>OK</v>
          </cell>
        </row>
        <row r="228">
          <cell r="A228" t="str">
            <v>Y1902-0349</v>
          </cell>
          <cell r="B228">
            <v>201810</v>
          </cell>
          <cell r="C228" t="str">
            <v>0100178247</v>
          </cell>
          <cell r="D228" t="str">
            <v>M7650C</v>
          </cell>
          <cell r="E228">
            <v>876</v>
          </cell>
          <cell r="F228">
            <v>43510</v>
          </cell>
          <cell r="G228" t="str">
            <v>OK</v>
          </cell>
        </row>
        <row r="229">
          <cell r="A229" t="str">
            <v>Y1902-0350</v>
          </cell>
          <cell r="B229">
            <v>201810</v>
          </cell>
          <cell r="C229" t="str">
            <v>0100178325</v>
          </cell>
          <cell r="D229" t="str">
            <v>164358C</v>
          </cell>
          <cell r="E229">
            <v>120</v>
          </cell>
          <cell r="F229">
            <v>43507</v>
          </cell>
          <cell r="G229" t="str">
            <v>OK</v>
          </cell>
        </row>
        <row r="230">
          <cell r="A230" t="str">
            <v>Y1902-0351</v>
          </cell>
          <cell r="B230">
            <v>201810</v>
          </cell>
          <cell r="C230" t="str">
            <v>0100178326</v>
          </cell>
          <cell r="D230" t="str">
            <v>164360C</v>
          </cell>
          <cell r="E230">
            <v>144</v>
          </cell>
          <cell r="F230">
            <v>43507</v>
          </cell>
          <cell r="G230" t="str">
            <v>OK</v>
          </cell>
        </row>
        <row r="231">
          <cell r="A231" t="str">
            <v>Y1902-0352</v>
          </cell>
          <cell r="B231">
            <v>201810</v>
          </cell>
          <cell r="C231" t="str">
            <v>0100178327</v>
          </cell>
          <cell r="D231" t="str">
            <v>164361C</v>
          </cell>
          <cell r="E231">
            <v>144</v>
          </cell>
          <cell r="F231">
            <v>43507</v>
          </cell>
          <cell r="G231" t="str">
            <v>OK</v>
          </cell>
        </row>
        <row r="232">
          <cell r="A232" t="str">
            <v>Y1902-0353</v>
          </cell>
          <cell r="B232">
            <v>201810</v>
          </cell>
          <cell r="C232" t="str">
            <v>0100178328</v>
          </cell>
          <cell r="D232" t="str">
            <v>164390C</v>
          </cell>
          <cell r="E232">
            <v>120</v>
          </cell>
          <cell r="F232">
            <v>43507</v>
          </cell>
          <cell r="G232" t="str">
            <v>OK</v>
          </cell>
        </row>
        <row r="233">
          <cell r="A233" t="str">
            <v>Y1902-0354</v>
          </cell>
          <cell r="B233">
            <v>201810</v>
          </cell>
          <cell r="C233" t="str">
            <v>0100178329</v>
          </cell>
          <cell r="D233" t="str">
            <v>164392C</v>
          </cell>
          <cell r="E233">
            <v>120</v>
          </cell>
          <cell r="F233">
            <v>43507</v>
          </cell>
          <cell r="G233" t="str">
            <v>OK</v>
          </cell>
        </row>
        <row r="234">
          <cell r="A234" t="str">
            <v>Y1902-0355</v>
          </cell>
          <cell r="B234">
            <v>201810</v>
          </cell>
          <cell r="C234" t="str">
            <v>0100178330</v>
          </cell>
          <cell r="D234" t="str">
            <v>M9697C</v>
          </cell>
          <cell r="E234">
            <v>1560</v>
          </cell>
          <cell r="F234">
            <v>43509</v>
          </cell>
          <cell r="G234" t="str">
            <v>OK</v>
          </cell>
        </row>
        <row r="235">
          <cell r="A235" t="str">
            <v>Y1902-0356</v>
          </cell>
          <cell r="B235">
            <v>201810</v>
          </cell>
          <cell r="C235" t="str">
            <v>0100178331</v>
          </cell>
          <cell r="D235" t="str">
            <v>M9697C</v>
          </cell>
          <cell r="E235">
            <v>444</v>
          </cell>
          <cell r="F235">
            <v>43510</v>
          </cell>
          <cell r="G235" t="str">
            <v>OK</v>
          </cell>
        </row>
        <row r="236">
          <cell r="A236" t="str">
            <v>Y1902-0357</v>
          </cell>
          <cell r="B236">
            <v>201810</v>
          </cell>
          <cell r="C236" t="str">
            <v>0100178332</v>
          </cell>
          <cell r="D236" t="str">
            <v>M7652C</v>
          </cell>
          <cell r="E236">
            <v>1080</v>
          </cell>
          <cell r="F236">
            <v>43510</v>
          </cell>
          <cell r="G236" t="str">
            <v>OK</v>
          </cell>
        </row>
        <row r="237">
          <cell r="A237" t="str">
            <v>Y1902-0358</v>
          </cell>
          <cell r="B237">
            <v>201810</v>
          </cell>
          <cell r="C237" t="str">
            <v>0100178333</v>
          </cell>
          <cell r="D237" t="str">
            <v>1J794C</v>
          </cell>
          <cell r="E237">
            <v>432</v>
          </cell>
          <cell r="F237">
            <v>43510</v>
          </cell>
          <cell r="G237" t="str">
            <v>OK</v>
          </cell>
        </row>
        <row r="238">
          <cell r="A238" t="str">
            <v>Y1902-0359</v>
          </cell>
          <cell r="B238">
            <v>201810</v>
          </cell>
          <cell r="C238" t="str">
            <v>0100178400</v>
          </cell>
          <cell r="D238" t="str">
            <v>1J794C</v>
          </cell>
          <cell r="E238">
            <v>120</v>
          </cell>
          <cell r="F238">
            <v>43507</v>
          </cell>
          <cell r="G238" t="str">
            <v>OK</v>
          </cell>
        </row>
        <row r="239">
          <cell r="A239" t="str">
            <v>Y1902-0364</v>
          </cell>
          <cell r="B239">
            <v>201810</v>
          </cell>
          <cell r="C239" t="str">
            <v>0100178456</v>
          </cell>
          <cell r="D239" t="str">
            <v>364169C</v>
          </cell>
          <cell r="E239">
            <v>120</v>
          </cell>
          <cell r="F239">
            <v>43507</v>
          </cell>
          <cell r="G239" t="str">
            <v>OK</v>
          </cell>
        </row>
        <row r="240">
          <cell r="A240" t="str">
            <v>Y1902-0365</v>
          </cell>
          <cell r="B240">
            <v>201810</v>
          </cell>
          <cell r="C240" t="str">
            <v>0100178457</v>
          </cell>
          <cell r="D240" t="str">
            <v>3J256C</v>
          </cell>
          <cell r="E240">
            <v>120</v>
          </cell>
          <cell r="F240">
            <v>43507</v>
          </cell>
          <cell r="G240" t="str">
            <v>OK</v>
          </cell>
        </row>
        <row r="241">
          <cell r="A241" t="str">
            <v>Y1902-0366</v>
          </cell>
          <cell r="B241">
            <v>201810</v>
          </cell>
          <cell r="C241" t="str">
            <v>0100178522</v>
          </cell>
          <cell r="D241" t="str">
            <v>764172C</v>
          </cell>
          <cell r="E241">
            <v>180</v>
          </cell>
          <cell r="F241">
            <v>43507</v>
          </cell>
          <cell r="G241" t="str">
            <v>OK</v>
          </cell>
        </row>
        <row r="242">
          <cell r="A242" t="str">
            <v>Y1902-0367</v>
          </cell>
          <cell r="B242">
            <v>201810</v>
          </cell>
          <cell r="C242" t="str">
            <v>0100178523</v>
          </cell>
          <cell r="D242" t="str">
            <v>164281C</v>
          </cell>
          <cell r="E242">
            <v>156</v>
          </cell>
          <cell r="F242">
            <v>43509</v>
          </cell>
          <cell r="G242" t="str">
            <v>OK</v>
          </cell>
        </row>
        <row r="243">
          <cell r="A243" t="str">
            <v>Y1902-0369</v>
          </cell>
          <cell r="B243">
            <v>201810</v>
          </cell>
          <cell r="C243" t="str">
            <v>0100178625</v>
          </cell>
          <cell r="D243" t="str">
            <v>7J256C</v>
          </cell>
          <cell r="E243">
            <v>120</v>
          </cell>
          <cell r="F243">
            <v>43507</v>
          </cell>
          <cell r="G243" t="str">
            <v>OK</v>
          </cell>
        </row>
        <row r="244">
          <cell r="A244" t="str">
            <v>Y1902-0370</v>
          </cell>
          <cell r="B244">
            <v>201810</v>
          </cell>
          <cell r="C244" t="str">
            <v>0100178626</v>
          </cell>
          <cell r="D244" t="str">
            <v>M7650C</v>
          </cell>
          <cell r="E244">
            <v>936</v>
          </cell>
          <cell r="F244">
            <v>43507</v>
          </cell>
          <cell r="G244" t="str">
            <v>OK</v>
          </cell>
        </row>
        <row r="245">
          <cell r="A245" t="str">
            <v>Y1902-0371</v>
          </cell>
          <cell r="B245">
            <v>201810</v>
          </cell>
          <cell r="C245" t="str">
            <v>0100178627</v>
          </cell>
          <cell r="D245" t="str">
            <v>M7652C</v>
          </cell>
          <cell r="E245">
            <v>1656</v>
          </cell>
          <cell r="F245">
            <v>43507</v>
          </cell>
          <cell r="G245" t="str">
            <v>OK</v>
          </cell>
        </row>
        <row r="246">
          <cell r="A246" t="str">
            <v>Y1902-0372</v>
          </cell>
          <cell r="B246">
            <v>201810</v>
          </cell>
          <cell r="C246" t="str">
            <v>0100178628</v>
          </cell>
          <cell r="D246" t="str">
            <v>164358C</v>
          </cell>
          <cell r="E246">
            <v>516</v>
          </cell>
          <cell r="F246">
            <v>43509</v>
          </cell>
          <cell r="G246" t="str">
            <v>OK</v>
          </cell>
        </row>
        <row r="247">
          <cell r="A247" t="str">
            <v>Y1902-0373</v>
          </cell>
          <cell r="B247">
            <v>201810</v>
          </cell>
          <cell r="C247" t="str">
            <v>0100178629</v>
          </cell>
          <cell r="D247" t="str">
            <v>164359C</v>
          </cell>
          <cell r="E247">
            <v>528</v>
          </cell>
          <cell r="F247">
            <v>43509</v>
          </cell>
          <cell r="G247" t="str">
            <v>OK</v>
          </cell>
        </row>
        <row r="248">
          <cell r="A248" t="str">
            <v>Y1902-0374</v>
          </cell>
          <cell r="B248">
            <v>201810</v>
          </cell>
          <cell r="C248" t="str">
            <v>0100178630</v>
          </cell>
          <cell r="D248" t="str">
            <v>164360C</v>
          </cell>
          <cell r="E248">
            <v>468</v>
          </cell>
          <cell r="F248">
            <v>43509</v>
          </cell>
          <cell r="G248" t="str">
            <v>OK</v>
          </cell>
        </row>
        <row r="249">
          <cell r="A249" t="str">
            <v>Y1902-0375</v>
          </cell>
          <cell r="B249">
            <v>201810</v>
          </cell>
          <cell r="C249" t="str">
            <v>0100178631</v>
          </cell>
          <cell r="D249" t="str">
            <v>164361C</v>
          </cell>
          <cell r="E249">
            <v>300</v>
          </cell>
          <cell r="F249">
            <v>43509</v>
          </cell>
          <cell r="G249" t="str">
            <v>OK</v>
          </cell>
        </row>
        <row r="250">
          <cell r="A250" t="str">
            <v>Y1902-0376</v>
          </cell>
          <cell r="B250">
            <v>201810</v>
          </cell>
          <cell r="C250" t="str">
            <v>0100178632</v>
          </cell>
          <cell r="D250" t="str">
            <v>164362C</v>
          </cell>
          <cell r="E250">
            <v>384</v>
          </cell>
          <cell r="F250">
            <v>43509</v>
          </cell>
          <cell r="G250" t="str">
            <v>OK</v>
          </cell>
        </row>
        <row r="251">
          <cell r="A251" t="str">
            <v>Y1902-0377</v>
          </cell>
          <cell r="B251">
            <v>201810</v>
          </cell>
          <cell r="C251" t="str">
            <v>0100178633</v>
          </cell>
          <cell r="D251" t="str">
            <v>164390C</v>
          </cell>
          <cell r="E251">
            <v>288</v>
          </cell>
          <cell r="F251">
            <v>43509</v>
          </cell>
          <cell r="G251" t="str">
            <v>OK</v>
          </cell>
        </row>
        <row r="252">
          <cell r="A252" t="str">
            <v>Y1902-0379</v>
          </cell>
          <cell r="B252">
            <v>201810</v>
          </cell>
          <cell r="C252" t="str">
            <v>0100178688</v>
          </cell>
          <cell r="D252" t="str">
            <v>M9697C</v>
          </cell>
          <cell r="E252">
            <v>204</v>
          </cell>
          <cell r="F252">
            <v>43507</v>
          </cell>
          <cell r="G252" t="str">
            <v>OK</v>
          </cell>
        </row>
        <row r="253">
          <cell r="A253" t="str">
            <v>Y1902-0380</v>
          </cell>
          <cell r="B253">
            <v>201810</v>
          </cell>
          <cell r="C253" t="str">
            <v>0100178689</v>
          </cell>
          <cell r="D253" t="str">
            <v>164392C</v>
          </cell>
          <cell r="E253">
            <v>540</v>
          </cell>
          <cell r="F253">
            <v>43509</v>
          </cell>
          <cell r="G253" t="str">
            <v>12/20</v>
          </cell>
        </row>
        <row r="254">
          <cell r="A254" t="str">
            <v>Y1902-0381</v>
          </cell>
          <cell r="B254">
            <v>201810</v>
          </cell>
          <cell r="C254" t="str">
            <v>0100178690</v>
          </cell>
          <cell r="D254" t="str">
            <v>164393C</v>
          </cell>
          <cell r="E254">
            <v>540</v>
          </cell>
          <cell r="F254">
            <v>43509</v>
          </cell>
          <cell r="G254" t="str">
            <v>OK</v>
          </cell>
        </row>
        <row r="255">
          <cell r="A255" t="str">
            <v>Y1902-0382</v>
          </cell>
          <cell r="B255">
            <v>201810</v>
          </cell>
          <cell r="C255" t="str">
            <v>0100178739</v>
          </cell>
          <cell r="D255" t="str">
            <v>164525C</v>
          </cell>
          <cell r="E255">
            <v>120</v>
          </cell>
          <cell r="F255">
            <v>43509</v>
          </cell>
          <cell r="G255" t="str">
            <v>OK</v>
          </cell>
        </row>
        <row r="256">
          <cell r="A256" t="str">
            <v>Y1902-0383</v>
          </cell>
          <cell r="B256">
            <v>201810</v>
          </cell>
          <cell r="C256" t="str">
            <v>0100178740</v>
          </cell>
          <cell r="D256" t="str">
            <v>364169C</v>
          </cell>
          <cell r="E256">
            <v>216</v>
          </cell>
          <cell r="F256">
            <v>43509</v>
          </cell>
          <cell r="G256" t="str">
            <v>OK</v>
          </cell>
        </row>
        <row r="257">
          <cell r="A257" t="str">
            <v>Y1902-0384</v>
          </cell>
          <cell r="B257">
            <v>201810</v>
          </cell>
          <cell r="C257" t="str">
            <v>0100178741</v>
          </cell>
          <cell r="D257" t="str">
            <v>364170C</v>
          </cell>
          <cell r="E257">
            <v>216</v>
          </cell>
          <cell r="F257">
            <v>43509</v>
          </cell>
          <cell r="G257" t="str">
            <v>OK</v>
          </cell>
        </row>
        <row r="258">
          <cell r="A258" t="str">
            <v>Y1902-0385</v>
          </cell>
          <cell r="B258">
            <v>201810</v>
          </cell>
          <cell r="C258" t="str">
            <v>0100178742</v>
          </cell>
          <cell r="D258" t="str">
            <v>3J234C</v>
          </cell>
          <cell r="E258">
            <v>156</v>
          </cell>
          <cell r="F258">
            <v>43509</v>
          </cell>
          <cell r="G258" t="str">
            <v>OK</v>
          </cell>
        </row>
        <row r="259">
          <cell r="A259" t="str">
            <v>Y1902-0388</v>
          </cell>
          <cell r="B259">
            <v>201810</v>
          </cell>
          <cell r="C259" t="str">
            <v>0100178769</v>
          </cell>
          <cell r="D259" t="str">
            <v>3J238C</v>
          </cell>
          <cell r="E259">
            <v>204</v>
          </cell>
          <cell r="F259">
            <v>43509</v>
          </cell>
          <cell r="G259" t="str">
            <v>OK</v>
          </cell>
        </row>
        <row r="260">
          <cell r="A260" t="str">
            <v>Y1902-0389</v>
          </cell>
          <cell r="B260">
            <v>201810</v>
          </cell>
          <cell r="C260" t="str">
            <v>0100178770</v>
          </cell>
          <cell r="D260" t="str">
            <v>3J253C</v>
          </cell>
          <cell r="E260">
            <v>288</v>
          </cell>
          <cell r="F260">
            <v>43509</v>
          </cell>
          <cell r="G260" t="str">
            <v>OK</v>
          </cell>
        </row>
        <row r="261">
          <cell r="A261" t="str">
            <v>Y1902-0390</v>
          </cell>
          <cell r="B261">
            <v>201810</v>
          </cell>
          <cell r="C261" t="str">
            <v>0100178771</v>
          </cell>
          <cell r="D261" t="str">
            <v>3J256C</v>
          </cell>
          <cell r="E261">
            <v>792</v>
          </cell>
          <cell r="F261">
            <v>43509</v>
          </cell>
          <cell r="G261" t="str">
            <v>OK</v>
          </cell>
        </row>
        <row r="262">
          <cell r="A262" t="str">
            <v>Y1902-0391</v>
          </cell>
          <cell r="B262">
            <v>201810</v>
          </cell>
          <cell r="C262" t="str">
            <v>0100178855</v>
          </cell>
          <cell r="D262" t="str">
            <v>564151C</v>
          </cell>
          <cell r="E262">
            <v>1932</v>
          </cell>
          <cell r="F262">
            <v>43509</v>
          </cell>
          <cell r="G262" t="str">
            <v>12/20</v>
          </cell>
        </row>
        <row r="263">
          <cell r="A263" t="str">
            <v>Y1902-0392</v>
          </cell>
          <cell r="B263">
            <v>201810</v>
          </cell>
          <cell r="C263" t="str">
            <v>0100178856</v>
          </cell>
          <cell r="D263" t="str">
            <v>564152C</v>
          </cell>
          <cell r="E263">
            <v>756</v>
          </cell>
          <cell r="F263">
            <v>43509</v>
          </cell>
          <cell r="G263" t="str">
            <v>OK</v>
          </cell>
        </row>
        <row r="264">
          <cell r="A264" t="str">
            <v>Y1902-0393</v>
          </cell>
          <cell r="B264">
            <v>201810</v>
          </cell>
          <cell r="C264" t="str">
            <v>0100178857</v>
          </cell>
          <cell r="D264" t="str">
            <v>564153C</v>
          </cell>
          <cell r="E264">
            <v>2040</v>
          </cell>
          <cell r="F264">
            <v>43509</v>
          </cell>
          <cell r="G264" t="str">
            <v>OK</v>
          </cell>
        </row>
        <row r="265">
          <cell r="A265" t="str">
            <v>Y1902-0394</v>
          </cell>
          <cell r="B265">
            <v>201810</v>
          </cell>
          <cell r="C265" t="str">
            <v>0100178858</v>
          </cell>
          <cell r="D265" t="str">
            <v>564154C</v>
          </cell>
          <cell r="E265">
            <v>324</v>
          </cell>
          <cell r="F265">
            <v>43509</v>
          </cell>
          <cell r="G265" t="str">
            <v>OK</v>
          </cell>
        </row>
        <row r="266">
          <cell r="A266" t="str">
            <v>Y1902-0395</v>
          </cell>
          <cell r="B266">
            <v>201810</v>
          </cell>
          <cell r="C266" t="str">
            <v>0100178859</v>
          </cell>
          <cell r="D266" t="str">
            <v>664184C</v>
          </cell>
          <cell r="E266">
            <v>384</v>
          </cell>
          <cell r="F266">
            <v>43509</v>
          </cell>
          <cell r="G266" t="str">
            <v>OK</v>
          </cell>
        </row>
        <row r="267">
          <cell r="A267" t="str">
            <v>Y1902-0396</v>
          </cell>
          <cell r="B267">
            <v>201810</v>
          </cell>
          <cell r="C267" t="str">
            <v>0100178860</v>
          </cell>
          <cell r="D267" t="str">
            <v>764172C</v>
          </cell>
          <cell r="E267">
            <v>228</v>
          </cell>
          <cell r="F267">
            <v>43509</v>
          </cell>
          <cell r="G267" t="str">
            <v>OK</v>
          </cell>
        </row>
        <row r="268">
          <cell r="A268" t="str">
            <v>Y1902-0397</v>
          </cell>
          <cell r="B268">
            <v>201810</v>
          </cell>
          <cell r="C268" t="str">
            <v>0100178861</v>
          </cell>
          <cell r="D268" t="str">
            <v>764173C</v>
          </cell>
          <cell r="E268">
            <v>228</v>
          </cell>
          <cell r="F268">
            <v>43509</v>
          </cell>
          <cell r="G268" t="str">
            <v>OK</v>
          </cell>
        </row>
        <row r="269">
          <cell r="A269" t="str">
            <v>Y1902-0398</v>
          </cell>
          <cell r="B269">
            <v>201810</v>
          </cell>
          <cell r="C269" t="str">
            <v>0100178862</v>
          </cell>
          <cell r="D269" t="str">
            <v>7J234C</v>
          </cell>
          <cell r="E269">
            <v>120</v>
          </cell>
          <cell r="F269">
            <v>43509</v>
          </cell>
          <cell r="G269" t="str">
            <v>OK</v>
          </cell>
        </row>
        <row r="270">
          <cell r="A270" t="str">
            <v>Y1902-0399</v>
          </cell>
          <cell r="B270">
            <v>201810</v>
          </cell>
          <cell r="C270" t="str">
            <v>0100178863</v>
          </cell>
          <cell r="D270" t="str">
            <v>7J253C</v>
          </cell>
          <cell r="E270">
            <v>168</v>
          </cell>
          <cell r="F270">
            <v>43509</v>
          </cell>
          <cell r="G270" t="str">
            <v>OK</v>
          </cell>
        </row>
        <row r="271">
          <cell r="A271" t="str">
            <v>Y1902-0400</v>
          </cell>
          <cell r="B271">
            <v>201810</v>
          </cell>
          <cell r="C271" t="str">
            <v>0100178864</v>
          </cell>
          <cell r="D271" t="str">
            <v>7J256C</v>
          </cell>
          <cell r="E271">
            <v>468</v>
          </cell>
          <cell r="F271">
            <v>43509</v>
          </cell>
          <cell r="G271" t="str">
            <v>OK</v>
          </cell>
        </row>
        <row r="272">
          <cell r="A272" t="str">
            <v>Y1902-0401</v>
          </cell>
          <cell r="B272">
            <v>201810</v>
          </cell>
          <cell r="C272" t="str">
            <v>0100178865</v>
          </cell>
          <cell r="D272">
            <v>88865</v>
          </cell>
          <cell r="E272">
            <v>156</v>
          </cell>
          <cell r="F272">
            <v>43509</v>
          </cell>
          <cell r="G272" t="str">
            <v>OK</v>
          </cell>
        </row>
        <row r="273">
          <cell r="A273" t="str">
            <v>Y1902-0402</v>
          </cell>
          <cell r="B273">
            <v>201810</v>
          </cell>
          <cell r="C273" t="str">
            <v>0100178866</v>
          </cell>
          <cell r="D273">
            <v>88871</v>
          </cell>
          <cell r="E273">
            <v>156</v>
          </cell>
          <cell r="F273">
            <v>43509</v>
          </cell>
          <cell r="G273" t="str">
            <v>OK</v>
          </cell>
        </row>
        <row r="274">
          <cell r="A274" t="str">
            <v>Y1902-0403</v>
          </cell>
          <cell r="B274">
            <v>201810</v>
          </cell>
          <cell r="C274" t="str">
            <v>0100178867</v>
          </cell>
          <cell r="D274">
            <v>88877</v>
          </cell>
          <cell r="E274">
            <v>132</v>
          </cell>
          <cell r="F274">
            <v>43509</v>
          </cell>
          <cell r="G274" t="str">
            <v>OK</v>
          </cell>
        </row>
        <row r="275">
          <cell r="A275" t="str">
            <v>Y1902-0404</v>
          </cell>
          <cell r="B275">
            <v>201810</v>
          </cell>
          <cell r="C275" t="str">
            <v>0100178868</v>
          </cell>
          <cell r="D275" t="str">
            <v>8J231</v>
          </cell>
          <cell r="E275">
            <v>144</v>
          </cell>
          <cell r="F275">
            <v>43509</v>
          </cell>
          <cell r="G275" t="str">
            <v>OK</v>
          </cell>
        </row>
        <row r="276">
          <cell r="A276" t="str">
            <v>Y1902-0423</v>
          </cell>
          <cell r="B276">
            <v>201810</v>
          </cell>
          <cell r="C276" t="str">
            <v>4600064609</v>
          </cell>
          <cell r="D276" t="str">
            <v>M9696C</v>
          </cell>
          <cell r="E276">
            <v>684</v>
          </cell>
          <cell r="F276">
            <v>43509</v>
          </cell>
          <cell r="G276" t="str">
            <v>OK</v>
          </cell>
        </row>
        <row r="277">
          <cell r="A277" t="str">
            <v>Y1902-0424</v>
          </cell>
          <cell r="B277">
            <v>201810</v>
          </cell>
          <cell r="C277" t="str">
            <v>4600064610</v>
          </cell>
          <cell r="D277" t="str">
            <v>M9613C</v>
          </cell>
          <cell r="E277">
            <v>132</v>
          </cell>
          <cell r="F277">
            <v>43521</v>
          </cell>
          <cell r="G277" t="str">
            <v>OK</v>
          </cell>
        </row>
        <row r="278">
          <cell r="A278" t="str">
            <v>Y1902-0425</v>
          </cell>
          <cell r="B278">
            <v>201810</v>
          </cell>
          <cell r="C278" t="str">
            <v>4600064611</v>
          </cell>
          <cell r="D278" t="str">
            <v>M7652C</v>
          </cell>
          <cell r="E278">
            <v>204</v>
          </cell>
          <cell r="F278">
            <v>43509</v>
          </cell>
          <cell r="G278" t="str">
            <v>OK</v>
          </cell>
        </row>
        <row r="279">
          <cell r="A279" t="str">
            <v>Y1902-0426</v>
          </cell>
          <cell r="B279">
            <v>201810</v>
          </cell>
          <cell r="C279" t="str">
            <v>4600064612</v>
          </cell>
          <cell r="D279" t="str">
            <v>M7650C</v>
          </cell>
          <cell r="E279">
            <v>204</v>
          </cell>
          <cell r="F279">
            <v>43509</v>
          </cell>
          <cell r="G279" t="str">
            <v>OK</v>
          </cell>
        </row>
        <row r="280">
          <cell r="A280" t="str">
            <v>Y1902-0428</v>
          </cell>
          <cell r="B280">
            <v>201810</v>
          </cell>
          <cell r="C280" t="str">
            <v>4600064656</v>
          </cell>
          <cell r="D280" t="str">
            <v>164359C</v>
          </cell>
          <cell r="E280">
            <v>168</v>
          </cell>
          <cell r="F280">
            <v>43520</v>
          </cell>
          <cell r="G280" t="str">
            <v>OK</v>
          </cell>
        </row>
        <row r="281">
          <cell r="A281" t="str">
            <v>Y1902-0429</v>
          </cell>
          <cell r="B281">
            <v>201810</v>
          </cell>
          <cell r="C281" t="str">
            <v>4600064657</v>
          </cell>
          <cell r="D281" t="str">
            <v>164360C</v>
          </cell>
          <cell r="E281">
            <v>168</v>
          </cell>
          <cell r="F281">
            <v>43520</v>
          </cell>
          <cell r="G281" t="str">
            <v>OK</v>
          </cell>
        </row>
        <row r="282">
          <cell r="A282" t="str">
            <v>Y1902-0430</v>
          </cell>
          <cell r="B282">
            <v>201810</v>
          </cell>
          <cell r="C282" t="str">
            <v>4600064658</v>
          </cell>
          <cell r="D282" t="str">
            <v>164282C</v>
          </cell>
          <cell r="E282">
            <v>2136</v>
          </cell>
          <cell r="F282">
            <v>43520</v>
          </cell>
          <cell r="G282" t="str">
            <v>OK</v>
          </cell>
        </row>
        <row r="283">
          <cell r="A283" t="str">
            <v>Y1902-0431</v>
          </cell>
          <cell r="B283">
            <v>201810</v>
          </cell>
          <cell r="C283" t="str">
            <v>4600064659</v>
          </cell>
          <cell r="D283" t="str">
            <v>M7652C</v>
          </cell>
          <cell r="E283">
            <v>13176</v>
          </cell>
          <cell r="F283">
            <v>43509</v>
          </cell>
          <cell r="G283" t="str">
            <v>OK</v>
          </cell>
        </row>
        <row r="284">
          <cell r="A284" t="str">
            <v>Y1902-0432</v>
          </cell>
          <cell r="B284">
            <v>201810</v>
          </cell>
          <cell r="C284" t="str">
            <v>4600064660</v>
          </cell>
          <cell r="D284" t="str">
            <v>164280C</v>
          </cell>
          <cell r="E284">
            <v>300</v>
          </cell>
          <cell r="F284">
            <v>43520</v>
          </cell>
          <cell r="G284" t="str">
            <v>OK</v>
          </cell>
        </row>
        <row r="285">
          <cell r="A285" t="str">
            <v>Y1902-0433</v>
          </cell>
          <cell r="B285">
            <v>201810</v>
          </cell>
          <cell r="C285" t="str">
            <v>4600064661</v>
          </cell>
          <cell r="D285" t="str">
            <v>164220C</v>
          </cell>
          <cell r="E285">
            <v>120</v>
          </cell>
          <cell r="F285">
            <v>43520</v>
          </cell>
          <cell r="G285" t="str">
            <v>OK</v>
          </cell>
        </row>
        <row r="286">
          <cell r="A286" t="str">
            <v>Y1902-0434</v>
          </cell>
          <cell r="B286">
            <v>201810</v>
          </cell>
          <cell r="C286" t="str">
            <v>4600064662</v>
          </cell>
          <cell r="D286" t="str">
            <v>164059C</v>
          </cell>
          <cell r="E286">
            <v>180</v>
          </cell>
          <cell r="F286">
            <v>43520</v>
          </cell>
          <cell r="G286" t="str">
            <v>OK</v>
          </cell>
        </row>
        <row r="287">
          <cell r="A287" t="str">
            <v>Y1902-0435</v>
          </cell>
          <cell r="B287">
            <v>201810</v>
          </cell>
          <cell r="C287" t="str">
            <v>4600064663</v>
          </cell>
          <cell r="D287" t="str">
            <v>164361C</v>
          </cell>
          <cell r="E287">
            <v>120</v>
          </cell>
          <cell r="F287">
            <v>43520</v>
          </cell>
          <cell r="G287" t="str">
            <v>OK</v>
          </cell>
        </row>
        <row r="288">
          <cell r="A288" t="str">
            <v>Y1902-0436</v>
          </cell>
          <cell r="B288">
            <v>201810</v>
          </cell>
          <cell r="C288" t="str">
            <v>4600064664</v>
          </cell>
          <cell r="D288" t="str">
            <v>564206C</v>
          </cell>
          <cell r="E288">
            <v>384</v>
          </cell>
          <cell r="F288">
            <v>43520</v>
          </cell>
          <cell r="G288" t="str">
            <v>OK</v>
          </cell>
        </row>
        <row r="289">
          <cell r="A289" t="str">
            <v>Y1902-0437</v>
          </cell>
          <cell r="B289">
            <v>201810</v>
          </cell>
          <cell r="C289" t="str">
            <v>4600064665</v>
          </cell>
          <cell r="D289" t="str">
            <v>364169C</v>
          </cell>
          <cell r="E289">
            <v>468</v>
          </cell>
          <cell r="F289">
            <v>43520</v>
          </cell>
          <cell r="G289" t="str">
            <v>OK</v>
          </cell>
        </row>
        <row r="290">
          <cell r="A290" t="str">
            <v>Y1902-0438</v>
          </cell>
          <cell r="B290">
            <v>201810</v>
          </cell>
          <cell r="C290" t="str">
            <v>4600064666</v>
          </cell>
          <cell r="D290" t="str">
            <v>364170C</v>
          </cell>
          <cell r="E290">
            <v>276</v>
          </cell>
          <cell r="F290">
            <v>43520</v>
          </cell>
          <cell r="G290" t="str">
            <v>OK</v>
          </cell>
        </row>
        <row r="291">
          <cell r="A291" t="str">
            <v>Y1902-0442</v>
          </cell>
          <cell r="B291">
            <v>201810</v>
          </cell>
          <cell r="C291" t="str">
            <v>4600064670</v>
          </cell>
          <cell r="D291" t="str">
            <v>164360C</v>
          </cell>
          <cell r="E291">
            <v>276</v>
          </cell>
          <cell r="F291">
            <v>43520</v>
          </cell>
          <cell r="G291" t="str">
            <v>OK</v>
          </cell>
        </row>
        <row r="292">
          <cell r="A292" t="str">
            <v>Y1902-0443</v>
          </cell>
          <cell r="B292">
            <v>201810</v>
          </cell>
          <cell r="C292" t="str">
            <v>4600064671</v>
          </cell>
          <cell r="D292" t="str">
            <v>164360C</v>
          </cell>
          <cell r="E292">
            <v>120</v>
          </cell>
          <cell r="F292">
            <v>43520</v>
          </cell>
          <cell r="G292" t="str">
            <v>OK</v>
          </cell>
        </row>
        <row r="293">
          <cell r="A293" t="str">
            <v>Y1902-0444</v>
          </cell>
          <cell r="B293">
            <v>201810</v>
          </cell>
          <cell r="C293" t="str">
            <v>4600064673</v>
          </cell>
          <cell r="D293" t="str">
            <v>164359C</v>
          </cell>
          <cell r="E293">
            <v>120</v>
          </cell>
          <cell r="F293">
            <v>43520</v>
          </cell>
          <cell r="G293" t="str">
            <v>OK</v>
          </cell>
        </row>
        <row r="294">
          <cell r="A294" t="str">
            <v>Y1902-0445</v>
          </cell>
          <cell r="B294">
            <v>201810</v>
          </cell>
          <cell r="C294" t="str">
            <v>4600064674</v>
          </cell>
          <cell r="D294" t="str">
            <v>164058C</v>
          </cell>
          <cell r="E294">
            <v>240</v>
          </cell>
          <cell r="F294">
            <v>43520</v>
          </cell>
          <cell r="G294" t="str">
            <v>OK</v>
          </cell>
        </row>
        <row r="295">
          <cell r="A295" t="str">
            <v>Y1902-0446</v>
          </cell>
          <cell r="B295">
            <v>201810</v>
          </cell>
          <cell r="C295" t="str">
            <v>4600064675</v>
          </cell>
          <cell r="D295" t="str">
            <v>7J253C</v>
          </cell>
          <cell r="E295">
            <v>2832</v>
          </cell>
          <cell r="F295">
            <v>43509</v>
          </cell>
          <cell r="G295" t="str">
            <v>OK</v>
          </cell>
        </row>
        <row r="296">
          <cell r="A296" t="str">
            <v>Y1902-0447</v>
          </cell>
          <cell r="B296">
            <v>201810</v>
          </cell>
          <cell r="C296" t="str">
            <v>4600064676</v>
          </cell>
          <cell r="D296" t="str">
            <v>564205C</v>
          </cell>
          <cell r="E296">
            <v>384</v>
          </cell>
          <cell r="F296">
            <v>43520</v>
          </cell>
          <cell r="G296" t="str">
            <v>OK</v>
          </cell>
        </row>
        <row r="297">
          <cell r="A297" t="str">
            <v>Y1902-0449</v>
          </cell>
          <cell r="B297">
            <v>201810</v>
          </cell>
          <cell r="C297" t="str">
            <v>4600064678</v>
          </cell>
          <cell r="D297" t="str">
            <v>364170C</v>
          </cell>
          <cell r="E297">
            <v>480</v>
          </cell>
          <cell r="F297">
            <v>43520</v>
          </cell>
          <cell r="G297" t="str">
            <v>OK</v>
          </cell>
        </row>
        <row r="298">
          <cell r="A298" t="str">
            <v>Y1902-0450</v>
          </cell>
          <cell r="B298">
            <v>201810</v>
          </cell>
          <cell r="C298" t="str">
            <v>4600064679</v>
          </cell>
          <cell r="D298" t="str">
            <v>564207C</v>
          </cell>
          <cell r="E298">
            <v>120</v>
          </cell>
          <cell r="F298">
            <v>43520</v>
          </cell>
          <cell r="G298" t="str">
            <v>OK</v>
          </cell>
        </row>
        <row r="299">
          <cell r="A299" t="str">
            <v>Y1902-0453</v>
          </cell>
          <cell r="B299">
            <v>201810</v>
          </cell>
          <cell r="C299" t="str">
            <v>4600064682</v>
          </cell>
          <cell r="D299" t="str">
            <v>564204C</v>
          </cell>
          <cell r="E299">
            <v>120</v>
          </cell>
          <cell r="F299">
            <v>43520</v>
          </cell>
          <cell r="G299" t="str">
            <v>OK</v>
          </cell>
        </row>
        <row r="300">
          <cell r="A300" t="str">
            <v>Y1902-0455</v>
          </cell>
          <cell r="B300">
            <v>201810</v>
          </cell>
          <cell r="C300" t="str">
            <v>4600064684</v>
          </cell>
          <cell r="D300" t="str">
            <v>564154C</v>
          </cell>
          <cell r="E300">
            <v>528</v>
          </cell>
          <cell r="F300">
            <v>43520</v>
          </cell>
          <cell r="G300" t="str">
            <v>OK</v>
          </cell>
        </row>
        <row r="301">
          <cell r="A301" t="str">
            <v>Y1902-0456</v>
          </cell>
          <cell r="B301">
            <v>201810</v>
          </cell>
          <cell r="C301" t="str">
            <v>4600064685</v>
          </cell>
          <cell r="D301" t="str">
            <v>564152C</v>
          </cell>
          <cell r="E301">
            <v>240</v>
          </cell>
          <cell r="F301">
            <v>43520</v>
          </cell>
          <cell r="G301" t="str">
            <v>OK</v>
          </cell>
        </row>
        <row r="302">
          <cell r="A302" t="str">
            <v>Y1902-0458</v>
          </cell>
          <cell r="B302">
            <v>201810</v>
          </cell>
          <cell r="C302" t="str">
            <v>4600064687</v>
          </cell>
          <cell r="D302" t="str">
            <v>3J234C</v>
          </cell>
          <cell r="E302">
            <v>1584</v>
          </cell>
          <cell r="F302">
            <v>43509</v>
          </cell>
          <cell r="G302" t="str">
            <v>OK</v>
          </cell>
        </row>
        <row r="303">
          <cell r="A303" t="str">
            <v>Y1902-0460</v>
          </cell>
          <cell r="B303">
            <v>201810</v>
          </cell>
          <cell r="C303" t="str">
            <v>4600064689</v>
          </cell>
          <cell r="D303" t="str">
            <v>564151C</v>
          </cell>
          <cell r="E303">
            <v>408</v>
          </cell>
          <cell r="F303">
            <v>43520</v>
          </cell>
          <cell r="G303" t="str">
            <v>OK</v>
          </cell>
        </row>
        <row r="304">
          <cell r="A304" t="str">
            <v>Y1902-0461</v>
          </cell>
          <cell r="B304">
            <v>201810</v>
          </cell>
          <cell r="C304" t="str">
            <v>4600064690</v>
          </cell>
          <cell r="D304" t="str">
            <v>764173C</v>
          </cell>
          <cell r="E304">
            <v>276</v>
          </cell>
          <cell r="F304">
            <v>43520</v>
          </cell>
          <cell r="G304" t="str">
            <v>OK</v>
          </cell>
        </row>
        <row r="305">
          <cell r="A305" t="str">
            <v>Y1902-0463</v>
          </cell>
          <cell r="B305">
            <v>201810</v>
          </cell>
          <cell r="C305" t="str">
            <v>4600064692</v>
          </cell>
          <cell r="D305" t="str">
            <v>764172C</v>
          </cell>
          <cell r="E305">
            <v>288</v>
          </cell>
          <cell r="F305">
            <v>43520</v>
          </cell>
          <cell r="G305" t="str">
            <v>OK</v>
          </cell>
        </row>
        <row r="306">
          <cell r="A306" t="str">
            <v>Y1902-0464</v>
          </cell>
          <cell r="B306">
            <v>201810</v>
          </cell>
          <cell r="C306" t="str">
            <v>4600064693</v>
          </cell>
          <cell r="D306" t="str">
            <v>764173C</v>
          </cell>
          <cell r="E306">
            <v>420</v>
          </cell>
          <cell r="F306">
            <v>43520</v>
          </cell>
          <cell r="G306" t="str">
            <v>OK</v>
          </cell>
        </row>
        <row r="307">
          <cell r="A307" t="str">
            <v>Y1902-0465</v>
          </cell>
          <cell r="B307">
            <v>201810</v>
          </cell>
          <cell r="C307" t="str">
            <v>4600064694</v>
          </cell>
          <cell r="D307" t="str">
            <v>155066C</v>
          </cell>
          <cell r="E307">
            <v>1224</v>
          </cell>
          <cell r="F307">
            <v>43516</v>
          </cell>
          <cell r="G307" t="str">
            <v>OK</v>
          </cell>
        </row>
        <row r="308">
          <cell r="A308" t="str">
            <v>Y1902-0466</v>
          </cell>
          <cell r="B308">
            <v>201810</v>
          </cell>
          <cell r="C308" t="str">
            <v>4600064695</v>
          </cell>
          <cell r="D308" t="str">
            <v>7J256C</v>
          </cell>
          <cell r="E308">
            <v>5664</v>
          </cell>
          <cell r="F308">
            <v>43509</v>
          </cell>
          <cell r="G308" t="str">
            <v>OK</v>
          </cell>
        </row>
        <row r="309">
          <cell r="A309" t="str">
            <v>Y1902-0467</v>
          </cell>
          <cell r="B309">
            <v>201810</v>
          </cell>
          <cell r="C309" t="str">
            <v>4600064696</v>
          </cell>
          <cell r="D309" t="str">
            <v>164282C</v>
          </cell>
          <cell r="E309">
            <v>180</v>
          </cell>
          <cell r="F309">
            <v>43520</v>
          </cell>
          <cell r="G309" t="str">
            <v>OK</v>
          </cell>
        </row>
        <row r="310">
          <cell r="A310" t="str">
            <v>Y1902-0468</v>
          </cell>
          <cell r="B310">
            <v>201810</v>
          </cell>
          <cell r="C310" t="str">
            <v>4600064697</v>
          </cell>
          <cell r="D310" t="str">
            <v>164281C</v>
          </cell>
          <cell r="E310">
            <v>300</v>
          </cell>
          <cell r="F310">
            <v>43520</v>
          </cell>
          <cell r="G310" t="str">
            <v>OK</v>
          </cell>
        </row>
        <row r="311">
          <cell r="A311" t="str">
            <v>Y1902-0469</v>
          </cell>
          <cell r="B311">
            <v>201810</v>
          </cell>
          <cell r="C311" t="str">
            <v>4600064698</v>
          </cell>
          <cell r="D311" t="str">
            <v>164218C</v>
          </cell>
          <cell r="E311">
            <v>120</v>
          </cell>
          <cell r="F311">
            <v>43520</v>
          </cell>
          <cell r="G311" t="str">
            <v>OK</v>
          </cell>
        </row>
        <row r="312">
          <cell r="A312" t="str">
            <v>Y1902-0470</v>
          </cell>
          <cell r="B312">
            <v>201810</v>
          </cell>
          <cell r="C312" t="str">
            <v>4600064699</v>
          </cell>
          <cell r="D312" t="str">
            <v>164060C</v>
          </cell>
          <cell r="E312">
            <v>240</v>
          </cell>
          <cell r="F312">
            <v>43520</v>
          </cell>
          <cell r="G312" t="str">
            <v>OK</v>
          </cell>
        </row>
        <row r="313">
          <cell r="A313" t="str">
            <v>Y1902-0471</v>
          </cell>
          <cell r="B313">
            <v>201810</v>
          </cell>
          <cell r="C313" t="str">
            <v>4600064700</v>
          </cell>
          <cell r="D313" t="str">
            <v>3J256C</v>
          </cell>
          <cell r="E313">
            <v>8688</v>
          </cell>
          <cell r="F313">
            <v>43509</v>
          </cell>
          <cell r="G313" t="str">
            <v>OK</v>
          </cell>
        </row>
        <row r="314">
          <cell r="A314" t="str">
            <v>Y1902-0473</v>
          </cell>
          <cell r="B314">
            <v>201810</v>
          </cell>
          <cell r="C314" t="str">
            <v>4600064702</v>
          </cell>
          <cell r="D314" t="str">
            <v>155064C</v>
          </cell>
          <cell r="E314">
            <v>2700</v>
          </cell>
          <cell r="F314">
            <v>43516</v>
          </cell>
          <cell r="G314" t="str">
            <v>OK</v>
          </cell>
        </row>
        <row r="315">
          <cell r="A315" t="str">
            <v>Y1902-0474</v>
          </cell>
          <cell r="B315">
            <v>201810</v>
          </cell>
          <cell r="C315" t="str">
            <v>4600064703</v>
          </cell>
          <cell r="D315" t="str">
            <v>7J238C</v>
          </cell>
          <cell r="E315">
            <v>1116</v>
          </cell>
          <cell r="F315">
            <v>43509</v>
          </cell>
          <cell r="G315" t="str">
            <v>OK</v>
          </cell>
        </row>
        <row r="316">
          <cell r="A316" t="str">
            <v>Y1902-0475</v>
          </cell>
          <cell r="B316">
            <v>201810</v>
          </cell>
          <cell r="C316" t="str">
            <v>4600064704</v>
          </cell>
          <cell r="D316" t="str">
            <v>7J234C</v>
          </cell>
          <cell r="E316">
            <v>1020</v>
          </cell>
          <cell r="F316">
            <v>43509</v>
          </cell>
          <cell r="G316" t="str">
            <v>OK</v>
          </cell>
        </row>
        <row r="317">
          <cell r="A317" t="str">
            <v>Y1902-0476</v>
          </cell>
          <cell r="B317">
            <v>201810</v>
          </cell>
          <cell r="C317" t="str">
            <v>4600064705</v>
          </cell>
          <cell r="D317" t="str">
            <v>7J232C</v>
          </cell>
          <cell r="E317">
            <v>708</v>
          </cell>
          <cell r="F317">
            <v>43509</v>
          </cell>
          <cell r="G317" t="str">
            <v>OK</v>
          </cell>
        </row>
        <row r="318">
          <cell r="A318" t="str">
            <v>Y1902-0477</v>
          </cell>
          <cell r="B318">
            <v>201810</v>
          </cell>
          <cell r="C318" t="str">
            <v>4600064706</v>
          </cell>
          <cell r="D318" t="str">
            <v>164361C</v>
          </cell>
          <cell r="E318">
            <v>216</v>
          </cell>
          <cell r="F318">
            <v>43520</v>
          </cell>
          <cell r="G318" t="str">
            <v>OK</v>
          </cell>
        </row>
        <row r="319">
          <cell r="A319" t="str">
            <v>Y1902-0478</v>
          </cell>
          <cell r="B319">
            <v>201810</v>
          </cell>
          <cell r="C319" t="str">
            <v>4600064707</v>
          </cell>
          <cell r="D319" t="str">
            <v>164360C</v>
          </cell>
          <cell r="E319">
            <v>240</v>
          </cell>
          <cell r="F319">
            <v>43520</v>
          </cell>
          <cell r="G319" t="str">
            <v>OK</v>
          </cell>
        </row>
        <row r="320">
          <cell r="A320" t="str">
            <v>Y1902-0479</v>
          </cell>
          <cell r="B320">
            <v>201810</v>
          </cell>
          <cell r="C320" t="str">
            <v>4600064708</v>
          </cell>
          <cell r="D320" t="str">
            <v>M7652C</v>
          </cell>
          <cell r="E320">
            <v>13284</v>
          </cell>
          <cell r="F320">
            <v>43509</v>
          </cell>
          <cell r="G320" t="str">
            <v>OK</v>
          </cell>
        </row>
        <row r="321">
          <cell r="A321" t="str">
            <v>Y1902-0481</v>
          </cell>
          <cell r="B321">
            <v>201810</v>
          </cell>
          <cell r="C321" t="str">
            <v>4600064763</v>
          </cell>
          <cell r="D321" t="str">
            <v>155066C</v>
          </cell>
          <cell r="E321">
            <v>444</v>
          </cell>
          <cell r="F321">
            <v>43516</v>
          </cell>
          <cell r="G321" t="str">
            <v>OK</v>
          </cell>
        </row>
        <row r="322">
          <cell r="A322" t="str">
            <v>Y1902-0482</v>
          </cell>
          <cell r="B322">
            <v>201810</v>
          </cell>
          <cell r="C322" t="str">
            <v>4600064764</v>
          </cell>
          <cell r="D322" t="str">
            <v>155064C</v>
          </cell>
          <cell r="E322">
            <v>672</v>
          </cell>
          <cell r="F322">
            <v>43514</v>
          </cell>
          <cell r="G322" t="str">
            <v>OK</v>
          </cell>
        </row>
        <row r="323">
          <cell r="A323" t="str">
            <v>Y1902-0483</v>
          </cell>
          <cell r="B323">
            <v>201810</v>
          </cell>
          <cell r="C323" t="str">
            <v>4600064765</v>
          </cell>
          <cell r="D323" t="str">
            <v>164393C</v>
          </cell>
          <cell r="E323">
            <v>168</v>
          </cell>
          <cell r="F323">
            <v>43523</v>
          </cell>
          <cell r="G323" t="str">
            <v>OK</v>
          </cell>
        </row>
        <row r="324">
          <cell r="A324" t="str">
            <v>Y1902-0484</v>
          </cell>
          <cell r="B324">
            <v>201810</v>
          </cell>
          <cell r="C324" t="str">
            <v>4600064766</v>
          </cell>
          <cell r="D324" t="str">
            <v>164391C</v>
          </cell>
          <cell r="E324">
            <v>2328</v>
          </cell>
          <cell r="F324">
            <v>43523</v>
          </cell>
          <cell r="G324" t="str">
            <v>OK</v>
          </cell>
        </row>
        <row r="325">
          <cell r="A325" t="str">
            <v>Y1902-0485</v>
          </cell>
          <cell r="B325">
            <v>201810</v>
          </cell>
          <cell r="C325" t="str">
            <v>4600064767</v>
          </cell>
          <cell r="D325" t="str">
            <v>164390C</v>
          </cell>
          <cell r="E325">
            <v>276</v>
          </cell>
          <cell r="F325">
            <v>43523</v>
          </cell>
          <cell r="G325" t="str">
            <v>OK</v>
          </cell>
        </row>
        <row r="326">
          <cell r="A326" t="str">
            <v>Y1902-0486</v>
          </cell>
          <cell r="B326">
            <v>201810</v>
          </cell>
          <cell r="C326" t="str">
            <v>4600064768</v>
          </cell>
          <cell r="D326" t="str">
            <v>163269C</v>
          </cell>
          <cell r="E326">
            <v>1092</v>
          </cell>
          <cell r="F326">
            <v>43509</v>
          </cell>
          <cell r="G326" t="str">
            <v>12/20</v>
          </cell>
        </row>
        <row r="327">
          <cell r="A327" t="str">
            <v>Y1902-0487</v>
          </cell>
          <cell r="B327">
            <v>201810</v>
          </cell>
          <cell r="C327" t="str">
            <v>4600064769</v>
          </cell>
          <cell r="D327" t="str">
            <v>164525C</v>
          </cell>
          <cell r="E327">
            <v>2100</v>
          </cell>
          <cell r="F327">
            <v>43509</v>
          </cell>
          <cell r="G327" t="str">
            <v>OK</v>
          </cell>
        </row>
        <row r="328">
          <cell r="A328" t="str">
            <v>Y1902-0488</v>
          </cell>
          <cell r="B328">
            <v>201810</v>
          </cell>
          <cell r="C328" t="str">
            <v>4600064771</v>
          </cell>
          <cell r="D328" t="str">
            <v>161603C</v>
          </cell>
          <cell r="E328">
            <v>528</v>
          </cell>
          <cell r="F328">
            <v>43516</v>
          </cell>
          <cell r="G328" t="str">
            <v>OK</v>
          </cell>
        </row>
        <row r="329">
          <cell r="A329" t="str">
            <v>Y1902-0489</v>
          </cell>
          <cell r="B329">
            <v>201810</v>
          </cell>
          <cell r="C329" t="str">
            <v>4600064772</v>
          </cell>
          <cell r="D329" t="str">
            <v>161599C</v>
          </cell>
          <cell r="E329">
            <v>720</v>
          </cell>
          <cell r="F329">
            <v>43516</v>
          </cell>
          <cell r="G329" t="str">
            <v>OK</v>
          </cell>
        </row>
        <row r="330">
          <cell r="A330" t="str">
            <v>Y1902-0490</v>
          </cell>
          <cell r="B330">
            <v>201810</v>
          </cell>
          <cell r="C330" t="str">
            <v>4600064773</v>
          </cell>
          <cell r="D330" t="str">
            <v>161599C</v>
          </cell>
          <cell r="E330">
            <v>480</v>
          </cell>
          <cell r="F330">
            <v>43516</v>
          </cell>
          <cell r="G330" t="str">
            <v>OK</v>
          </cell>
        </row>
        <row r="331">
          <cell r="A331" t="str">
            <v>Y1902-0491</v>
          </cell>
          <cell r="B331">
            <v>201810</v>
          </cell>
          <cell r="C331" t="str">
            <v>4600064775</v>
          </cell>
          <cell r="D331" t="str">
            <v>664184C</v>
          </cell>
          <cell r="E331">
            <v>528</v>
          </cell>
          <cell r="F331">
            <v>43523</v>
          </cell>
          <cell r="G331" t="str">
            <v>OK</v>
          </cell>
        </row>
        <row r="332">
          <cell r="A332" t="str">
            <v>Y1902-0492</v>
          </cell>
          <cell r="B332">
            <v>201810</v>
          </cell>
          <cell r="C332" t="str">
            <v>4600064783</v>
          </cell>
          <cell r="D332" t="str">
            <v>159786C</v>
          </cell>
          <cell r="E332">
            <v>600</v>
          </cell>
          <cell r="F332">
            <v>43514</v>
          </cell>
          <cell r="G332" t="str">
            <v>OK</v>
          </cell>
        </row>
        <row r="333">
          <cell r="A333" t="str">
            <v>Y1902-0493</v>
          </cell>
          <cell r="B333">
            <v>201810</v>
          </cell>
          <cell r="C333" t="str">
            <v>4600064784</v>
          </cell>
          <cell r="D333" t="str">
            <v>159786C</v>
          </cell>
          <cell r="E333">
            <v>1572</v>
          </cell>
          <cell r="F333">
            <v>43514</v>
          </cell>
          <cell r="G333" t="str">
            <v>OK</v>
          </cell>
        </row>
        <row r="334">
          <cell r="A334" t="str">
            <v>Y1902-0494</v>
          </cell>
          <cell r="B334">
            <v>201810</v>
          </cell>
          <cell r="C334" t="str">
            <v>4600064785</v>
          </cell>
          <cell r="D334" t="str">
            <v>155064C</v>
          </cell>
          <cell r="E334">
            <v>1956</v>
          </cell>
          <cell r="F334">
            <v>43514</v>
          </cell>
          <cell r="G334" t="str">
            <v>OK</v>
          </cell>
        </row>
        <row r="335">
          <cell r="A335" t="str">
            <v>Y1902-0495</v>
          </cell>
          <cell r="B335">
            <v>201810</v>
          </cell>
          <cell r="C335" t="str">
            <v>4600064786</v>
          </cell>
          <cell r="D335" t="str">
            <v>164281C</v>
          </cell>
          <cell r="E335">
            <v>1596</v>
          </cell>
          <cell r="F335">
            <v>43514</v>
          </cell>
          <cell r="G335" t="str">
            <v>OK</v>
          </cell>
        </row>
        <row r="336">
          <cell r="A336" t="str">
            <v>Y1902-0496</v>
          </cell>
          <cell r="B336">
            <v>201810</v>
          </cell>
          <cell r="C336" t="str">
            <v>4600064790</v>
          </cell>
          <cell r="D336" t="str">
            <v>164281C</v>
          </cell>
          <cell r="E336">
            <v>924</v>
          </cell>
          <cell r="F336">
            <v>43514</v>
          </cell>
          <cell r="G336" t="str">
            <v>OK</v>
          </cell>
        </row>
        <row r="337">
          <cell r="A337" t="str">
            <v>Y1902-0497</v>
          </cell>
          <cell r="B337">
            <v>201810</v>
          </cell>
          <cell r="C337" t="str">
            <v>4600064791</v>
          </cell>
          <cell r="D337" t="str">
            <v>164280C</v>
          </cell>
          <cell r="E337">
            <v>1824</v>
          </cell>
          <cell r="F337">
            <v>43514</v>
          </cell>
          <cell r="G337" t="str">
            <v>OK</v>
          </cell>
        </row>
        <row r="338">
          <cell r="A338" t="str">
            <v>Y1902-0498</v>
          </cell>
          <cell r="B338">
            <v>201810</v>
          </cell>
          <cell r="C338" t="str">
            <v>4600064792</v>
          </cell>
          <cell r="D338" t="str">
            <v>164280C</v>
          </cell>
          <cell r="E338">
            <v>1452</v>
          </cell>
          <cell r="F338">
            <v>43514</v>
          </cell>
          <cell r="G338" t="str">
            <v>OK</v>
          </cell>
        </row>
        <row r="339">
          <cell r="A339" t="str">
            <v>Y1902-0546</v>
          </cell>
          <cell r="B339">
            <v>201811</v>
          </cell>
          <cell r="C339" t="str">
            <v>0100179962</v>
          </cell>
          <cell r="D339">
            <v>88877</v>
          </cell>
          <cell r="E339">
            <v>360</v>
          </cell>
          <cell r="F339">
            <v>43510</v>
          </cell>
          <cell r="G339" t="str">
            <v>12/24</v>
          </cell>
        </row>
        <row r="340">
          <cell r="A340" t="str">
            <v>Y1902-0501</v>
          </cell>
          <cell r="B340">
            <v>201811</v>
          </cell>
          <cell r="C340" t="str">
            <v>0100179970</v>
          </cell>
          <cell r="D340" t="str">
            <v>165598C</v>
          </cell>
          <cell r="E340">
            <v>18</v>
          </cell>
          <cell r="F340">
            <v>43512</v>
          </cell>
          <cell r="G340" t="str">
            <v>12/25</v>
          </cell>
        </row>
        <row r="341">
          <cell r="A341" t="str">
            <v>Y1902-0547</v>
          </cell>
          <cell r="B341">
            <v>201811</v>
          </cell>
          <cell r="C341" t="str">
            <v>0100179972</v>
          </cell>
          <cell r="D341" t="str">
            <v>M7650C</v>
          </cell>
          <cell r="E341">
            <v>408</v>
          </cell>
          <cell r="F341">
            <v>43510</v>
          </cell>
          <cell r="G341" t="str">
            <v>12/20</v>
          </cell>
        </row>
        <row r="342">
          <cell r="A342" t="str">
            <v>Y1902-0548</v>
          </cell>
          <cell r="B342">
            <v>201811</v>
          </cell>
          <cell r="C342" t="str">
            <v>0100179973</v>
          </cell>
          <cell r="D342" t="str">
            <v>M7652C</v>
          </cell>
          <cell r="E342">
            <v>5556</v>
          </cell>
          <cell r="F342">
            <v>43510</v>
          </cell>
          <cell r="G342" t="str">
            <v>12/21</v>
          </cell>
        </row>
        <row r="343">
          <cell r="A343" t="str">
            <v>Y1902-0549</v>
          </cell>
          <cell r="B343">
            <v>201811</v>
          </cell>
          <cell r="C343" t="str">
            <v>0100179975</v>
          </cell>
          <cell r="D343" t="str">
            <v>7J256C</v>
          </cell>
          <cell r="E343">
            <v>1572</v>
          </cell>
          <cell r="F343">
            <v>43510</v>
          </cell>
          <cell r="G343" t="str">
            <v>12/21</v>
          </cell>
        </row>
        <row r="344">
          <cell r="A344" t="str">
            <v>Y1902-0551</v>
          </cell>
          <cell r="B344">
            <v>201811</v>
          </cell>
          <cell r="C344" t="str">
            <v>0100179979</v>
          </cell>
          <cell r="D344" t="str">
            <v>264477F</v>
          </cell>
          <cell r="E344">
            <v>972</v>
          </cell>
          <cell r="F344">
            <v>43510</v>
          </cell>
          <cell r="G344" t="str">
            <v>12/20</v>
          </cell>
        </row>
        <row r="345">
          <cell r="A345" t="str">
            <v>Y1902-0552</v>
          </cell>
          <cell r="B345">
            <v>201811</v>
          </cell>
          <cell r="C345" t="str">
            <v>0100179980</v>
          </cell>
          <cell r="D345" t="str">
            <v>M7652C</v>
          </cell>
          <cell r="E345">
            <v>900</v>
          </cell>
          <cell r="F345">
            <v>43511</v>
          </cell>
          <cell r="G345" t="str">
            <v>12/25</v>
          </cell>
        </row>
        <row r="346">
          <cell r="A346" t="str">
            <v>Y1902-0553</v>
          </cell>
          <cell r="B346">
            <v>201811</v>
          </cell>
          <cell r="C346" t="str">
            <v>0100179981</v>
          </cell>
          <cell r="D346" t="str">
            <v>M7652C</v>
          </cell>
          <cell r="E346">
            <v>780</v>
          </cell>
          <cell r="F346">
            <v>43511</v>
          </cell>
          <cell r="G346" t="str">
            <v>12/21</v>
          </cell>
        </row>
        <row r="347">
          <cell r="A347" t="str">
            <v>Y1902-0555</v>
          </cell>
          <cell r="B347">
            <v>201811</v>
          </cell>
          <cell r="C347" t="str">
            <v>0100179983</v>
          </cell>
          <cell r="D347" t="str">
            <v>158427C</v>
          </cell>
          <cell r="E347">
            <v>1800</v>
          </cell>
          <cell r="F347">
            <v>43513</v>
          </cell>
          <cell r="G347" t="str">
            <v>12/24</v>
          </cell>
        </row>
        <row r="348">
          <cell r="A348" t="str">
            <v>Y1902-0556</v>
          </cell>
          <cell r="B348">
            <v>201811</v>
          </cell>
          <cell r="C348" t="str">
            <v>0100179984</v>
          </cell>
          <cell r="D348" t="str">
            <v>161602C</v>
          </cell>
          <cell r="E348">
            <v>1008</v>
          </cell>
          <cell r="F348">
            <v>43513</v>
          </cell>
          <cell r="G348" t="str">
            <v>12/25</v>
          </cell>
        </row>
        <row r="349">
          <cell r="A349" t="str">
            <v>Y1902-0502</v>
          </cell>
          <cell r="B349">
            <v>201811</v>
          </cell>
          <cell r="C349" t="str">
            <v>0100179991</v>
          </cell>
          <cell r="D349" t="str">
            <v>165598C</v>
          </cell>
          <cell r="E349">
            <v>1169</v>
          </cell>
          <cell r="F349">
            <v>43512</v>
          </cell>
          <cell r="G349" t="str">
            <v>12/25</v>
          </cell>
        </row>
        <row r="350">
          <cell r="A350" t="str">
            <v>Y1903-0139</v>
          </cell>
          <cell r="B350">
            <v>201811</v>
          </cell>
          <cell r="C350" t="str">
            <v>0100179992</v>
          </cell>
          <cell r="D350" t="str">
            <v>164360C</v>
          </cell>
          <cell r="E350">
            <v>1848</v>
          </cell>
          <cell r="F350">
            <v>43516</v>
          </cell>
          <cell r="G350" t="str">
            <v>12/24</v>
          </cell>
        </row>
        <row r="351">
          <cell r="A351" t="str">
            <v>Y1902-0559</v>
          </cell>
          <cell r="B351">
            <v>201811</v>
          </cell>
          <cell r="C351" t="str">
            <v>0100179994</v>
          </cell>
          <cell r="D351" t="str">
            <v>1J793C</v>
          </cell>
          <cell r="E351">
            <v>276</v>
          </cell>
          <cell r="F351">
            <v>43520</v>
          </cell>
          <cell r="G351" t="str">
            <v>12/20</v>
          </cell>
        </row>
        <row r="352">
          <cell r="A352" t="str">
            <v>Y1902-0560</v>
          </cell>
          <cell r="B352">
            <v>201811</v>
          </cell>
          <cell r="C352" t="str">
            <v>0100179995</v>
          </cell>
          <cell r="D352" t="str">
            <v>164025C</v>
          </cell>
          <cell r="E352">
            <v>108</v>
          </cell>
          <cell r="F352">
            <v>43520</v>
          </cell>
          <cell r="G352" t="str">
            <v>CFM</v>
          </cell>
        </row>
        <row r="353">
          <cell r="A353" t="str">
            <v>Y1902-0503</v>
          </cell>
          <cell r="B353">
            <v>201811</v>
          </cell>
          <cell r="C353" t="str">
            <v>0100179996</v>
          </cell>
          <cell r="D353" t="str">
            <v>165598C</v>
          </cell>
          <cell r="E353">
            <v>36</v>
          </cell>
          <cell r="F353">
            <v>43520</v>
          </cell>
          <cell r="G353" t="str">
            <v>12/24</v>
          </cell>
        </row>
        <row r="354">
          <cell r="A354" t="str">
            <v>Y1902-0504</v>
          </cell>
          <cell r="B354">
            <v>201811</v>
          </cell>
          <cell r="C354" t="str">
            <v>0100179997</v>
          </cell>
          <cell r="D354" t="str">
            <v>165598C</v>
          </cell>
          <cell r="E354">
            <v>45</v>
          </cell>
          <cell r="F354">
            <v>43520</v>
          </cell>
          <cell r="G354" t="str">
            <v>12/24</v>
          </cell>
        </row>
        <row r="355">
          <cell r="A355" t="str">
            <v>Y1902-0561</v>
          </cell>
          <cell r="B355">
            <v>201811</v>
          </cell>
          <cell r="C355" t="str">
            <v>0100179998</v>
          </cell>
          <cell r="D355" t="str">
            <v>164025C</v>
          </cell>
          <cell r="E355">
            <v>11</v>
          </cell>
          <cell r="F355">
            <v>43520</v>
          </cell>
          <cell r="G355" t="str">
            <v>01/02</v>
          </cell>
        </row>
        <row r="356">
          <cell r="A356" t="str">
            <v>Y1902-0505</v>
          </cell>
          <cell r="B356">
            <v>201811</v>
          </cell>
          <cell r="C356" t="str">
            <v>0100179999</v>
          </cell>
          <cell r="D356" t="str">
            <v>165598C</v>
          </cell>
          <cell r="E356">
            <v>104</v>
          </cell>
          <cell r="F356">
            <v>43520</v>
          </cell>
          <cell r="G356" t="str">
            <v>12/24</v>
          </cell>
        </row>
        <row r="357">
          <cell r="A357" t="str">
            <v>Y1902-0506</v>
          </cell>
          <cell r="B357">
            <v>201811</v>
          </cell>
          <cell r="C357" t="str">
            <v>0100180000</v>
          </cell>
          <cell r="D357" t="str">
            <v>165598C</v>
          </cell>
          <cell r="E357">
            <v>48</v>
          </cell>
          <cell r="F357">
            <v>43520</v>
          </cell>
          <cell r="G357" t="str">
            <v>12/24</v>
          </cell>
        </row>
        <row r="358">
          <cell r="A358" t="str">
            <v>Y1902-0507</v>
          </cell>
          <cell r="B358">
            <v>201811</v>
          </cell>
          <cell r="C358" t="str">
            <v>0100180001</v>
          </cell>
          <cell r="D358" t="str">
            <v>165598C</v>
          </cell>
          <cell r="E358">
            <v>5723</v>
          </cell>
          <cell r="F358">
            <v>43512</v>
          </cell>
          <cell r="G358" t="str">
            <v>12/24</v>
          </cell>
        </row>
        <row r="359">
          <cell r="A359" t="str">
            <v>Y1902-0562</v>
          </cell>
          <cell r="B359">
            <v>201811</v>
          </cell>
          <cell r="C359" t="str">
            <v>0100180002</v>
          </cell>
          <cell r="D359" t="str">
            <v>1J793C</v>
          </cell>
          <cell r="E359">
            <v>558</v>
          </cell>
          <cell r="F359">
            <v>43517</v>
          </cell>
          <cell r="G359" t="str">
            <v>12/20</v>
          </cell>
        </row>
        <row r="360">
          <cell r="A360" t="str">
            <v>Y1902-0563</v>
          </cell>
          <cell r="B360">
            <v>201811</v>
          </cell>
          <cell r="C360" t="str">
            <v>0100180004</v>
          </cell>
          <cell r="D360" t="str">
            <v>M8437C</v>
          </cell>
          <cell r="E360">
            <v>1824</v>
          </cell>
          <cell r="F360">
            <v>43517</v>
          </cell>
          <cell r="G360" t="str">
            <v>12/21</v>
          </cell>
        </row>
        <row r="361">
          <cell r="A361" t="str">
            <v>Y1902-0564</v>
          </cell>
          <cell r="B361">
            <v>201811</v>
          </cell>
          <cell r="C361" t="str">
            <v>0100180005</v>
          </cell>
          <cell r="D361" t="str">
            <v>155064C</v>
          </cell>
          <cell r="E361">
            <v>1800</v>
          </cell>
          <cell r="F361">
            <v>43516</v>
          </cell>
          <cell r="G361" t="str">
            <v>12/24</v>
          </cell>
        </row>
        <row r="362">
          <cell r="A362" t="str">
            <v>Y1902-0565</v>
          </cell>
          <cell r="B362">
            <v>201811</v>
          </cell>
          <cell r="C362" t="str">
            <v>0100180006</v>
          </cell>
          <cell r="D362" t="str">
            <v>144145C</v>
          </cell>
          <cell r="E362">
            <v>1800</v>
          </cell>
          <cell r="F362">
            <v>43521</v>
          </cell>
          <cell r="G362" t="str">
            <v>12/25</v>
          </cell>
        </row>
        <row r="363">
          <cell r="A363" t="str">
            <v>Y1902-0566</v>
          </cell>
          <cell r="B363">
            <v>201811</v>
          </cell>
          <cell r="C363" t="str">
            <v>0100180007</v>
          </cell>
          <cell r="D363" t="str">
            <v>163110C</v>
          </cell>
          <cell r="E363">
            <v>1440</v>
          </cell>
          <cell r="F363">
            <v>43522</v>
          </cell>
          <cell r="G363" t="str">
            <v>01/02</v>
          </cell>
        </row>
        <row r="364">
          <cell r="A364" t="str">
            <v>Y1902-0567</v>
          </cell>
          <cell r="B364">
            <v>201811</v>
          </cell>
          <cell r="C364" t="str">
            <v>0100180008</v>
          </cell>
          <cell r="D364" t="str">
            <v>1J794C</v>
          </cell>
          <cell r="E364">
            <v>1242</v>
          </cell>
          <cell r="F364">
            <v>43517</v>
          </cell>
          <cell r="G364" t="str">
            <v>12/21</v>
          </cell>
        </row>
        <row r="365">
          <cell r="A365" t="str">
            <v>Y1903-0141</v>
          </cell>
          <cell r="B365">
            <v>201811</v>
          </cell>
          <cell r="C365" t="str">
            <v>0100180009</v>
          </cell>
          <cell r="D365" t="str">
            <v>1J794C</v>
          </cell>
          <cell r="E365">
            <v>1860</v>
          </cell>
          <cell r="F365">
            <v>43519</v>
          </cell>
          <cell r="G365" t="str">
            <v>12/21</v>
          </cell>
        </row>
        <row r="366">
          <cell r="A366" t="str">
            <v>Y1902-0568</v>
          </cell>
          <cell r="B366">
            <v>201811</v>
          </cell>
          <cell r="C366" t="str">
            <v>0100180013</v>
          </cell>
          <cell r="D366" t="str">
            <v>161602C</v>
          </cell>
          <cell r="E366">
            <v>792</v>
          </cell>
          <cell r="F366">
            <v>43516</v>
          </cell>
          <cell r="G366" t="str">
            <v>12/25</v>
          </cell>
        </row>
        <row r="367">
          <cell r="A367" t="str">
            <v>Y1902-0569</v>
          </cell>
          <cell r="B367">
            <v>201811</v>
          </cell>
          <cell r="C367" t="str">
            <v>0100180014</v>
          </cell>
          <cell r="D367" t="str">
            <v>261794C</v>
          </cell>
          <cell r="E367">
            <v>1800</v>
          </cell>
          <cell r="F367">
            <v>43516</v>
          </cell>
          <cell r="G367" t="str">
            <v>12/28</v>
          </cell>
        </row>
        <row r="368">
          <cell r="A368" t="str">
            <v>Y1902-0570</v>
          </cell>
          <cell r="B368">
            <v>201811</v>
          </cell>
          <cell r="C368" t="str">
            <v>0100180017</v>
          </cell>
          <cell r="D368" t="str">
            <v>159792C</v>
          </cell>
          <cell r="E368">
            <v>3720</v>
          </cell>
          <cell r="F368">
            <v>43521</v>
          </cell>
          <cell r="G368" t="str">
            <v>12/24</v>
          </cell>
        </row>
        <row r="369">
          <cell r="A369" t="str">
            <v>Y1902-0571</v>
          </cell>
          <cell r="B369">
            <v>201811</v>
          </cell>
          <cell r="C369" t="str">
            <v>0100180021</v>
          </cell>
          <cell r="D369" t="str">
            <v>664435C</v>
          </cell>
          <cell r="E369">
            <v>1800</v>
          </cell>
          <cell r="F369">
            <v>43522</v>
          </cell>
          <cell r="G369" t="str">
            <v>01/03</v>
          </cell>
        </row>
        <row r="370">
          <cell r="A370" t="str">
            <v>Y1903-0162</v>
          </cell>
          <cell r="B370">
            <v>201811</v>
          </cell>
          <cell r="C370" t="str">
            <v>0100180034</v>
          </cell>
          <cell r="D370" t="str">
            <v>7J256C</v>
          </cell>
          <cell r="E370">
            <v>5076</v>
          </cell>
          <cell r="F370">
            <v>43512</v>
          </cell>
          <cell r="G370" t="str">
            <v>12/25</v>
          </cell>
        </row>
        <row r="371">
          <cell r="A371" t="str">
            <v>Y1903-0163</v>
          </cell>
          <cell r="B371">
            <v>201811</v>
          </cell>
          <cell r="C371" t="str">
            <v>0100180035</v>
          </cell>
          <cell r="D371" t="str">
            <v>M7652C</v>
          </cell>
          <cell r="E371">
            <v>1008</v>
          </cell>
          <cell r="F371">
            <v>43509</v>
          </cell>
          <cell r="G371" t="str">
            <v>12/21</v>
          </cell>
        </row>
        <row r="372">
          <cell r="A372" t="str">
            <v>Y1903-0165</v>
          </cell>
          <cell r="B372">
            <v>201811</v>
          </cell>
          <cell r="C372" t="str">
            <v>0100180037</v>
          </cell>
          <cell r="D372" t="str">
            <v>M7652C</v>
          </cell>
          <cell r="E372">
            <v>5016</v>
          </cell>
          <cell r="F372">
            <v>43512</v>
          </cell>
          <cell r="G372" t="str">
            <v>12/25</v>
          </cell>
        </row>
        <row r="373">
          <cell r="A373" t="str">
            <v>Y1903-0167</v>
          </cell>
          <cell r="B373">
            <v>201811</v>
          </cell>
          <cell r="C373" t="str">
            <v>0100180039</v>
          </cell>
          <cell r="D373" t="str">
            <v>M7652C</v>
          </cell>
          <cell r="E373">
            <v>1512</v>
          </cell>
          <cell r="F373">
            <v>43512</v>
          </cell>
          <cell r="G373" t="str">
            <v>12/25</v>
          </cell>
        </row>
        <row r="374">
          <cell r="A374" t="str">
            <v>Y1903-0168</v>
          </cell>
          <cell r="B374">
            <v>201811</v>
          </cell>
          <cell r="C374" t="str">
            <v>0100180040</v>
          </cell>
          <cell r="D374" t="str">
            <v>M7652C</v>
          </cell>
          <cell r="E374">
            <v>10008</v>
          </cell>
          <cell r="F374">
            <v>43512</v>
          </cell>
          <cell r="G374" t="str">
            <v>12/20</v>
          </cell>
        </row>
        <row r="375">
          <cell r="A375" t="str">
            <v>Y1903-0170</v>
          </cell>
          <cell r="B375">
            <v>201811</v>
          </cell>
          <cell r="C375" t="str">
            <v>0100180042</v>
          </cell>
          <cell r="D375" t="str">
            <v>M7652C</v>
          </cell>
          <cell r="E375">
            <v>2004</v>
          </cell>
          <cell r="F375">
            <v>43512</v>
          </cell>
          <cell r="G375" t="str">
            <v>12/21</v>
          </cell>
        </row>
        <row r="376">
          <cell r="A376" t="str">
            <v>Y1903-0173</v>
          </cell>
          <cell r="B376">
            <v>201811</v>
          </cell>
          <cell r="C376" t="str">
            <v>0100180045</v>
          </cell>
          <cell r="D376" t="str">
            <v>7J256C</v>
          </cell>
          <cell r="E376">
            <v>1176</v>
          </cell>
          <cell r="F376">
            <v>43512</v>
          </cell>
          <cell r="G376" t="str">
            <v>12/25</v>
          </cell>
        </row>
        <row r="377">
          <cell r="A377" t="str">
            <v>Y1903-0177</v>
          </cell>
          <cell r="B377">
            <v>201811</v>
          </cell>
          <cell r="C377" t="str">
            <v>0100180049</v>
          </cell>
          <cell r="D377" t="str">
            <v>7J256C</v>
          </cell>
          <cell r="E377">
            <v>2004</v>
          </cell>
          <cell r="F377">
            <v>43512</v>
          </cell>
          <cell r="G377" t="str">
            <v>12/28</v>
          </cell>
        </row>
        <row r="378">
          <cell r="A378" t="str">
            <v>Y1903-0178</v>
          </cell>
          <cell r="B378">
            <v>201811</v>
          </cell>
          <cell r="C378" t="str">
            <v>0100180050</v>
          </cell>
          <cell r="D378" t="str">
            <v>7J256C</v>
          </cell>
          <cell r="E378">
            <v>2508</v>
          </cell>
          <cell r="F378">
            <v>43512</v>
          </cell>
          <cell r="G378" t="str">
            <v>12/28</v>
          </cell>
        </row>
        <row r="379">
          <cell r="A379" t="str">
            <v>Y1903-0179</v>
          </cell>
          <cell r="B379">
            <v>201811</v>
          </cell>
          <cell r="C379" t="str">
            <v>0100180051</v>
          </cell>
          <cell r="D379" t="str">
            <v>M7652C</v>
          </cell>
          <cell r="E379">
            <v>444</v>
          </cell>
          <cell r="F379">
            <v>43512</v>
          </cell>
          <cell r="G379" t="str">
            <v>12/25</v>
          </cell>
        </row>
        <row r="380">
          <cell r="A380" t="str">
            <v>Y1903-0180</v>
          </cell>
          <cell r="B380">
            <v>201811</v>
          </cell>
          <cell r="C380" t="str">
            <v>0100180052</v>
          </cell>
          <cell r="D380" t="str">
            <v>M7652C</v>
          </cell>
          <cell r="E380">
            <v>420</v>
          </cell>
          <cell r="F380">
            <v>43512</v>
          </cell>
          <cell r="G380" t="str">
            <v>12/28</v>
          </cell>
        </row>
        <row r="381">
          <cell r="A381" t="str">
            <v>Y1903-0181</v>
          </cell>
          <cell r="B381">
            <v>201811</v>
          </cell>
          <cell r="C381" t="str">
            <v>0100180053</v>
          </cell>
          <cell r="D381" t="str">
            <v>M7652C</v>
          </cell>
          <cell r="E381">
            <v>372</v>
          </cell>
          <cell r="F381">
            <v>43512</v>
          </cell>
          <cell r="G381" t="str">
            <v>12/28</v>
          </cell>
        </row>
        <row r="382">
          <cell r="A382" t="str">
            <v>Y1902-0508</v>
          </cell>
          <cell r="B382">
            <v>201811</v>
          </cell>
          <cell r="C382" t="str">
            <v>0100180055</v>
          </cell>
          <cell r="D382" t="str">
            <v>165598C</v>
          </cell>
          <cell r="E382">
            <v>162</v>
          </cell>
          <cell r="F382">
            <v>43512</v>
          </cell>
          <cell r="G382" t="str">
            <v>12/24</v>
          </cell>
        </row>
        <row r="383">
          <cell r="A383" t="str">
            <v>Y1901-0621</v>
          </cell>
          <cell r="B383">
            <v>201811</v>
          </cell>
          <cell r="C383" t="str">
            <v>0100180056</v>
          </cell>
          <cell r="D383" t="str">
            <v>165598C</v>
          </cell>
          <cell r="E383">
            <v>451</v>
          </cell>
          <cell r="F383">
            <v>43512</v>
          </cell>
          <cell r="G383" t="str">
            <v>CFM</v>
          </cell>
        </row>
        <row r="384">
          <cell r="A384" t="str">
            <v>Y1902-0509</v>
          </cell>
          <cell r="B384">
            <v>201811</v>
          </cell>
          <cell r="C384" t="str">
            <v>0100180058</v>
          </cell>
          <cell r="D384" t="str">
            <v>165598C</v>
          </cell>
          <cell r="E384">
            <v>58</v>
          </cell>
          <cell r="F384">
            <v>43512</v>
          </cell>
          <cell r="G384" t="str">
            <v>12/25</v>
          </cell>
        </row>
        <row r="385">
          <cell r="A385" t="str">
            <v>Y1902-0574</v>
          </cell>
          <cell r="B385">
            <v>201811</v>
          </cell>
          <cell r="C385" t="str">
            <v>0100180063</v>
          </cell>
          <cell r="D385">
            <v>88865</v>
          </cell>
          <cell r="E385">
            <v>456</v>
          </cell>
          <cell r="F385">
            <v>43519</v>
          </cell>
          <cell r="G385" t="str">
            <v>12/28</v>
          </cell>
        </row>
        <row r="386">
          <cell r="A386" t="str">
            <v>Y1902-0575</v>
          </cell>
          <cell r="B386">
            <v>201811</v>
          </cell>
          <cell r="C386" t="str">
            <v>0100180064</v>
          </cell>
          <cell r="D386">
            <v>88877</v>
          </cell>
          <cell r="E386">
            <v>804</v>
          </cell>
          <cell r="F386">
            <v>43519</v>
          </cell>
          <cell r="G386" t="str">
            <v>12/24</v>
          </cell>
        </row>
        <row r="387">
          <cell r="A387" t="str">
            <v>Y1902-0576</v>
          </cell>
          <cell r="B387">
            <v>201811</v>
          </cell>
          <cell r="C387" t="str">
            <v>0100180068</v>
          </cell>
          <cell r="D387" t="str">
            <v>5J794</v>
          </cell>
          <cell r="E387">
            <v>912</v>
          </cell>
          <cell r="F387">
            <v>43519</v>
          </cell>
          <cell r="G387" t="str">
            <v>12/21</v>
          </cell>
        </row>
        <row r="388">
          <cell r="A388" t="str">
            <v>Y1902-0577</v>
          </cell>
          <cell r="B388">
            <v>201811</v>
          </cell>
          <cell r="C388" t="str">
            <v>0100180071</v>
          </cell>
          <cell r="D388" t="str">
            <v>1J793</v>
          </cell>
          <cell r="E388">
            <v>498</v>
          </cell>
          <cell r="F388">
            <v>43519</v>
          </cell>
          <cell r="G388" t="str">
            <v>12/20</v>
          </cell>
        </row>
        <row r="389">
          <cell r="A389" t="str">
            <v>Y1902-0578</v>
          </cell>
          <cell r="B389">
            <v>201811</v>
          </cell>
          <cell r="C389" t="str">
            <v>0100180073</v>
          </cell>
          <cell r="D389">
            <v>88871</v>
          </cell>
          <cell r="E389">
            <v>504</v>
          </cell>
          <cell r="F389">
            <v>43517</v>
          </cell>
          <cell r="G389" t="str">
            <v>12/24</v>
          </cell>
        </row>
        <row r="390">
          <cell r="A390" t="str">
            <v>Y1902-0579</v>
          </cell>
          <cell r="B390">
            <v>201811</v>
          </cell>
          <cell r="C390" t="str">
            <v>0100180075</v>
          </cell>
          <cell r="D390">
            <v>88875</v>
          </cell>
          <cell r="E390">
            <v>300</v>
          </cell>
          <cell r="F390">
            <v>43519</v>
          </cell>
          <cell r="G390" t="str">
            <v>12/24</v>
          </cell>
        </row>
        <row r="391">
          <cell r="A391" t="str">
            <v>Y1902-0580</v>
          </cell>
          <cell r="B391">
            <v>201811</v>
          </cell>
          <cell r="C391" t="str">
            <v>0100180076</v>
          </cell>
          <cell r="D391" t="str">
            <v>8J231</v>
          </cell>
          <cell r="E391">
            <v>456</v>
          </cell>
          <cell r="F391">
            <v>43519</v>
          </cell>
          <cell r="G391" t="str">
            <v>12/24</v>
          </cell>
        </row>
        <row r="392">
          <cell r="A392" t="str">
            <v>Y1902-0581</v>
          </cell>
          <cell r="B392">
            <v>201811</v>
          </cell>
          <cell r="C392" t="str">
            <v>0100180077</v>
          </cell>
          <cell r="D392" t="str">
            <v>8J231</v>
          </cell>
          <cell r="E392">
            <v>900</v>
          </cell>
          <cell r="F392">
            <v>43511</v>
          </cell>
          <cell r="G392" t="str">
            <v>12/24</v>
          </cell>
        </row>
        <row r="393">
          <cell r="A393" t="str">
            <v>Y1902-0583</v>
          </cell>
          <cell r="B393">
            <v>201811</v>
          </cell>
          <cell r="C393" t="str">
            <v>0100180085</v>
          </cell>
          <cell r="D393" t="str">
            <v>W9160</v>
          </cell>
          <cell r="E393">
            <v>768</v>
          </cell>
          <cell r="F393">
            <v>43518</v>
          </cell>
          <cell r="G393" t="str">
            <v>12/20</v>
          </cell>
        </row>
        <row r="394">
          <cell r="A394" t="str">
            <v>Y1902-0584</v>
          </cell>
          <cell r="B394">
            <v>201811</v>
          </cell>
          <cell r="C394" t="str">
            <v>0100180086</v>
          </cell>
          <cell r="D394" t="str">
            <v>W9166</v>
          </cell>
          <cell r="E394">
            <v>1608</v>
          </cell>
          <cell r="F394">
            <v>43518</v>
          </cell>
          <cell r="G394" t="str">
            <v>12/20</v>
          </cell>
        </row>
        <row r="395">
          <cell r="A395" t="str">
            <v>Y1902-0585</v>
          </cell>
          <cell r="B395">
            <v>201811</v>
          </cell>
          <cell r="C395" t="str">
            <v>0100180087</v>
          </cell>
          <cell r="D395" t="str">
            <v>1J794</v>
          </cell>
          <cell r="E395">
            <v>588</v>
          </cell>
          <cell r="F395">
            <v>43517</v>
          </cell>
          <cell r="G395" t="str">
            <v>12/21</v>
          </cell>
        </row>
        <row r="396">
          <cell r="A396" t="str">
            <v>Y1902-0586</v>
          </cell>
          <cell r="B396">
            <v>201811</v>
          </cell>
          <cell r="C396" t="str">
            <v>0100180088</v>
          </cell>
          <cell r="D396" t="str">
            <v>1J794</v>
          </cell>
          <cell r="E396">
            <v>468</v>
          </cell>
          <cell r="F396">
            <v>43517</v>
          </cell>
          <cell r="G396" t="str">
            <v>12/21</v>
          </cell>
        </row>
        <row r="397">
          <cell r="A397" t="str">
            <v>Y1902-0587</v>
          </cell>
          <cell r="B397">
            <v>201811</v>
          </cell>
          <cell r="C397" t="str">
            <v>0100180090</v>
          </cell>
          <cell r="D397" t="str">
            <v>3J256</v>
          </cell>
          <cell r="E397">
            <v>1800</v>
          </cell>
          <cell r="F397">
            <v>43511</v>
          </cell>
          <cell r="G397" t="str">
            <v>12/21</v>
          </cell>
        </row>
        <row r="398">
          <cell r="A398" t="str">
            <v>Y1902-0588</v>
          </cell>
          <cell r="B398">
            <v>201811</v>
          </cell>
          <cell r="C398" t="str">
            <v>0100180091</v>
          </cell>
          <cell r="D398" t="str">
            <v>7J256</v>
          </cell>
          <cell r="E398">
            <v>5016</v>
          </cell>
          <cell r="F398">
            <v>43511</v>
          </cell>
          <cell r="G398" t="str">
            <v>12/21</v>
          </cell>
        </row>
        <row r="399">
          <cell r="A399" t="str">
            <v>Y1902-0589</v>
          </cell>
          <cell r="B399">
            <v>201811</v>
          </cell>
          <cell r="C399" t="str">
            <v>0100181193</v>
          </cell>
          <cell r="D399" t="str">
            <v>3J256C</v>
          </cell>
          <cell r="E399">
            <v>600</v>
          </cell>
          <cell r="F399">
            <v>43511</v>
          </cell>
          <cell r="G399" t="str">
            <v>12/21</v>
          </cell>
        </row>
        <row r="400">
          <cell r="A400" t="str">
            <v>Y1902-0511</v>
          </cell>
          <cell r="B400">
            <v>201811</v>
          </cell>
          <cell r="C400" t="str">
            <v>0100181194</v>
          </cell>
          <cell r="D400" t="str">
            <v>165599C</v>
          </cell>
          <cell r="E400">
            <v>1590</v>
          </cell>
          <cell r="F400">
            <v>43512</v>
          </cell>
          <cell r="G400" t="str">
            <v>12/24</v>
          </cell>
        </row>
        <row r="401">
          <cell r="A401" t="str">
            <v>Y1902-0590</v>
          </cell>
          <cell r="B401">
            <v>201811</v>
          </cell>
          <cell r="C401" t="str">
            <v>0100181195</v>
          </cell>
          <cell r="D401" t="str">
            <v>1J794C</v>
          </cell>
          <cell r="E401">
            <v>360</v>
          </cell>
          <cell r="F401">
            <v>43520</v>
          </cell>
          <cell r="G401" t="str">
            <v>12/21</v>
          </cell>
        </row>
        <row r="402">
          <cell r="A402" t="str">
            <v>Y1902-0591</v>
          </cell>
          <cell r="B402">
            <v>201811</v>
          </cell>
          <cell r="C402" t="str">
            <v>0100181196</v>
          </cell>
          <cell r="D402" t="str">
            <v>164026C</v>
          </cell>
          <cell r="E402">
            <v>108</v>
          </cell>
          <cell r="F402">
            <v>43520</v>
          </cell>
          <cell r="G402" t="str">
            <v>CFM</v>
          </cell>
        </row>
        <row r="403">
          <cell r="A403" t="str">
            <v>Y1902-0512</v>
          </cell>
          <cell r="B403">
            <v>201811</v>
          </cell>
          <cell r="C403" t="str">
            <v>0100181197</v>
          </cell>
          <cell r="D403" t="str">
            <v>165599C</v>
          </cell>
          <cell r="E403">
            <v>36</v>
          </cell>
          <cell r="F403">
            <v>43520</v>
          </cell>
          <cell r="G403" t="str">
            <v>12/24</v>
          </cell>
        </row>
        <row r="404">
          <cell r="A404" t="str">
            <v>Y1902-0513</v>
          </cell>
          <cell r="B404">
            <v>201811</v>
          </cell>
          <cell r="C404" t="str">
            <v>0100181198</v>
          </cell>
          <cell r="D404" t="str">
            <v>165599C</v>
          </cell>
          <cell r="E404">
            <v>45</v>
          </cell>
          <cell r="F404">
            <v>43520</v>
          </cell>
          <cell r="G404" t="str">
            <v>12/24</v>
          </cell>
        </row>
        <row r="405">
          <cell r="A405" t="str">
            <v>Y1902-0592</v>
          </cell>
          <cell r="B405">
            <v>201811</v>
          </cell>
          <cell r="C405" t="str">
            <v>0100181199</v>
          </cell>
          <cell r="D405" t="str">
            <v>164026C</v>
          </cell>
          <cell r="E405">
            <v>11</v>
          </cell>
          <cell r="F405">
            <v>43520</v>
          </cell>
          <cell r="G405" t="str">
            <v>01/02</v>
          </cell>
        </row>
        <row r="406">
          <cell r="A406" t="str">
            <v>Y1902-0514</v>
          </cell>
          <cell r="B406">
            <v>201811</v>
          </cell>
          <cell r="C406" t="str">
            <v>0100181200</v>
          </cell>
          <cell r="D406" t="str">
            <v>165599C</v>
          </cell>
          <cell r="E406">
            <v>104</v>
          </cell>
          <cell r="F406">
            <v>43520</v>
          </cell>
          <cell r="G406" t="str">
            <v>12/24</v>
          </cell>
        </row>
        <row r="407">
          <cell r="A407" t="str">
            <v>Y1902-0515</v>
          </cell>
          <cell r="B407">
            <v>201811</v>
          </cell>
          <cell r="C407" t="str">
            <v>0100181201</v>
          </cell>
          <cell r="D407" t="str">
            <v>165599C</v>
          </cell>
          <cell r="E407">
            <v>48</v>
          </cell>
          <cell r="F407">
            <v>43520</v>
          </cell>
          <cell r="G407" t="str">
            <v>12/24</v>
          </cell>
        </row>
        <row r="408">
          <cell r="A408" t="str">
            <v>Y1902-0516</v>
          </cell>
          <cell r="B408">
            <v>201811</v>
          </cell>
          <cell r="C408" t="str">
            <v>0100181202</v>
          </cell>
          <cell r="D408" t="str">
            <v>165599C</v>
          </cell>
          <cell r="E408">
            <v>5723</v>
          </cell>
          <cell r="F408">
            <v>43512</v>
          </cell>
          <cell r="G408" t="str">
            <v>12/24</v>
          </cell>
        </row>
        <row r="409">
          <cell r="A409" t="str">
            <v>Y1902-0517</v>
          </cell>
          <cell r="B409">
            <v>201811</v>
          </cell>
          <cell r="C409" t="str">
            <v>0100181205</v>
          </cell>
          <cell r="D409" t="str">
            <v>165599C</v>
          </cell>
          <cell r="E409">
            <v>156</v>
          </cell>
          <cell r="F409">
            <v>43512</v>
          </cell>
          <cell r="G409" t="str">
            <v>12/24</v>
          </cell>
        </row>
        <row r="410">
          <cell r="A410" t="str">
            <v>Y1901-0623</v>
          </cell>
          <cell r="B410">
            <v>201811</v>
          </cell>
          <cell r="C410" t="str">
            <v>0100181206</v>
          </cell>
          <cell r="D410" t="str">
            <v>165599C</v>
          </cell>
          <cell r="E410">
            <v>427</v>
          </cell>
          <cell r="F410">
            <v>43512</v>
          </cell>
          <cell r="G410" t="str">
            <v>CFM</v>
          </cell>
        </row>
        <row r="411">
          <cell r="A411" t="str">
            <v>Y1902-0518</v>
          </cell>
          <cell r="B411">
            <v>201811</v>
          </cell>
          <cell r="C411" t="str">
            <v>0100181207</v>
          </cell>
          <cell r="D411" t="str">
            <v>165599C</v>
          </cell>
          <cell r="E411">
            <v>58</v>
          </cell>
          <cell r="F411">
            <v>43512</v>
          </cell>
          <cell r="G411" t="str">
            <v>12/25</v>
          </cell>
        </row>
        <row r="412">
          <cell r="A412" t="str">
            <v>Y1902-0519</v>
          </cell>
          <cell r="B412">
            <v>201811</v>
          </cell>
          <cell r="C412" t="str">
            <v>0100181209</v>
          </cell>
          <cell r="D412" t="str">
            <v>165599C</v>
          </cell>
          <cell r="E412">
            <v>161</v>
          </cell>
          <cell r="F412">
            <v>43512</v>
          </cell>
          <cell r="G412" t="str">
            <v>12/24</v>
          </cell>
        </row>
        <row r="413">
          <cell r="A413" t="str">
            <v>Y1902-0593</v>
          </cell>
          <cell r="B413">
            <v>201811</v>
          </cell>
          <cell r="C413" t="str">
            <v>0100181210</v>
          </cell>
          <cell r="D413" t="str">
            <v>W9166</v>
          </cell>
          <cell r="E413">
            <v>360</v>
          </cell>
          <cell r="F413">
            <v>43507</v>
          </cell>
          <cell r="G413" t="str">
            <v>12/20</v>
          </cell>
        </row>
        <row r="414">
          <cell r="A414" t="str">
            <v>Y1902-0594</v>
          </cell>
          <cell r="B414">
            <v>201811</v>
          </cell>
          <cell r="C414" t="str">
            <v>0100181286</v>
          </cell>
          <cell r="D414" t="str">
            <v>3J253C</v>
          </cell>
          <cell r="E414">
            <v>2700</v>
          </cell>
          <cell r="F414">
            <v>43520</v>
          </cell>
          <cell r="G414" t="str">
            <v>12/21</v>
          </cell>
        </row>
        <row r="415">
          <cell r="A415" t="str">
            <v>Y1902-0520</v>
          </cell>
          <cell r="B415">
            <v>201811</v>
          </cell>
          <cell r="C415" t="str">
            <v>0100181287</v>
          </cell>
          <cell r="D415" t="str">
            <v>165598C</v>
          </cell>
          <cell r="E415">
            <v>132</v>
          </cell>
          <cell r="F415">
            <v>43520</v>
          </cell>
          <cell r="G415" t="str">
            <v>CFM</v>
          </cell>
        </row>
        <row r="416">
          <cell r="A416" t="str">
            <v>Y1903-0129</v>
          </cell>
          <cell r="B416">
            <v>201811</v>
          </cell>
          <cell r="C416" t="str">
            <v>0100181288</v>
          </cell>
          <cell r="D416" t="str">
            <v>165598C</v>
          </cell>
          <cell r="E416">
            <v>306</v>
          </cell>
          <cell r="F416">
            <v>43512</v>
          </cell>
          <cell r="G416" t="str">
            <v>12/24</v>
          </cell>
        </row>
        <row r="417">
          <cell r="A417" t="str">
            <v>Y1902-0596</v>
          </cell>
          <cell r="B417">
            <v>201811</v>
          </cell>
          <cell r="C417" t="str">
            <v>0100181343</v>
          </cell>
          <cell r="D417" t="str">
            <v>3J256C</v>
          </cell>
          <cell r="E417">
            <v>300</v>
          </cell>
          <cell r="F417">
            <v>43520</v>
          </cell>
          <cell r="G417" t="str">
            <v>12/21</v>
          </cell>
        </row>
        <row r="418">
          <cell r="A418" t="str">
            <v>Y1902-0521</v>
          </cell>
          <cell r="B418">
            <v>201811</v>
          </cell>
          <cell r="C418" t="str">
            <v>0100181344</v>
          </cell>
          <cell r="D418" t="str">
            <v>165599C</v>
          </cell>
          <cell r="E418">
            <v>132</v>
          </cell>
          <cell r="F418">
            <v>43520</v>
          </cell>
          <cell r="G418" t="str">
            <v>CFM</v>
          </cell>
        </row>
        <row r="419">
          <cell r="A419" t="str">
            <v>Y1902-0597</v>
          </cell>
          <cell r="B419">
            <v>201811</v>
          </cell>
          <cell r="C419" t="str">
            <v>0100181345</v>
          </cell>
          <cell r="D419" t="str">
            <v>164025C</v>
          </cell>
          <cell r="E419">
            <v>33</v>
          </cell>
          <cell r="F419">
            <v>43520</v>
          </cell>
          <cell r="G419" t="str">
            <v>01/02</v>
          </cell>
        </row>
        <row r="420">
          <cell r="A420" t="str">
            <v>Y1902-0598</v>
          </cell>
          <cell r="B420">
            <v>201811</v>
          </cell>
          <cell r="C420" t="str">
            <v>0100181346</v>
          </cell>
          <cell r="D420" t="str">
            <v>164025C</v>
          </cell>
          <cell r="E420">
            <v>18</v>
          </cell>
          <cell r="F420">
            <v>43520</v>
          </cell>
          <cell r="G420" t="str">
            <v>01/02</v>
          </cell>
        </row>
        <row r="421">
          <cell r="A421" t="str">
            <v>Y1902-0599</v>
          </cell>
          <cell r="B421">
            <v>201811</v>
          </cell>
          <cell r="C421" t="str">
            <v>0100181347</v>
          </cell>
          <cell r="D421" t="str">
            <v>164025C</v>
          </cell>
          <cell r="E421">
            <v>18</v>
          </cell>
          <cell r="F421">
            <v>43520</v>
          </cell>
          <cell r="G421" t="str">
            <v>01/02</v>
          </cell>
        </row>
        <row r="422">
          <cell r="A422" t="str">
            <v>Y1903-0130</v>
          </cell>
          <cell r="B422">
            <v>201811</v>
          </cell>
          <cell r="C422" t="str">
            <v>0100181348</v>
          </cell>
          <cell r="D422" t="str">
            <v>165599C</v>
          </cell>
          <cell r="E422">
            <v>306</v>
          </cell>
          <cell r="F422">
            <v>43512</v>
          </cell>
          <cell r="G422" t="str">
            <v>12/24</v>
          </cell>
        </row>
        <row r="423">
          <cell r="A423" t="str">
            <v>Y1902-0600</v>
          </cell>
          <cell r="B423">
            <v>201811</v>
          </cell>
          <cell r="C423" t="str">
            <v>0100181352</v>
          </cell>
          <cell r="D423" t="str">
            <v>164025C</v>
          </cell>
          <cell r="E423">
            <v>6000</v>
          </cell>
          <cell r="F423">
            <v>43517</v>
          </cell>
          <cell r="G423" t="str">
            <v>01/02</v>
          </cell>
        </row>
        <row r="424">
          <cell r="A424" t="str">
            <v>Y1902-0602</v>
          </cell>
          <cell r="B424">
            <v>201811</v>
          </cell>
          <cell r="C424" t="str">
            <v>0100181392</v>
          </cell>
          <cell r="D424" t="str">
            <v>M7650C</v>
          </cell>
          <cell r="E424">
            <v>17832</v>
          </cell>
          <cell r="F424">
            <v>43520</v>
          </cell>
          <cell r="G424" t="str">
            <v>12/25</v>
          </cell>
        </row>
        <row r="425">
          <cell r="A425" t="str">
            <v>Y1902-0603</v>
          </cell>
          <cell r="B425">
            <v>201811</v>
          </cell>
          <cell r="C425" t="str">
            <v>0100181393</v>
          </cell>
          <cell r="D425" t="str">
            <v>164026C</v>
          </cell>
          <cell r="E425">
            <v>33</v>
          </cell>
          <cell r="F425">
            <v>43520</v>
          </cell>
          <cell r="G425" t="str">
            <v>01/02</v>
          </cell>
        </row>
        <row r="426">
          <cell r="A426" t="str">
            <v>Y1902-0604</v>
          </cell>
          <cell r="B426">
            <v>201811</v>
          </cell>
          <cell r="C426" t="str">
            <v>0100181394</v>
          </cell>
          <cell r="D426" t="str">
            <v>164026C</v>
          </cell>
          <cell r="E426">
            <v>19</v>
          </cell>
          <cell r="F426">
            <v>43520</v>
          </cell>
          <cell r="G426" t="str">
            <v>01/02</v>
          </cell>
        </row>
        <row r="427">
          <cell r="A427" t="str">
            <v>Y1902-0605</v>
          </cell>
          <cell r="B427">
            <v>201811</v>
          </cell>
          <cell r="C427" t="str">
            <v>0100181395</v>
          </cell>
          <cell r="D427" t="str">
            <v>164026C</v>
          </cell>
          <cell r="E427">
            <v>18</v>
          </cell>
          <cell r="F427">
            <v>43520</v>
          </cell>
          <cell r="G427" t="str">
            <v>01/02</v>
          </cell>
        </row>
        <row r="428">
          <cell r="A428" t="str">
            <v>Y1902-0606</v>
          </cell>
          <cell r="B428">
            <v>201811</v>
          </cell>
          <cell r="C428" t="str">
            <v>0100181398</v>
          </cell>
          <cell r="D428" t="str">
            <v>164026C</v>
          </cell>
          <cell r="E428">
            <v>6000</v>
          </cell>
          <cell r="F428">
            <v>43517</v>
          </cell>
          <cell r="G428" t="str">
            <v>01/02</v>
          </cell>
        </row>
        <row r="429">
          <cell r="A429" t="str">
            <v>Y1902-0607</v>
          </cell>
          <cell r="B429">
            <v>201811</v>
          </cell>
          <cell r="C429" t="str">
            <v>0100181438</v>
          </cell>
          <cell r="D429" t="str">
            <v>7J253C</v>
          </cell>
          <cell r="E429">
            <v>792</v>
          </cell>
          <cell r="F429">
            <v>43520</v>
          </cell>
          <cell r="G429" t="str">
            <v>12/21</v>
          </cell>
        </row>
        <row r="430">
          <cell r="A430" t="str">
            <v>Y1902-0608</v>
          </cell>
          <cell r="B430">
            <v>201811</v>
          </cell>
          <cell r="C430" t="str">
            <v>0100181439</v>
          </cell>
          <cell r="D430" t="str">
            <v>7J256C</v>
          </cell>
          <cell r="E430">
            <v>120</v>
          </cell>
          <cell r="F430">
            <v>43520</v>
          </cell>
          <cell r="G430" t="str">
            <v>12/20</v>
          </cell>
        </row>
        <row r="431">
          <cell r="A431" t="str">
            <v>Y1902-0609</v>
          </cell>
          <cell r="B431">
            <v>201811</v>
          </cell>
          <cell r="C431" t="str">
            <v>0100181440</v>
          </cell>
          <cell r="D431" t="str">
            <v>M7652C</v>
          </cell>
          <cell r="E431">
            <v>4200</v>
          </cell>
          <cell r="F431">
            <v>43520</v>
          </cell>
          <cell r="G431" t="str">
            <v>12/28</v>
          </cell>
        </row>
        <row r="432">
          <cell r="A432" t="str">
            <v>Y1902-0610</v>
          </cell>
          <cell r="B432">
            <v>201811</v>
          </cell>
          <cell r="C432" t="str">
            <v>0100181441</v>
          </cell>
          <cell r="D432" t="str">
            <v>M7652C</v>
          </cell>
          <cell r="E432">
            <v>18000</v>
          </cell>
          <cell r="F432">
            <v>43520</v>
          </cell>
          <cell r="G432" t="str">
            <v>12/21</v>
          </cell>
        </row>
        <row r="433">
          <cell r="A433" t="str">
            <v>Y1902-0611</v>
          </cell>
          <cell r="B433">
            <v>201811</v>
          </cell>
          <cell r="C433" t="str">
            <v>0100181442</v>
          </cell>
          <cell r="D433" t="str">
            <v>M9160C</v>
          </cell>
          <cell r="E433">
            <v>7212</v>
          </cell>
          <cell r="F433">
            <v>43520</v>
          </cell>
          <cell r="G433" t="str">
            <v>12/20</v>
          </cell>
        </row>
        <row r="434">
          <cell r="A434" t="str">
            <v>Y1902-0612</v>
          </cell>
          <cell r="B434">
            <v>201811</v>
          </cell>
          <cell r="C434" t="str">
            <v>0100181443</v>
          </cell>
          <cell r="D434" t="str">
            <v>M9166C</v>
          </cell>
          <cell r="E434">
            <v>1800</v>
          </cell>
          <cell r="F434">
            <v>43520</v>
          </cell>
          <cell r="G434" t="str">
            <v>12/20</v>
          </cell>
        </row>
        <row r="435">
          <cell r="A435" t="str">
            <v>Y1902-0613</v>
          </cell>
          <cell r="B435">
            <v>201811</v>
          </cell>
          <cell r="C435" t="str">
            <v>0100181444</v>
          </cell>
          <cell r="D435" t="str">
            <v>M9622C</v>
          </cell>
          <cell r="E435">
            <v>2988</v>
          </cell>
          <cell r="F435">
            <v>43520</v>
          </cell>
          <cell r="G435" t="str">
            <v>12/20</v>
          </cell>
        </row>
        <row r="436">
          <cell r="A436" t="str">
            <v>Y1903-0199</v>
          </cell>
          <cell r="B436">
            <v>201811</v>
          </cell>
          <cell r="C436" t="str">
            <v>0100181445</v>
          </cell>
          <cell r="D436" t="str">
            <v>7J256C</v>
          </cell>
          <cell r="E436">
            <v>360</v>
          </cell>
          <cell r="F436">
            <v>43512</v>
          </cell>
          <cell r="G436" t="str">
            <v>CFM</v>
          </cell>
        </row>
        <row r="437">
          <cell r="A437" t="str">
            <v>Y1903-0202</v>
          </cell>
          <cell r="B437">
            <v>201811</v>
          </cell>
          <cell r="C437" t="str">
            <v>0100181448</v>
          </cell>
          <cell r="D437" t="str">
            <v>M7652C</v>
          </cell>
          <cell r="E437">
            <v>360</v>
          </cell>
          <cell r="F437">
            <v>43512</v>
          </cell>
          <cell r="G437" t="str">
            <v>CFM</v>
          </cell>
        </row>
        <row r="438">
          <cell r="A438" t="str">
            <v>Y1902-0615</v>
          </cell>
          <cell r="B438">
            <v>201811</v>
          </cell>
          <cell r="C438" t="str">
            <v>0100181450</v>
          </cell>
          <cell r="D438" t="str">
            <v>164026C</v>
          </cell>
          <cell r="E438">
            <v>164</v>
          </cell>
          <cell r="F438">
            <v>43511</v>
          </cell>
          <cell r="G438" t="str">
            <v>01/02</v>
          </cell>
        </row>
        <row r="439">
          <cell r="A439" t="str">
            <v>Y1902-0616</v>
          </cell>
          <cell r="B439">
            <v>201811</v>
          </cell>
          <cell r="C439" t="str">
            <v>0100181543</v>
          </cell>
          <cell r="D439" t="str">
            <v>1J793C</v>
          </cell>
          <cell r="E439">
            <v>552</v>
          </cell>
          <cell r="F439">
            <v>43520</v>
          </cell>
          <cell r="G439" t="str">
            <v>12/20</v>
          </cell>
        </row>
        <row r="440">
          <cell r="A440" t="str">
            <v>Y1902-0617</v>
          </cell>
          <cell r="B440">
            <v>201811</v>
          </cell>
          <cell r="C440" t="str">
            <v>0100181544</v>
          </cell>
          <cell r="D440" t="str">
            <v>M7650C</v>
          </cell>
          <cell r="E440">
            <v>2388</v>
          </cell>
          <cell r="F440">
            <v>43520</v>
          </cell>
          <cell r="G440" t="str">
            <v>12/20</v>
          </cell>
        </row>
        <row r="441">
          <cell r="A441" t="str">
            <v>Y1902-0663</v>
          </cell>
          <cell r="B441">
            <v>201811</v>
          </cell>
          <cell r="C441" t="str">
            <v>0100181682</v>
          </cell>
          <cell r="D441" t="str">
            <v>164025C</v>
          </cell>
          <cell r="E441">
            <v>164</v>
          </cell>
          <cell r="F441">
            <v>43517</v>
          </cell>
          <cell r="G441" t="str">
            <v>01/02</v>
          </cell>
        </row>
        <row r="442">
          <cell r="A442" t="str">
            <v>Y1902-0618</v>
          </cell>
          <cell r="B442">
            <v>201811</v>
          </cell>
          <cell r="C442" t="str">
            <v>4600066145</v>
          </cell>
          <cell r="D442" t="str">
            <v>164025C</v>
          </cell>
          <cell r="E442">
            <v>204</v>
          </cell>
          <cell r="F442">
            <v>43513</v>
          </cell>
          <cell r="G442" t="str">
            <v>01/02</v>
          </cell>
        </row>
        <row r="443">
          <cell r="A443" t="str">
            <v>Y1902-0619</v>
          </cell>
          <cell r="B443">
            <v>201811</v>
          </cell>
          <cell r="C443" t="str">
            <v>4600066150</v>
          </cell>
          <cell r="D443">
            <v>88871</v>
          </cell>
          <cell r="E443">
            <v>636</v>
          </cell>
          <cell r="F443">
            <v>43512</v>
          </cell>
          <cell r="G443" t="str">
            <v>12/28</v>
          </cell>
        </row>
        <row r="444">
          <cell r="A444" t="str">
            <v>Y1902-0620</v>
          </cell>
          <cell r="B444">
            <v>201811</v>
          </cell>
          <cell r="C444" t="str">
            <v>4600066151</v>
          </cell>
          <cell r="D444">
            <v>88877</v>
          </cell>
          <cell r="E444">
            <v>1632</v>
          </cell>
          <cell r="F444">
            <v>43512</v>
          </cell>
          <cell r="G444" t="str">
            <v>12/24</v>
          </cell>
        </row>
        <row r="445">
          <cell r="A445" t="str">
            <v>Y1902-0621</v>
          </cell>
          <cell r="B445">
            <v>201811</v>
          </cell>
          <cell r="C445" t="str">
            <v>4600066152</v>
          </cell>
          <cell r="D445" t="str">
            <v>8J231</v>
          </cell>
          <cell r="E445">
            <v>720</v>
          </cell>
          <cell r="F445">
            <v>43512</v>
          </cell>
          <cell r="G445" t="str">
            <v>12/24</v>
          </cell>
        </row>
        <row r="446">
          <cell r="A446" t="str">
            <v>Y1902-0622</v>
          </cell>
          <cell r="B446">
            <v>201811</v>
          </cell>
          <cell r="C446" t="str">
            <v>4600066153</v>
          </cell>
          <cell r="D446">
            <v>88875</v>
          </cell>
          <cell r="E446">
            <v>360</v>
          </cell>
          <cell r="F446">
            <v>43512</v>
          </cell>
          <cell r="G446" t="str">
            <v>12/24</v>
          </cell>
        </row>
        <row r="447">
          <cell r="A447" t="str">
            <v>Y1902-0623</v>
          </cell>
          <cell r="B447">
            <v>201811</v>
          </cell>
          <cell r="C447" t="str">
            <v>4600066159</v>
          </cell>
          <cell r="D447">
            <v>88865</v>
          </cell>
          <cell r="E447">
            <v>420</v>
          </cell>
          <cell r="F447">
            <v>43512</v>
          </cell>
          <cell r="G447" t="str">
            <v>12/28</v>
          </cell>
        </row>
        <row r="448">
          <cell r="A448" t="str">
            <v>Y1902-0624</v>
          </cell>
          <cell r="B448">
            <v>201811</v>
          </cell>
          <cell r="C448" t="str">
            <v>4600066162</v>
          </cell>
          <cell r="D448">
            <v>81229</v>
          </cell>
          <cell r="E448">
            <v>1200</v>
          </cell>
          <cell r="F448">
            <v>43518</v>
          </cell>
          <cell r="G448" t="str">
            <v>01/10</v>
          </cell>
        </row>
        <row r="449">
          <cell r="A449" t="str">
            <v>Y1902-0625</v>
          </cell>
          <cell r="B449">
            <v>201811</v>
          </cell>
          <cell r="C449" t="str">
            <v>4600066163</v>
          </cell>
          <cell r="D449" t="str">
            <v>164026C</v>
          </cell>
          <cell r="E449">
            <v>204</v>
          </cell>
          <cell r="F449">
            <v>43513</v>
          </cell>
          <cell r="G449" t="str">
            <v>01/02</v>
          </cell>
        </row>
        <row r="450">
          <cell r="A450" t="str">
            <v>Y1902-0626</v>
          </cell>
          <cell r="B450">
            <v>201811</v>
          </cell>
          <cell r="C450" t="str">
            <v>4600066164</v>
          </cell>
          <cell r="D450" t="str">
            <v>163110C</v>
          </cell>
          <cell r="E450">
            <v>360</v>
          </cell>
          <cell r="F450">
            <v>43518</v>
          </cell>
          <cell r="G450" t="str">
            <v>01/02</v>
          </cell>
        </row>
        <row r="451">
          <cell r="A451" t="str">
            <v>Y1902-0627</v>
          </cell>
          <cell r="B451">
            <v>201811</v>
          </cell>
          <cell r="C451" t="str">
            <v>4600066169</v>
          </cell>
          <cell r="D451" t="str">
            <v>8J231</v>
          </cell>
          <cell r="E451">
            <v>360</v>
          </cell>
          <cell r="F451">
            <v>43512</v>
          </cell>
          <cell r="G451" t="str">
            <v>12/24</v>
          </cell>
        </row>
        <row r="452">
          <cell r="A452" t="str">
            <v>Y1902-0628</v>
          </cell>
          <cell r="B452">
            <v>201811</v>
          </cell>
          <cell r="C452" t="str">
            <v>4600066171</v>
          </cell>
          <cell r="D452">
            <v>88871</v>
          </cell>
          <cell r="E452">
            <v>360</v>
          </cell>
          <cell r="F452">
            <v>43512</v>
          </cell>
          <cell r="G452" t="str">
            <v>12/24</v>
          </cell>
        </row>
        <row r="453">
          <cell r="A453" t="str">
            <v>Y1902-0629</v>
          </cell>
          <cell r="B453">
            <v>201811</v>
          </cell>
          <cell r="C453" t="str">
            <v>4600066172</v>
          </cell>
          <cell r="D453" t="str">
            <v>164025C</v>
          </cell>
          <cell r="E453">
            <v>42</v>
          </cell>
          <cell r="F453">
            <v>43513</v>
          </cell>
          <cell r="G453" t="str">
            <v>01/02</v>
          </cell>
        </row>
        <row r="454">
          <cell r="A454" t="str">
            <v>Y1902-0630</v>
          </cell>
          <cell r="B454">
            <v>201811</v>
          </cell>
          <cell r="C454" t="str">
            <v>4600066173</v>
          </cell>
          <cell r="D454" t="str">
            <v>164026C</v>
          </cell>
          <cell r="E454">
            <v>42</v>
          </cell>
          <cell r="F454">
            <v>43513</v>
          </cell>
          <cell r="G454" t="str">
            <v>01/02</v>
          </cell>
        </row>
        <row r="455">
          <cell r="A455" t="str">
            <v>Y1902-0631</v>
          </cell>
          <cell r="B455">
            <v>201811</v>
          </cell>
          <cell r="C455" t="str">
            <v>4600066176</v>
          </cell>
          <cell r="D455" t="str">
            <v>164025C</v>
          </cell>
          <cell r="E455">
            <v>45</v>
          </cell>
          <cell r="F455">
            <v>43514</v>
          </cell>
          <cell r="G455" t="str">
            <v>01/02</v>
          </cell>
        </row>
        <row r="456">
          <cell r="A456" t="str">
            <v>Y1902-0632</v>
          </cell>
          <cell r="B456">
            <v>201811</v>
          </cell>
          <cell r="C456" t="str">
            <v>4600066177</v>
          </cell>
          <cell r="D456" t="str">
            <v>164026C</v>
          </cell>
          <cell r="E456">
            <v>45</v>
          </cell>
          <cell r="F456">
            <v>43514</v>
          </cell>
          <cell r="G456" t="str">
            <v>01/02</v>
          </cell>
        </row>
        <row r="457">
          <cell r="A457" t="str">
            <v>Y1902-0526</v>
          </cell>
          <cell r="B457">
            <v>201811</v>
          </cell>
          <cell r="C457" t="str">
            <v>4600066178</v>
          </cell>
          <cell r="D457" t="str">
            <v>165598C</v>
          </cell>
          <cell r="E457">
            <v>36</v>
          </cell>
          <cell r="F457">
            <v>43521</v>
          </cell>
          <cell r="G457" t="str">
            <v>12/24</v>
          </cell>
        </row>
        <row r="458">
          <cell r="A458" t="str">
            <v>Y1902-0527</v>
          </cell>
          <cell r="B458">
            <v>201811</v>
          </cell>
          <cell r="C458" t="str">
            <v>4600066179</v>
          </cell>
          <cell r="D458" t="str">
            <v>165599C</v>
          </cell>
          <cell r="E458">
            <v>36</v>
          </cell>
          <cell r="F458">
            <v>43521</v>
          </cell>
          <cell r="G458" t="str">
            <v>12/24</v>
          </cell>
        </row>
        <row r="459">
          <cell r="A459" t="str">
            <v>Y1902-0633</v>
          </cell>
          <cell r="B459">
            <v>201811</v>
          </cell>
          <cell r="C459" t="str">
            <v>4600066180</v>
          </cell>
          <cell r="D459" t="str">
            <v>164025C</v>
          </cell>
          <cell r="E459">
            <v>36</v>
          </cell>
          <cell r="F459">
            <v>43514</v>
          </cell>
          <cell r="G459" t="str">
            <v>01/02</v>
          </cell>
        </row>
        <row r="460">
          <cell r="A460" t="str">
            <v>Y1902-0634</v>
          </cell>
          <cell r="B460">
            <v>201811</v>
          </cell>
          <cell r="C460" t="str">
            <v>4600066181</v>
          </cell>
          <cell r="D460" t="str">
            <v>164026C</v>
          </cell>
          <cell r="E460">
            <v>36</v>
          </cell>
          <cell r="F460">
            <v>43514</v>
          </cell>
          <cell r="G460" t="str">
            <v>01/02</v>
          </cell>
        </row>
        <row r="461">
          <cell r="A461" t="str">
            <v>Y1902-0528</v>
          </cell>
          <cell r="B461">
            <v>201811</v>
          </cell>
          <cell r="C461" t="str">
            <v>4600066182</v>
          </cell>
          <cell r="D461" t="str">
            <v>165599C</v>
          </cell>
          <cell r="E461">
            <v>36</v>
          </cell>
          <cell r="F461">
            <v>43520</v>
          </cell>
          <cell r="G461" t="str">
            <v>CFM</v>
          </cell>
        </row>
        <row r="462">
          <cell r="A462" t="str">
            <v>Y1902-0529</v>
          </cell>
          <cell r="B462">
            <v>201811</v>
          </cell>
          <cell r="C462" t="str">
            <v>4600066183</v>
          </cell>
          <cell r="D462" t="str">
            <v>165598C</v>
          </cell>
          <cell r="E462">
            <v>36</v>
          </cell>
          <cell r="F462">
            <v>43520</v>
          </cell>
          <cell r="G462" t="str">
            <v>CFM</v>
          </cell>
        </row>
        <row r="463">
          <cell r="A463" t="str">
            <v>Y1902-0635</v>
          </cell>
          <cell r="B463">
            <v>201811</v>
          </cell>
          <cell r="C463" t="str">
            <v>4600066184</v>
          </cell>
          <cell r="D463" t="str">
            <v>164360C</v>
          </cell>
          <cell r="E463">
            <v>132</v>
          </cell>
          <cell r="F463">
            <v>43518</v>
          </cell>
          <cell r="G463" t="str">
            <v>CFM</v>
          </cell>
        </row>
        <row r="464">
          <cell r="A464" t="str">
            <v>Y1902-0636</v>
          </cell>
          <cell r="B464">
            <v>201811</v>
          </cell>
          <cell r="C464" t="str">
            <v>4600066188</v>
          </cell>
          <cell r="D464" t="str">
            <v>164223C</v>
          </cell>
          <cell r="E464">
            <v>144</v>
          </cell>
          <cell r="F464">
            <v>43512</v>
          </cell>
          <cell r="G464" t="str">
            <v>CFM</v>
          </cell>
        </row>
        <row r="465">
          <cell r="A465" t="str">
            <v>Y1902-0637</v>
          </cell>
          <cell r="B465">
            <v>201811</v>
          </cell>
          <cell r="C465" t="str">
            <v>4600066192</v>
          </cell>
          <cell r="D465" t="str">
            <v>164221C</v>
          </cell>
          <cell r="E465">
            <v>144</v>
          </cell>
          <cell r="F465">
            <v>43512</v>
          </cell>
          <cell r="G465" t="str">
            <v>CFM</v>
          </cell>
        </row>
        <row r="466">
          <cell r="A466" t="str">
            <v>Y1902-0530</v>
          </cell>
          <cell r="B466">
            <v>201811</v>
          </cell>
          <cell r="C466" t="str">
            <v>4600066194</v>
          </cell>
          <cell r="D466" t="str">
            <v>165598C</v>
          </cell>
          <cell r="E466">
            <v>72</v>
          </cell>
          <cell r="F466">
            <v>43524</v>
          </cell>
          <cell r="G466" t="str">
            <v>CFM</v>
          </cell>
        </row>
        <row r="467">
          <cell r="A467" t="str">
            <v>Y1902-0531</v>
          </cell>
          <cell r="B467">
            <v>201811</v>
          </cell>
          <cell r="C467" t="str">
            <v>4600066195</v>
          </cell>
          <cell r="D467" t="str">
            <v>165598C</v>
          </cell>
          <cell r="E467">
            <v>24</v>
          </cell>
          <cell r="F467">
            <v>43524</v>
          </cell>
          <cell r="G467" t="str">
            <v>CFM</v>
          </cell>
        </row>
        <row r="468">
          <cell r="A468" t="str">
            <v>Y1902-0532</v>
          </cell>
          <cell r="B468">
            <v>201811</v>
          </cell>
          <cell r="C468" t="str">
            <v>4600066196</v>
          </cell>
          <cell r="D468" t="str">
            <v>165599C</v>
          </cell>
          <cell r="E468">
            <v>72</v>
          </cell>
          <cell r="F468">
            <v>43524</v>
          </cell>
          <cell r="G468" t="str">
            <v>CFM</v>
          </cell>
        </row>
        <row r="469">
          <cell r="A469" t="str">
            <v>Y1902-0533</v>
          </cell>
          <cell r="B469">
            <v>201811</v>
          </cell>
          <cell r="C469" t="str">
            <v>4600066198</v>
          </cell>
          <cell r="D469" t="str">
            <v>165599C</v>
          </cell>
          <cell r="E469">
            <v>24</v>
          </cell>
          <cell r="F469">
            <v>43524</v>
          </cell>
          <cell r="G469" t="str">
            <v>CFM</v>
          </cell>
        </row>
        <row r="470">
          <cell r="A470" t="str">
            <v>Y1902-0638</v>
          </cell>
          <cell r="B470">
            <v>201811</v>
          </cell>
          <cell r="C470" t="str">
            <v>4600066225</v>
          </cell>
          <cell r="D470" t="str">
            <v>651826C</v>
          </cell>
          <cell r="E470">
            <v>9024</v>
          </cell>
          <cell r="F470">
            <v>43520</v>
          </cell>
          <cell r="G470" t="str">
            <v>CFM</v>
          </cell>
        </row>
        <row r="471">
          <cell r="A471" t="str">
            <v>Y1902-0534</v>
          </cell>
          <cell r="B471">
            <v>201811</v>
          </cell>
          <cell r="C471" t="str">
            <v>4600066234</v>
          </cell>
          <cell r="D471" t="str">
            <v>165598C</v>
          </cell>
          <cell r="E471">
            <v>66</v>
          </cell>
          <cell r="F471">
            <v>43520</v>
          </cell>
          <cell r="G471" t="str">
            <v>CFM</v>
          </cell>
        </row>
        <row r="472">
          <cell r="A472" t="str">
            <v>Y1902-0639</v>
          </cell>
          <cell r="B472">
            <v>201811</v>
          </cell>
          <cell r="C472" t="str">
            <v>4600066235</v>
          </cell>
          <cell r="D472" t="str">
            <v>164026C</v>
          </cell>
          <cell r="E472">
            <v>66</v>
          </cell>
          <cell r="F472">
            <v>43520</v>
          </cell>
          <cell r="G472" t="str">
            <v>CFM</v>
          </cell>
        </row>
        <row r="473">
          <cell r="A473" t="str">
            <v>Y1902-0535</v>
          </cell>
          <cell r="B473">
            <v>201811</v>
          </cell>
          <cell r="C473" t="str">
            <v>4600066238</v>
          </cell>
          <cell r="D473" t="str">
            <v>165599C</v>
          </cell>
          <cell r="E473">
            <v>66</v>
          </cell>
          <cell r="F473">
            <v>43520</v>
          </cell>
          <cell r="G473" t="str">
            <v>CFM</v>
          </cell>
        </row>
        <row r="474">
          <cell r="A474" t="str">
            <v>Y1902-0640</v>
          </cell>
          <cell r="B474">
            <v>201811</v>
          </cell>
          <cell r="C474" t="str">
            <v>4600066239</v>
          </cell>
          <cell r="D474" t="str">
            <v>164025C</v>
          </cell>
          <cell r="E474">
            <v>66</v>
          </cell>
          <cell r="F474">
            <v>43520</v>
          </cell>
          <cell r="G474" t="str">
            <v>CFM</v>
          </cell>
        </row>
        <row r="475">
          <cell r="A475" t="str">
            <v>Y1902-0536</v>
          </cell>
          <cell r="B475">
            <v>201811</v>
          </cell>
          <cell r="C475" t="str">
            <v>4600066240</v>
          </cell>
          <cell r="D475" t="str">
            <v>165598C</v>
          </cell>
          <cell r="E475">
            <v>12</v>
          </cell>
          <cell r="F475">
            <v>43520</v>
          </cell>
          <cell r="G475" t="str">
            <v>12/24</v>
          </cell>
        </row>
        <row r="476">
          <cell r="A476" t="str">
            <v>Y1902-0641</v>
          </cell>
          <cell r="B476">
            <v>201811</v>
          </cell>
          <cell r="C476" t="str">
            <v>4600066241</v>
          </cell>
          <cell r="D476" t="str">
            <v>164026C</v>
          </cell>
          <cell r="E476">
            <v>30</v>
          </cell>
          <cell r="F476">
            <v>43513</v>
          </cell>
          <cell r="G476" t="str">
            <v>01/02</v>
          </cell>
        </row>
        <row r="477">
          <cell r="A477" t="str">
            <v>Y1902-0642</v>
          </cell>
          <cell r="B477">
            <v>201811</v>
          </cell>
          <cell r="C477" t="str">
            <v>4600066242</v>
          </cell>
          <cell r="D477" t="str">
            <v>164025C</v>
          </cell>
          <cell r="E477">
            <v>30</v>
          </cell>
          <cell r="F477">
            <v>43513</v>
          </cell>
          <cell r="G477" t="str">
            <v>01/02</v>
          </cell>
        </row>
        <row r="478">
          <cell r="A478" t="str">
            <v>Y1902-0537</v>
          </cell>
          <cell r="B478">
            <v>201811</v>
          </cell>
          <cell r="C478" t="str">
            <v>4600066243</v>
          </cell>
          <cell r="D478" t="str">
            <v>165599C</v>
          </cell>
          <cell r="E478">
            <v>12</v>
          </cell>
          <cell r="F478">
            <v>43520</v>
          </cell>
          <cell r="G478" t="str">
            <v>12/24</v>
          </cell>
        </row>
        <row r="479">
          <cell r="A479" t="str">
            <v>Y1902-0538</v>
          </cell>
          <cell r="B479">
            <v>201811</v>
          </cell>
          <cell r="C479" t="str">
            <v>4600066248</v>
          </cell>
          <cell r="D479" t="str">
            <v>165598C</v>
          </cell>
          <cell r="E479">
            <v>138</v>
          </cell>
          <cell r="F479">
            <v>43520</v>
          </cell>
          <cell r="G479" t="str">
            <v>12/24</v>
          </cell>
        </row>
        <row r="480">
          <cell r="A480" t="str">
            <v>Y1902-0643</v>
          </cell>
          <cell r="B480">
            <v>201811</v>
          </cell>
          <cell r="C480" t="str">
            <v>4600066249</v>
          </cell>
          <cell r="D480" t="str">
            <v>164221C</v>
          </cell>
          <cell r="E480">
            <v>120</v>
          </cell>
          <cell r="F480">
            <v>43512</v>
          </cell>
          <cell r="G480" t="str">
            <v>12/28</v>
          </cell>
        </row>
        <row r="481">
          <cell r="A481" t="str">
            <v>Y1902-0539</v>
          </cell>
          <cell r="B481">
            <v>201811</v>
          </cell>
          <cell r="C481" t="str">
            <v>4600066252</v>
          </cell>
          <cell r="D481" t="str">
            <v>165599C</v>
          </cell>
          <cell r="E481">
            <v>138</v>
          </cell>
          <cell r="F481">
            <v>43520</v>
          </cell>
          <cell r="G481" t="str">
            <v>12/24</v>
          </cell>
        </row>
        <row r="482">
          <cell r="A482" t="str">
            <v>Y1902-0644</v>
          </cell>
          <cell r="B482">
            <v>201811</v>
          </cell>
          <cell r="C482" t="str">
            <v>4600066268</v>
          </cell>
          <cell r="D482" t="str">
            <v>164026C</v>
          </cell>
          <cell r="E482">
            <v>212</v>
          </cell>
          <cell r="F482">
            <v>43513</v>
          </cell>
          <cell r="G482" t="str">
            <v>01/02</v>
          </cell>
        </row>
        <row r="483">
          <cell r="A483" t="str">
            <v>Y1902-0540</v>
          </cell>
          <cell r="B483">
            <v>201811</v>
          </cell>
          <cell r="C483" t="str">
            <v>4600066269</v>
          </cell>
          <cell r="D483" t="str">
            <v>165599C</v>
          </cell>
          <cell r="E483">
            <v>72</v>
          </cell>
          <cell r="F483">
            <v>43520</v>
          </cell>
          <cell r="G483" t="str">
            <v>12/24</v>
          </cell>
        </row>
        <row r="484">
          <cell r="A484" t="str">
            <v>Y1902-0541</v>
          </cell>
          <cell r="B484">
            <v>201811</v>
          </cell>
          <cell r="C484" t="str">
            <v>4600066270</v>
          </cell>
          <cell r="D484" t="str">
            <v>165598C</v>
          </cell>
          <cell r="E484">
            <v>72</v>
          </cell>
          <cell r="F484">
            <v>43520</v>
          </cell>
          <cell r="G484" t="str">
            <v>12/24</v>
          </cell>
        </row>
        <row r="485">
          <cell r="A485" t="str">
            <v>Y1902-0645</v>
          </cell>
          <cell r="B485">
            <v>201811</v>
          </cell>
          <cell r="C485" t="str">
            <v>4600066272</v>
          </cell>
          <cell r="D485" t="str">
            <v>164223C</v>
          </cell>
          <cell r="E485">
            <v>132</v>
          </cell>
          <cell r="F485">
            <v>43512</v>
          </cell>
          <cell r="G485" t="str">
            <v>12/24</v>
          </cell>
        </row>
        <row r="486">
          <cell r="A486" t="str">
            <v>Y1902-0646</v>
          </cell>
          <cell r="B486">
            <v>201811</v>
          </cell>
          <cell r="C486" t="str">
            <v>4600066273</v>
          </cell>
          <cell r="D486" t="str">
            <v>164221C</v>
          </cell>
          <cell r="E486">
            <v>132</v>
          </cell>
          <cell r="F486">
            <v>43512</v>
          </cell>
          <cell r="G486" t="str">
            <v>12/28</v>
          </cell>
        </row>
        <row r="487">
          <cell r="A487" t="str">
            <v>Y1902-0647</v>
          </cell>
          <cell r="B487">
            <v>201811</v>
          </cell>
          <cell r="C487" t="str">
            <v>4600066274</v>
          </cell>
          <cell r="D487" t="str">
            <v>144151C</v>
          </cell>
          <cell r="E487">
            <v>708</v>
          </cell>
          <cell r="F487">
            <v>43512</v>
          </cell>
          <cell r="G487" t="str">
            <v>12/28</v>
          </cell>
        </row>
        <row r="488">
          <cell r="A488" t="str">
            <v>Y1902-0648</v>
          </cell>
          <cell r="B488">
            <v>201811</v>
          </cell>
          <cell r="C488" t="str">
            <v>4600066275</v>
          </cell>
          <cell r="D488" t="str">
            <v>164025C</v>
          </cell>
          <cell r="E488">
            <v>212</v>
          </cell>
          <cell r="F488">
            <v>43513</v>
          </cell>
          <cell r="G488" t="str">
            <v>01/02</v>
          </cell>
        </row>
        <row r="489">
          <cell r="A489" t="str">
            <v>Y1902-0542</v>
          </cell>
          <cell r="B489">
            <v>201811</v>
          </cell>
          <cell r="C489" t="str">
            <v>4600066276</v>
          </cell>
          <cell r="D489" t="str">
            <v>165598C</v>
          </cell>
          <cell r="E489">
            <v>12</v>
          </cell>
          <cell r="F489">
            <v>43520</v>
          </cell>
          <cell r="G489" t="str">
            <v>12/24</v>
          </cell>
        </row>
        <row r="490">
          <cell r="A490" t="str">
            <v>Y1902-0543</v>
          </cell>
          <cell r="B490">
            <v>201811</v>
          </cell>
          <cell r="C490" t="str">
            <v>4600066277</v>
          </cell>
          <cell r="D490" t="str">
            <v>165599C</v>
          </cell>
          <cell r="E490">
            <v>12</v>
          </cell>
          <cell r="F490">
            <v>43520</v>
          </cell>
          <cell r="G490" t="str">
            <v>12/24</v>
          </cell>
        </row>
        <row r="491">
          <cell r="A491" t="str">
            <v>Y1902-0544</v>
          </cell>
          <cell r="B491">
            <v>201811</v>
          </cell>
          <cell r="C491" t="str">
            <v>4600066278</v>
          </cell>
          <cell r="D491" t="str">
            <v>165599C</v>
          </cell>
          <cell r="E491">
            <v>15</v>
          </cell>
          <cell r="F491">
            <v>43520</v>
          </cell>
          <cell r="G491" t="str">
            <v>12/24</v>
          </cell>
        </row>
        <row r="492">
          <cell r="A492" t="str">
            <v>Y1902-0545</v>
          </cell>
          <cell r="B492">
            <v>201811</v>
          </cell>
          <cell r="C492" t="str">
            <v>4600066279</v>
          </cell>
          <cell r="D492" t="str">
            <v>165598C</v>
          </cell>
          <cell r="E492">
            <v>21</v>
          </cell>
          <cell r="F492">
            <v>43520</v>
          </cell>
          <cell r="G492" t="str">
            <v>12/24</v>
          </cell>
        </row>
        <row r="493">
          <cell r="A493" t="str">
            <v>Y1901-0662</v>
          </cell>
          <cell r="B493">
            <v>201811</v>
          </cell>
          <cell r="C493" t="str">
            <v>4600066253</v>
          </cell>
          <cell r="D493" t="str">
            <v>158369C</v>
          </cell>
          <cell r="E493">
            <v>888</v>
          </cell>
          <cell r="F493">
            <v>43512</v>
          </cell>
          <cell r="G493" t="str">
            <v>12/24</v>
          </cell>
        </row>
        <row r="494">
          <cell r="A494" t="str">
            <v>Y1901-0663</v>
          </cell>
          <cell r="B494">
            <v>201811</v>
          </cell>
          <cell r="C494" t="str">
            <v>4600066256</v>
          </cell>
          <cell r="D494" t="str">
            <v>3J256C</v>
          </cell>
          <cell r="E494">
            <v>384</v>
          </cell>
          <cell r="F494">
            <v>43512</v>
          </cell>
          <cell r="G494" t="str">
            <v>12/21</v>
          </cell>
        </row>
        <row r="495">
          <cell r="A495" t="str">
            <v>Y1901-0664</v>
          </cell>
          <cell r="B495">
            <v>201811</v>
          </cell>
          <cell r="C495" t="str">
            <v>4600066257</v>
          </cell>
          <cell r="D495" t="str">
            <v>7J253C</v>
          </cell>
          <cell r="E495">
            <v>636</v>
          </cell>
          <cell r="F495">
            <v>43512</v>
          </cell>
          <cell r="G495" t="str">
            <v>12/21</v>
          </cell>
        </row>
        <row r="496">
          <cell r="A496" t="str">
            <v>Y1901-0665</v>
          </cell>
          <cell r="B496">
            <v>201811</v>
          </cell>
          <cell r="C496" t="str">
            <v>4600066259</v>
          </cell>
          <cell r="D496" t="str">
            <v>1J794C</v>
          </cell>
          <cell r="E496">
            <v>444</v>
          </cell>
          <cell r="F496">
            <v>43512</v>
          </cell>
          <cell r="G496" t="str">
            <v>12/21</v>
          </cell>
        </row>
        <row r="497">
          <cell r="A497" t="str">
            <v>Y1901-0666</v>
          </cell>
          <cell r="B497">
            <v>201811</v>
          </cell>
          <cell r="C497" t="str">
            <v>4600066260</v>
          </cell>
          <cell r="D497" t="str">
            <v>1J794C</v>
          </cell>
          <cell r="E497">
            <v>636</v>
          </cell>
          <cell r="F497">
            <v>43512</v>
          </cell>
          <cell r="G497" t="str">
            <v>12/21</v>
          </cell>
        </row>
        <row r="498">
          <cell r="A498" t="str">
            <v>Y1901-0667</v>
          </cell>
          <cell r="B498">
            <v>201811</v>
          </cell>
          <cell r="C498" t="str">
            <v>4600066261</v>
          </cell>
          <cell r="D498" t="str">
            <v>M7650C</v>
          </cell>
          <cell r="E498">
            <v>1608</v>
          </cell>
          <cell r="F498">
            <v>43512</v>
          </cell>
          <cell r="G498" t="str">
            <v>12/21</v>
          </cell>
        </row>
        <row r="499">
          <cell r="A499" t="str">
            <v>Y1901-0668</v>
          </cell>
          <cell r="B499">
            <v>201811</v>
          </cell>
          <cell r="C499" t="str">
            <v>4600066262</v>
          </cell>
          <cell r="D499" t="str">
            <v>3J253C</v>
          </cell>
          <cell r="E499">
            <v>252</v>
          </cell>
          <cell r="F499">
            <v>43512</v>
          </cell>
          <cell r="G499" t="str">
            <v>12/21</v>
          </cell>
        </row>
        <row r="500">
          <cell r="A500" t="str">
            <v>Y1901-0669</v>
          </cell>
          <cell r="B500">
            <v>201811</v>
          </cell>
          <cell r="C500" t="str">
            <v>4600066263</v>
          </cell>
          <cell r="D500" t="str">
            <v>M7652C</v>
          </cell>
          <cell r="E500">
            <v>3432</v>
          </cell>
          <cell r="F500">
            <v>43512</v>
          </cell>
          <cell r="G500" t="str">
            <v>12/21</v>
          </cell>
        </row>
        <row r="501">
          <cell r="A501" t="str">
            <v>Y1901-0670</v>
          </cell>
          <cell r="B501">
            <v>201811</v>
          </cell>
          <cell r="C501" t="str">
            <v>4600066266</v>
          </cell>
          <cell r="D501" t="str">
            <v>M7652C</v>
          </cell>
          <cell r="E501">
            <v>708</v>
          </cell>
          <cell r="F501">
            <v>43512</v>
          </cell>
          <cell r="G501" t="str">
            <v>12/21</v>
          </cell>
        </row>
        <row r="502">
          <cell r="A502" t="str">
            <v>Y1901-0620</v>
          </cell>
          <cell r="B502">
            <v>201811</v>
          </cell>
          <cell r="C502" t="str">
            <v>0100179969</v>
          </cell>
          <cell r="D502" t="str">
            <v>165598C</v>
          </cell>
          <cell r="E502">
            <v>465</v>
          </cell>
          <cell r="F502">
            <v>43512</v>
          </cell>
          <cell r="G502" t="str">
            <v>12/20</v>
          </cell>
        </row>
        <row r="503">
          <cell r="A503" t="str">
            <v>Y1902-0550</v>
          </cell>
          <cell r="B503">
            <v>201811</v>
          </cell>
          <cell r="C503" t="str">
            <v>0100179978</v>
          </cell>
          <cell r="D503" t="str">
            <v>264477F</v>
          </cell>
          <cell r="E503">
            <v>696</v>
          </cell>
          <cell r="F503">
            <v>43513</v>
          </cell>
          <cell r="G503" t="str">
            <v>12/20</v>
          </cell>
        </row>
        <row r="504">
          <cell r="A504" t="str">
            <v>Y1902-0572</v>
          </cell>
          <cell r="B504">
            <v>201811</v>
          </cell>
          <cell r="C504" t="str">
            <v>0100180060</v>
          </cell>
          <cell r="D504" t="str">
            <v>164060C</v>
          </cell>
          <cell r="E504">
            <v>1716</v>
          </cell>
          <cell r="F504">
            <v>43513</v>
          </cell>
          <cell r="G504" t="str">
            <v>12/24</v>
          </cell>
        </row>
        <row r="505">
          <cell r="A505" t="str">
            <v>Y1902-0499</v>
          </cell>
          <cell r="B505">
            <v>201811</v>
          </cell>
          <cell r="C505" t="str">
            <v>0100180069</v>
          </cell>
          <cell r="D505" t="str">
            <v>165598C</v>
          </cell>
          <cell r="E505">
            <v>6064</v>
          </cell>
          <cell r="F505">
            <v>43512</v>
          </cell>
          <cell r="G505" t="str">
            <v>12/24</v>
          </cell>
        </row>
        <row r="506">
          <cell r="A506" t="str">
            <v>Y1902-0510</v>
          </cell>
          <cell r="B506">
            <v>201811</v>
          </cell>
          <cell r="C506" t="str">
            <v>0100180070</v>
          </cell>
          <cell r="D506" t="str">
            <v>165598C</v>
          </cell>
          <cell r="E506">
            <v>237</v>
          </cell>
          <cell r="F506">
            <v>43512</v>
          </cell>
          <cell r="G506" t="str">
            <v>12/24</v>
          </cell>
        </row>
        <row r="507">
          <cell r="A507" t="str">
            <v>Y1901-0622</v>
          </cell>
          <cell r="B507">
            <v>201811</v>
          </cell>
          <cell r="C507" t="str">
            <v>0100181192</v>
          </cell>
          <cell r="D507" t="str">
            <v>165599C</v>
          </cell>
          <cell r="E507">
            <v>446</v>
          </cell>
          <cell r="F507">
            <v>43512</v>
          </cell>
          <cell r="G507" t="str">
            <v>12/20</v>
          </cell>
        </row>
        <row r="508">
          <cell r="A508" t="str">
            <v>Y1902-0500</v>
          </cell>
          <cell r="B508">
            <v>201811</v>
          </cell>
          <cell r="C508" t="str">
            <v>0100181208</v>
          </cell>
          <cell r="D508" t="str">
            <v>165599C</v>
          </cell>
          <cell r="E508">
            <v>6066</v>
          </cell>
          <cell r="F508">
            <v>43512</v>
          </cell>
          <cell r="G508" t="str">
            <v>12/24</v>
          </cell>
        </row>
        <row r="509">
          <cell r="A509" t="str">
            <v>Y1902-0595</v>
          </cell>
          <cell r="B509">
            <v>201811</v>
          </cell>
          <cell r="C509" t="str">
            <v>0100181341</v>
          </cell>
          <cell r="D509" t="str">
            <v>164025C</v>
          </cell>
          <cell r="E509">
            <v>727</v>
          </cell>
          <cell r="F509">
            <v>43514</v>
          </cell>
          <cell r="G509" t="str">
            <v>01/04</v>
          </cell>
        </row>
        <row r="510">
          <cell r="A510" t="str">
            <v>Y1902-0601</v>
          </cell>
          <cell r="B510">
            <v>201811</v>
          </cell>
          <cell r="C510" t="str">
            <v>0100181390</v>
          </cell>
          <cell r="D510" t="str">
            <v>164026C</v>
          </cell>
          <cell r="E510">
            <v>742</v>
          </cell>
          <cell r="F510">
            <v>43514</v>
          </cell>
          <cell r="G510" t="str">
            <v>01/04</v>
          </cell>
        </row>
        <row r="511">
          <cell r="A511" t="str">
            <v>Y1902-0650</v>
          </cell>
          <cell r="B511">
            <v>201811</v>
          </cell>
          <cell r="C511" t="str">
            <v>0100181646</v>
          </cell>
          <cell r="D511" t="str">
            <v>159630C</v>
          </cell>
          <cell r="E511">
            <v>3264</v>
          </cell>
          <cell r="F511">
            <v>43516</v>
          </cell>
          <cell r="G511" t="str">
            <v>12/28</v>
          </cell>
        </row>
        <row r="512">
          <cell r="A512" t="str">
            <v>Y1902-0651</v>
          </cell>
          <cell r="B512">
            <v>201811</v>
          </cell>
          <cell r="C512" t="str">
            <v>0100181647</v>
          </cell>
          <cell r="D512" t="str">
            <v>159631C</v>
          </cell>
          <cell r="E512">
            <v>2268</v>
          </cell>
          <cell r="F512">
            <v>43516</v>
          </cell>
          <cell r="G512" t="str">
            <v>12/28</v>
          </cell>
        </row>
        <row r="513">
          <cell r="A513" t="str">
            <v>Y1902-0652</v>
          </cell>
          <cell r="B513">
            <v>201811</v>
          </cell>
          <cell r="C513" t="str">
            <v>0100181648</v>
          </cell>
          <cell r="D513" t="str">
            <v>160480C</v>
          </cell>
          <cell r="E513">
            <v>3768</v>
          </cell>
          <cell r="F513">
            <v>43516</v>
          </cell>
          <cell r="G513" t="str">
            <v>01/03</v>
          </cell>
        </row>
        <row r="514">
          <cell r="A514" t="str">
            <v>Y1902-0653</v>
          </cell>
          <cell r="B514">
            <v>201811</v>
          </cell>
          <cell r="C514" t="str">
            <v>0100181649</v>
          </cell>
          <cell r="D514" t="str">
            <v>160481C</v>
          </cell>
          <cell r="E514">
            <v>2388</v>
          </cell>
          <cell r="F514">
            <v>43516</v>
          </cell>
          <cell r="G514" t="str">
            <v>12/28</v>
          </cell>
        </row>
        <row r="515">
          <cell r="A515" t="str">
            <v>Y1902-0654</v>
          </cell>
          <cell r="B515">
            <v>201811</v>
          </cell>
          <cell r="C515" t="str">
            <v>0100181652</v>
          </cell>
          <cell r="D515" t="str">
            <v>160504C</v>
          </cell>
          <cell r="E515">
            <v>9336</v>
          </cell>
          <cell r="F515">
            <v>43524</v>
          </cell>
          <cell r="G515" t="str">
            <v>01/03</v>
          </cell>
        </row>
        <row r="516">
          <cell r="A516" t="str">
            <v>Y1901-0672</v>
          </cell>
          <cell r="B516">
            <v>201811</v>
          </cell>
          <cell r="C516" t="str">
            <v>0100181653</v>
          </cell>
          <cell r="D516" t="str">
            <v>160483C</v>
          </cell>
          <cell r="E516">
            <v>6024</v>
          </cell>
          <cell r="F516">
            <v>43524</v>
          </cell>
          <cell r="G516" t="str">
            <v>12/28</v>
          </cell>
        </row>
        <row r="517">
          <cell r="A517" t="str">
            <v>Y1902-0522</v>
          </cell>
          <cell r="B517">
            <v>201811</v>
          </cell>
          <cell r="C517" t="str">
            <v>4600066156</v>
          </cell>
          <cell r="D517" t="str">
            <v>165598C</v>
          </cell>
          <cell r="E517">
            <v>270</v>
          </cell>
          <cell r="F517">
            <v>43520</v>
          </cell>
          <cell r="G517" t="str">
            <v>12/24</v>
          </cell>
        </row>
        <row r="518">
          <cell r="A518" t="str">
            <v>Y1902-0523</v>
          </cell>
          <cell r="B518">
            <v>201811</v>
          </cell>
          <cell r="C518" t="str">
            <v>4600066157</v>
          </cell>
          <cell r="D518" t="str">
            <v>165599C</v>
          </cell>
          <cell r="E518">
            <v>270</v>
          </cell>
          <cell r="F518">
            <v>43520</v>
          </cell>
          <cell r="G518" t="str">
            <v>12/24</v>
          </cell>
        </row>
        <row r="519">
          <cell r="A519" t="str">
            <v>Y1902-0524</v>
          </cell>
          <cell r="B519">
            <v>201811</v>
          </cell>
          <cell r="C519" t="str">
            <v>4600066168</v>
          </cell>
          <cell r="D519" t="str">
            <v>165598C</v>
          </cell>
          <cell r="E519">
            <v>96</v>
          </cell>
          <cell r="F519">
            <v>43520</v>
          </cell>
          <cell r="G519" t="str">
            <v>12/24</v>
          </cell>
        </row>
        <row r="520">
          <cell r="A520" t="str">
            <v>Y1902-0525</v>
          </cell>
          <cell r="B520">
            <v>201811</v>
          </cell>
          <cell r="C520" t="str">
            <v>4600066170</v>
          </cell>
          <cell r="D520" t="str">
            <v>165599C</v>
          </cell>
          <cell r="E520">
            <v>96</v>
          </cell>
          <cell r="F520">
            <v>43520</v>
          </cell>
          <cell r="G520" t="str">
            <v>12/24</v>
          </cell>
        </row>
        <row r="521">
          <cell r="A521" t="str">
            <v>Y1812-0786</v>
          </cell>
          <cell r="B521">
            <v>201809</v>
          </cell>
          <cell r="C521" t="str">
            <v>TL1809010-SOL</v>
          </cell>
          <cell r="D521" t="str">
            <v>M7652C</v>
          </cell>
          <cell r="E521">
            <v>3600</v>
          </cell>
          <cell r="F521">
            <v>43507</v>
          </cell>
          <cell r="G521" t="str">
            <v>OK</v>
          </cell>
        </row>
        <row r="522">
          <cell r="A522" t="str">
            <v>Y1812-0095</v>
          </cell>
          <cell r="B522">
            <v>201807</v>
          </cell>
          <cell r="C522" t="str">
            <v>4600059635</v>
          </cell>
          <cell r="D522" t="str">
            <v>161608C</v>
          </cell>
          <cell r="E522">
            <v>528</v>
          </cell>
          <cell r="F522">
            <v>43518</v>
          </cell>
          <cell r="G522" t="str">
            <v>OK</v>
          </cell>
        </row>
        <row r="523">
          <cell r="A523" t="str">
            <v>Y1812-0105</v>
          </cell>
          <cell r="B523">
            <v>201807</v>
          </cell>
          <cell r="C523" t="str">
            <v>4600059645</v>
          </cell>
          <cell r="D523" t="str">
            <v>161608C</v>
          </cell>
          <cell r="E523">
            <v>2112</v>
          </cell>
          <cell r="F523">
            <v>43518</v>
          </cell>
          <cell r="G523" t="str">
            <v>OK</v>
          </cell>
        </row>
        <row r="524">
          <cell r="A524" t="str">
            <v>Y1812-0107</v>
          </cell>
          <cell r="B524">
            <v>201807</v>
          </cell>
          <cell r="C524" t="str">
            <v>4600059647</v>
          </cell>
          <cell r="D524" t="str">
            <v>163187C</v>
          </cell>
          <cell r="E524">
            <v>2040</v>
          </cell>
          <cell r="F524">
            <v>43518</v>
          </cell>
          <cell r="G524" t="str">
            <v>OK</v>
          </cell>
        </row>
        <row r="525">
          <cell r="A525" t="str">
            <v>Y1812-0110</v>
          </cell>
          <cell r="B525">
            <v>201807</v>
          </cell>
          <cell r="C525" t="str">
            <v>4600059650</v>
          </cell>
          <cell r="D525" t="str">
            <v>163202C</v>
          </cell>
          <cell r="E525">
            <v>504</v>
          </cell>
          <cell r="F525">
            <v>43518</v>
          </cell>
          <cell r="G525" t="str">
            <v>OK</v>
          </cell>
        </row>
        <row r="526">
          <cell r="A526" t="str">
            <v>Y1812-0113</v>
          </cell>
          <cell r="B526">
            <v>201807</v>
          </cell>
          <cell r="C526" t="str">
            <v>4600059653</v>
          </cell>
          <cell r="D526" t="str">
            <v>163187C</v>
          </cell>
          <cell r="E526">
            <v>504</v>
          </cell>
          <cell r="F526">
            <v>43518</v>
          </cell>
          <cell r="G526" t="str">
            <v>OK</v>
          </cell>
        </row>
        <row r="527">
          <cell r="A527" t="str">
            <v>Y1812-0116</v>
          </cell>
          <cell r="B527">
            <v>201807</v>
          </cell>
          <cell r="C527" t="str">
            <v>4600059656</v>
          </cell>
          <cell r="D527" t="str">
            <v>163203C</v>
          </cell>
          <cell r="E527">
            <v>2016</v>
          </cell>
          <cell r="F527">
            <v>43518</v>
          </cell>
          <cell r="G527" t="str">
            <v>OK</v>
          </cell>
        </row>
        <row r="528">
          <cell r="A528" t="str">
            <v>Y1812-0117</v>
          </cell>
          <cell r="B528">
            <v>201807</v>
          </cell>
          <cell r="C528" t="str">
            <v>4600059657</v>
          </cell>
          <cell r="D528" t="str">
            <v>663608C</v>
          </cell>
          <cell r="E528">
            <v>432</v>
          </cell>
          <cell r="F528">
            <v>43518</v>
          </cell>
          <cell r="G528" t="str">
            <v>OK</v>
          </cell>
        </row>
        <row r="529">
          <cell r="A529" t="str">
            <v>Y1812-0118</v>
          </cell>
          <cell r="B529">
            <v>201807</v>
          </cell>
          <cell r="C529" t="str">
            <v>4600059658</v>
          </cell>
          <cell r="D529" t="str">
            <v>663608C</v>
          </cell>
          <cell r="E529">
            <v>132</v>
          </cell>
          <cell r="F529">
            <v>43518</v>
          </cell>
          <cell r="G529" t="str">
            <v>OK</v>
          </cell>
        </row>
        <row r="530">
          <cell r="A530" t="str">
            <v>Y1812-0123</v>
          </cell>
          <cell r="B530">
            <v>201807</v>
          </cell>
          <cell r="C530" t="str">
            <v>4600059663</v>
          </cell>
          <cell r="D530" t="str">
            <v>663601C</v>
          </cell>
          <cell r="E530">
            <v>372</v>
          </cell>
          <cell r="F530">
            <v>43518</v>
          </cell>
          <cell r="G530" t="str">
            <v>OK</v>
          </cell>
        </row>
        <row r="531">
          <cell r="A531" t="str">
            <v>Y1812-0124</v>
          </cell>
          <cell r="B531">
            <v>201807</v>
          </cell>
          <cell r="C531" t="str">
            <v>4600059664</v>
          </cell>
          <cell r="D531" t="str">
            <v>663601C</v>
          </cell>
          <cell r="E531">
            <v>132</v>
          </cell>
          <cell r="F531">
            <v>43518</v>
          </cell>
          <cell r="G531" t="str">
            <v>OK</v>
          </cell>
        </row>
        <row r="532">
          <cell r="A532" t="str">
            <v>Y1812-0130</v>
          </cell>
          <cell r="B532">
            <v>201807</v>
          </cell>
          <cell r="C532" t="str">
            <v>4600059673</v>
          </cell>
          <cell r="D532" t="str">
            <v>163202C</v>
          </cell>
          <cell r="E532">
            <v>2016</v>
          </cell>
          <cell r="F532">
            <v>43518</v>
          </cell>
          <cell r="G532" t="str">
            <v>OK</v>
          </cell>
        </row>
        <row r="533">
          <cell r="A533" t="str">
            <v>Y1904-0003</v>
          </cell>
          <cell r="B533">
            <v>201811</v>
          </cell>
          <cell r="C533" t="str">
            <v>0100180057</v>
          </cell>
          <cell r="D533" t="str">
            <v>164607C</v>
          </cell>
          <cell r="E533">
            <v>204</v>
          </cell>
          <cell r="F533">
            <v>43563</v>
          </cell>
          <cell r="G533" t="str">
            <v>12/24</v>
          </cell>
        </row>
        <row r="534">
          <cell r="A534" t="str">
            <v>Y1904-0004</v>
          </cell>
          <cell r="B534">
            <v>201811</v>
          </cell>
          <cell r="C534" t="str">
            <v>0100180081</v>
          </cell>
          <cell r="D534" t="str">
            <v>549700F</v>
          </cell>
          <cell r="E534">
            <v>804</v>
          </cell>
          <cell r="F534">
            <v>43560</v>
          </cell>
          <cell r="G534" t="str">
            <v>12/20</v>
          </cell>
        </row>
        <row r="535">
          <cell r="A535" t="str">
            <v>Y1904-0005</v>
          </cell>
          <cell r="B535">
            <v>201811</v>
          </cell>
          <cell r="C535" t="str">
            <v>0100180092</v>
          </cell>
          <cell r="D535">
            <v>88871</v>
          </cell>
          <cell r="E535">
            <v>600</v>
          </cell>
          <cell r="F535">
            <v>43568</v>
          </cell>
          <cell r="G535" t="str">
            <v>12/24</v>
          </cell>
        </row>
        <row r="536">
          <cell r="A536" t="str">
            <v>Y1904-0006</v>
          </cell>
          <cell r="B536">
            <v>201811</v>
          </cell>
          <cell r="C536" t="str">
            <v>0100180093</v>
          </cell>
          <cell r="D536">
            <v>81229</v>
          </cell>
          <cell r="E536">
            <v>600</v>
          </cell>
          <cell r="F536">
            <v>43570</v>
          </cell>
          <cell r="G536" t="str">
            <v>01/10</v>
          </cell>
        </row>
        <row r="537">
          <cell r="A537" t="str">
            <v>Y1904-0007</v>
          </cell>
          <cell r="B537">
            <v>201811</v>
          </cell>
          <cell r="C537" t="str">
            <v>4600066160</v>
          </cell>
          <cell r="D537" t="str">
            <v>164221C</v>
          </cell>
          <cell r="E537">
            <v>120</v>
          </cell>
          <cell r="F537">
            <v>43556</v>
          </cell>
          <cell r="G537" t="str">
            <v>12/24</v>
          </cell>
        </row>
        <row r="538">
          <cell r="A538" t="str">
            <v>Y1904-0008</v>
          </cell>
          <cell r="B538">
            <v>201811</v>
          </cell>
          <cell r="C538" t="str">
            <v>4600066161</v>
          </cell>
          <cell r="D538" t="str">
            <v>164223C</v>
          </cell>
          <cell r="E538">
            <v>120</v>
          </cell>
          <cell r="F538">
            <v>43556</v>
          </cell>
          <cell r="G538" t="str">
            <v>12/24</v>
          </cell>
        </row>
        <row r="539">
          <cell r="A539" t="str">
            <v>Y1904-0001</v>
          </cell>
          <cell r="B539">
            <v>201811</v>
          </cell>
          <cell r="C539" t="str">
            <v>4600066174</v>
          </cell>
          <cell r="D539" t="str">
            <v>165599C</v>
          </cell>
          <cell r="E539">
            <v>132</v>
          </cell>
          <cell r="F539">
            <v>43557</v>
          </cell>
          <cell r="G539" t="str">
            <v>12/24</v>
          </cell>
        </row>
        <row r="540">
          <cell r="A540" t="str">
            <v>Y1904-0002</v>
          </cell>
          <cell r="B540">
            <v>201811</v>
          </cell>
          <cell r="C540" t="str">
            <v>4600066175</v>
          </cell>
          <cell r="D540" t="str">
            <v>165598C</v>
          </cell>
          <cell r="E540">
            <v>132</v>
          </cell>
          <cell r="F540">
            <v>43557</v>
          </cell>
          <cell r="G540" t="str">
            <v>12/24</v>
          </cell>
        </row>
        <row r="541">
          <cell r="A541" t="str">
            <v>Y1904-0009</v>
          </cell>
          <cell r="B541">
            <v>201811</v>
          </cell>
          <cell r="C541" t="str">
            <v>4600066202</v>
          </cell>
          <cell r="D541" t="str">
            <v>164025C</v>
          </cell>
          <cell r="E541">
            <v>84</v>
          </cell>
          <cell r="F541">
            <v>43558</v>
          </cell>
          <cell r="G541" t="str">
            <v>CFM</v>
          </cell>
        </row>
        <row r="542">
          <cell r="A542" t="str">
            <v>Y1904-0010</v>
          </cell>
          <cell r="B542">
            <v>201811</v>
          </cell>
          <cell r="C542" t="str">
            <v>4600066203</v>
          </cell>
          <cell r="D542" t="str">
            <v>164026C</v>
          </cell>
          <cell r="E542">
            <v>84</v>
          </cell>
          <cell r="F542">
            <v>43558</v>
          </cell>
          <cell r="G542" t="str">
            <v>CFM</v>
          </cell>
        </row>
        <row r="543">
          <cell r="A543" t="str">
            <v>Y1904-0011</v>
          </cell>
          <cell r="B543">
            <v>201811</v>
          </cell>
          <cell r="C543" t="str">
            <v>4600066254</v>
          </cell>
          <cell r="D543" t="str">
            <v>164221C</v>
          </cell>
          <cell r="E543">
            <v>660</v>
          </cell>
          <cell r="F543">
            <v>43556</v>
          </cell>
          <cell r="G543" t="str">
            <v>12/24</v>
          </cell>
        </row>
        <row r="544">
          <cell r="A544" t="str">
            <v>Y1904-0012</v>
          </cell>
          <cell r="B544">
            <v>201811</v>
          </cell>
          <cell r="C544" t="str">
            <v>4600066255</v>
          </cell>
          <cell r="D544" t="str">
            <v>164223C</v>
          </cell>
          <cell r="E544">
            <v>384</v>
          </cell>
          <cell r="F544">
            <v>43556</v>
          </cell>
          <cell r="G544" t="str">
            <v>12/24</v>
          </cell>
        </row>
        <row r="545">
          <cell r="A545" t="str">
            <v>Y1904-0013</v>
          </cell>
          <cell r="B545">
            <v>201811</v>
          </cell>
          <cell r="C545" t="str">
            <v>4600066258</v>
          </cell>
          <cell r="D545" t="str">
            <v>164026C</v>
          </cell>
          <cell r="E545">
            <v>174</v>
          </cell>
          <cell r="F545">
            <v>43556</v>
          </cell>
          <cell r="G545" t="str">
            <v>01/03</v>
          </cell>
        </row>
        <row r="546">
          <cell r="A546" t="str">
            <v>Y1904-0014</v>
          </cell>
          <cell r="B546">
            <v>201811</v>
          </cell>
          <cell r="C546" t="str">
            <v>4600066267</v>
          </cell>
          <cell r="D546" t="str">
            <v>164025C</v>
          </cell>
          <cell r="E546">
            <v>173</v>
          </cell>
          <cell r="F546">
            <v>43556</v>
          </cell>
          <cell r="G546" t="str">
            <v>01/03</v>
          </cell>
        </row>
        <row r="547">
          <cell r="A547" t="str">
            <v>Y1902-0656</v>
          </cell>
          <cell r="B547">
            <v>201811</v>
          </cell>
          <cell r="C547" t="str">
            <v>4600066671</v>
          </cell>
          <cell r="D547" t="str">
            <v>159627C</v>
          </cell>
          <cell r="E547">
            <v>1944</v>
          </cell>
          <cell r="F547">
            <v>43556</v>
          </cell>
          <cell r="G547" t="str">
            <v>01/03</v>
          </cell>
        </row>
        <row r="548">
          <cell r="A548" t="str">
            <v>Y1902-0657</v>
          </cell>
          <cell r="B548">
            <v>201811</v>
          </cell>
          <cell r="C548" t="str">
            <v>4600066672</v>
          </cell>
          <cell r="D548" t="str">
            <v>160481C</v>
          </cell>
          <cell r="E548">
            <v>1332</v>
          </cell>
          <cell r="F548">
            <v>43556</v>
          </cell>
          <cell r="G548" t="str">
            <v>12/28</v>
          </cell>
        </row>
        <row r="549">
          <cell r="A549" t="str">
            <v>Y1904-0015</v>
          </cell>
          <cell r="B549">
            <v>201811</v>
          </cell>
          <cell r="C549" t="str">
            <v>4600066673</v>
          </cell>
          <cell r="D549" t="str">
            <v>160484C</v>
          </cell>
          <cell r="E549">
            <v>1200</v>
          </cell>
          <cell r="F549">
            <v>43556</v>
          </cell>
          <cell r="G549" t="str">
            <v>12/28</v>
          </cell>
        </row>
        <row r="550">
          <cell r="A550" t="str">
            <v>Y1902-0658</v>
          </cell>
          <cell r="B550">
            <v>201811</v>
          </cell>
          <cell r="C550" t="str">
            <v>4600066674</v>
          </cell>
          <cell r="D550" t="str">
            <v>159628C</v>
          </cell>
          <cell r="E550">
            <v>1320</v>
          </cell>
          <cell r="F550">
            <v>43556</v>
          </cell>
          <cell r="G550" t="str">
            <v>12/28</v>
          </cell>
        </row>
        <row r="551">
          <cell r="A551" t="str">
            <v>Y1904-0016</v>
          </cell>
          <cell r="B551">
            <v>201811</v>
          </cell>
          <cell r="C551" t="str">
            <v>4600066675</v>
          </cell>
          <cell r="D551" t="str">
            <v>160480C</v>
          </cell>
          <cell r="E551">
            <v>720</v>
          </cell>
          <cell r="F551">
            <v>43556</v>
          </cell>
          <cell r="G551" t="str">
            <v>12/28</v>
          </cell>
        </row>
        <row r="552">
          <cell r="A552" t="str">
            <v>Y1904-0017</v>
          </cell>
          <cell r="B552">
            <v>201811</v>
          </cell>
          <cell r="C552" t="str">
            <v>4600066676</v>
          </cell>
          <cell r="D552" t="str">
            <v>162378C</v>
          </cell>
          <cell r="E552">
            <v>1080</v>
          </cell>
          <cell r="F552">
            <v>43556</v>
          </cell>
          <cell r="G552" t="str">
            <v>12/28</v>
          </cell>
        </row>
        <row r="553">
          <cell r="A553" t="str">
            <v>Y1904-0018</v>
          </cell>
          <cell r="B553">
            <v>201811</v>
          </cell>
          <cell r="C553" t="str">
            <v>4600066677</v>
          </cell>
          <cell r="D553" t="str">
            <v>160483C</v>
          </cell>
          <cell r="E553">
            <v>240</v>
          </cell>
          <cell r="F553">
            <v>43556</v>
          </cell>
          <cell r="G553" t="str">
            <v>12/28</v>
          </cell>
        </row>
        <row r="554">
          <cell r="A554" t="str">
            <v>Y1902-0659</v>
          </cell>
          <cell r="B554">
            <v>201811</v>
          </cell>
          <cell r="C554" t="str">
            <v>4600066678</v>
          </cell>
          <cell r="D554" t="str">
            <v>159628C</v>
          </cell>
          <cell r="E554">
            <v>480</v>
          </cell>
          <cell r="F554">
            <v>43556</v>
          </cell>
          <cell r="G554" t="str">
            <v>12/28</v>
          </cell>
        </row>
        <row r="555">
          <cell r="A555" t="str">
            <v>Y1904-0019</v>
          </cell>
          <cell r="B555">
            <v>201811</v>
          </cell>
          <cell r="C555" t="str">
            <v>4600066679</v>
          </cell>
          <cell r="D555" t="str">
            <v>160480C</v>
          </cell>
          <cell r="E555">
            <v>192</v>
          </cell>
          <cell r="F555">
            <v>43556</v>
          </cell>
          <cell r="G555" t="str">
            <v>01/03</v>
          </cell>
        </row>
        <row r="556">
          <cell r="A556" t="str">
            <v>Y1904-0020</v>
          </cell>
          <cell r="B556">
            <v>201811</v>
          </cell>
          <cell r="C556" t="str">
            <v>4600066680</v>
          </cell>
          <cell r="D556" t="str">
            <v>162378C</v>
          </cell>
          <cell r="E556">
            <v>720</v>
          </cell>
          <cell r="F556">
            <v>43556</v>
          </cell>
          <cell r="G556" t="str">
            <v>12/28</v>
          </cell>
        </row>
        <row r="557">
          <cell r="A557" t="str">
            <v>Y1904-0021</v>
          </cell>
          <cell r="B557">
            <v>201811</v>
          </cell>
          <cell r="C557" t="str">
            <v>4600066681</v>
          </cell>
          <cell r="D557" t="str">
            <v>160484C</v>
          </cell>
          <cell r="E557">
            <v>240</v>
          </cell>
          <cell r="F557">
            <v>43556</v>
          </cell>
          <cell r="G557" t="str">
            <v>12/28</v>
          </cell>
        </row>
        <row r="558">
          <cell r="A558" t="str">
            <v>Y1902-0660</v>
          </cell>
          <cell r="B558">
            <v>201811</v>
          </cell>
          <cell r="C558" t="str">
            <v>4600066682</v>
          </cell>
          <cell r="D558" t="str">
            <v>159627C</v>
          </cell>
          <cell r="E558">
            <v>1020</v>
          </cell>
          <cell r="F558">
            <v>43556</v>
          </cell>
          <cell r="G558" t="str">
            <v>01/03</v>
          </cell>
        </row>
        <row r="559">
          <cell r="A559" t="str">
            <v>Y1902-0661</v>
          </cell>
          <cell r="B559">
            <v>201811</v>
          </cell>
          <cell r="C559" t="str">
            <v>4600066683</v>
          </cell>
          <cell r="D559" t="str">
            <v>160481C</v>
          </cell>
          <cell r="E559">
            <v>504</v>
          </cell>
          <cell r="F559">
            <v>43556</v>
          </cell>
          <cell r="G559" t="str">
            <v>12/28</v>
          </cell>
        </row>
        <row r="560">
          <cell r="A560" t="str">
            <v>Y1902-0662</v>
          </cell>
          <cell r="B560">
            <v>201811</v>
          </cell>
          <cell r="C560" t="str">
            <v>4600066684</v>
          </cell>
          <cell r="D560" t="str">
            <v>159627C</v>
          </cell>
          <cell r="E560">
            <v>552</v>
          </cell>
          <cell r="F560">
            <v>43556</v>
          </cell>
          <cell r="G560" t="str">
            <v>CFM</v>
          </cell>
        </row>
        <row r="561">
          <cell r="A561" t="str">
            <v>Y1903-0252</v>
          </cell>
          <cell r="B561">
            <v>201811</v>
          </cell>
          <cell r="C561" t="str">
            <v>4600066685</v>
          </cell>
          <cell r="D561" t="str">
            <v>160484C</v>
          </cell>
          <cell r="E561">
            <v>252</v>
          </cell>
          <cell r="F561">
            <v>43556</v>
          </cell>
          <cell r="G561" t="str">
            <v>CFM</v>
          </cell>
        </row>
        <row r="562">
          <cell r="A562" t="str">
            <v>Y1903-0253</v>
          </cell>
          <cell r="B562">
            <v>201811</v>
          </cell>
          <cell r="C562" t="str">
            <v>4600066686</v>
          </cell>
          <cell r="D562" t="str">
            <v>159631C</v>
          </cell>
          <cell r="E562">
            <v>216</v>
          </cell>
          <cell r="F562">
            <v>43556</v>
          </cell>
          <cell r="G562" t="str">
            <v>CFM</v>
          </cell>
        </row>
        <row r="563">
          <cell r="A563" t="str">
            <v>Y1903-0254</v>
          </cell>
          <cell r="B563">
            <v>201811</v>
          </cell>
          <cell r="C563" t="str">
            <v>4600066687</v>
          </cell>
          <cell r="D563" t="str">
            <v>160483C</v>
          </cell>
          <cell r="E563">
            <v>216</v>
          </cell>
          <cell r="F563">
            <v>43556</v>
          </cell>
          <cell r="G563" t="str">
            <v>CFM</v>
          </cell>
        </row>
        <row r="564">
          <cell r="A564" t="str">
            <v>Y1903-0255</v>
          </cell>
          <cell r="B564">
            <v>201811</v>
          </cell>
          <cell r="C564" t="str">
            <v>4600066688</v>
          </cell>
          <cell r="D564" t="str">
            <v>159628C</v>
          </cell>
          <cell r="E564">
            <v>180</v>
          </cell>
          <cell r="F564">
            <v>43556</v>
          </cell>
          <cell r="G564" t="str">
            <v>CFM</v>
          </cell>
        </row>
        <row r="565">
          <cell r="A565" t="str">
            <v>Y1903-0256</v>
          </cell>
          <cell r="B565">
            <v>201811</v>
          </cell>
          <cell r="C565" t="str">
            <v>4600066689</v>
          </cell>
          <cell r="D565" t="str">
            <v>160480C</v>
          </cell>
          <cell r="E565">
            <v>252</v>
          </cell>
          <cell r="F565">
            <v>43556</v>
          </cell>
          <cell r="G565" t="str">
            <v>CFM</v>
          </cell>
        </row>
        <row r="566">
          <cell r="A566" t="str">
            <v>Y1903-0257</v>
          </cell>
          <cell r="B566">
            <v>201811</v>
          </cell>
          <cell r="C566" t="str">
            <v>4600066690</v>
          </cell>
          <cell r="D566" t="str">
            <v>162378C</v>
          </cell>
          <cell r="E566">
            <v>216</v>
          </cell>
          <cell r="F566">
            <v>43556</v>
          </cell>
          <cell r="G566" t="str">
            <v>CFM</v>
          </cell>
        </row>
        <row r="567">
          <cell r="A567" t="str">
            <v>Y1904-0022</v>
          </cell>
          <cell r="B567">
            <v>201811</v>
          </cell>
          <cell r="C567" t="str">
            <v>4600066693</v>
          </cell>
          <cell r="D567" t="str">
            <v>160483C</v>
          </cell>
          <cell r="E567">
            <v>1200</v>
          </cell>
          <cell r="F567">
            <v>43556</v>
          </cell>
          <cell r="G567" t="str">
            <v>12/28</v>
          </cell>
        </row>
        <row r="568">
          <cell r="A568" t="str">
            <v>Y1903-0071</v>
          </cell>
          <cell r="B568">
            <v>201810</v>
          </cell>
          <cell r="C568" t="str">
            <v>4600064604</v>
          </cell>
          <cell r="D568" t="str">
            <v>164361C</v>
          </cell>
          <cell r="E568">
            <v>672</v>
          </cell>
          <cell r="F568">
            <v>43577</v>
          </cell>
          <cell r="G568" t="str">
            <v>CFM</v>
          </cell>
        </row>
        <row r="569">
          <cell r="A569" t="str">
            <v>Y1903-0081</v>
          </cell>
          <cell r="B569">
            <v>201810</v>
          </cell>
          <cell r="C569" t="str">
            <v>4600064621</v>
          </cell>
          <cell r="D569" t="str">
            <v>164362C</v>
          </cell>
          <cell r="E569">
            <v>372</v>
          </cell>
          <cell r="F569">
            <v>43577</v>
          </cell>
          <cell r="G569" t="str">
            <v>CFM</v>
          </cell>
        </row>
        <row r="570">
          <cell r="A570" t="str">
            <v>Y1903-0082</v>
          </cell>
          <cell r="B570">
            <v>201810</v>
          </cell>
          <cell r="C570" t="str">
            <v>4600064622</v>
          </cell>
          <cell r="D570" t="str">
            <v>164359C</v>
          </cell>
          <cell r="E570">
            <v>168</v>
          </cell>
          <cell r="F570">
            <v>43577</v>
          </cell>
          <cell r="G570" t="str">
            <v>OK</v>
          </cell>
        </row>
        <row r="571">
          <cell r="A571" t="str">
            <v>Y1903-0083</v>
          </cell>
          <cell r="B571">
            <v>201810</v>
          </cell>
          <cell r="C571" t="str">
            <v>4600064623</v>
          </cell>
          <cell r="D571" t="str">
            <v>164359C</v>
          </cell>
          <cell r="E571">
            <v>660</v>
          </cell>
          <cell r="F571">
            <v>43577</v>
          </cell>
          <cell r="G571" t="str">
            <v>CFM</v>
          </cell>
        </row>
        <row r="572">
          <cell r="A572" t="str">
            <v>Y1903-0084</v>
          </cell>
          <cell r="B572">
            <v>201810</v>
          </cell>
          <cell r="C572" t="str">
            <v>4600064624</v>
          </cell>
          <cell r="D572" t="str">
            <v>164361C</v>
          </cell>
          <cell r="E572">
            <v>180</v>
          </cell>
          <cell r="F572">
            <v>43577</v>
          </cell>
          <cell r="G572" t="str">
            <v>OK</v>
          </cell>
        </row>
        <row r="573">
          <cell r="A573" t="str">
            <v>Y1903-0085</v>
          </cell>
          <cell r="B573">
            <v>201810</v>
          </cell>
          <cell r="C573" t="str">
            <v>4600064625</v>
          </cell>
          <cell r="D573" t="str">
            <v>364170C</v>
          </cell>
          <cell r="E573">
            <v>420</v>
          </cell>
          <cell r="F573">
            <v>43560</v>
          </cell>
          <cell r="G573" t="str">
            <v>CFM</v>
          </cell>
        </row>
        <row r="574">
          <cell r="A574" t="str">
            <v>Y1903-0086</v>
          </cell>
          <cell r="B574">
            <v>201810</v>
          </cell>
          <cell r="C574" t="str">
            <v>4600064626</v>
          </cell>
          <cell r="D574" t="str">
            <v>364170C</v>
          </cell>
          <cell r="E574">
            <v>144</v>
          </cell>
          <cell r="F574">
            <v>43560</v>
          </cell>
          <cell r="G574" t="str">
            <v>OK</v>
          </cell>
        </row>
        <row r="575">
          <cell r="A575" t="str">
            <v>Y1903-0087</v>
          </cell>
          <cell r="B575">
            <v>201810</v>
          </cell>
          <cell r="C575" t="str">
            <v>4600064627</v>
          </cell>
          <cell r="D575" t="str">
            <v>364169C</v>
          </cell>
          <cell r="E575">
            <v>144</v>
          </cell>
          <cell r="F575">
            <v>43560</v>
          </cell>
          <cell r="G575" t="str">
            <v>OK</v>
          </cell>
        </row>
        <row r="576">
          <cell r="A576" t="str">
            <v>Y1903-0088</v>
          </cell>
          <cell r="B576">
            <v>201810</v>
          </cell>
          <cell r="C576" t="str">
            <v>4600064628</v>
          </cell>
          <cell r="D576" t="str">
            <v>364169C</v>
          </cell>
          <cell r="E576">
            <v>408</v>
          </cell>
          <cell r="F576">
            <v>43560</v>
          </cell>
          <cell r="G576" t="str">
            <v>CFM</v>
          </cell>
        </row>
        <row r="577">
          <cell r="A577" t="str">
            <v>Y1903-0090</v>
          </cell>
          <cell r="B577">
            <v>201810</v>
          </cell>
          <cell r="C577" t="str">
            <v>4600064630</v>
          </cell>
          <cell r="D577" t="str">
            <v>164362C</v>
          </cell>
          <cell r="E577">
            <v>132</v>
          </cell>
          <cell r="F577">
            <v>43577</v>
          </cell>
          <cell r="G577" t="str">
            <v>OK</v>
          </cell>
        </row>
        <row r="578">
          <cell r="A578" t="str">
            <v>Y1903-0094</v>
          </cell>
          <cell r="B578">
            <v>201810</v>
          </cell>
          <cell r="C578" t="str">
            <v>4600064634</v>
          </cell>
          <cell r="D578" t="str">
            <v>564207C</v>
          </cell>
          <cell r="E578">
            <v>672</v>
          </cell>
          <cell r="F578">
            <v>43577</v>
          </cell>
          <cell r="G578" t="str">
            <v>CFM</v>
          </cell>
        </row>
        <row r="579">
          <cell r="A579" t="str">
            <v>Y1903-0095</v>
          </cell>
          <cell r="B579">
            <v>201810</v>
          </cell>
          <cell r="C579" t="str">
            <v>4600064635</v>
          </cell>
          <cell r="D579" t="str">
            <v>564206C</v>
          </cell>
          <cell r="E579">
            <v>168</v>
          </cell>
          <cell r="F579">
            <v>43577</v>
          </cell>
          <cell r="G579" t="str">
            <v>OK</v>
          </cell>
        </row>
        <row r="580">
          <cell r="A580" t="str">
            <v>Y1903-0096</v>
          </cell>
          <cell r="B580">
            <v>201810</v>
          </cell>
          <cell r="C580" t="str">
            <v>4600064636</v>
          </cell>
          <cell r="D580" t="str">
            <v>564205C</v>
          </cell>
          <cell r="E580">
            <v>168</v>
          </cell>
          <cell r="F580">
            <v>43577</v>
          </cell>
          <cell r="G580" t="str">
            <v>OK</v>
          </cell>
        </row>
        <row r="581">
          <cell r="A581" t="str">
            <v>Y1903-0097</v>
          </cell>
          <cell r="B581">
            <v>201810</v>
          </cell>
          <cell r="C581" t="str">
            <v>4600064637</v>
          </cell>
          <cell r="D581" t="str">
            <v>564205C</v>
          </cell>
          <cell r="E581">
            <v>684</v>
          </cell>
          <cell r="F581">
            <v>43577</v>
          </cell>
          <cell r="G581" t="str">
            <v>CFM</v>
          </cell>
        </row>
        <row r="582">
          <cell r="A582" t="str">
            <v>Y1903-0098</v>
          </cell>
          <cell r="B582">
            <v>201810</v>
          </cell>
          <cell r="C582" t="str">
            <v>4600064638</v>
          </cell>
          <cell r="D582" t="str">
            <v>564154C</v>
          </cell>
          <cell r="E582">
            <v>792</v>
          </cell>
          <cell r="F582">
            <v>43577</v>
          </cell>
          <cell r="G582" t="str">
            <v>12/20</v>
          </cell>
        </row>
        <row r="583">
          <cell r="A583" t="str">
            <v>Y1903-0099</v>
          </cell>
          <cell r="B583">
            <v>201810</v>
          </cell>
          <cell r="C583" t="str">
            <v>4600064639</v>
          </cell>
          <cell r="D583" t="str">
            <v>564153C</v>
          </cell>
          <cell r="E583">
            <v>120</v>
          </cell>
          <cell r="F583">
            <v>43577</v>
          </cell>
          <cell r="G583" t="str">
            <v>OK</v>
          </cell>
        </row>
        <row r="584">
          <cell r="A584" t="str">
            <v>Y1903-0100</v>
          </cell>
          <cell r="B584">
            <v>201810</v>
          </cell>
          <cell r="C584" t="str">
            <v>4600064640</v>
          </cell>
          <cell r="D584" t="str">
            <v>564207C</v>
          </cell>
          <cell r="E584">
            <v>168</v>
          </cell>
          <cell r="F584">
            <v>43577</v>
          </cell>
          <cell r="G584" t="str">
            <v>OK</v>
          </cell>
        </row>
        <row r="585">
          <cell r="A585" t="str">
            <v>Y1903-0101</v>
          </cell>
          <cell r="B585">
            <v>201810</v>
          </cell>
          <cell r="C585" t="str">
            <v>4600064641</v>
          </cell>
          <cell r="D585" t="str">
            <v>564206C</v>
          </cell>
          <cell r="E585">
            <v>672</v>
          </cell>
          <cell r="F585">
            <v>43577</v>
          </cell>
          <cell r="G585" t="str">
            <v>CFM</v>
          </cell>
        </row>
        <row r="586">
          <cell r="A586" t="str">
            <v>Y1903-0102</v>
          </cell>
          <cell r="B586">
            <v>201810</v>
          </cell>
          <cell r="C586" t="str">
            <v>4600064642</v>
          </cell>
          <cell r="D586" t="str">
            <v>564204C</v>
          </cell>
          <cell r="E586">
            <v>168</v>
          </cell>
          <cell r="F586">
            <v>43577</v>
          </cell>
          <cell r="G586" t="str">
            <v>OK</v>
          </cell>
        </row>
        <row r="587">
          <cell r="A587" t="str">
            <v>Y1903-0103</v>
          </cell>
          <cell r="B587">
            <v>201810</v>
          </cell>
          <cell r="C587" t="str">
            <v>4600064643</v>
          </cell>
          <cell r="D587" t="str">
            <v>564204C</v>
          </cell>
          <cell r="E587">
            <v>684</v>
          </cell>
          <cell r="F587">
            <v>43577</v>
          </cell>
          <cell r="G587" t="str">
            <v>CFM</v>
          </cell>
        </row>
        <row r="588">
          <cell r="A588" t="str">
            <v>Y1903-0104</v>
          </cell>
          <cell r="B588">
            <v>201810</v>
          </cell>
          <cell r="C588" t="str">
            <v>4600064644</v>
          </cell>
          <cell r="D588" t="str">
            <v>564154C</v>
          </cell>
          <cell r="E588">
            <v>204</v>
          </cell>
          <cell r="F588">
            <v>43577</v>
          </cell>
          <cell r="G588" t="str">
            <v>OK</v>
          </cell>
        </row>
        <row r="589">
          <cell r="A589" t="str">
            <v>Y1903-0105</v>
          </cell>
          <cell r="B589">
            <v>201810</v>
          </cell>
          <cell r="C589" t="str">
            <v>4600064645</v>
          </cell>
          <cell r="D589" t="str">
            <v>564153C</v>
          </cell>
          <cell r="E589">
            <v>408</v>
          </cell>
          <cell r="F589">
            <v>43577</v>
          </cell>
          <cell r="G589" t="str">
            <v>CFM</v>
          </cell>
        </row>
        <row r="590">
          <cell r="A590" t="str">
            <v>Y1903-0106</v>
          </cell>
          <cell r="B590">
            <v>201810</v>
          </cell>
          <cell r="C590" t="str">
            <v>4600064646</v>
          </cell>
          <cell r="D590" t="str">
            <v>564152C</v>
          </cell>
          <cell r="E590">
            <v>204</v>
          </cell>
          <cell r="F590">
            <v>43577</v>
          </cell>
          <cell r="G590" t="str">
            <v>OK</v>
          </cell>
        </row>
        <row r="591">
          <cell r="A591" t="str">
            <v>Y1903-0107</v>
          </cell>
          <cell r="B591">
            <v>201810</v>
          </cell>
          <cell r="C591" t="str">
            <v>4600064647</v>
          </cell>
          <cell r="D591" t="str">
            <v>564152C</v>
          </cell>
          <cell r="E591">
            <v>816</v>
          </cell>
          <cell r="F591">
            <v>43577</v>
          </cell>
          <cell r="G591" t="str">
            <v>CFM</v>
          </cell>
        </row>
        <row r="592">
          <cell r="A592" t="str">
            <v>Y1903-0001</v>
          </cell>
          <cell r="B592">
            <v>201810</v>
          </cell>
          <cell r="C592" t="str">
            <v>0100175052</v>
          </cell>
          <cell r="D592" t="str">
            <v>564204C</v>
          </cell>
          <cell r="E592">
            <v>948</v>
          </cell>
          <cell r="F592">
            <v>43532</v>
          </cell>
          <cell r="G592" t="str">
            <v>OK</v>
          </cell>
        </row>
        <row r="593">
          <cell r="A593" t="str">
            <v>Y1903-0002</v>
          </cell>
          <cell r="B593">
            <v>201810</v>
          </cell>
          <cell r="C593" t="str">
            <v>0100175053</v>
          </cell>
          <cell r="D593" t="str">
            <v>564205C</v>
          </cell>
          <cell r="E593">
            <v>2460</v>
          </cell>
          <cell r="F593">
            <v>43532</v>
          </cell>
          <cell r="G593" t="str">
            <v>OK</v>
          </cell>
        </row>
        <row r="594">
          <cell r="A594" t="str">
            <v>Y1903-0003</v>
          </cell>
          <cell r="B594">
            <v>201810</v>
          </cell>
          <cell r="C594" t="str">
            <v>0100175054</v>
          </cell>
          <cell r="D594" t="str">
            <v>564206C</v>
          </cell>
          <cell r="E594">
            <v>1884</v>
          </cell>
          <cell r="F594">
            <v>43533</v>
          </cell>
          <cell r="G594" t="str">
            <v>OK</v>
          </cell>
        </row>
        <row r="595">
          <cell r="A595" t="str">
            <v>Y1903-0004</v>
          </cell>
          <cell r="B595">
            <v>201810</v>
          </cell>
          <cell r="C595" t="str">
            <v>0100175055</v>
          </cell>
          <cell r="D595" t="str">
            <v>564207C</v>
          </cell>
          <cell r="E595">
            <v>600</v>
          </cell>
          <cell r="F595">
            <v>43533</v>
          </cell>
          <cell r="G595" t="str">
            <v>OK</v>
          </cell>
        </row>
        <row r="596">
          <cell r="A596" t="str">
            <v>Y1903-0005</v>
          </cell>
          <cell r="B596">
            <v>201810</v>
          </cell>
          <cell r="C596" t="str">
            <v>0100175243</v>
          </cell>
          <cell r="D596" t="str">
            <v>M7652C</v>
          </cell>
          <cell r="E596">
            <v>3600</v>
          </cell>
          <cell r="F596">
            <v>43530</v>
          </cell>
          <cell r="G596" t="str">
            <v>OK</v>
          </cell>
        </row>
        <row r="597">
          <cell r="A597" t="str">
            <v>Y1903-0006</v>
          </cell>
          <cell r="B597">
            <v>201810</v>
          </cell>
          <cell r="C597" t="str">
            <v>0100175246</v>
          </cell>
          <cell r="D597" t="str">
            <v>M7650C</v>
          </cell>
          <cell r="E597">
            <v>1584</v>
          </cell>
          <cell r="F597">
            <v>43530</v>
          </cell>
          <cell r="G597" t="str">
            <v>OK</v>
          </cell>
        </row>
        <row r="598">
          <cell r="A598" t="str">
            <v>Y1903-0007</v>
          </cell>
          <cell r="B598">
            <v>201810</v>
          </cell>
          <cell r="C598" t="str">
            <v>0100175252</v>
          </cell>
          <cell r="D598" t="str">
            <v>M9697C</v>
          </cell>
          <cell r="E598">
            <v>468</v>
          </cell>
          <cell r="F598">
            <v>43530</v>
          </cell>
          <cell r="G598" t="str">
            <v>OK</v>
          </cell>
        </row>
        <row r="599">
          <cell r="A599" t="str">
            <v>Y1903-0008</v>
          </cell>
          <cell r="B599">
            <v>201810</v>
          </cell>
          <cell r="C599" t="str">
            <v>0100175257</v>
          </cell>
          <cell r="D599" t="str">
            <v>3J256C</v>
          </cell>
          <cell r="E599">
            <v>276</v>
          </cell>
          <cell r="F599">
            <v>43530</v>
          </cell>
          <cell r="G599" t="str">
            <v>OK</v>
          </cell>
        </row>
        <row r="600">
          <cell r="A600" t="str">
            <v>Y1903-0009</v>
          </cell>
          <cell r="B600">
            <v>201810</v>
          </cell>
          <cell r="C600" t="str">
            <v>0100175276</v>
          </cell>
          <cell r="D600" t="str">
            <v>636930C</v>
          </cell>
          <cell r="E600">
            <v>312</v>
          </cell>
          <cell r="F600">
            <v>43542</v>
          </cell>
          <cell r="G600" t="str">
            <v>OK</v>
          </cell>
        </row>
        <row r="601">
          <cell r="A601" t="str">
            <v>Y1903-0010</v>
          </cell>
          <cell r="B601">
            <v>201810</v>
          </cell>
          <cell r="C601" t="str">
            <v>0100175288</v>
          </cell>
          <cell r="D601" t="str">
            <v>M9621C</v>
          </cell>
          <cell r="E601">
            <v>1272</v>
          </cell>
          <cell r="F601">
            <v>43525</v>
          </cell>
          <cell r="G601" t="str">
            <v>OK</v>
          </cell>
        </row>
        <row r="602">
          <cell r="A602" t="str">
            <v>Y1903-0011</v>
          </cell>
          <cell r="B602">
            <v>201810</v>
          </cell>
          <cell r="C602" t="str">
            <v>0100175289</v>
          </cell>
          <cell r="D602" t="str">
            <v>M9696C</v>
          </cell>
          <cell r="E602">
            <v>972</v>
          </cell>
          <cell r="F602">
            <v>43525</v>
          </cell>
          <cell r="G602" t="str">
            <v>OK</v>
          </cell>
        </row>
        <row r="603">
          <cell r="A603" t="str">
            <v>Y1903-0012</v>
          </cell>
          <cell r="B603">
            <v>201810</v>
          </cell>
          <cell r="C603" t="str">
            <v>0100175290</v>
          </cell>
          <cell r="D603" t="str">
            <v>3J256C</v>
          </cell>
          <cell r="E603">
            <v>204</v>
          </cell>
          <cell r="F603">
            <v>43525</v>
          </cell>
          <cell r="G603" t="str">
            <v>OK</v>
          </cell>
        </row>
        <row r="604">
          <cell r="A604" t="str">
            <v>Y1903-0013</v>
          </cell>
          <cell r="B604">
            <v>201810</v>
          </cell>
          <cell r="C604" t="str">
            <v>0100175291</v>
          </cell>
          <cell r="D604" t="str">
            <v>3J253C</v>
          </cell>
          <cell r="E604">
            <v>168</v>
          </cell>
          <cell r="F604">
            <v>43525</v>
          </cell>
          <cell r="G604" t="str">
            <v>OK</v>
          </cell>
        </row>
        <row r="605">
          <cell r="A605" t="str">
            <v>Y1903-0014</v>
          </cell>
          <cell r="B605">
            <v>201810</v>
          </cell>
          <cell r="C605" t="str">
            <v>0100175292</v>
          </cell>
          <cell r="D605" t="str">
            <v>158369C</v>
          </cell>
          <cell r="E605">
            <v>1212</v>
          </cell>
          <cell r="F605">
            <v>43525</v>
          </cell>
          <cell r="G605" t="str">
            <v>OK</v>
          </cell>
        </row>
        <row r="606">
          <cell r="A606" t="str">
            <v>Y1903-0015</v>
          </cell>
          <cell r="B606">
            <v>201810</v>
          </cell>
          <cell r="C606" t="str">
            <v>0100175293</v>
          </cell>
          <cell r="D606" t="str">
            <v>M9697C</v>
          </cell>
          <cell r="E606">
            <v>2064</v>
          </cell>
          <cell r="F606">
            <v>43525</v>
          </cell>
          <cell r="G606" t="str">
            <v>OK</v>
          </cell>
        </row>
        <row r="607">
          <cell r="A607" t="str">
            <v>Y1903-0016</v>
          </cell>
          <cell r="B607">
            <v>201810</v>
          </cell>
          <cell r="C607" t="str">
            <v>0100175294</v>
          </cell>
          <cell r="D607" t="str">
            <v>761307C</v>
          </cell>
          <cell r="E607">
            <v>276</v>
          </cell>
          <cell r="F607">
            <v>43525</v>
          </cell>
          <cell r="G607" t="str">
            <v>OK</v>
          </cell>
        </row>
        <row r="608">
          <cell r="A608" t="str">
            <v>Y1903-0017</v>
          </cell>
          <cell r="B608">
            <v>201810</v>
          </cell>
          <cell r="C608" t="str">
            <v>0100175295</v>
          </cell>
          <cell r="D608" t="str">
            <v>164525C</v>
          </cell>
          <cell r="E608">
            <v>528</v>
          </cell>
          <cell r="F608">
            <v>43525</v>
          </cell>
          <cell r="G608" t="str">
            <v>OK</v>
          </cell>
        </row>
        <row r="609">
          <cell r="A609" t="str">
            <v>Y1903-0018</v>
          </cell>
          <cell r="B609">
            <v>201810</v>
          </cell>
          <cell r="C609" t="str">
            <v>0100175296</v>
          </cell>
          <cell r="D609" t="str">
            <v>361307C</v>
          </cell>
          <cell r="E609">
            <v>300</v>
          </cell>
          <cell r="F609">
            <v>43525</v>
          </cell>
          <cell r="G609" t="str">
            <v>OK</v>
          </cell>
        </row>
        <row r="610">
          <cell r="A610" t="str">
            <v>Y1903-0019</v>
          </cell>
          <cell r="B610">
            <v>201810</v>
          </cell>
          <cell r="C610" t="str">
            <v>0100175297</v>
          </cell>
          <cell r="D610" t="str">
            <v>361308C</v>
          </cell>
          <cell r="E610">
            <v>228</v>
          </cell>
          <cell r="F610">
            <v>43525</v>
          </cell>
          <cell r="G610" t="str">
            <v>OK</v>
          </cell>
        </row>
        <row r="611">
          <cell r="A611" t="str">
            <v>Y1903-0020</v>
          </cell>
          <cell r="B611">
            <v>201810</v>
          </cell>
          <cell r="C611" t="str">
            <v>0100175298</v>
          </cell>
          <cell r="D611" t="str">
            <v>564608C</v>
          </cell>
          <cell r="E611">
            <v>216</v>
          </cell>
          <cell r="F611">
            <v>43525</v>
          </cell>
          <cell r="G611" t="str">
            <v>OK</v>
          </cell>
        </row>
        <row r="612">
          <cell r="A612" t="str">
            <v>Y1903-0021</v>
          </cell>
          <cell r="B612">
            <v>201810</v>
          </cell>
          <cell r="C612" t="str">
            <v>0100175299</v>
          </cell>
          <cell r="D612" t="str">
            <v>364169C</v>
          </cell>
          <cell r="E612">
            <v>120</v>
          </cell>
          <cell r="F612">
            <v>43525</v>
          </cell>
          <cell r="G612" t="str">
            <v>OK</v>
          </cell>
        </row>
        <row r="613">
          <cell r="A613" t="str">
            <v>Y1903-0022</v>
          </cell>
          <cell r="B613">
            <v>201810</v>
          </cell>
          <cell r="C613" t="str">
            <v>0100175300</v>
          </cell>
          <cell r="D613" t="str">
            <v>564609C</v>
          </cell>
          <cell r="E613">
            <v>216</v>
          </cell>
          <cell r="F613">
            <v>43525</v>
          </cell>
          <cell r="G613" t="str">
            <v>OK</v>
          </cell>
        </row>
        <row r="614">
          <cell r="A614" t="str">
            <v>Y1903-0023</v>
          </cell>
          <cell r="B614">
            <v>201810</v>
          </cell>
          <cell r="C614" t="str">
            <v>0100175301</v>
          </cell>
          <cell r="D614" t="str">
            <v>560659C</v>
          </cell>
          <cell r="E614">
            <v>192</v>
          </cell>
          <cell r="F614">
            <v>43525</v>
          </cell>
          <cell r="G614" t="str">
            <v>OK</v>
          </cell>
        </row>
        <row r="615">
          <cell r="A615" t="str">
            <v>Y1903-0024</v>
          </cell>
          <cell r="B615">
            <v>201810</v>
          </cell>
          <cell r="C615" t="str">
            <v>0100175302</v>
          </cell>
          <cell r="D615" t="str">
            <v>161577C</v>
          </cell>
          <cell r="E615">
            <v>300</v>
          </cell>
          <cell r="F615">
            <v>43525</v>
          </cell>
          <cell r="G615" t="str">
            <v>OK</v>
          </cell>
        </row>
        <row r="616">
          <cell r="A616" t="str">
            <v>Y1903-0025</v>
          </cell>
          <cell r="B616">
            <v>201810</v>
          </cell>
          <cell r="C616" t="str">
            <v>0100175303</v>
          </cell>
          <cell r="D616" t="str">
            <v>764172C</v>
          </cell>
          <cell r="E616">
            <v>180</v>
          </cell>
          <cell r="F616">
            <v>43525</v>
          </cell>
          <cell r="G616" t="str">
            <v>OK</v>
          </cell>
        </row>
        <row r="617">
          <cell r="A617" t="str">
            <v>Y1903-0026</v>
          </cell>
          <cell r="B617">
            <v>201810</v>
          </cell>
          <cell r="C617" t="str">
            <v>0100175304</v>
          </cell>
          <cell r="D617" t="str">
            <v>764173C</v>
          </cell>
          <cell r="E617">
            <v>120</v>
          </cell>
          <cell r="F617">
            <v>43525</v>
          </cell>
          <cell r="G617" t="str">
            <v>OK</v>
          </cell>
        </row>
        <row r="618">
          <cell r="A618" t="str">
            <v>Y1903-0027</v>
          </cell>
          <cell r="B618">
            <v>201810</v>
          </cell>
          <cell r="C618" t="str">
            <v>0100175305</v>
          </cell>
          <cell r="D618" t="str">
            <v>764174C</v>
          </cell>
          <cell r="E618">
            <v>132</v>
          </cell>
          <cell r="F618">
            <v>43525</v>
          </cell>
          <cell r="G618" t="str">
            <v>OK</v>
          </cell>
        </row>
        <row r="619">
          <cell r="A619" t="str">
            <v>Y1903-0028</v>
          </cell>
          <cell r="B619">
            <v>201810</v>
          </cell>
          <cell r="C619" t="str">
            <v>0100175306</v>
          </cell>
          <cell r="D619" t="str">
            <v>764238C</v>
          </cell>
          <cell r="E619">
            <v>120</v>
          </cell>
          <cell r="F619">
            <v>43525</v>
          </cell>
          <cell r="G619" t="str">
            <v>OK</v>
          </cell>
        </row>
        <row r="620">
          <cell r="A620" t="str">
            <v>Y1903-0029</v>
          </cell>
          <cell r="B620">
            <v>201810</v>
          </cell>
          <cell r="C620" t="str">
            <v>0100175307</v>
          </cell>
          <cell r="D620" t="str">
            <v>564150C</v>
          </cell>
          <cell r="E620">
            <v>144</v>
          </cell>
          <cell r="F620">
            <v>43525</v>
          </cell>
          <cell r="G620" t="str">
            <v>OK</v>
          </cell>
        </row>
        <row r="621">
          <cell r="A621" t="str">
            <v>Y1903-0030</v>
          </cell>
          <cell r="B621">
            <v>201810</v>
          </cell>
          <cell r="C621" t="str">
            <v>0100175308</v>
          </cell>
          <cell r="D621" t="str">
            <v>163269C</v>
          </cell>
          <cell r="E621">
            <v>324</v>
          </cell>
          <cell r="F621">
            <v>43525</v>
          </cell>
          <cell r="G621" t="str">
            <v>OK</v>
          </cell>
        </row>
        <row r="622">
          <cell r="A622" t="str">
            <v>Y1903-0031</v>
          </cell>
          <cell r="B622">
            <v>201810</v>
          </cell>
          <cell r="C622" t="str">
            <v>0100175309</v>
          </cell>
          <cell r="D622" t="str">
            <v>564151C</v>
          </cell>
          <cell r="E622">
            <v>180</v>
          </cell>
          <cell r="F622">
            <v>43525</v>
          </cell>
          <cell r="G622" t="str">
            <v>OK</v>
          </cell>
        </row>
        <row r="623">
          <cell r="A623" t="str">
            <v>Y1903-0032</v>
          </cell>
          <cell r="B623">
            <v>201810</v>
          </cell>
          <cell r="C623" t="str">
            <v>0100175310</v>
          </cell>
          <cell r="D623" t="str">
            <v>564152C</v>
          </cell>
          <cell r="E623">
            <v>156</v>
          </cell>
          <cell r="F623">
            <v>43525</v>
          </cell>
          <cell r="G623" t="str">
            <v>OK</v>
          </cell>
        </row>
        <row r="624">
          <cell r="A624" t="str">
            <v>Y1903-0033</v>
          </cell>
          <cell r="B624">
            <v>201810</v>
          </cell>
          <cell r="C624" t="str">
            <v>0100175311</v>
          </cell>
          <cell r="D624" t="str">
            <v>564153C</v>
          </cell>
          <cell r="E624">
            <v>132</v>
          </cell>
          <cell r="F624">
            <v>43525</v>
          </cell>
          <cell r="G624" t="str">
            <v>OK</v>
          </cell>
        </row>
        <row r="625">
          <cell r="A625" t="str">
            <v>Y1903-0034</v>
          </cell>
          <cell r="B625">
            <v>201810</v>
          </cell>
          <cell r="C625" t="str">
            <v>0100175312</v>
          </cell>
          <cell r="D625" t="str">
            <v>564204C</v>
          </cell>
          <cell r="E625">
            <v>120</v>
          </cell>
          <cell r="F625">
            <v>43554</v>
          </cell>
          <cell r="G625" t="str">
            <v>OK</v>
          </cell>
        </row>
        <row r="626">
          <cell r="A626" t="str">
            <v>Y1903-0035</v>
          </cell>
          <cell r="B626">
            <v>201810</v>
          </cell>
          <cell r="C626" t="str">
            <v>0100175313</v>
          </cell>
          <cell r="D626" t="str">
            <v>564205C</v>
          </cell>
          <cell r="E626">
            <v>120</v>
          </cell>
          <cell r="F626">
            <v>43554</v>
          </cell>
          <cell r="G626" t="str">
            <v>OK</v>
          </cell>
        </row>
        <row r="627">
          <cell r="A627" t="str">
            <v>Y1903-0036</v>
          </cell>
          <cell r="B627">
            <v>201810</v>
          </cell>
          <cell r="C627" t="str">
            <v>0100175314</v>
          </cell>
          <cell r="D627" t="str">
            <v>164358C</v>
          </cell>
          <cell r="E627">
            <v>216</v>
          </cell>
          <cell r="F627">
            <v>43525</v>
          </cell>
          <cell r="G627" t="str">
            <v>OK</v>
          </cell>
        </row>
        <row r="628">
          <cell r="A628" t="str">
            <v>Y1903-0037</v>
          </cell>
          <cell r="B628">
            <v>201810</v>
          </cell>
          <cell r="C628" t="str">
            <v>0100175315</v>
          </cell>
          <cell r="D628" t="str">
            <v>564206C</v>
          </cell>
          <cell r="E628">
            <v>132</v>
          </cell>
          <cell r="F628">
            <v>43554</v>
          </cell>
          <cell r="G628" t="str">
            <v>OK</v>
          </cell>
        </row>
        <row r="629">
          <cell r="A629" t="str">
            <v>Y1903-0038</v>
          </cell>
          <cell r="B629">
            <v>201810</v>
          </cell>
          <cell r="C629" t="str">
            <v>0100175316</v>
          </cell>
          <cell r="D629" t="str">
            <v>164359C</v>
          </cell>
          <cell r="E629">
            <v>180</v>
          </cell>
          <cell r="F629">
            <v>43525</v>
          </cell>
          <cell r="G629" t="str">
            <v>OK</v>
          </cell>
        </row>
        <row r="630">
          <cell r="A630" t="str">
            <v>Y1903-0039</v>
          </cell>
          <cell r="B630">
            <v>201810</v>
          </cell>
          <cell r="C630" t="str">
            <v>0100175317</v>
          </cell>
          <cell r="D630" t="str">
            <v>761308C</v>
          </cell>
          <cell r="E630">
            <v>192</v>
          </cell>
          <cell r="F630">
            <v>43525</v>
          </cell>
          <cell r="G630" t="str">
            <v>OK</v>
          </cell>
        </row>
        <row r="631">
          <cell r="A631" t="str">
            <v>Y1903-0040</v>
          </cell>
          <cell r="B631">
            <v>201810</v>
          </cell>
          <cell r="C631" t="str">
            <v>0100175318</v>
          </cell>
          <cell r="D631" t="str">
            <v>7J232C</v>
          </cell>
          <cell r="E631">
            <v>120</v>
          </cell>
          <cell r="F631">
            <v>43525</v>
          </cell>
          <cell r="G631" t="str">
            <v>OK</v>
          </cell>
        </row>
        <row r="632">
          <cell r="A632" t="str">
            <v>Y1903-0041</v>
          </cell>
          <cell r="B632">
            <v>201810</v>
          </cell>
          <cell r="C632" t="str">
            <v>0100175319</v>
          </cell>
          <cell r="D632" t="str">
            <v>7J253C</v>
          </cell>
          <cell r="E632">
            <v>216</v>
          </cell>
          <cell r="F632">
            <v>43525</v>
          </cell>
          <cell r="G632" t="str">
            <v>OK</v>
          </cell>
        </row>
        <row r="633">
          <cell r="A633" t="str">
            <v>Y1903-0042</v>
          </cell>
          <cell r="B633">
            <v>201810</v>
          </cell>
          <cell r="C633" t="str">
            <v>0100175320</v>
          </cell>
          <cell r="D633" t="str">
            <v>7J256C</v>
          </cell>
          <cell r="E633">
            <v>204</v>
          </cell>
          <cell r="F633">
            <v>43525</v>
          </cell>
          <cell r="G633" t="str">
            <v>OK</v>
          </cell>
        </row>
        <row r="634">
          <cell r="A634" t="str">
            <v>Y1903-0043</v>
          </cell>
          <cell r="B634">
            <v>201810</v>
          </cell>
          <cell r="C634" t="str">
            <v>0100175321</v>
          </cell>
          <cell r="D634">
            <v>88877</v>
          </cell>
          <cell r="E634">
            <v>132</v>
          </cell>
          <cell r="F634">
            <v>43525</v>
          </cell>
          <cell r="G634" t="str">
            <v>OK</v>
          </cell>
        </row>
        <row r="635">
          <cell r="A635" t="str">
            <v>Y1903-0044</v>
          </cell>
          <cell r="B635">
            <v>201810</v>
          </cell>
          <cell r="C635" t="str">
            <v>0100175322</v>
          </cell>
          <cell r="D635" t="str">
            <v>8J231</v>
          </cell>
          <cell r="E635">
            <v>192</v>
          </cell>
          <cell r="F635">
            <v>43525</v>
          </cell>
          <cell r="G635" t="str">
            <v>OK</v>
          </cell>
        </row>
        <row r="636">
          <cell r="A636" t="str">
            <v>Y1903-0045</v>
          </cell>
          <cell r="B636">
            <v>201810</v>
          </cell>
          <cell r="C636" t="str">
            <v>0100175323</v>
          </cell>
          <cell r="D636" t="str">
            <v>164360C</v>
          </cell>
          <cell r="E636">
            <v>348</v>
          </cell>
          <cell r="F636">
            <v>43525</v>
          </cell>
          <cell r="G636" t="str">
            <v>OK</v>
          </cell>
        </row>
        <row r="637">
          <cell r="A637" t="str">
            <v>Y1903-0046</v>
          </cell>
          <cell r="B637">
            <v>201810</v>
          </cell>
          <cell r="C637" t="str">
            <v>0100175324</v>
          </cell>
          <cell r="D637" t="str">
            <v>164361C</v>
          </cell>
          <cell r="E637">
            <v>324</v>
          </cell>
          <cell r="F637">
            <v>43525</v>
          </cell>
          <cell r="G637" t="str">
            <v>OK</v>
          </cell>
        </row>
        <row r="638">
          <cell r="A638" t="str">
            <v>Y1903-0047</v>
          </cell>
          <cell r="B638">
            <v>201810</v>
          </cell>
          <cell r="C638" t="str">
            <v>0100175325</v>
          </cell>
          <cell r="D638" t="str">
            <v>164362C</v>
          </cell>
          <cell r="E638">
            <v>300</v>
          </cell>
          <cell r="F638">
            <v>43525</v>
          </cell>
          <cell r="G638" t="str">
            <v>OK</v>
          </cell>
        </row>
        <row r="639">
          <cell r="A639" t="str">
            <v>Y1903-0048</v>
          </cell>
          <cell r="B639">
            <v>201810</v>
          </cell>
          <cell r="C639" t="str">
            <v>0100175326</v>
          </cell>
          <cell r="D639" t="str">
            <v>164390C</v>
          </cell>
          <cell r="E639">
            <v>120</v>
          </cell>
          <cell r="F639">
            <v>43525</v>
          </cell>
          <cell r="G639" t="str">
            <v>OK</v>
          </cell>
        </row>
        <row r="640">
          <cell r="A640" t="str">
            <v>Y1903-0049</v>
          </cell>
          <cell r="B640">
            <v>201810</v>
          </cell>
          <cell r="C640" t="str">
            <v>0100175327</v>
          </cell>
          <cell r="D640" t="str">
            <v>164392C</v>
          </cell>
          <cell r="E640">
            <v>120</v>
          </cell>
          <cell r="F640">
            <v>43525</v>
          </cell>
          <cell r="G640" t="str">
            <v>OK</v>
          </cell>
        </row>
        <row r="641">
          <cell r="A641" t="str">
            <v>Y1903-0050</v>
          </cell>
          <cell r="B641">
            <v>201810</v>
          </cell>
          <cell r="C641" t="str">
            <v>0100175328</v>
          </cell>
          <cell r="D641" t="str">
            <v>164393C</v>
          </cell>
          <cell r="E641">
            <v>144</v>
          </cell>
          <cell r="F641">
            <v>43525</v>
          </cell>
          <cell r="G641" t="str">
            <v>OK</v>
          </cell>
        </row>
        <row r="642">
          <cell r="A642" t="str">
            <v>Y1903-0051</v>
          </cell>
          <cell r="B642">
            <v>201810</v>
          </cell>
          <cell r="C642" t="str">
            <v>0100175329</v>
          </cell>
          <cell r="D642" t="str">
            <v>M3310C</v>
          </cell>
          <cell r="E642">
            <v>780</v>
          </cell>
          <cell r="F642">
            <v>43525</v>
          </cell>
          <cell r="G642" t="str">
            <v>OK</v>
          </cell>
        </row>
        <row r="643">
          <cell r="A643" t="str">
            <v>Y1903-0052</v>
          </cell>
          <cell r="B643">
            <v>201810</v>
          </cell>
          <cell r="C643" t="str">
            <v>0100175330</v>
          </cell>
          <cell r="D643" t="str">
            <v>M5039C</v>
          </cell>
          <cell r="E643">
            <v>1992</v>
          </cell>
          <cell r="F643">
            <v>43525</v>
          </cell>
          <cell r="G643" t="str">
            <v>OK</v>
          </cell>
        </row>
        <row r="644">
          <cell r="A644" t="str">
            <v>Y1903-0053</v>
          </cell>
          <cell r="B644">
            <v>201810</v>
          </cell>
          <cell r="C644" t="str">
            <v>0100175377</v>
          </cell>
          <cell r="D644" t="str">
            <v>564205C</v>
          </cell>
          <cell r="E644">
            <v>276</v>
          </cell>
          <cell r="F644">
            <v>43548</v>
          </cell>
          <cell r="G644" t="str">
            <v>OK</v>
          </cell>
        </row>
        <row r="645">
          <cell r="A645" t="str">
            <v>Y1903-0054</v>
          </cell>
          <cell r="B645">
            <v>201810</v>
          </cell>
          <cell r="C645" t="str">
            <v>0100175378</v>
          </cell>
          <cell r="D645" t="str">
            <v>564206C</v>
          </cell>
          <cell r="E645">
            <v>180</v>
          </cell>
          <cell r="F645">
            <v>43548</v>
          </cell>
          <cell r="G645" t="str">
            <v>OK</v>
          </cell>
        </row>
        <row r="646">
          <cell r="A646" t="str">
            <v>Y1903-0055</v>
          </cell>
          <cell r="B646">
            <v>201810</v>
          </cell>
          <cell r="C646" t="str">
            <v>0100175411</v>
          </cell>
          <cell r="D646" t="str">
            <v>663605C</v>
          </cell>
          <cell r="E646">
            <v>360</v>
          </cell>
          <cell r="F646">
            <v>43549</v>
          </cell>
          <cell r="G646" t="str">
            <v>OK</v>
          </cell>
        </row>
        <row r="647">
          <cell r="A647" t="str">
            <v>Y1903-0056</v>
          </cell>
          <cell r="B647">
            <v>201810</v>
          </cell>
          <cell r="C647" t="str">
            <v>0100175484</v>
          </cell>
          <cell r="D647" t="str">
            <v>549700F</v>
          </cell>
          <cell r="E647">
            <v>360</v>
          </cell>
          <cell r="F647">
            <v>43549</v>
          </cell>
          <cell r="G647" t="str">
            <v>OK</v>
          </cell>
        </row>
        <row r="648">
          <cell r="A648" t="str">
            <v>Y1903-0057</v>
          </cell>
          <cell r="B648">
            <v>201810</v>
          </cell>
          <cell r="C648" t="str">
            <v>0100175541</v>
          </cell>
          <cell r="D648" t="str">
            <v>549700F</v>
          </cell>
          <cell r="E648">
            <v>402</v>
          </cell>
          <cell r="F648">
            <v>43532</v>
          </cell>
          <cell r="G648" t="str">
            <v>OK</v>
          </cell>
        </row>
        <row r="649">
          <cell r="A649" t="str">
            <v>Y1903-0058</v>
          </cell>
          <cell r="B649">
            <v>201810</v>
          </cell>
          <cell r="C649" t="str">
            <v>4600064500</v>
          </cell>
          <cell r="D649" t="str">
            <v>564072C</v>
          </cell>
          <cell r="E649">
            <v>804</v>
          </cell>
          <cell r="F649">
            <v>43529</v>
          </cell>
          <cell r="G649" t="str">
            <v>OK</v>
          </cell>
        </row>
        <row r="650">
          <cell r="A650" t="str">
            <v>Y1903-0059</v>
          </cell>
          <cell r="B650">
            <v>201810</v>
          </cell>
          <cell r="C650" t="str">
            <v>4600064501</v>
          </cell>
          <cell r="D650" t="str">
            <v>564071C</v>
          </cell>
          <cell r="E650">
            <v>1200</v>
          </cell>
          <cell r="F650">
            <v>43529</v>
          </cell>
          <cell r="G650" t="str">
            <v>OK</v>
          </cell>
        </row>
        <row r="651">
          <cell r="A651" t="str">
            <v>Y1903-0060</v>
          </cell>
          <cell r="B651">
            <v>201810</v>
          </cell>
          <cell r="C651" t="str">
            <v>4600064504</v>
          </cell>
          <cell r="D651" t="str">
            <v>164060C</v>
          </cell>
          <cell r="E651">
            <v>996</v>
          </cell>
          <cell r="F651">
            <v>43525</v>
          </cell>
          <cell r="G651" t="str">
            <v>OK</v>
          </cell>
        </row>
        <row r="652">
          <cell r="A652" t="str">
            <v>Y1903-0061</v>
          </cell>
          <cell r="B652">
            <v>201810</v>
          </cell>
          <cell r="C652" t="str">
            <v>4600064542</v>
          </cell>
          <cell r="D652" t="str">
            <v>564072C</v>
          </cell>
          <cell r="E652">
            <v>240</v>
          </cell>
          <cell r="F652">
            <v>43529</v>
          </cell>
          <cell r="G652" t="str">
            <v>OK</v>
          </cell>
        </row>
        <row r="653">
          <cell r="A653" t="str">
            <v>Y1903-0062</v>
          </cell>
          <cell r="B653">
            <v>201810</v>
          </cell>
          <cell r="C653" t="str">
            <v>4600064543</v>
          </cell>
          <cell r="D653" t="str">
            <v>164060C</v>
          </cell>
          <cell r="E653">
            <v>240</v>
          </cell>
          <cell r="F653">
            <v>43525</v>
          </cell>
          <cell r="G653" t="str">
            <v>OK</v>
          </cell>
        </row>
        <row r="654">
          <cell r="A654" t="str">
            <v>Y1903-0063</v>
          </cell>
          <cell r="B654">
            <v>201810</v>
          </cell>
          <cell r="C654" t="str">
            <v>4600064549</v>
          </cell>
          <cell r="D654" t="str">
            <v>564071C</v>
          </cell>
          <cell r="E654">
            <v>240</v>
          </cell>
          <cell r="F654">
            <v>43529</v>
          </cell>
          <cell r="G654" t="str">
            <v>OK</v>
          </cell>
        </row>
        <row r="655">
          <cell r="A655" t="str">
            <v>Y1903-0064</v>
          </cell>
          <cell r="B655">
            <v>201810</v>
          </cell>
          <cell r="C655" t="str">
            <v>4600064556</v>
          </cell>
          <cell r="D655" t="str">
            <v>664184C</v>
          </cell>
          <cell r="E655">
            <v>312</v>
          </cell>
          <cell r="F655">
            <v>43529</v>
          </cell>
          <cell r="G655" t="str">
            <v>OK</v>
          </cell>
        </row>
        <row r="656">
          <cell r="A656" t="str">
            <v>Y1903-0065</v>
          </cell>
          <cell r="B656">
            <v>201810</v>
          </cell>
          <cell r="C656" t="str">
            <v>4600064557</v>
          </cell>
          <cell r="D656" t="str">
            <v>164281C</v>
          </cell>
          <cell r="E656">
            <v>240</v>
          </cell>
          <cell r="F656">
            <v>43529</v>
          </cell>
          <cell r="G656" t="str">
            <v>OK</v>
          </cell>
        </row>
        <row r="657">
          <cell r="A657" t="str">
            <v>Y1903-0066</v>
          </cell>
          <cell r="B657">
            <v>201810</v>
          </cell>
          <cell r="C657" t="str">
            <v>4600064558</v>
          </cell>
          <cell r="D657" t="str">
            <v>164280C</v>
          </cell>
          <cell r="E657">
            <v>360</v>
          </cell>
          <cell r="F657">
            <v>43529</v>
          </cell>
          <cell r="G657" t="str">
            <v>OK</v>
          </cell>
        </row>
        <row r="658">
          <cell r="A658" t="str">
            <v>Y1903-0067</v>
          </cell>
          <cell r="B658">
            <v>201810</v>
          </cell>
          <cell r="C658" t="str">
            <v>4600064559</v>
          </cell>
          <cell r="D658" t="str">
            <v>564071C</v>
          </cell>
          <cell r="E658">
            <v>240</v>
          </cell>
          <cell r="F658">
            <v>43529</v>
          </cell>
          <cell r="G658" t="str">
            <v>OK</v>
          </cell>
        </row>
        <row r="659">
          <cell r="A659" t="str">
            <v>Y1903-0068</v>
          </cell>
          <cell r="B659">
            <v>201810</v>
          </cell>
          <cell r="C659" t="str">
            <v>4600064560</v>
          </cell>
          <cell r="D659" t="str">
            <v>164282C</v>
          </cell>
          <cell r="E659">
            <v>180</v>
          </cell>
          <cell r="F659">
            <v>43529</v>
          </cell>
          <cell r="G659" t="str">
            <v>OK</v>
          </cell>
        </row>
        <row r="660">
          <cell r="A660" t="str">
            <v>Y1903-0069</v>
          </cell>
          <cell r="B660">
            <v>201810</v>
          </cell>
          <cell r="C660" t="str">
            <v>4600064561</v>
          </cell>
          <cell r="D660" t="str">
            <v>564072C</v>
          </cell>
          <cell r="E660">
            <v>120</v>
          </cell>
          <cell r="F660">
            <v>43529</v>
          </cell>
          <cell r="G660" t="str">
            <v>OK</v>
          </cell>
        </row>
        <row r="661">
          <cell r="A661" t="str">
            <v>Y1903-0070</v>
          </cell>
          <cell r="B661">
            <v>201810</v>
          </cell>
          <cell r="C661" t="str">
            <v>4600064562</v>
          </cell>
          <cell r="D661" t="str">
            <v>564070C</v>
          </cell>
          <cell r="E661">
            <v>120</v>
          </cell>
          <cell r="F661">
            <v>43529</v>
          </cell>
          <cell r="G661" t="str">
            <v>OK</v>
          </cell>
        </row>
        <row r="662">
          <cell r="A662" t="str">
            <v>Y1903-0072</v>
          </cell>
          <cell r="B662">
            <v>201810</v>
          </cell>
          <cell r="C662" t="str">
            <v>4600064605</v>
          </cell>
          <cell r="D662" t="str">
            <v>164220C</v>
          </cell>
          <cell r="E662">
            <v>180</v>
          </cell>
          <cell r="F662">
            <v>43529</v>
          </cell>
          <cell r="G662" t="str">
            <v>OK</v>
          </cell>
        </row>
        <row r="663">
          <cell r="A663" t="str">
            <v>Y1903-0073</v>
          </cell>
          <cell r="B663">
            <v>201810</v>
          </cell>
          <cell r="C663" t="str">
            <v>4600064606</v>
          </cell>
          <cell r="D663" t="str">
            <v>164217C</v>
          </cell>
          <cell r="E663">
            <v>132</v>
          </cell>
          <cell r="F663">
            <v>43529</v>
          </cell>
          <cell r="G663" t="str">
            <v>OK</v>
          </cell>
        </row>
        <row r="664">
          <cell r="A664" t="str">
            <v>Y1903-0074</v>
          </cell>
          <cell r="B664">
            <v>201810</v>
          </cell>
          <cell r="C664" t="str">
            <v>4600064607</v>
          </cell>
          <cell r="D664" t="str">
            <v>164217C</v>
          </cell>
          <cell r="E664">
            <v>444</v>
          </cell>
          <cell r="F664">
            <v>43529</v>
          </cell>
          <cell r="G664" t="str">
            <v>CFM</v>
          </cell>
        </row>
        <row r="665">
          <cell r="A665" t="str">
            <v>Y1903-0075</v>
          </cell>
          <cell r="B665">
            <v>201810</v>
          </cell>
          <cell r="C665" t="str">
            <v>4600064608</v>
          </cell>
          <cell r="D665" t="str">
            <v>161577C</v>
          </cell>
          <cell r="E665">
            <v>204</v>
          </cell>
          <cell r="F665">
            <v>43529</v>
          </cell>
          <cell r="G665" t="str">
            <v>CFM</v>
          </cell>
        </row>
        <row r="666">
          <cell r="A666" t="str">
            <v>Y1903-0076</v>
          </cell>
          <cell r="B666">
            <v>201810</v>
          </cell>
          <cell r="C666" t="str">
            <v>4600064613</v>
          </cell>
          <cell r="D666" t="str">
            <v>164282C</v>
          </cell>
          <cell r="E666">
            <v>528</v>
          </cell>
          <cell r="F666">
            <v>43529</v>
          </cell>
          <cell r="G666" t="str">
            <v>OK</v>
          </cell>
        </row>
        <row r="667">
          <cell r="A667" t="str">
            <v>Y1903-0077</v>
          </cell>
          <cell r="B667">
            <v>201810</v>
          </cell>
          <cell r="C667" t="str">
            <v>4600064614</v>
          </cell>
          <cell r="D667" t="str">
            <v>164282C</v>
          </cell>
          <cell r="E667">
            <v>2052</v>
          </cell>
          <cell r="F667">
            <v>43529</v>
          </cell>
          <cell r="G667" t="str">
            <v>CFM</v>
          </cell>
        </row>
        <row r="668">
          <cell r="A668" t="str">
            <v>Y1903-0078</v>
          </cell>
          <cell r="B668">
            <v>201810</v>
          </cell>
          <cell r="C668" t="str">
            <v>4600064615</v>
          </cell>
          <cell r="D668" t="str">
            <v>164281C</v>
          </cell>
          <cell r="E668">
            <v>528</v>
          </cell>
          <cell r="F668">
            <v>43529</v>
          </cell>
          <cell r="G668" t="str">
            <v>OK</v>
          </cell>
        </row>
        <row r="669">
          <cell r="A669" t="str">
            <v>Y1903-0079</v>
          </cell>
          <cell r="B669">
            <v>201810</v>
          </cell>
          <cell r="C669" t="str">
            <v>4600064616</v>
          </cell>
          <cell r="D669" t="str">
            <v>164280C</v>
          </cell>
          <cell r="E669">
            <v>492</v>
          </cell>
          <cell r="F669">
            <v>43529</v>
          </cell>
          <cell r="G669" t="str">
            <v>OK</v>
          </cell>
        </row>
        <row r="670">
          <cell r="A670" t="str">
            <v>Y1903-0080</v>
          </cell>
          <cell r="B670">
            <v>201810</v>
          </cell>
          <cell r="C670" t="str">
            <v>4600064617</v>
          </cell>
          <cell r="D670" t="str">
            <v>164280C</v>
          </cell>
          <cell r="E670">
            <v>1980</v>
          </cell>
          <cell r="F670">
            <v>43529</v>
          </cell>
          <cell r="G670" t="str">
            <v>CFM</v>
          </cell>
        </row>
        <row r="671">
          <cell r="A671" t="str">
            <v>Y1903-0089</v>
          </cell>
          <cell r="B671">
            <v>201810</v>
          </cell>
          <cell r="C671" t="str">
            <v>4600064629</v>
          </cell>
          <cell r="D671" t="str">
            <v>164525C</v>
          </cell>
          <cell r="E671">
            <v>396</v>
          </cell>
          <cell r="F671">
            <v>43529</v>
          </cell>
          <cell r="G671" t="str">
            <v>CFM</v>
          </cell>
        </row>
        <row r="672">
          <cell r="A672" t="str">
            <v>Y1903-0091</v>
          </cell>
          <cell r="B672">
            <v>201810</v>
          </cell>
          <cell r="C672" t="str">
            <v>4600064631</v>
          </cell>
          <cell r="D672" t="str">
            <v>164525C</v>
          </cell>
          <cell r="E672">
            <v>132</v>
          </cell>
          <cell r="F672">
            <v>43529</v>
          </cell>
          <cell r="G672" t="str">
            <v>OK</v>
          </cell>
        </row>
        <row r="673">
          <cell r="A673" t="str">
            <v>Y1903-0092</v>
          </cell>
          <cell r="B673">
            <v>201810</v>
          </cell>
          <cell r="C673" t="str">
            <v>4600064632</v>
          </cell>
          <cell r="D673" t="str">
            <v>164390C</v>
          </cell>
          <cell r="E673">
            <v>132</v>
          </cell>
          <cell r="F673">
            <v>43529</v>
          </cell>
          <cell r="G673" t="str">
            <v>OK</v>
          </cell>
        </row>
        <row r="674">
          <cell r="A674" t="str">
            <v>Y1903-0093</v>
          </cell>
          <cell r="B674">
            <v>201810</v>
          </cell>
          <cell r="C674" t="str">
            <v>4600064633</v>
          </cell>
          <cell r="D674" t="str">
            <v>164390C</v>
          </cell>
          <cell r="E674">
            <v>360</v>
          </cell>
          <cell r="F674">
            <v>43529</v>
          </cell>
          <cell r="G674" t="str">
            <v>CFM</v>
          </cell>
        </row>
        <row r="675">
          <cell r="A675" t="str">
            <v>Y1903-0108</v>
          </cell>
          <cell r="B675">
            <v>201810</v>
          </cell>
          <cell r="C675" t="str">
            <v>4600064648</v>
          </cell>
          <cell r="D675" t="str">
            <v>162580C</v>
          </cell>
          <cell r="E675">
            <v>144</v>
          </cell>
          <cell r="F675">
            <v>43529</v>
          </cell>
          <cell r="G675" t="str">
            <v>OK</v>
          </cell>
        </row>
        <row r="676">
          <cell r="A676" t="str">
            <v>Y1903-0109</v>
          </cell>
          <cell r="B676">
            <v>201810</v>
          </cell>
          <cell r="C676" t="str">
            <v>4600064649</v>
          </cell>
          <cell r="D676" t="str">
            <v>162580C</v>
          </cell>
          <cell r="E676">
            <v>564</v>
          </cell>
          <cell r="F676">
            <v>43529</v>
          </cell>
          <cell r="G676" t="str">
            <v>CFM</v>
          </cell>
        </row>
        <row r="677">
          <cell r="A677" t="str">
            <v>Y1903-0110</v>
          </cell>
          <cell r="B677">
            <v>201810</v>
          </cell>
          <cell r="C677" t="str">
            <v>4600064650</v>
          </cell>
          <cell r="D677" t="str">
            <v>164281C</v>
          </cell>
          <cell r="E677">
            <v>2016</v>
          </cell>
          <cell r="F677">
            <v>43529</v>
          </cell>
          <cell r="G677" t="str">
            <v>CFM</v>
          </cell>
        </row>
        <row r="678">
          <cell r="A678" t="str">
            <v>Y1903-0111</v>
          </cell>
          <cell r="B678">
            <v>201810</v>
          </cell>
          <cell r="C678" t="str">
            <v>4600064651</v>
          </cell>
          <cell r="D678" t="str">
            <v>164220C</v>
          </cell>
          <cell r="E678">
            <v>732</v>
          </cell>
          <cell r="F678">
            <v>43529</v>
          </cell>
          <cell r="G678" t="str">
            <v>CFM</v>
          </cell>
        </row>
        <row r="679">
          <cell r="A679" t="str">
            <v>Y1903-0112</v>
          </cell>
          <cell r="B679">
            <v>201810</v>
          </cell>
          <cell r="C679" t="str">
            <v>4600064652</v>
          </cell>
          <cell r="D679" t="str">
            <v>164219C</v>
          </cell>
          <cell r="E679">
            <v>180</v>
          </cell>
          <cell r="F679">
            <v>43529</v>
          </cell>
          <cell r="G679" t="str">
            <v>OK</v>
          </cell>
        </row>
        <row r="680">
          <cell r="A680" t="str">
            <v>Y1903-0113</v>
          </cell>
          <cell r="B680">
            <v>201810</v>
          </cell>
          <cell r="C680" t="str">
            <v>4600064653</v>
          </cell>
          <cell r="D680" t="str">
            <v>164219C</v>
          </cell>
          <cell r="E680">
            <v>744</v>
          </cell>
          <cell r="F680">
            <v>43529</v>
          </cell>
          <cell r="G680" t="str">
            <v>CFM</v>
          </cell>
        </row>
        <row r="681">
          <cell r="A681" t="str">
            <v>Y1903-0114</v>
          </cell>
          <cell r="B681">
            <v>201810</v>
          </cell>
          <cell r="C681" t="str">
            <v>4600064654</v>
          </cell>
          <cell r="D681" t="str">
            <v>161577C</v>
          </cell>
          <cell r="E681">
            <v>144</v>
          </cell>
          <cell r="F681">
            <v>43529</v>
          </cell>
          <cell r="G681" t="str">
            <v>OK</v>
          </cell>
        </row>
        <row r="682">
          <cell r="A682" t="str">
            <v>Y1903-0115</v>
          </cell>
          <cell r="B682">
            <v>201810</v>
          </cell>
          <cell r="C682" t="str">
            <v>4600064770</v>
          </cell>
          <cell r="D682" t="str">
            <v>164361C</v>
          </cell>
          <cell r="E682">
            <v>216</v>
          </cell>
          <cell r="F682">
            <v>43529</v>
          </cell>
          <cell r="G682" t="str">
            <v>OK</v>
          </cell>
        </row>
        <row r="683">
          <cell r="A683" t="str">
            <v>Y1903-0116</v>
          </cell>
          <cell r="B683">
            <v>201810</v>
          </cell>
          <cell r="C683" t="str">
            <v>4600064774</v>
          </cell>
          <cell r="D683" t="str">
            <v>764173C</v>
          </cell>
          <cell r="E683">
            <v>648</v>
          </cell>
          <cell r="F683">
            <v>43529</v>
          </cell>
          <cell r="G683" t="str">
            <v>OK</v>
          </cell>
        </row>
        <row r="684">
          <cell r="A684" t="str">
            <v>Y1903-0117</v>
          </cell>
          <cell r="B684">
            <v>201810</v>
          </cell>
          <cell r="C684" t="str">
            <v>4600064776</v>
          </cell>
          <cell r="D684" t="str">
            <v>564153C</v>
          </cell>
          <cell r="E684">
            <v>120</v>
          </cell>
          <cell r="F684">
            <v>43527</v>
          </cell>
          <cell r="G684" t="str">
            <v>OK</v>
          </cell>
        </row>
        <row r="685">
          <cell r="A685" t="str">
            <v>Y1903-0118</v>
          </cell>
          <cell r="B685">
            <v>201810</v>
          </cell>
          <cell r="C685" t="str">
            <v>4600064777</v>
          </cell>
          <cell r="D685" t="str">
            <v>564152C</v>
          </cell>
          <cell r="E685">
            <v>120</v>
          </cell>
          <cell r="F685">
            <v>43527</v>
          </cell>
          <cell r="G685" t="str">
            <v>OK</v>
          </cell>
        </row>
        <row r="686">
          <cell r="A686" t="str">
            <v>Y1903-0119</v>
          </cell>
          <cell r="B686">
            <v>201810</v>
          </cell>
          <cell r="C686" t="str">
            <v>4600064778</v>
          </cell>
          <cell r="D686" t="str">
            <v>164362C</v>
          </cell>
          <cell r="E686">
            <v>120</v>
          </cell>
          <cell r="F686">
            <v>43529</v>
          </cell>
          <cell r="G686" t="str">
            <v>OK</v>
          </cell>
        </row>
        <row r="687">
          <cell r="A687" t="str">
            <v>Y1903-0120</v>
          </cell>
          <cell r="B687">
            <v>201810</v>
          </cell>
          <cell r="C687" t="str">
            <v>4600064779</v>
          </cell>
          <cell r="D687" t="str">
            <v>164360C</v>
          </cell>
          <cell r="E687">
            <v>216</v>
          </cell>
          <cell r="F687">
            <v>43529</v>
          </cell>
          <cell r="G687" t="str">
            <v>OK</v>
          </cell>
        </row>
        <row r="688">
          <cell r="A688" t="str">
            <v>Y1903-0121</v>
          </cell>
          <cell r="B688">
            <v>201810</v>
          </cell>
          <cell r="C688" t="str">
            <v>4600064780</v>
          </cell>
          <cell r="D688" t="str">
            <v>164358C</v>
          </cell>
          <cell r="E688">
            <v>180</v>
          </cell>
          <cell r="F688">
            <v>43529</v>
          </cell>
          <cell r="G688" t="str">
            <v>OK</v>
          </cell>
        </row>
        <row r="689">
          <cell r="A689" t="str">
            <v>Y1903-0122</v>
          </cell>
          <cell r="B689">
            <v>201810</v>
          </cell>
          <cell r="C689" t="str">
            <v>4600064781</v>
          </cell>
          <cell r="D689" t="str">
            <v>164220C</v>
          </cell>
          <cell r="E689">
            <v>1200</v>
          </cell>
          <cell r="F689">
            <v>43529</v>
          </cell>
          <cell r="G689" t="str">
            <v>OK</v>
          </cell>
        </row>
        <row r="690">
          <cell r="A690" t="str">
            <v>Y1903-0123</v>
          </cell>
          <cell r="B690">
            <v>201810</v>
          </cell>
          <cell r="C690" t="str">
            <v>4600064782</v>
          </cell>
          <cell r="D690" t="str">
            <v>164219C</v>
          </cell>
          <cell r="E690">
            <v>600</v>
          </cell>
          <cell r="F690">
            <v>43529</v>
          </cell>
          <cell r="G690" t="str">
            <v>OK</v>
          </cell>
        </row>
        <row r="691">
          <cell r="A691" t="str">
            <v>Y1903-0124</v>
          </cell>
          <cell r="B691">
            <v>201810</v>
          </cell>
          <cell r="C691" t="str">
            <v>4600064788</v>
          </cell>
          <cell r="D691" t="str">
            <v>564206C</v>
          </cell>
          <cell r="E691">
            <v>204</v>
          </cell>
          <cell r="F691">
            <v>43535</v>
          </cell>
          <cell r="G691" t="str">
            <v>OK</v>
          </cell>
        </row>
        <row r="692">
          <cell r="A692" t="str">
            <v>Y1903-0125</v>
          </cell>
          <cell r="B692">
            <v>201810</v>
          </cell>
          <cell r="C692" t="str">
            <v>4600064789</v>
          </cell>
          <cell r="D692" t="str">
            <v>564154C</v>
          </cell>
          <cell r="E692">
            <v>120</v>
          </cell>
          <cell r="F692">
            <v>43527</v>
          </cell>
          <cell r="G692" t="str">
            <v>OK</v>
          </cell>
        </row>
        <row r="693">
          <cell r="A693" t="str">
            <v>Y1903-0126</v>
          </cell>
          <cell r="B693">
            <v>201810</v>
          </cell>
          <cell r="C693" t="str">
            <v>4600064793</v>
          </cell>
          <cell r="D693" t="str">
            <v>564070C</v>
          </cell>
          <cell r="E693">
            <v>120</v>
          </cell>
          <cell r="F693">
            <v>43525</v>
          </cell>
          <cell r="G693" t="str">
            <v>OK</v>
          </cell>
        </row>
        <row r="694">
          <cell r="A694" t="str">
            <v>Y1903-0127</v>
          </cell>
          <cell r="B694">
            <v>201810</v>
          </cell>
          <cell r="C694" t="str">
            <v>4600064794</v>
          </cell>
          <cell r="D694" t="str">
            <v>164282C</v>
          </cell>
          <cell r="E694">
            <v>1356</v>
          </cell>
          <cell r="F694">
            <v>43529</v>
          </cell>
          <cell r="G694" t="str">
            <v>12/20</v>
          </cell>
        </row>
        <row r="695">
          <cell r="A695" t="str">
            <v>Y1903-0128</v>
          </cell>
          <cell r="B695">
            <v>201810</v>
          </cell>
          <cell r="C695" t="str">
            <v>4600064795</v>
          </cell>
          <cell r="D695" t="str">
            <v>764172C</v>
          </cell>
          <cell r="E695">
            <v>120</v>
          </cell>
          <cell r="F695">
            <v>43529</v>
          </cell>
          <cell r="G695" t="str">
            <v>OK</v>
          </cell>
        </row>
        <row r="696">
          <cell r="A696" t="str">
            <v>Y1903-0133</v>
          </cell>
          <cell r="B696">
            <v>201811</v>
          </cell>
          <cell r="C696" t="str">
            <v>0100179976</v>
          </cell>
          <cell r="D696">
            <v>88871</v>
          </cell>
          <cell r="E696">
            <v>120</v>
          </cell>
          <cell r="F696">
            <v>43540</v>
          </cell>
          <cell r="G696" t="str">
            <v>CFM</v>
          </cell>
        </row>
        <row r="697">
          <cell r="A697" t="str">
            <v>Y1903-0134</v>
          </cell>
          <cell r="B697">
            <v>201811</v>
          </cell>
          <cell r="C697" t="str">
            <v>0100179986</v>
          </cell>
          <cell r="D697" t="str">
            <v>164221C</v>
          </cell>
          <cell r="E697">
            <v>1428</v>
          </cell>
          <cell r="F697">
            <v>43533</v>
          </cell>
          <cell r="G697" t="str">
            <v>CFM</v>
          </cell>
        </row>
        <row r="698">
          <cell r="A698" t="str">
            <v>Y1903-0135</v>
          </cell>
          <cell r="B698">
            <v>201811</v>
          </cell>
          <cell r="C698" t="str">
            <v>0100179987</v>
          </cell>
          <cell r="D698" t="str">
            <v>164223C</v>
          </cell>
          <cell r="E698">
            <v>1344</v>
          </cell>
          <cell r="F698">
            <v>43532</v>
          </cell>
          <cell r="G698" t="str">
            <v>CFM</v>
          </cell>
        </row>
        <row r="699">
          <cell r="A699" t="str">
            <v>Y1903-0136</v>
          </cell>
          <cell r="B699">
            <v>201811</v>
          </cell>
          <cell r="C699" t="str">
            <v>0100179988</v>
          </cell>
          <cell r="D699" t="str">
            <v>164605C</v>
          </cell>
          <cell r="E699">
            <v>1800</v>
          </cell>
          <cell r="F699">
            <v>43532</v>
          </cell>
          <cell r="G699" t="str">
            <v>CFM</v>
          </cell>
        </row>
        <row r="700">
          <cell r="A700" t="str">
            <v>Y1903-0137</v>
          </cell>
          <cell r="B700">
            <v>201811</v>
          </cell>
          <cell r="C700" t="str">
            <v>0100179989</v>
          </cell>
          <cell r="D700" t="str">
            <v>164606C</v>
          </cell>
          <cell r="E700">
            <v>1800</v>
          </cell>
          <cell r="F700">
            <v>43534</v>
          </cell>
          <cell r="G700" t="str">
            <v>CFM</v>
          </cell>
        </row>
        <row r="701">
          <cell r="A701" t="str">
            <v>Y1903-0138</v>
          </cell>
          <cell r="B701">
            <v>201811</v>
          </cell>
          <cell r="C701" t="str">
            <v>0100179990</v>
          </cell>
          <cell r="D701" t="str">
            <v>164607C</v>
          </cell>
          <cell r="E701">
            <v>3132</v>
          </cell>
          <cell r="F701">
            <v>43532</v>
          </cell>
          <cell r="G701" t="str">
            <v>CFM</v>
          </cell>
        </row>
        <row r="702">
          <cell r="A702" t="str">
            <v>Y1903-0140</v>
          </cell>
          <cell r="B702">
            <v>201811</v>
          </cell>
          <cell r="C702" t="str">
            <v>0100180003</v>
          </cell>
          <cell r="D702" t="str">
            <v>1J793C</v>
          </cell>
          <cell r="E702">
            <v>432</v>
          </cell>
          <cell r="F702">
            <v>43549</v>
          </cell>
          <cell r="G702" t="str">
            <v>12/20</v>
          </cell>
        </row>
        <row r="703">
          <cell r="A703" t="str">
            <v>Y1903-0142</v>
          </cell>
          <cell r="B703">
            <v>201811</v>
          </cell>
          <cell r="C703" t="str">
            <v>0100180010</v>
          </cell>
          <cell r="D703" t="str">
            <v>144148C</v>
          </cell>
          <cell r="E703">
            <v>1812</v>
          </cell>
          <cell r="F703">
            <v>43537</v>
          </cell>
          <cell r="G703" t="str">
            <v>01/03</v>
          </cell>
        </row>
        <row r="704">
          <cell r="A704" t="str">
            <v>Y1903-0143</v>
          </cell>
          <cell r="B704">
            <v>201811</v>
          </cell>
          <cell r="C704" t="str">
            <v>0100180011</v>
          </cell>
          <cell r="D704" t="str">
            <v>144150C</v>
          </cell>
          <cell r="E704">
            <v>1800</v>
          </cell>
          <cell r="F704">
            <v>43538</v>
          </cell>
          <cell r="G704" t="str">
            <v>01/03</v>
          </cell>
        </row>
        <row r="705">
          <cell r="A705" t="str">
            <v>Y1903-0144</v>
          </cell>
          <cell r="B705">
            <v>201811</v>
          </cell>
          <cell r="C705" t="str">
            <v>0100180012</v>
          </cell>
          <cell r="D705" t="str">
            <v>144151C</v>
          </cell>
          <cell r="E705">
            <v>1800</v>
          </cell>
          <cell r="F705">
            <v>43538</v>
          </cell>
          <cell r="G705" t="str">
            <v>12/28</v>
          </cell>
        </row>
        <row r="706">
          <cell r="A706" t="str">
            <v>Y1903-0145</v>
          </cell>
          <cell r="B706">
            <v>201811</v>
          </cell>
          <cell r="C706" t="str">
            <v>0100180015</v>
          </cell>
          <cell r="D706" t="str">
            <v>764172C</v>
          </cell>
          <cell r="E706">
            <v>1812</v>
          </cell>
          <cell r="F706">
            <v>43543</v>
          </cell>
          <cell r="G706" t="str">
            <v>CFM</v>
          </cell>
        </row>
        <row r="707">
          <cell r="A707" t="str">
            <v>Y1903-0146</v>
          </cell>
          <cell r="B707">
            <v>201811</v>
          </cell>
          <cell r="C707" t="str">
            <v>0100180016</v>
          </cell>
          <cell r="D707" t="str">
            <v>651827C</v>
          </cell>
          <cell r="E707">
            <v>1812</v>
          </cell>
          <cell r="F707">
            <v>43525</v>
          </cell>
          <cell r="G707" t="str">
            <v>CFM</v>
          </cell>
        </row>
        <row r="708">
          <cell r="A708" t="str">
            <v>Y1903-0147</v>
          </cell>
          <cell r="B708">
            <v>201811</v>
          </cell>
          <cell r="C708" t="str">
            <v>0100180018</v>
          </cell>
          <cell r="D708" t="str">
            <v>764437C</v>
          </cell>
          <cell r="E708">
            <v>1824</v>
          </cell>
          <cell r="F708">
            <v>43542</v>
          </cell>
          <cell r="G708" t="str">
            <v>12/21</v>
          </cell>
        </row>
        <row r="709">
          <cell r="A709" t="str">
            <v>Y1903-0148</v>
          </cell>
          <cell r="B709">
            <v>201811</v>
          </cell>
          <cell r="C709" t="str">
            <v>0100180019</v>
          </cell>
          <cell r="D709" t="str">
            <v>764439C</v>
          </cell>
          <cell r="E709">
            <v>1812</v>
          </cell>
          <cell r="F709">
            <v>43542</v>
          </cell>
          <cell r="G709" t="str">
            <v>01/03</v>
          </cell>
        </row>
        <row r="710">
          <cell r="A710" t="str">
            <v>Y1903-0149</v>
          </cell>
          <cell r="B710">
            <v>201811</v>
          </cell>
          <cell r="C710" t="str">
            <v>0100180020</v>
          </cell>
          <cell r="D710" t="str">
            <v>664434C</v>
          </cell>
          <cell r="E710">
            <v>1800</v>
          </cell>
          <cell r="F710">
            <v>43543</v>
          </cell>
          <cell r="G710" t="str">
            <v>12/28</v>
          </cell>
        </row>
        <row r="711">
          <cell r="A711" t="str">
            <v>Y1903-0150</v>
          </cell>
          <cell r="B711">
            <v>201811</v>
          </cell>
          <cell r="C711" t="str">
            <v>0100180022</v>
          </cell>
          <cell r="D711" t="str">
            <v>664436C</v>
          </cell>
          <cell r="E711">
            <v>1800</v>
          </cell>
          <cell r="F711">
            <v>43539</v>
          </cell>
          <cell r="G711" t="str">
            <v>01/03</v>
          </cell>
        </row>
        <row r="712">
          <cell r="A712" t="str">
            <v>Y1903-0151</v>
          </cell>
          <cell r="B712">
            <v>201811</v>
          </cell>
          <cell r="C712" t="str">
            <v>0100180023</v>
          </cell>
          <cell r="D712" t="str">
            <v>164102C</v>
          </cell>
          <cell r="E712">
            <v>336</v>
          </cell>
          <cell r="F712">
            <v>43535</v>
          </cell>
          <cell r="G712" t="str">
            <v>CFM</v>
          </cell>
        </row>
        <row r="713">
          <cell r="A713" t="str">
            <v>Y1903-0152</v>
          </cell>
          <cell r="B713">
            <v>201811</v>
          </cell>
          <cell r="C713" t="str">
            <v>0100180024</v>
          </cell>
          <cell r="D713">
            <v>88865</v>
          </cell>
          <cell r="E713">
            <v>912</v>
          </cell>
          <cell r="F713">
            <v>43539</v>
          </cell>
          <cell r="G713" t="str">
            <v>CFM</v>
          </cell>
        </row>
        <row r="714">
          <cell r="A714" t="str">
            <v>Y1903-0153</v>
          </cell>
          <cell r="B714">
            <v>201811</v>
          </cell>
          <cell r="C714" t="str">
            <v>0100180025</v>
          </cell>
          <cell r="D714" t="str">
            <v>164221C</v>
          </cell>
          <cell r="E714">
            <v>120</v>
          </cell>
          <cell r="F714">
            <v>43539</v>
          </cell>
          <cell r="G714" t="str">
            <v>CFM</v>
          </cell>
        </row>
        <row r="715">
          <cell r="A715" t="str">
            <v>Y1903-0154</v>
          </cell>
          <cell r="B715">
            <v>201811</v>
          </cell>
          <cell r="C715" t="str">
            <v>0100180026</v>
          </cell>
          <cell r="D715" t="str">
            <v>164223C</v>
          </cell>
          <cell r="E715">
            <v>192</v>
          </cell>
          <cell r="F715">
            <v>43542</v>
          </cell>
          <cell r="G715" t="str">
            <v>CFM</v>
          </cell>
        </row>
        <row r="716">
          <cell r="A716" t="str">
            <v>Y1903-0155</v>
          </cell>
          <cell r="B716">
            <v>201811</v>
          </cell>
          <cell r="C716" t="str">
            <v>0100180027</v>
          </cell>
          <cell r="D716">
            <v>88871</v>
          </cell>
          <cell r="E716">
            <v>204</v>
          </cell>
          <cell r="F716">
            <v>43539</v>
          </cell>
          <cell r="G716" t="str">
            <v>CFM</v>
          </cell>
        </row>
        <row r="717">
          <cell r="A717" t="str">
            <v>Y1903-0156</v>
          </cell>
          <cell r="B717">
            <v>201811</v>
          </cell>
          <cell r="C717" t="str">
            <v>0100180028</v>
          </cell>
          <cell r="D717">
            <v>88875</v>
          </cell>
          <cell r="E717">
            <v>804</v>
          </cell>
          <cell r="F717">
            <v>43539</v>
          </cell>
          <cell r="G717" t="str">
            <v>CFM</v>
          </cell>
        </row>
        <row r="718">
          <cell r="A718" t="str">
            <v>Y1903-0157</v>
          </cell>
          <cell r="B718">
            <v>201811</v>
          </cell>
          <cell r="C718" t="str">
            <v>0100180029</v>
          </cell>
          <cell r="D718">
            <v>88877</v>
          </cell>
          <cell r="E718">
            <v>1440</v>
          </cell>
          <cell r="F718">
            <v>43539</v>
          </cell>
          <cell r="G718" t="str">
            <v>CFM</v>
          </cell>
        </row>
        <row r="719">
          <cell r="A719" t="str">
            <v>Y1903-0158</v>
          </cell>
          <cell r="B719">
            <v>201811</v>
          </cell>
          <cell r="C719" t="str">
            <v>0100180030</v>
          </cell>
          <cell r="D719" t="str">
            <v>636930C</v>
          </cell>
          <cell r="E719">
            <v>1812</v>
          </cell>
          <cell r="F719">
            <v>43542</v>
          </cell>
          <cell r="G719" t="str">
            <v>12/21</v>
          </cell>
        </row>
        <row r="720">
          <cell r="A720" t="str">
            <v>Y1903-0159</v>
          </cell>
          <cell r="B720">
            <v>201811</v>
          </cell>
          <cell r="C720" t="str">
            <v>0100180031</v>
          </cell>
          <cell r="D720" t="str">
            <v>164025C</v>
          </cell>
          <cell r="E720">
            <v>108</v>
          </cell>
          <cell r="F720">
            <v>43551</v>
          </cell>
          <cell r="G720" t="str">
            <v>CFM</v>
          </cell>
        </row>
        <row r="721">
          <cell r="A721" t="str">
            <v>Y1903-0160</v>
          </cell>
          <cell r="B721">
            <v>201811</v>
          </cell>
          <cell r="C721" t="str">
            <v>0100180032</v>
          </cell>
          <cell r="D721" t="str">
            <v>164025C</v>
          </cell>
          <cell r="E721">
            <v>3143</v>
          </cell>
          <cell r="F721">
            <v>43551</v>
          </cell>
          <cell r="G721" t="str">
            <v>CFM</v>
          </cell>
        </row>
        <row r="722">
          <cell r="A722" t="str">
            <v>Y1903-0161</v>
          </cell>
          <cell r="B722">
            <v>201811</v>
          </cell>
          <cell r="C722" t="str">
            <v>0100180033</v>
          </cell>
          <cell r="D722" t="str">
            <v>3J253C</v>
          </cell>
          <cell r="E722">
            <v>300</v>
          </cell>
          <cell r="F722">
            <v>43542</v>
          </cell>
          <cell r="G722" t="str">
            <v>12/21</v>
          </cell>
        </row>
        <row r="723">
          <cell r="A723" t="str">
            <v>Y1903-0164</v>
          </cell>
          <cell r="B723">
            <v>201811</v>
          </cell>
          <cell r="C723" t="str">
            <v>0100180036</v>
          </cell>
          <cell r="D723" t="str">
            <v>M7650C</v>
          </cell>
          <cell r="E723">
            <v>1668</v>
          </cell>
          <cell r="F723">
            <v>43542</v>
          </cell>
          <cell r="G723" t="str">
            <v>01/11</v>
          </cell>
        </row>
        <row r="724">
          <cell r="A724" t="str">
            <v>Y1903-0166</v>
          </cell>
          <cell r="B724">
            <v>201811</v>
          </cell>
          <cell r="C724" t="str">
            <v>0100180038</v>
          </cell>
          <cell r="D724" t="str">
            <v>158369C</v>
          </cell>
          <cell r="E724">
            <v>384</v>
          </cell>
          <cell r="F724">
            <v>43542</v>
          </cell>
          <cell r="G724" t="str">
            <v>12/20</v>
          </cell>
        </row>
        <row r="725">
          <cell r="A725" t="str">
            <v>Y1903-0169</v>
          </cell>
          <cell r="B725">
            <v>201811</v>
          </cell>
          <cell r="C725" t="str">
            <v>0100180041</v>
          </cell>
          <cell r="D725" t="str">
            <v>M7650C</v>
          </cell>
          <cell r="E725">
            <v>756</v>
          </cell>
          <cell r="F725">
            <v>43542</v>
          </cell>
          <cell r="G725" t="str">
            <v>01/11</v>
          </cell>
        </row>
        <row r="726">
          <cell r="A726" t="str">
            <v>Y1903-0171</v>
          </cell>
          <cell r="B726">
            <v>201811</v>
          </cell>
          <cell r="C726" t="str">
            <v>0100180043</v>
          </cell>
          <cell r="D726" t="str">
            <v>M7650C</v>
          </cell>
          <cell r="E726">
            <v>408</v>
          </cell>
          <cell r="F726">
            <v>43542</v>
          </cell>
          <cell r="G726" t="str">
            <v>01/11</v>
          </cell>
        </row>
        <row r="727">
          <cell r="A727" t="str">
            <v>Y1903-0172</v>
          </cell>
          <cell r="B727">
            <v>201811</v>
          </cell>
          <cell r="C727" t="str">
            <v>0100180044</v>
          </cell>
          <cell r="D727" t="str">
            <v>7J253C</v>
          </cell>
          <cell r="E727">
            <v>408</v>
          </cell>
          <cell r="F727">
            <v>43542</v>
          </cell>
          <cell r="G727" t="str">
            <v>12/21</v>
          </cell>
        </row>
        <row r="728">
          <cell r="A728" t="str">
            <v>Y1903-0174</v>
          </cell>
          <cell r="B728">
            <v>201811</v>
          </cell>
          <cell r="C728" t="str">
            <v>0100180046</v>
          </cell>
          <cell r="D728" t="str">
            <v>3J253C</v>
          </cell>
          <cell r="E728">
            <v>432</v>
          </cell>
          <cell r="F728">
            <v>43542</v>
          </cell>
          <cell r="G728" t="str">
            <v>12/21</v>
          </cell>
        </row>
        <row r="729">
          <cell r="A729" t="str">
            <v>Y1903-0175</v>
          </cell>
          <cell r="B729">
            <v>201811</v>
          </cell>
          <cell r="C729" t="str">
            <v>0100180047</v>
          </cell>
          <cell r="D729" t="str">
            <v>3J256C</v>
          </cell>
          <cell r="E729">
            <v>672</v>
          </cell>
          <cell r="F729">
            <v>43542</v>
          </cell>
          <cell r="G729" t="str">
            <v>12/21</v>
          </cell>
        </row>
        <row r="730">
          <cell r="A730" t="str">
            <v>Y1903-0176</v>
          </cell>
          <cell r="B730">
            <v>201811</v>
          </cell>
          <cell r="C730" t="str">
            <v>0100180048</v>
          </cell>
          <cell r="D730" t="str">
            <v>3J256C</v>
          </cell>
          <cell r="E730">
            <v>996</v>
          </cell>
          <cell r="F730">
            <v>43542</v>
          </cell>
          <cell r="G730" t="str">
            <v>12/21</v>
          </cell>
        </row>
        <row r="731">
          <cell r="A731" t="str">
            <v>Y1903-0182</v>
          </cell>
          <cell r="B731">
            <v>201811</v>
          </cell>
          <cell r="C731" t="str">
            <v>0100180054</v>
          </cell>
          <cell r="D731" t="str">
            <v>164607C</v>
          </cell>
          <cell r="E731">
            <v>240</v>
          </cell>
          <cell r="F731">
            <v>43554</v>
          </cell>
          <cell r="G731" t="str">
            <v>CFM</v>
          </cell>
        </row>
        <row r="732">
          <cell r="A732" t="str">
            <v>Y1903-0183</v>
          </cell>
          <cell r="B732">
            <v>201811</v>
          </cell>
          <cell r="C732" t="str">
            <v>0100180072</v>
          </cell>
          <cell r="D732">
            <v>81229</v>
          </cell>
          <cell r="E732">
            <v>432</v>
          </cell>
          <cell r="F732">
            <v>43549</v>
          </cell>
          <cell r="G732" t="str">
            <v>CFM</v>
          </cell>
        </row>
        <row r="733">
          <cell r="A733" t="str">
            <v>Y1903-0184</v>
          </cell>
          <cell r="B733">
            <v>201811</v>
          </cell>
          <cell r="C733" t="str">
            <v>0100180074</v>
          </cell>
          <cell r="D733">
            <v>88871</v>
          </cell>
          <cell r="E733">
            <v>468</v>
          </cell>
          <cell r="F733">
            <v>43547</v>
          </cell>
          <cell r="G733" t="str">
            <v>CFM</v>
          </cell>
        </row>
        <row r="734">
          <cell r="A734" t="str">
            <v>Y1903-0185</v>
          </cell>
          <cell r="B734">
            <v>201811</v>
          </cell>
          <cell r="C734" t="str">
            <v>0100180079</v>
          </cell>
          <cell r="D734" t="str">
            <v>549700F</v>
          </cell>
          <cell r="E734">
            <v>690</v>
          </cell>
          <cell r="F734">
            <v>43532</v>
          </cell>
          <cell r="G734" t="str">
            <v>12/20</v>
          </cell>
        </row>
        <row r="735">
          <cell r="A735" t="str">
            <v>Y1903-0186</v>
          </cell>
          <cell r="B735">
            <v>201811</v>
          </cell>
          <cell r="C735" t="str">
            <v>0100180080</v>
          </cell>
          <cell r="D735" t="str">
            <v>549700F</v>
          </cell>
          <cell r="E735">
            <v>408</v>
          </cell>
          <cell r="F735">
            <v>43532</v>
          </cell>
          <cell r="G735" t="str">
            <v>12/20</v>
          </cell>
        </row>
        <row r="736">
          <cell r="A736" t="str">
            <v>Y1903-0187</v>
          </cell>
          <cell r="B736">
            <v>201811</v>
          </cell>
          <cell r="C736" t="str">
            <v>0100180082</v>
          </cell>
          <cell r="D736" t="str">
            <v>8J231</v>
          </cell>
          <cell r="E736">
            <v>900</v>
          </cell>
          <cell r="F736">
            <v>43541</v>
          </cell>
          <cell r="G736" t="str">
            <v>CFM</v>
          </cell>
        </row>
        <row r="737">
          <cell r="A737" t="str">
            <v>Y1903-0188</v>
          </cell>
          <cell r="B737">
            <v>201811</v>
          </cell>
          <cell r="C737" t="str">
            <v>0100180083</v>
          </cell>
          <cell r="D737">
            <v>81229</v>
          </cell>
          <cell r="E737">
            <v>600</v>
          </cell>
          <cell r="F737">
            <v>43541</v>
          </cell>
          <cell r="G737" t="str">
            <v>CFM</v>
          </cell>
        </row>
        <row r="738">
          <cell r="A738" t="str">
            <v>Y1903-0189</v>
          </cell>
          <cell r="B738">
            <v>201811</v>
          </cell>
          <cell r="C738" t="str">
            <v>0100180089</v>
          </cell>
          <cell r="D738" t="str">
            <v>264477F</v>
          </cell>
          <cell r="E738">
            <v>360</v>
          </cell>
          <cell r="F738">
            <v>43546</v>
          </cell>
          <cell r="G738" t="str">
            <v>12/20</v>
          </cell>
        </row>
        <row r="739">
          <cell r="A739" t="str">
            <v>Y1903-0190</v>
          </cell>
          <cell r="B739">
            <v>201811</v>
          </cell>
          <cell r="C739" t="str">
            <v>0100181203</v>
          </cell>
          <cell r="D739" t="str">
            <v>164026C</v>
          </cell>
          <cell r="E739">
            <v>108</v>
          </cell>
          <cell r="F739">
            <v>43551</v>
          </cell>
          <cell r="G739" t="str">
            <v>CFM</v>
          </cell>
        </row>
        <row r="740">
          <cell r="A740" t="str">
            <v>Y1903-0191</v>
          </cell>
          <cell r="B740">
            <v>201811</v>
          </cell>
          <cell r="C740" t="str">
            <v>0100181204</v>
          </cell>
          <cell r="D740" t="str">
            <v>164026C</v>
          </cell>
          <cell r="E740">
            <v>3143</v>
          </cell>
          <cell r="F740">
            <v>43551</v>
          </cell>
          <cell r="G740" t="str">
            <v>CFM</v>
          </cell>
        </row>
        <row r="741">
          <cell r="A741" t="str">
            <v>Y1903-0192</v>
          </cell>
          <cell r="B741">
            <v>201811</v>
          </cell>
          <cell r="C741" t="str">
            <v>0100181342</v>
          </cell>
          <cell r="D741" t="str">
            <v>164025C</v>
          </cell>
          <cell r="E741">
            <v>4849</v>
          </cell>
          <cell r="F741">
            <v>43555</v>
          </cell>
          <cell r="G741" t="str">
            <v>CFM</v>
          </cell>
        </row>
        <row r="742">
          <cell r="A742" t="str">
            <v>Y1903-0193</v>
          </cell>
          <cell r="B742">
            <v>201811</v>
          </cell>
          <cell r="C742" t="str">
            <v>0100181349</v>
          </cell>
          <cell r="D742" t="str">
            <v>3J256C</v>
          </cell>
          <cell r="E742">
            <v>360</v>
          </cell>
          <cell r="F742">
            <v>43542</v>
          </cell>
          <cell r="G742" t="str">
            <v>CFM</v>
          </cell>
        </row>
        <row r="743">
          <cell r="A743" t="str">
            <v>Y1903-0194</v>
          </cell>
          <cell r="B743">
            <v>201811</v>
          </cell>
          <cell r="C743" t="str">
            <v>0100181350</v>
          </cell>
          <cell r="D743" t="str">
            <v>164060C</v>
          </cell>
          <cell r="E743">
            <v>792</v>
          </cell>
          <cell r="F743">
            <v>43539</v>
          </cell>
          <cell r="G743" t="str">
            <v>12/28</v>
          </cell>
        </row>
        <row r="744">
          <cell r="A744" t="str">
            <v>Y1903-0195</v>
          </cell>
          <cell r="B744">
            <v>201811</v>
          </cell>
          <cell r="C744" t="str">
            <v>0100181351</v>
          </cell>
          <cell r="D744" t="str">
            <v>164025C</v>
          </cell>
          <cell r="E744">
            <v>513</v>
          </cell>
          <cell r="F744">
            <v>43542</v>
          </cell>
          <cell r="G744" t="str">
            <v>CFM</v>
          </cell>
        </row>
        <row r="745">
          <cell r="A745" t="str">
            <v>Y1903-0196</v>
          </cell>
          <cell r="B745">
            <v>201811</v>
          </cell>
          <cell r="C745" t="str">
            <v>0100181391</v>
          </cell>
          <cell r="D745" t="str">
            <v>164026C</v>
          </cell>
          <cell r="E745">
            <v>4855</v>
          </cell>
          <cell r="F745">
            <v>43555</v>
          </cell>
          <cell r="G745" t="str">
            <v>CFM</v>
          </cell>
        </row>
        <row r="746">
          <cell r="A746" t="str">
            <v>Y1903-0197</v>
          </cell>
          <cell r="B746">
            <v>201811</v>
          </cell>
          <cell r="C746" t="str">
            <v>0100181396</v>
          </cell>
          <cell r="D746" t="str">
            <v>1J793C</v>
          </cell>
          <cell r="E746">
            <v>636</v>
          </cell>
          <cell r="F746">
            <v>43539</v>
          </cell>
          <cell r="G746" t="str">
            <v>12/20</v>
          </cell>
        </row>
        <row r="747">
          <cell r="A747" t="str">
            <v>Y1903-0198</v>
          </cell>
          <cell r="B747">
            <v>201811</v>
          </cell>
          <cell r="C747" t="str">
            <v>0100181397</v>
          </cell>
          <cell r="D747" t="str">
            <v>164026C</v>
          </cell>
          <cell r="E747">
            <v>413</v>
          </cell>
          <cell r="F747">
            <v>43542</v>
          </cell>
          <cell r="G747" t="str">
            <v>CFM</v>
          </cell>
        </row>
        <row r="748">
          <cell r="A748" t="str">
            <v>Y1903-0200</v>
          </cell>
          <cell r="B748">
            <v>201811</v>
          </cell>
          <cell r="C748" t="str">
            <v>0100181446</v>
          </cell>
          <cell r="D748">
            <v>88877</v>
          </cell>
          <cell r="E748">
            <v>360</v>
          </cell>
          <cell r="F748">
            <v>43542</v>
          </cell>
          <cell r="G748" t="str">
            <v>CFM</v>
          </cell>
        </row>
        <row r="749">
          <cell r="A749" t="str">
            <v>Y1903-0201</v>
          </cell>
          <cell r="B749">
            <v>201811</v>
          </cell>
          <cell r="C749" t="str">
            <v>0100181447</v>
          </cell>
          <cell r="D749" t="str">
            <v>M7650C</v>
          </cell>
          <cell r="E749">
            <v>360</v>
          </cell>
          <cell r="F749">
            <v>43542</v>
          </cell>
          <cell r="G749" t="str">
            <v>CFM</v>
          </cell>
        </row>
        <row r="750">
          <cell r="A750" t="str">
            <v>Y1903-0203</v>
          </cell>
          <cell r="B750">
            <v>201811</v>
          </cell>
          <cell r="C750" t="str">
            <v>0100181545</v>
          </cell>
          <cell r="D750" t="str">
            <v>164221C</v>
          </cell>
          <cell r="E750">
            <v>204</v>
          </cell>
          <cell r="F750">
            <v>43539</v>
          </cell>
          <cell r="G750" t="str">
            <v>CFM</v>
          </cell>
        </row>
        <row r="751">
          <cell r="A751" t="str">
            <v>Y1903-0204</v>
          </cell>
          <cell r="B751">
            <v>201811</v>
          </cell>
          <cell r="C751" t="str">
            <v>0100181546</v>
          </cell>
          <cell r="D751" t="str">
            <v>164223C</v>
          </cell>
          <cell r="E751">
            <v>444</v>
          </cell>
          <cell r="F751">
            <v>43539</v>
          </cell>
          <cell r="G751" t="str">
            <v>CFM</v>
          </cell>
        </row>
        <row r="752">
          <cell r="A752" t="str">
            <v>Y1903-0205</v>
          </cell>
          <cell r="B752">
            <v>201811</v>
          </cell>
          <cell r="C752" t="str">
            <v>4600066197</v>
          </cell>
          <cell r="D752" t="str">
            <v>M7650C</v>
          </cell>
          <cell r="E752">
            <v>144</v>
          </cell>
          <cell r="F752">
            <v>43537</v>
          </cell>
          <cell r="G752" t="str">
            <v>CFM</v>
          </cell>
        </row>
        <row r="753">
          <cell r="A753" t="str">
            <v>Y1903-0206</v>
          </cell>
          <cell r="B753">
            <v>201811</v>
          </cell>
          <cell r="C753" t="str">
            <v>4600066199</v>
          </cell>
          <cell r="D753" t="str">
            <v>M7652C</v>
          </cell>
          <cell r="E753">
            <v>396</v>
          </cell>
          <cell r="F753">
            <v>43537</v>
          </cell>
          <cell r="G753" t="str">
            <v>CFM</v>
          </cell>
        </row>
        <row r="754">
          <cell r="A754" t="str">
            <v>Y1903-0207</v>
          </cell>
          <cell r="B754">
            <v>201811</v>
          </cell>
          <cell r="C754" t="str">
            <v>4600066200</v>
          </cell>
          <cell r="D754" t="str">
            <v>M7650C</v>
          </cell>
          <cell r="E754">
            <v>1200</v>
          </cell>
          <cell r="F754">
            <v>43525</v>
          </cell>
          <cell r="G754" t="str">
            <v>CFM</v>
          </cell>
        </row>
        <row r="755">
          <cell r="A755" t="str">
            <v>Y1903-0208</v>
          </cell>
          <cell r="B755">
            <v>201811</v>
          </cell>
          <cell r="C755" t="str">
            <v>4600066201</v>
          </cell>
          <cell r="D755" t="str">
            <v>M7652C</v>
          </cell>
          <cell r="E755">
            <v>1800</v>
          </cell>
          <cell r="F755">
            <v>43525</v>
          </cell>
          <cell r="G755" t="str">
            <v>CFM</v>
          </cell>
        </row>
        <row r="756">
          <cell r="A756" t="str">
            <v>Y1903-0209</v>
          </cell>
          <cell r="B756">
            <v>201811</v>
          </cell>
          <cell r="C756" t="str">
            <v>4600066204</v>
          </cell>
          <cell r="D756" t="str">
            <v>164223C</v>
          </cell>
          <cell r="E756">
            <v>204</v>
          </cell>
          <cell r="F756">
            <v>43532</v>
          </cell>
          <cell r="G756" t="str">
            <v>CFM</v>
          </cell>
        </row>
        <row r="757">
          <cell r="A757" t="str">
            <v>Y1903-0210</v>
          </cell>
          <cell r="B757">
            <v>201811</v>
          </cell>
          <cell r="C757" t="str">
            <v>4600066205</v>
          </cell>
          <cell r="D757" t="str">
            <v>651826C</v>
          </cell>
          <cell r="E757">
            <v>1416</v>
          </cell>
          <cell r="F757">
            <v>43539</v>
          </cell>
          <cell r="G757" t="str">
            <v>CFM</v>
          </cell>
        </row>
        <row r="758">
          <cell r="A758" t="str">
            <v>Y1903-0211</v>
          </cell>
          <cell r="B758">
            <v>201811</v>
          </cell>
          <cell r="C758" t="str">
            <v>4600066206</v>
          </cell>
          <cell r="D758" t="str">
            <v>651826C</v>
          </cell>
          <cell r="E758">
            <v>984</v>
          </cell>
          <cell r="F758">
            <v>43539</v>
          </cell>
          <cell r="G758" t="str">
            <v>CFM</v>
          </cell>
        </row>
        <row r="759">
          <cell r="A759" t="str">
            <v>Y1903-0212</v>
          </cell>
          <cell r="B759">
            <v>201811</v>
          </cell>
          <cell r="C759" t="str">
            <v>4600066207</v>
          </cell>
          <cell r="D759" t="str">
            <v>3J253C</v>
          </cell>
          <cell r="E759">
            <v>648</v>
          </cell>
          <cell r="F759">
            <v>43532</v>
          </cell>
          <cell r="G759" t="str">
            <v>CFM</v>
          </cell>
        </row>
        <row r="760">
          <cell r="A760" t="str">
            <v>Y1903-0213</v>
          </cell>
          <cell r="B760">
            <v>201811</v>
          </cell>
          <cell r="C760" t="str">
            <v>4600066208</v>
          </cell>
          <cell r="D760" t="str">
            <v>7J253C</v>
          </cell>
          <cell r="E760">
            <v>3156</v>
          </cell>
          <cell r="F760">
            <v>43532</v>
          </cell>
          <cell r="G760" t="str">
            <v>CFM</v>
          </cell>
        </row>
        <row r="761">
          <cell r="A761" t="str">
            <v>Y1903-0214</v>
          </cell>
          <cell r="B761">
            <v>201811</v>
          </cell>
          <cell r="C761" t="str">
            <v>4600066209</v>
          </cell>
          <cell r="D761" t="str">
            <v>7J256C</v>
          </cell>
          <cell r="E761">
            <v>1128</v>
          </cell>
          <cell r="F761">
            <v>43532</v>
          </cell>
          <cell r="G761" t="str">
            <v>CFM</v>
          </cell>
        </row>
        <row r="762">
          <cell r="A762" t="str">
            <v>Y1903-0215</v>
          </cell>
          <cell r="B762">
            <v>201811</v>
          </cell>
          <cell r="C762" t="str">
            <v>4600066210</v>
          </cell>
          <cell r="D762">
            <v>81229</v>
          </cell>
          <cell r="E762">
            <v>360</v>
          </cell>
          <cell r="F762">
            <v>43532</v>
          </cell>
          <cell r="G762" t="str">
            <v>CFM</v>
          </cell>
        </row>
        <row r="763">
          <cell r="A763" t="str">
            <v>Y1903-0216</v>
          </cell>
          <cell r="B763">
            <v>201811</v>
          </cell>
          <cell r="C763" t="str">
            <v>4600066211</v>
          </cell>
          <cell r="D763" t="str">
            <v>8J231</v>
          </cell>
          <cell r="E763">
            <v>360</v>
          </cell>
          <cell r="F763">
            <v>43532</v>
          </cell>
          <cell r="G763" t="str">
            <v>CFM</v>
          </cell>
        </row>
        <row r="764">
          <cell r="A764" t="str">
            <v>Y1903-0217</v>
          </cell>
          <cell r="B764">
            <v>201811</v>
          </cell>
          <cell r="C764" t="str">
            <v>4600066212</v>
          </cell>
          <cell r="D764" t="str">
            <v>651825C</v>
          </cell>
          <cell r="E764">
            <v>1044</v>
          </cell>
          <cell r="F764">
            <v>43539</v>
          </cell>
          <cell r="G764" t="str">
            <v>CFM</v>
          </cell>
        </row>
        <row r="765">
          <cell r="A765" t="str">
            <v>Y1903-0218</v>
          </cell>
          <cell r="B765">
            <v>201811</v>
          </cell>
          <cell r="C765" t="str">
            <v>4600066213</v>
          </cell>
          <cell r="D765" t="str">
            <v>651826C</v>
          </cell>
          <cell r="E765">
            <v>804</v>
          </cell>
          <cell r="F765">
            <v>43539</v>
          </cell>
          <cell r="G765" t="str">
            <v>CFM</v>
          </cell>
        </row>
        <row r="766">
          <cell r="A766" t="str">
            <v>Y1903-0219</v>
          </cell>
          <cell r="B766">
            <v>201811</v>
          </cell>
          <cell r="C766" t="str">
            <v>4600066214</v>
          </cell>
          <cell r="D766" t="str">
            <v>163110C</v>
          </cell>
          <cell r="E766">
            <v>348</v>
          </cell>
          <cell r="F766">
            <v>43532</v>
          </cell>
          <cell r="G766" t="str">
            <v>CFM</v>
          </cell>
        </row>
        <row r="767">
          <cell r="A767" t="str">
            <v>Y1903-0220</v>
          </cell>
          <cell r="B767">
            <v>201811</v>
          </cell>
          <cell r="C767" t="str">
            <v>4600066215</v>
          </cell>
          <cell r="D767" t="str">
            <v>651825C</v>
          </cell>
          <cell r="E767">
            <v>3024</v>
          </cell>
          <cell r="F767">
            <v>43539</v>
          </cell>
          <cell r="G767" t="str">
            <v>CFM</v>
          </cell>
        </row>
        <row r="768">
          <cell r="A768" t="str">
            <v>Y1903-0221</v>
          </cell>
          <cell r="B768">
            <v>201811</v>
          </cell>
          <cell r="C768" t="str">
            <v>4600066216</v>
          </cell>
          <cell r="D768" t="str">
            <v>M7652C</v>
          </cell>
          <cell r="E768">
            <v>18648</v>
          </cell>
          <cell r="F768">
            <v>43537</v>
          </cell>
          <cell r="G768" t="str">
            <v>CFM</v>
          </cell>
        </row>
        <row r="769">
          <cell r="A769" t="str">
            <v>Y1903-0222</v>
          </cell>
          <cell r="B769">
            <v>201811</v>
          </cell>
          <cell r="C769" t="str">
            <v>4600066217</v>
          </cell>
          <cell r="D769" t="str">
            <v>651825C</v>
          </cell>
          <cell r="E769">
            <v>1572</v>
          </cell>
          <cell r="F769">
            <v>43539</v>
          </cell>
          <cell r="G769" t="str">
            <v>CFM</v>
          </cell>
        </row>
        <row r="770">
          <cell r="A770" t="str">
            <v>Y1903-0223</v>
          </cell>
          <cell r="B770">
            <v>201811</v>
          </cell>
          <cell r="C770" t="str">
            <v>4600066218</v>
          </cell>
          <cell r="D770" t="str">
            <v>651825C</v>
          </cell>
          <cell r="E770">
            <v>1380</v>
          </cell>
          <cell r="F770">
            <v>43539</v>
          </cell>
          <cell r="G770" t="str">
            <v>CFM</v>
          </cell>
        </row>
        <row r="771">
          <cell r="A771" t="str">
            <v>Y1903-0224</v>
          </cell>
          <cell r="B771">
            <v>201811</v>
          </cell>
          <cell r="C771" t="str">
            <v>4600066219</v>
          </cell>
          <cell r="D771">
            <v>88865</v>
          </cell>
          <cell r="E771">
            <v>360</v>
          </cell>
          <cell r="F771">
            <v>43532</v>
          </cell>
          <cell r="G771" t="str">
            <v>CFM</v>
          </cell>
        </row>
        <row r="772">
          <cell r="A772" t="str">
            <v>Y1903-0225</v>
          </cell>
          <cell r="B772">
            <v>201811</v>
          </cell>
          <cell r="C772" t="str">
            <v>4600066220</v>
          </cell>
          <cell r="D772">
            <v>88871</v>
          </cell>
          <cell r="E772">
            <v>360</v>
          </cell>
          <cell r="F772">
            <v>43532</v>
          </cell>
          <cell r="G772" t="str">
            <v>CFM</v>
          </cell>
        </row>
        <row r="773">
          <cell r="A773" t="str">
            <v>Y1903-0226</v>
          </cell>
          <cell r="B773">
            <v>201811</v>
          </cell>
          <cell r="C773" t="str">
            <v>4600066221</v>
          </cell>
          <cell r="D773" t="str">
            <v>164221C</v>
          </cell>
          <cell r="E773">
            <v>204</v>
          </cell>
          <cell r="F773">
            <v>43525</v>
          </cell>
          <cell r="G773" t="str">
            <v>CFM</v>
          </cell>
        </row>
        <row r="774">
          <cell r="A774" t="str">
            <v>Y1903-0227</v>
          </cell>
          <cell r="B774">
            <v>201811</v>
          </cell>
          <cell r="C774" t="str">
            <v>4600066222</v>
          </cell>
          <cell r="D774" t="str">
            <v>164223C</v>
          </cell>
          <cell r="E774">
            <v>204</v>
          </cell>
          <cell r="F774">
            <v>43525</v>
          </cell>
          <cell r="G774" t="str">
            <v>CFM</v>
          </cell>
        </row>
        <row r="775">
          <cell r="A775" t="str">
            <v>Y1903-0228</v>
          </cell>
          <cell r="B775">
            <v>201811</v>
          </cell>
          <cell r="C775" t="str">
            <v>4600066223</v>
          </cell>
          <cell r="D775" t="str">
            <v>651825C</v>
          </cell>
          <cell r="E775">
            <v>4032</v>
          </cell>
          <cell r="F775">
            <v>43539</v>
          </cell>
          <cell r="G775" t="str">
            <v>CFM</v>
          </cell>
        </row>
        <row r="776">
          <cell r="A776" t="str">
            <v>Y1903-0229</v>
          </cell>
          <cell r="B776">
            <v>201811</v>
          </cell>
          <cell r="C776" t="str">
            <v>4600066224</v>
          </cell>
          <cell r="D776" t="str">
            <v>651826C</v>
          </cell>
          <cell r="E776">
            <v>13152</v>
          </cell>
          <cell r="F776">
            <v>43532</v>
          </cell>
          <cell r="G776" t="str">
            <v>CFM</v>
          </cell>
        </row>
        <row r="777">
          <cell r="A777" t="str">
            <v>Y1903-0230</v>
          </cell>
          <cell r="B777">
            <v>201811</v>
          </cell>
          <cell r="C777" t="str">
            <v>4600066226</v>
          </cell>
          <cell r="D777">
            <v>88875</v>
          </cell>
          <cell r="E777">
            <v>360</v>
          </cell>
          <cell r="F777">
            <v>43532</v>
          </cell>
          <cell r="G777" t="str">
            <v>CFM</v>
          </cell>
        </row>
        <row r="778">
          <cell r="A778" t="str">
            <v>Y1903-0231</v>
          </cell>
          <cell r="B778">
            <v>201811</v>
          </cell>
          <cell r="C778" t="str">
            <v>4600066227</v>
          </cell>
          <cell r="D778" t="str">
            <v>M7650C</v>
          </cell>
          <cell r="E778">
            <v>12660</v>
          </cell>
          <cell r="F778">
            <v>43532</v>
          </cell>
          <cell r="G778" t="str">
            <v>CFM</v>
          </cell>
        </row>
        <row r="779">
          <cell r="A779" t="str">
            <v>Y1903-0232</v>
          </cell>
          <cell r="B779">
            <v>201811</v>
          </cell>
          <cell r="C779" t="str">
            <v>4600066228</v>
          </cell>
          <cell r="D779" t="str">
            <v>M7652C</v>
          </cell>
          <cell r="E779">
            <v>18648</v>
          </cell>
          <cell r="F779">
            <v>43537</v>
          </cell>
          <cell r="G779" t="str">
            <v>CFM</v>
          </cell>
        </row>
        <row r="780">
          <cell r="A780" t="str">
            <v>Y1903-0233</v>
          </cell>
          <cell r="B780">
            <v>201811</v>
          </cell>
          <cell r="C780" t="str">
            <v>4600066229</v>
          </cell>
          <cell r="D780" t="str">
            <v>M7652C</v>
          </cell>
          <cell r="E780">
            <v>18648</v>
          </cell>
          <cell r="F780">
            <v>43537</v>
          </cell>
          <cell r="G780" t="str">
            <v>CFM</v>
          </cell>
        </row>
        <row r="781">
          <cell r="A781" t="str">
            <v>Y1903-0234</v>
          </cell>
          <cell r="B781">
            <v>201811</v>
          </cell>
          <cell r="C781" t="str">
            <v>4600066230</v>
          </cell>
          <cell r="D781" t="str">
            <v>M7652C</v>
          </cell>
          <cell r="E781">
            <v>18648</v>
          </cell>
          <cell r="F781">
            <v>43537</v>
          </cell>
          <cell r="G781" t="str">
            <v>CFM</v>
          </cell>
        </row>
        <row r="782">
          <cell r="A782" t="str">
            <v>Y1903-0235</v>
          </cell>
          <cell r="B782">
            <v>201811</v>
          </cell>
          <cell r="C782" t="str">
            <v>4600066231</v>
          </cell>
          <cell r="D782" t="str">
            <v>M7652C</v>
          </cell>
          <cell r="E782">
            <v>18648</v>
          </cell>
          <cell r="F782">
            <v>43537</v>
          </cell>
          <cell r="G782" t="str">
            <v>CFM</v>
          </cell>
        </row>
        <row r="783">
          <cell r="A783" t="str">
            <v>Y1903-0236</v>
          </cell>
          <cell r="B783">
            <v>201811</v>
          </cell>
          <cell r="C783" t="str">
            <v>4600066232</v>
          </cell>
          <cell r="D783" t="str">
            <v>651825C</v>
          </cell>
          <cell r="E783">
            <v>1680</v>
          </cell>
          <cell r="F783">
            <v>43539</v>
          </cell>
          <cell r="G783" t="str">
            <v>CFM</v>
          </cell>
        </row>
        <row r="784">
          <cell r="A784" t="str">
            <v>Y1903-0237</v>
          </cell>
          <cell r="B784">
            <v>201811</v>
          </cell>
          <cell r="C784" t="str">
            <v>4600066233</v>
          </cell>
          <cell r="D784">
            <v>88877</v>
          </cell>
          <cell r="E784">
            <v>360</v>
          </cell>
          <cell r="F784">
            <v>43532</v>
          </cell>
          <cell r="G784" t="str">
            <v>CFM</v>
          </cell>
        </row>
        <row r="785">
          <cell r="A785" t="str">
            <v>Y1903-0238</v>
          </cell>
          <cell r="B785">
            <v>201811</v>
          </cell>
          <cell r="C785" t="str">
            <v>4600066236</v>
          </cell>
          <cell r="D785" t="str">
            <v>164221C</v>
          </cell>
          <cell r="E785">
            <v>204</v>
          </cell>
          <cell r="F785">
            <v>43532</v>
          </cell>
          <cell r="G785" t="str">
            <v>CFM</v>
          </cell>
        </row>
        <row r="786">
          <cell r="A786" t="str">
            <v>Y1903-0239</v>
          </cell>
          <cell r="B786">
            <v>201811</v>
          </cell>
          <cell r="C786" t="str">
            <v>4600066237</v>
          </cell>
          <cell r="D786" t="str">
            <v>651826C</v>
          </cell>
          <cell r="E786">
            <v>1560</v>
          </cell>
          <cell r="F786">
            <v>43539</v>
          </cell>
          <cell r="G786" t="str">
            <v>CFM</v>
          </cell>
        </row>
        <row r="787">
          <cell r="A787" t="str">
            <v>Y1903-0131</v>
          </cell>
          <cell r="B787">
            <v>201811</v>
          </cell>
          <cell r="C787" t="str">
            <v>4600066264</v>
          </cell>
          <cell r="D787" t="str">
            <v>165598C</v>
          </cell>
          <cell r="E787">
            <v>314</v>
          </cell>
          <cell r="F787">
            <v>43525</v>
          </cell>
          <cell r="G787" t="str">
            <v>CFM</v>
          </cell>
        </row>
        <row r="788">
          <cell r="A788" t="str">
            <v>Y1903-0132</v>
          </cell>
          <cell r="B788">
            <v>201811</v>
          </cell>
          <cell r="C788" t="str">
            <v>4600066265</v>
          </cell>
          <cell r="D788" t="str">
            <v>165599C</v>
          </cell>
          <cell r="E788">
            <v>312</v>
          </cell>
          <cell r="F788">
            <v>43525</v>
          </cell>
          <cell r="G788" t="str">
            <v>CFM</v>
          </cell>
        </row>
        <row r="789">
          <cell r="A789" t="str">
            <v>Y1902-0557</v>
          </cell>
          <cell r="B789">
            <v>201811</v>
          </cell>
          <cell r="C789" t="str">
            <v>0100179985</v>
          </cell>
          <cell r="D789" t="str">
            <v>164102C</v>
          </cell>
          <cell r="E789">
            <v>888</v>
          </cell>
          <cell r="F789">
            <v>43530</v>
          </cell>
          <cell r="G789" t="str">
            <v>12/24</v>
          </cell>
        </row>
        <row r="790">
          <cell r="A790" t="str">
            <v>Y1902-0573</v>
          </cell>
          <cell r="B790">
            <v>201811</v>
          </cell>
          <cell r="C790" t="str">
            <v>0100180062</v>
          </cell>
          <cell r="D790" t="str">
            <v>164102C</v>
          </cell>
          <cell r="E790">
            <v>696</v>
          </cell>
          <cell r="F790">
            <v>43530</v>
          </cell>
          <cell r="G790" t="str">
            <v>12/24</v>
          </cell>
        </row>
        <row r="791">
          <cell r="A791" t="str">
            <v>Y1903-0240</v>
          </cell>
          <cell r="B791">
            <v>201811</v>
          </cell>
          <cell r="C791" t="str">
            <v>0100181644</v>
          </cell>
          <cell r="D791" t="str">
            <v>160504C</v>
          </cell>
          <cell r="E791">
            <v>4164</v>
          </cell>
          <cell r="F791">
            <v>43555</v>
          </cell>
          <cell r="G791" t="str">
            <v>01/03</v>
          </cell>
        </row>
        <row r="792">
          <cell r="A792" t="str">
            <v>Y1902-0649</v>
          </cell>
          <cell r="B792">
            <v>201811</v>
          </cell>
          <cell r="C792" t="str">
            <v>0100181645</v>
          </cell>
          <cell r="D792" t="str">
            <v>159627C</v>
          </cell>
          <cell r="E792">
            <v>1572</v>
          </cell>
          <cell r="F792">
            <v>43537</v>
          </cell>
          <cell r="G792" t="str">
            <v>12/28</v>
          </cell>
        </row>
        <row r="793">
          <cell r="A793" t="str">
            <v>Y1903-0241</v>
          </cell>
          <cell r="B793">
            <v>201811</v>
          </cell>
          <cell r="C793" t="str">
            <v>0100181650</v>
          </cell>
          <cell r="D793" t="str">
            <v>160483C</v>
          </cell>
          <cell r="E793">
            <v>3108</v>
          </cell>
          <cell r="F793">
            <v>43555</v>
          </cell>
          <cell r="G793" t="str">
            <v>12/28</v>
          </cell>
        </row>
        <row r="794">
          <cell r="A794" t="str">
            <v>Y1903-0242</v>
          </cell>
          <cell r="B794">
            <v>201811</v>
          </cell>
          <cell r="C794" t="str">
            <v>0100181651</v>
          </cell>
          <cell r="D794" t="str">
            <v>160484C</v>
          </cell>
          <cell r="E794">
            <v>5472</v>
          </cell>
          <cell r="F794">
            <v>43555</v>
          </cell>
          <cell r="G794" t="str">
            <v>12/28</v>
          </cell>
        </row>
        <row r="795">
          <cell r="A795" t="str">
            <v>Y1902-0655</v>
          </cell>
          <cell r="B795">
            <v>201811</v>
          </cell>
          <cell r="C795" t="str">
            <v>0100181654</v>
          </cell>
          <cell r="D795" t="str">
            <v>160484C</v>
          </cell>
          <cell r="E795">
            <v>7020</v>
          </cell>
          <cell r="F795">
            <v>43537</v>
          </cell>
          <cell r="G795" t="str">
            <v>12/28</v>
          </cell>
        </row>
        <row r="796">
          <cell r="A796" t="str">
            <v>Y1903-0243</v>
          </cell>
          <cell r="B796">
            <v>201811</v>
          </cell>
          <cell r="C796" t="str">
            <v>0100181672</v>
          </cell>
          <cell r="D796" t="str">
            <v>159627C</v>
          </cell>
          <cell r="E796">
            <v>228</v>
          </cell>
          <cell r="F796">
            <v>43555</v>
          </cell>
          <cell r="G796" t="str">
            <v>01/03</v>
          </cell>
        </row>
        <row r="797">
          <cell r="A797" t="str">
            <v>Y1903-0244</v>
          </cell>
          <cell r="B797">
            <v>201811</v>
          </cell>
          <cell r="C797" t="str">
            <v>0100181673</v>
          </cell>
          <cell r="D797" t="str">
            <v>159628C</v>
          </cell>
          <cell r="E797">
            <v>264</v>
          </cell>
          <cell r="F797">
            <v>43555</v>
          </cell>
          <cell r="G797" t="str">
            <v>12/28</v>
          </cell>
        </row>
        <row r="798">
          <cell r="A798" t="str">
            <v>Y1903-0245</v>
          </cell>
          <cell r="B798">
            <v>201811</v>
          </cell>
          <cell r="C798" t="str">
            <v>0100181674</v>
          </cell>
          <cell r="D798" t="str">
            <v>159630C</v>
          </cell>
          <cell r="E798">
            <v>228</v>
          </cell>
          <cell r="F798">
            <v>43555</v>
          </cell>
          <cell r="G798" t="str">
            <v>01/03</v>
          </cell>
        </row>
        <row r="799">
          <cell r="A799" t="str">
            <v>Y1903-0246</v>
          </cell>
          <cell r="B799">
            <v>201811</v>
          </cell>
          <cell r="C799" t="str">
            <v>0100181675</v>
          </cell>
          <cell r="D799" t="str">
            <v>159631C</v>
          </cell>
          <cell r="E799">
            <v>192</v>
          </cell>
          <cell r="F799">
            <v>43555</v>
          </cell>
          <cell r="G799" t="str">
            <v>01/03</v>
          </cell>
        </row>
        <row r="800">
          <cell r="A800" t="str">
            <v>Y1903-0247</v>
          </cell>
          <cell r="B800">
            <v>201811</v>
          </cell>
          <cell r="C800" t="str">
            <v>0100181676</v>
          </cell>
          <cell r="D800" t="str">
            <v>160480C</v>
          </cell>
          <cell r="E800">
            <v>240</v>
          </cell>
          <cell r="F800">
            <v>43555</v>
          </cell>
          <cell r="G800" t="str">
            <v>01/03</v>
          </cell>
        </row>
        <row r="801">
          <cell r="A801" t="str">
            <v>Y1903-0248</v>
          </cell>
          <cell r="B801">
            <v>201811</v>
          </cell>
          <cell r="C801" t="str">
            <v>0100181677</v>
          </cell>
          <cell r="D801" t="str">
            <v>160481C</v>
          </cell>
          <cell r="E801">
            <v>576</v>
          </cell>
          <cell r="F801">
            <v>43555</v>
          </cell>
          <cell r="G801" t="str">
            <v>12/28</v>
          </cell>
        </row>
        <row r="802">
          <cell r="A802" t="str">
            <v>Y1903-0249</v>
          </cell>
          <cell r="B802">
            <v>201811</v>
          </cell>
          <cell r="C802" t="str">
            <v>0100181678</v>
          </cell>
          <cell r="D802" t="str">
            <v>160483C</v>
          </cell>
          <cell r="E802">
            <v>684</v>
          </cell>
          <cell r="F802">
            <v>43555</v>
          </cell>
          <cell r="G802" t="str">
            <v>01/03</v>
          </cell>
        </row>
        <row r="803">
          <cell r="A803" t="str">
            <v>Y1903-0250</v>
          </cell>
          <cell r="B803">
            <v>201811</v>
          </cell>
          <cell r="C803" t="str">
            <v>0100181679</v>
          </cell>
          <cell r="D803" t="str">
            <v>160484C</v>
          </cell>
          <cell r="E803">
            <v>384</v>
          </cell>
          <cell r="F803">
            <v>43555</v>
          </cell>
          <cell r="G803" t="str">
            <v>01/03</v>
          </cell>
        </row>
        <row r="804">
          <cell r="A804" t="str">
            <v>Y1903-0251</v>
          </cell>
          <cell r="B804">
            <v>201811</v>
          </cell>
          <cell r="C804" t="str">
            <v>0100181681</v>
          </cell>
          <cell r="D804" t="str">
            <v>162378C</v>
          </cell>
          <cell r="E804">
            <v>312</v>
          </cell>
          <cell r="F804">
            <v>43555</v>
          </cell>
          <cell r="G804" t="str">
            <v>01/03</v>
          </cell>
        </row>
        <row r="805">
          <cell r="A805" t="str">
            <v>Y1901-0019</v>
          </cell>
          <cell r="B805">
            <v>201808</v>
          </cell>
          <cell r="C805" t="str">
            <v>0100166205</v>
          </cell>
          <cell r="D805" t="str">
            <v>M9621C</v>
          </cell>
          <cell r="E805">
            <v>564</v>
          </cell>
          <cell r="F805">
            <v>43467</v>
          </cell>
          <cell r="G805" t="str">
            <v>OK</v>
          </cell>
        </row>
        <row r="806">
          <cell r="A806" t="str">
            <v>Y1901-0020</v>
          </cell>
          <cell r="B806">
            <v>201808</v>
          </cell>
          <cell r="C806" t="str">
            <v>0100166223</v>
          </cell>
          <cell r="D806" t="str">
            <v>M9160C</v>
          </cell>
          <cell r="E806">
            <v>840</v>
          </cell>
          <cell r="F806">
            <v>43467</v>
          </cell>
          <cell r="G806" t="str">
            <v>OK</v>
          </cell>
        </row>
        <row r="807">
          <cell r="A807" t="str">
            <v>Y1901-0010</v>
          </cell>
          <cell r="B807">
            <v>201808</v>
          </cell>
          <cell r="C807" t="str">
            <v>0100166101</v>
          </cell>
          <cell r="D807" t="str">
            <v>155066C</v>
          </cell>
          <cell r="E807">
            <v>1260</v>
          </cell>
          <cell r="F807">
            <v>43488</v>
          </cell>
          <cell r="G807" t="str">
            <v>OK</v>
          </cell>
        </row>
        <row r="808">
          <cell r="A808" t="str">
            <v>Y1901-0014</v>
          </cell>
          <cell r="B808">
            <v>201808</v>
          </cell>
          <cell r="C808" t="str">
            <v>0100166133</v>
          </cell>
          <cell r="D808" t="str">
            <v>159792C</v>
          </cell>
          <cell r="E808">
            <v>2844</v>
          </cell>
          <cell r="F808">
            <v>43488</v>
          </cell>
          <cell r="G808" t="str">
            <v>OK</v>
          </cell>
        </row>
        <row r="809">
          <cell r="A809" t="str">
            <v>Y1901-0015</v>
          </cell>
          <cell r="B809">
            <v>201808</v>
          </cell>
          <cell r="C809" t="str">
            <v>0100166180</v>
          </cell>
          <cell r="D809" t="str">
            <v>636930C</v>
          </cell>
          <cell r="E809">
            <v>1056</v>
          </cell>
          <cell r="F809">
            <v>43481</v>
          </cell>
          <cell r="G809" t="str">
            <v>OK</v>
          </cell>
        </row>
        <row r="810">
          <cell r="A810" t="str">
            <v>Y1901-0016</v>
          </cell>
          <cell r="B810">
            <v>201808</v>
          </cell>
          <cell r="C810" t="str">
            <v>0100166181</v>
          </cell>
          <cell r="D810" t="str">
            <v>144148C</v>
          </cell>
          <cell r="E810">
            <v>768</v>
          </cell>
          <cell r="F810">
            <v>43481</v>
          </cell>
          <cell r="G810" t="str">
            <v>OK</v>
          </cell>
        </row>
        <row r="811">
          <cell r="A811" t="str">
            <v>Y1901-0017</v>
          </cell>
          <cell r="B811">
            <v>201808</v>
          </cell>
          <cell r="C811" t="str">
            <v>0100166182</v>
          </cell>
          <cell r="D811" t="str">
            <v>144148C</v>
          </cell>
          <cell r="E811">
            <v>828</v>
          </cell>
          <cell r="F811">
            <v>43481</v>
          </cell>
          <cell r="G811" t="str">
            <v>OK</v>
          </cell>
        </row>
        <row r="812">
          <cell r="A812" t="str">
            <v>Y1901-0023</v>
          </cell>
          <cell r="B812">
            <v>201808</v>
          </cell>
          <cell r="C812" t="str">
            <v>0100168338</v>
          </cell>
          <cell r="D812" t="str">
            <v>155065C</v>
          </cell>
          <cell r="E812">
            <v>1968</v>
          </cell>
          <cell r="F812">
            <v>43488</v>
          </cell>
          <cell r="G812" t="str">
            <v>OK</v>
          </cell>
        </row>
        <row r="813">
          <cell r="A813" t="str">
            <v>Y1901-0021</v>
          </cell>
          <cell r="B813">
            <v>201808</v>
          </cell>
          <cell r="C813" t="str">
            <v>0100166227</v>
          </cell>
          <cell r="D813" t="str">
            <v>563426C</v>
          </cell>
          <cell r="E813">
            <v>120</v>
          </cell>
          <cell r="F813">
            <v>43478</v>
          </cell>
          <cell r="G813" t="str">
            <v>OK</v>
          </cell>
        </row>
        <row r="814">
          <cell r="A814" t="str">
            <v>Y1901-0011</v>
          </cell>
          <cell r="B814">
            <v>201808</v>
          </cell>
          <cell r="C814" t="str">
            <v>0100166106</v>
          </cell>
          <cell r="D814" t="str">
            <v>559886C</v>
          </cell>
          <cell r="E814">
            <v>3000</v>
          </cell>
          <cell r="F814">
            <v>43474</v>
          </cell>
          <cell r="G814" t="str">
            <v>OK</v>
          </cell>
        </row>
        <row r="815">
          <cell r="A815" t="str">
            <v>Y1901-0012</v>
          </cell>
          <cell r="B815">
            <v>201808</v>
          </cell>
          <cell r="C815" t="str">
            <v>0100166112</v>
          </cell>
          <cell r="D815" t="str">
            <v>559889C</v>
          </cell>
          <cell r="E815">
            <v>3000</v>
          </cell>
          <cell r="F815">
            <v>43474</v>
          </cell>
          <cell r="G815" t="str">
            <v>OK</v>
          </cell>
        </row>
        <row r="816">
          <cell r="A816" t="str">
            <v>Y1901-0018</v>
          </cell>
          <cell r="B816">
            <v>201808</v>
          </cell>
          <cell r="C816" t="str">
            <v>0100166185</v>
          </cell>
          <cell r="D816" t="str">
            <v>155064C</v>
          </cell>
          <cell r="E816">
            <v>14928</v>
          </cell>
          <cell r="F816">
            <v>43481</v>
          </cell>
          <cell r="G816" t="str">
            <v>OK</v>
          </cell>
        </row>
        <row r="817">
          <cell r="A817" t="str">
            <v>Y1901-0009</v>
          </cell>
          <cell r="B817">
            <v>201808</v>
          </cell>
          <cell r="C817" t="str">
            <v>0100166039</v>
          </cell>
          <cell r="D817" t="str">
            <v>663602C</v>
          </cell>
          <cell r="E817">
            <v>492</v>
          </cell>
          <cell r="F817">
            <v>43481</v>
          </cell>
          <cell r="G817" t="str">
            <v>OK</v>
          </cell>
        </row>
        <row r="818">
          <cell r="A818" t="str">
            <v>Y1901-0013</v>
          </cell>
          <cell r="B818">
            <v>201808</v>
          </cell>
          <cell r="C818" t="str">
            <v>0100166120</v>
          </cell>
          <cell r="D818" t="str">
            <v>163199C</v>
          </cell>
          <cell r="E818">
            <v>1248</v>
          </cell>
          <cell r="F818">
            <v>43480</v>
          </cell>
          <cell r="G818" t="str">
            <v>OK</v>
          </cell>
        </row>
        <row r="819">
          <cell r="A819" t="str">
            <v>Y1901-0026</v>
          </cell>
          <cell r="B819">
            <v>201809</v>
          </cell>
          <cell r="C819" t="str">
            <v>0100169657</v>
          </cell>
          <cell r="D819" t="str">
            <v>3J236C</v>
          </cell>
          <cell r="E819">
            <v>1848</v>
          </cell>
          <cell r="F819">
            <v>43488</v>
          </cell>
          <cell r="G819" t="str">
            <v>OK</v>
          </cell>
        </row>
        <row r="820">
          <cell r="A820" t="str">
            <v>Y1901-0046</v>
          </cell>
          <cell r="B820">
            <v>201809</v>
          </cell>
          <cell r="C820" t="str">
            <v>0100169699</v>
          </cell>
          <cell r="D820" t="str">
            <v>7J253C</v>
          </cell>
          <cell r="E820">
            <v>1848</v>
          </cell>
          <cell r="F820">
            <v>43488</v>
          </cell>
          <cell r="G820" t="str">
            <v>OK</v>
          </cell>
        </row>
        <row r="821">
          <cell r="A821" t="str">
            <v>Y1901-0047</v>
          </cell>
          <cell r="B821">
            <v>201809</v>
          </cell>
          <cell r="C821" t="str">
            <v>0100169700</v>
          </cell>
          <cell r="D821" t="str">
            <v>7J253C</v>
          </cell>
          <cell r="E821">
            <v>672</v>
          </cell>
          <cell r="F821">
            <v>43488</v>
          </cell>
          <cell r="G821" t="str">
            <v>OK</v>
          </cell>
        </row>
        <row r="822">
          <cell r="A822" t="str">
            <v>Y1901-0048</v>
          </cell>
          <cell r="B822">
            <v>201809</v>
          </cell>
          <cell r="C822" t="str">
            <v>0100169702</v>
          </cell>
          <cell r="D822" t="str">
            <v>7J256C</v>
          </cell>
          <cell r="E822">
            <v>1476</v>
          </cell>
          <cell r="F822">
            <v>43488</v>
          </cell>
          <cell r="G822" t="str">
            <v>OK</v>
          </cell>
        </row>
        <row r="823">
          <cell r="A823" t="str">
            <v>Y1901-0049</v>
          </cell>
          <cell r="B823">
            <v>201809</v>
          </cell>
          <cell r="C823" t="str">
            <v>0100169703</v>
          </cell>
          <cell r="D823" t="str">
            <v>7J256C</v>
          </cell>
          <cell r="E823">
            <v>516</v>
          </cell>
          <cell r="F823">
            <v>43488</v>
          </cell>
          <cell r="G823" t="str">
            <v>OK</v>
          </cell>
        </row>
        <row r="824">
          <cell r="A824" t="str">
            <v>Y1901-0084</v>
          </cell>
          <cell r="B824">
            <v>201809</v>
          </cell>
          <cell r="C824" t="str">
            <v>0100169741</v>
          </cell>
          <cell r="D824" t="str">
            <v>7J256C</v>
          </cell>
          <cell r="E824">
            <v>528</v>
          </cell>
          <cell r="F824">
            <v>43481</v>
          </cell>
          <cell r="G824" t="str">
            <v>OK</v>
          </cell>
        </row>
        <row r="825">
          <cell r="A825" t="str">
            <v>Y1901-0085</v>
          </cell>
          <cell r="B825">
            <v>201809</v>
          </cell>
          <cell r="C825" t="str">
            <v>0100169742</v>
          </cell>
          <cell r="D825" t="str">
            <v>3J231C</v>
          </cell>
          <cell r="E825">
            <v>408</v>
          </cell>
          <cell r="F825">
            <v>43481</v>
          </cell>
          <cell r="G825" t="str">
            <v>OK</v>
          </cell>
        </row>
        <row r="826">
          <cell r="A826" t="str">
            <v>Y1901-0024</v>
          </cell>
          <cell r="B826">
            <v>201809</v>
          </cell>
          <cell r="C826" t="str">
            <v>0100169620</v>
          </cell>
          <cell r="D826" t="str">
            <v>663677C</v>
          </cell>
          <cell r="E826">
            <v>672</v>
          </cell>
          <cell r="F826">
            <v>43481</v>
          </cell>
          <cell r="G826" t="str">
            <v>OK</v>
          </cell>
        </row>
        <row r="827">
          <cell r="A827" t="str">
            <v>Y1901-0050</v>
          </cell>
          <cell r="B827">
            <v>201809</v>
          </cell>
          <cell r="C827" t="str">
            <v>0100169704</v>
          </cell>
          <cell r="D827" t="str">
            <v>663677C</v>
          </cell>
          <cell r="E827">
            <v>5700</v>
          </cell>
          <cell r="F827">
            <v>43479</v>
          </cell>
          <cell r="G827" t="str">
            <v>OK</v>
          </cell>
        </row>
        <row r="828">
          <cell r="A828" t="str">
            <v>Y1901-0086</v>
          </cell>
          <cell r="B828">
            <v>201809</v>
          </cell>
          <cell r="C828" t="str">
            <v>0100169743</v>
          </cell>
          <cell r="D828" t="str">
            <v>144150C</v>
          </cell>
          <cell r="E828">
            <v>1236</v>
          </cell>
          <cell r="F828">
            <v>43481</v>
          </cell>
          <cell r="G828" t="str">
            <v>OK</v>
          </cell>
        </row>
        <row r="829">
          <cell r="A829" t="str">
            <v>Y1901-0098</v>
          </cell>
          <cell r="B829">
            <v>201809</v>
          </cell>
          <cell r="C829" t="str">
            <v>0100169806</v>
          </cell>
          <cell r="D829" t="str">
            <v>264720C</v>
          </cell>
          <cell r="E829">
            <v>600</v>
          </cell>
          <cell r="F829">
            <v>43470</v>
          </cell>
          <cell r="G829" t="str">
            <v>OK</v>
          </cell>
        </row>
        <row r="830">
          <cell r="A830" t="str">
            <v>Y1901-0099</v>
          </cell>
          <cell r="B830">
            <v>201809</v>
          </cell>
          <cell r="C830" t="str">
            <v>0100169807</v>
          </cell>
          <cell r="D830" t="str">
            <v>264720C</v>
          </cell>
          <cell r="E830">
            <v>360</v>
          </cell>
          <cell r="F830">
            <v>43470</v>
          </cell>
          <cell r="G830" t="str">
            <v>OK</v>
          </cell>
        </row>
        <row r="831">
          <cell r="A831" t="str">
            <v>Y1901-0027</v>
          </cell>
          <cell r="B831">
            <v>201809</v>
          </cell>
          <cell r="C831" t="str">
            <v>0100169658</v>
          </cell>
          <cell r="D831" t="str">
            <v>3J236C</v>
          </cell>
          <cell r="E831">
            <v>480</v>
          </cell>
          <cell r="F831">
            <v>43488</v>
          </cell>
          <cell r="G831" t="str">
            <v>OK</v>
          </cell>
        </row>
        <row r="832">
          <cell r="A832" t="str">
            <v>Y1901-0035</v>
          </cell>
          <cell r="B832">
            <v>201809</v>
          </cell>
          <cell r="C832" t="str">
            <v>0100169670</v>
          </cell>
          <cell r="D832" t="str">
            <v>M9696C</v>
          </cell>
          <cell r="E832">
            <v>2412</v>
          </cell>
          <cell r="F832">
            <v>43488</v>
          </cell>
          <cell r="G832" t="str">
            <v>OK</v>
          </cell>
        </row>
        <row r="833">
          <cell r="A833" t="str">
            <v>Y1901-0036</v>
          </cell>
          <cell r="B833">
            <v>201809</v>
          </cell>
          <cell r="C833" t="str">
            <v>0100169671</v>
          </cell>
          <cell r="D833" t="str">
            <v>M9696C</v>
          </cell>
          <cell r="E833">
            <v>1704</v>
          </cell>
          <cell r="F833">
            <v>43488</v>
          </cell>
          <cell r="G833" t="str">
            <v>OK</v>
          </cell>
        </row>
        <row r="834">
          <cell r="A834" t="str">
            <v>Y1901-0044</v>
          </cell>
          <cell r="B834">
            <v>201809</v>
          </cell>
          <cell r="C834" t="str">
            <v>0100169687</v>
          </cell>
          <cell r="D834" t="str">
            <v>763582C</v>
          </cell>
          <cell r="E834">
            <v>3804</v>
          </cell>
          <cell r="F834">
            <v>43469</v>
          </cell>
          <cell r="G834" t="str">
            <v>OK</v>
          </cell>
        </row>
        <row r="835">
          <cell r="A835" t="str">
            <v>Y1901-0087</v>
          </cell>
          <cell r="B835">
            <v>201809</v>
          </cell>
          <cell r="C835" t="str">
            <v>0100169744</v>
          </cell>
          <cell r="D835" t="str">
            <v>160359C</v>
          </cell>
          <cell r="E835">
            <v>1812</v>
          </cell>
          <cell r="F835">
            <v>43481</v>
          </cell>
          <cell r="G835" t="str">
            <v>OK</v>
          </cell>
        </row>
        <row r="836">
          <cell r="A836" t="str">
            <v>Y1901-0088</v>
          </cell>
          <cell r="B836">
            <v>201809</v>
          </cell>
          <cell r="C836" t="str">
            <v>0100169745</v>
          </cell>
          <cell r="D836" t="str">
            <v>160359C</v>
          </cell>
          <cell r="E836">
            <v>1764</v>
          </cell>
          <cell r="F836">
            <v>43481</v>
          </cell>
          <cell r="G836" t="str">
            <v>OK</v>
          </cell>
        </row>
        <row r="837">
          <cell r="A837" t="str">
            <v>Y1901-0090</v>
          </cell>
          <cell r="B837">
            <v>201809</v>
          </cell>
          <cell r="C837" t="str">
            <v>0100169747</v>
          </cell>
          <cell r="D837" t="str">
            <v>160359C</v>
          </cell>
          <cell r="E837">
            <v>1404</v>
          </cell>
          <cell r="F837">
            <v>43481</v>
          </cell>
          <cell r="G837" t="str">
            <v>OK</v>
          </cell>
        </row>
        <row r="838">
          <cell r="A838" t="str">
            <v>Y1901-0043</v>
          </cell>
          <cell r="B838">
            <v>201809</v>
          </cell>
          <cell r="C838" t="str">
            <v>0100169686</v>
          </cell>
          <cell r="D838" t="str">
            <v>763581C</v>
          </cell>
          <cell r="E838">
            <v>1104</v>
          </cell>
          <cell r="F838">
            <v>43469</v>
          </cell>
          <cell r="G838" t="str">
            <v>OK</v>
          </cell>
        </row>
        <row r="839">
          <cell r="A839" t="str">
            <v>Y1901-0103</v>
          </cell>
          <cell r="B839">
            <v>201809</v>
          </cell>
          <cell r="C839" t="str">
            <v>0100171095</v>
          </cell>
          <cell r="D839" t="str">
            <v>3J236C</v>
          </cell>
          <cell r="E839">
            <v>372</v>
          </cell>
          <cell r="F839">
            <v>43495</v>
          </cell>
          <cell r="G839" t="str">
            <v>OK</v>
          </cell>
        </row>
        <row r="840">
          <cell r="A840" t="str">
            <v>Y1901-0111</v>
          </cell>
          <cell r="B840">
            <v>201809</v>
          </cell>
          <cell r="C840" t="str">
            <v>0100171177</v>
          </cell>
          <cell r="D840" t="str">
            <v>3J238C</v>
          </cell>
          <cell r="E840">
            <v>360</v>
          </cell>
          <cell r="F840">
            <v>43495</v>
          </cell>
          <cell r="G840" t="str">
            <v>OK</v>
          </cell>
        </row>
        <row r="841">
          <cell r="A841" t="str">
            <v>Y1901-0112</v>
          </cell>
          <cell r="B841">
            <v>201809</v>
          </cell>
          <cell r="C841" t="str">
            <v>0100171178</v>
          </cell>
          <cell r="D841" t="str">
            <v>3J253C</v>
          </cell>
          <cell r="E841">
            <v>360</v>
          </cell>
          <cell r="F841">
            <v>43495</v>
          </cell>
          <cell r="G841" t="str">
            <v>OK</v>
          </cell>
        </row>
        <row r="842">
          <cell r="A842" t="str">
            <v>Y1901-0113</v>
          </cell>
          <cell r="B842">
            <v>201809</v>
          </cell>
          <cell r="C842" t="str">
            <v>0100171179</v>
          </cell>
          <cell r="D842" t="str">
            <v>663677C</v>
          </cell>
          <cell r="E842">
            <v>360</v>
          </cell>
          <cell r="F842">
            <v>43495</v>
          </cell>
          <cell r="G842" t="str">
            <v>OK</v>
          </cell>
        </row>
        <row r="843">
          <cell r="A843" t="str">
            <v>Y1901-0127</v>
          </cell>
          <cell r="B843">
            <v>201809</v>
          </cell>
          <cell r="C843" t="str">
            <v>0100171347</v>
          </cell>
          <cell r="D843" t="str">
            <v>763581C</v>
          </cell>
          <cell r="E843">
            <v>696</v>
          </cell>
          <cell r="F843">
            <v>43495</v>
          </cell>
          <cell r="G843" t="str">
            <v>OK</v>
          </cell>
        </row>
        <row r="844">
          <cell r="A844" t="str">
            <v>Y1901-0128</v>
          </cell>
          <cell r="B844">
            <v>201809</v>
          </cell>
          <cell r="C844" t="str">
            <v>0100171348</v>
          </cell>
          <cell r="D844" t="str">
            <v>763582C</v>
          </cell>
          <cell r="E844">
            <v>372</v>
          </cell>
          <cell r="F844">
            <v>43495</v>
          </cell>
          <cell r="G844" t="str">
            <v>OK</v>
          </cell>
        </row>
        <row r="845">
          <cell r="A845" t="str">
            <v>Y1901-0129</v>
          </cell>
          <cell r="B845">
            <v>201809</v>
          </cell>
          <cell r="C845" t="str">
            <v>0100171349</v>
          </cell>
          <cell r="D845" t="str">
            <v>7J232C</v>
          </cell>
          <cell r="E845">
            <v>372</v>
          </cell>
          <cell r="F845">
            <v>43495</v>
          </cell>
          <cell r="G845" t="str">
            <v>OK</v>
          </cell>
        </row>
        <row r="846">
          <cell r="A846" t="str">
            <v>Y1901-0130</v>
          </cell>
          <cell r="B846">
            <v>201809</v>
          </cell>
          <cell r="C846" t="str">
            <v>0100171350</v>
          </cell>
          <cell r="D846" t="str">
            <v>7J236C</v>
          </cell>
          <cell r="E846">
            <v>360</v>
          </cell>
          <cell r="F846">
            <v>43495</v>
          </cell>
          <cell r="G846" t="str">
            <v>OK</v>
          </cell>
        </row>
        <row r="847">
          <cell r="A847" t="str">
            <v>Y1901-0131</v>
          </cell>
          <cell r="B847">
            <v>201809</v>
          </cell>
          <cell r="C847" t="str">
            <v>0100171351</v>
          </cell>
          <cell r="D847" t="str">
            <v>7J237C</v>
          </cell>
          <cell r="E847">
            <v>360</v>
          </cell>
          <cell r="F847">
            <v>43495</v>
          </cell>
          <cell r="G847" t="str">
            <v>OK</v>
          </cell>
        </row>
        <row r="848">
          <cell r="A848" t="str">
            <v>Y1901-0132</v>
          </cell>
          <cell r="B848">
            <v>201809</v>
          </cell>
          <cell r="C848" t="str">
            <v>0100171352</v>
          </cell>
          <cell r="D848" t="str">
            <v>7J238C</v>
          </cell>
          <cell r="E848">
            <v>360</v>
          </cell>
          <cell r="F848">
            <v>43495</v>
          </cell>
          <cell r="G848" t="str">
            <v>OK</v>
          </cell>
        </row>
        <row r="849">
          <cell r="A849" t="str">
            <v>Y1901-0133</v>
          </cell>
          <cell r="B849">
            <v>201809</v>
          </cell>
          <cell r="C849" t="str">
            <v>0100171353</v>
          </cell>
          <cell r="D849" t="str">
            <v>7J253C</v>
          </cell>
          <cell r="E849">
            <v>360</v>
          </cell>
          <cell r="F849">
            <v>43495</v>
          </cell>
          <cell r="G849" t="str">
            <v>OK</v>
          </cell>
        </row>
        <row r="850">
          <cell r="A850" t="str">
            <v>Y1901-0146</v>
          </cell>
          <cell r="B850">
            <v>201809</v>
          </cell>
          <cell r="C850" t="str">
            <v>FEB AS KID 01 19</v>
          </cell>
          <cell r="D850" t="str">
            <v>3J235C</v>
          </cell>
          <cell r="E850">
            <v>8112</v>
          </cell>
          <cell r="F850">
            <v>43481</v>
          </cell>
          <cell r="G850" t="str">
            <v>OK</v>
          </cell>
        </row>
        <row r="851">
          <cell r="A851" t="str">
            <v>Y1901-0147</v>
          </cell>
          <cell r="B851">
            <v>201809</v>
          </cell>
          <cell r="C851" t="str">
            <v>FEB AS KID 01 19</v>
          </cell>
          <cell r="D851" t="str">
            <v>3J231C</v>
          </cell>
          <cell r="E851">
            <v>732</v>
          </cell>
          <cell r="F851">
            <v>43481</v>
          </cell>
          <cell r="G851" t="str">
            <v>OK</v>
          </cell>
        </row>
        <row r="852">
          <cell r="A852" t="str">
            <v>Y1901-0148</v>
          </cell>
          <cell r="B852">
            <v>201809</v>
          </cell>
          <cell r="C852" t="str">
            <v>FEB AS 02 19</v>
          </cell>
          <cell r="D852" t="str">
            <v>M5039C</v>
          </cell>
          <cell r="E852">
            <v>5400</v>
          </cell>
          <cell r="F852">
            <v>43481</v>
          </cell>
          <cell r="G852" t="str">
            <v>OK</v>
          </cell>
        </row>
        <row r="853">
          <cell r="A853" t="str">
            <v>Y1901-0149</v>
          </cell>
          <cell r="B853">
            <v>201809</v>
          </cell>
          <cell r="C853" t="str">
            <v>FEB AS 02 19</v>
          </cell>
          <cell r="D853" t="str">
            <v>M9166C</v>
          </cell>
          <cell r="E853">
            <v>10152</v>
          </cell>
          <cell r="F853">
            <v>43481</v>
          </cell>
          <cell r="G853" t="str">
            <v>OK</v>
          </cell>
        </row>
        <row r="854">
          <cell r="A854" t="str">
            <v>Y1901-0150</v>
          </cell>
          <cell r="B854">
            <v>201809</v>
          </cell>
          <cell r="C854" t="str">
            <v>FEB AS 02 19</v>
          </cell>
          <cell r="D854" t="str">
            <v>M9166C</v>
          </cell>
          <cell r="E854">
            <v>10032</v>
          </cell>
          <cell r="F854">
            <v>43481</v>
          </cell>
          <cell r="G854" t="str">
            <v>OK</v>
          </cell>
        </row>
        <row r="855">
          <cell r="A855" t="str">
            <v>Y1901-0151</v>
          </cell>
          <cell r="B855">
            <v>201809</v>
          </cell>
          <cell r="C855" t="str">
            <v>FEB AS 01 19</v>
          </cell>
          <cell r="D855" t="str">
            <v>M7652C</v>
          </cell>
          <cell r="E855">
            <v>19056</v>
          </cell>
          <cell r="F855">
            <v>43467</v>
          </cell>
          <cell r="G855" t="str">
            <v>OK</v>
          </cell>
        </row>
        <row r="856">
          <cell r="A856" t="str">
            <v>Y1901-0152</v>
          </cell>
          <cell r="B856">
            <v>201809</v>
          </cell>
          <cell r="C856" t="str">
            <v>FEB AS 01 19</v>
          </cell>
          <cell r="D856" t="str">
            <v>M7650C</v>
          </cell>
          <cell r="E856">
            <v>3180</v>
          </cell>
          <cell r="F856">
            <v>43481</v>
          </cell>
          <cell r="G856" t="str">
            <v>OK</v>
          </cell>
        </row>
        <row r="857">
          <cell r="A857" t="str">
            <v>Y1901-0153</v>
          </cell>
          <cell r="B857">
            <v>201809</v>
          </cell>
          <cell r="C857" t="str">
            <v>FEB AS INF 01 19</v>
          </cell>
          <cell r="D857" t="str">
            <v>7J256C</v>
          </cell>
          <cell r="E857">
            <v>12636</v>
          </cell>
          <cell r="F857">
            <v>43481</v>
          </cell>
          <cell r="G857" t="str">
            <v>OK</v>
          </cell>
        </row>
        <row r="858">
          <cell r="A858" t="str">
            <v>Y1901-0154</v>
          </cell>
          <cell r="B858">
            <v>201809</v>
          </cell>
          <cell r="C858" t="str">
            <v>FEB AS KID 01 19</v>
          </cell>
          <cell r="D858" t="str">
            <v>3J256C</v>
          </cell>
          <cell r="E858">
            <v>12540</v>
          </cell>
          <cell r="F858">
            <v>43481</v>
          </cell>
          <cell r="G858" t="str">
            <v>OK</v>
          </cell>
        </row>
        <row r="859">
          <cell r="A859" t="str">
            <v>Y1901-0155</v>
          </cell>
          <cell r="B859">
            <v>201809</v>
          </cell>
          <cell r="C859" t="str">
            <v>FEB AS KID 01 19</v>
          </cell>
          <cell r="D859" t="str">
            <v>3J253C</v>
          </cell>
          <cell r="E859">
            <v>1788</v>
          </cell>
          <cell r="F859">
            <v>43481</v>
          </cell>
          <cell r="G859" t="str">
            <v>OK</v>
          </cell>
        </row>
        <row r="860">
          <cell r="A860" t="str">
            <v>Y1901-0001</v>
          </cell>
          <cell r="B860">
            <v>201807</v>
          </cell>
          <cell r="C860" t="str">
            <v>0100160672</v>
          </cell>
          <cell r="D860" t="str">
            <v>663600C</v>
          </cell>
          <cell r="E860">
            <v>1140</v>
          </cell>
          <cell r="F860">
            <v>43481</v>
          </cell>
          <cell r="G860" t="str">
            <v>OK</v>
          </cell>
        </row>
        <row r="861">
          <cell r="A861" t="str">
            <v>Y1812-0119</v>
          </cell>
          <cell r="B861">
            <v>201807</v>
          </cell>
          <cell r="C861" t="str">
            <v>4600059659</v>
          </cell>
          <cell r="D861" t="str">
            <v>163370C</v>
          </cell>
          <cell r="E861">
            <v>924</v>
          </cell>
          <cell r="F861">
            <v>43488</v>
          </cell>
          <cell r="G861" t="str">
            <v>OK</v>
          </cell>
        </row>
        <row r="862">
          <cell r="A862" t="str">
            <v>Y1812-0120</v>
          </cell>
          <cell r="B862">
            <v>201807</v>
          </cell>
          <cell r="C862" t="str">
            <v>4600059660</v>
          </cell>
          <cell r="D862" t="str">
            <v>163370C</v>
          </cell>
          <cell r="E862">
            <v>228</v>
          </cell>
          <cell r="F862">
            <v>43488</v>
          </cell>
          <cell r="G862" t="str">
            <v>OK</v>
          </cell>
        </row>
        <row r="863">
          <cell r="A863" t="str">
            <v>Y1812-0141</v>
          </cell>
          <cell r="B863">
            <v>201807</v>
          </cell>
          <cell r="C863" t="str">
            <v>4600059684</v>
          </cell>
          <cell r="D863" t="str">
            <v>163368C</v>
          </cell>
          <cell r="E863">
            <v>888</v>
          </cell>
          <cell r="F863">
            <v>43488</v>
          </cell>
          <cell r="G863" t="str">
            <v>OK</v>
          </cell>
        </row>
        <row r="864">
          <cell r="A864" t="str">
            <v>Y1812-0142</v>
          </cell>
          <cell r="B864">
            <v>201807</v>
          </cell>
          <cell r="C864" t="str">
            <v>4600059685</v>
          </cell>
          <cell r="D864" t="str">
            <v>163368C</v>
          </cell>
          <cell r="E864">
            <v>228</v>
          </cell>
          <cell r="F864">
            <v>43488</v>
          </cell>
          <cell r="G864" t="str">
            <v>OK</v>
          </cell>
        </row>
        <row r="865">
          <cell r="A865" t="str">
            <v>Y1812-0143</v>
          </cell>
          <cell r="B865">
            <v>201807</v>
          </cell>
          <cell r="C865" t="str">
            <v>4600059686</v>
          </cell>
          <cell r="D865" t="str">
            <v>163369C</v>
          </cell>
          <cell r="E865">
            <v>900</v>
          </cell>
          <cell r="F865">
            <v>43488</v>
          </cell>
          <cell r="G865" t="str">
            <v>OK</v>
          </cell>
        </row>
        <row r="866">
          <cell r="A866" t="str">
            <v>Y1812-0144</v>
          </cell>
          <cell r="B866">
            <v>201807</v>
          </cell>
          <cell r="C866" t="str">
            <v>4600059687</v>
          </cell>
          <cell r="D866" t="str">
            <v>163369C</v>
          </cell>
          <cell r="E866">
            <v>228</v>
          </cell>
          <cell r="F866">
            <v>43488</v>
          </cell>
          <cell r="G866" t="str">
            <v>OK</v>
          </cell>
        </row>
        <row r="867">
          <cell r="A867" t="str">
            <v>Y1901-0169</v>
          </cell>
          <cell r="B867">
            <v>201810</v>
          </cell>
          <cell r="C867" t="str">
            <v>0100174981</v>
          </cell>
          <cell r="D867" t="str">
            <v>164390C</v>
          </cell>
          <cell r="E867">
            <v>252</v>
          </cell>
          <cell r="F867">
            <v>43481</v>
          </cell>
          <cell r="G867" t="str">
            <v>OK</v>
          </cell>
        </row>
        <row r="868">
          <cell r="A868" t="str">
            <v>Y1901-0170</v>
          </cell>
          <cell r="B868">
            <v>201810</v>
          </cell>
          <cell r="C868" t="str">
            <v>0100174983</v>
          </cell>
          <cell r="D868" t="str">
            <v>M7652C</v>
          </cell>
          <cell r="E868">
            <v>1632</v>
          </cell>
          <cell r="F868">
            <v>43481</v>
          </cell>
          <cell r="G868" t="str">
            <v>OK</v>
          </cell>
        </row>
        <row r="869">
          <cell r="A869" t="str">
            <v>Y1901-0171</v>
          </cell>
          <cell r="B869">
            <v>201810</v>
          </cell>
          <cell r="C869" t="str">
            <v>0100174984</v>
          </cell>
          <cell r="D869" t="str">
            <v>158369C</v>
          </cell>
          <cell r="E869">
            <v>468</v>
          </cell>
          <cell r="F869">
            <v>43476</v>
          </cell>
          <cell r="G869" t="str">
            <v>OK</v>
          </cell>
        </row>
        <row r="870">
          <cell r="A870" t="str">
            <v>Y1901-0172</v>
          </cell>
          <cell r="B870">
            <v>201810</v>
          </cell>
          <cell r="C870" t="str">
            <v>0100174986</v>
          </cell>
          <cell r="D870" t="str">
            <v>M9613C</v>
          </cell>
          <cell r="E870">
            <v>324</v>
          </cell>
          <cell r="F870">
            <v>43476</v>
          </cell>
          <cell r="G870" t="str">
            <v>OK</v>
          </cell>
        </row>
        <row r="871">
          <cell r="A871" t="str">
            <v>Y1901-0173</v>
          </cell>
          <cell r="B871">
            <v>201810</v>
          </cell>
          <cell r="C871" t="str">
            <v>0100174990</v>
          </cell>
          <cell r="D871" t="str">
            <v>164360C</v>
          </cell>
          <cell r="E871">
            <v>360</v>
          </cell>
          <cell r="F871">
            <v>43482</v>
          </cell>
          <cell r="G871" t="str">
            <v>OK</v>
          </cell>
        </row>
        <row r="872">
          <cell r="A872" t="str">
            <v>Y1901-0174</v>
          </cell>
          <cell r="B872">
            <v>201810</v>
          </cell>
          <cell r="C872" t="str">
            <v>0100174991</v>
          </cell>
          <cell r="D872" t="str">
            <v>664184C</v>
          </cell>
          <cell r="E872">
            <v>576</v>
          </cell>
          <cell r="F872">
            <v>43481</v>
          </cell>
          <cell r="G872" t="str">
            <v>OK</v>
          </cell>
        </row>
        <row r="873">
          <cell r="A873" t="str">
            <v>Y1901-0175</v>
          </cell>
          <cell r="B873">
            <v>201810</v>
          </cell>
          <cell r="C873" t="str">
            <v>0100174993</v>
          </cell>
          <cell r="D873" t="str">
            <v>664434C</v>
          </cell>
          <cell r="E873">
            <v>324</v>
          </cell>
          <cell r="F873">
            <v>43482</v>
          </cell>
          <cell r="G873" t="str">
            <v>OK</v>
          </cell>
        </row>
        <row r="874">
          <cell r="A874" t="str">
            <v>Y1901-0176</v>
          </cell>
          <cell r="B874">
            <v>201810</v>
          </cell>
          <cell r="C874" t="str">
            <v>0100174995</v>
          </cell>
          <cell r="D874">
            <v>88871</v>
          </cell>
          <cell r="E874">
            <v>360</v>
          </cell>
          <cell r="F874">
            <v>43481</v>
          </cell>
          <cell r="G874" t="str">
            <v>OK</v>
          </cell>
        </row>
        <row r="875">
          <cell r="A875" t="str">
            <v>Y1901-0177</v>
          </cell>
          <cell r="B875">
            <v>201810</v>
          </cell>
          <cell r="C875" t="str">
            <v>0100174997</v>
          </cell>
          <cell r="D875" t="str">
            <v>158371C</v>
          </cell>
          <cell r="E875">
            <v>144</v>
          </cell>
          <cell r="F875">
            <v>43481</v>
          </cell>
          <cell r="G875" t="str">
            <v>OK</v>
          </cell>
        </row>
        <row r="876">
          <cell r="A876" t="str">
            <v>Y1901-0178</v>
          </cell>
          <cell r="B876">
            <v>201810</v>
          </cell>
          <cell r="C876" t="str">
            <v>0100174998</v>
          </cell>
          <cell r="D876" t="str">
            <v>763527C</v>
          </cell>
          <cell r="E876">
            <v>420</v>
          </cell>
          <cell r="F876">
            <v>43481</v>
          </cell>
          <cell r="G876" t="str">
            <v>OK</v>
          </cell>
        </row>
        <row r="877">
          <cell r="A877" t="str">
            <v>Y1901-0179</v>
          </cell>
          <cell r="B877">
            <v>201810</v>
          </cell>
          <cell r="C877" t="str">
            <v>0100174999</v>
          </cell>
          <cell r="D877" t="str">
            <v>663599C</v>
          </cell>
          <cell r="E877">
            <v>168</v>
          </cell>
          <cell r="F877">
            <v>43481</v>
          </cell>
          <cell r="G877" t="str">
            <v>OK</v>
          </cell>
        </row>
        <row r="878">
          <cell r="A878" t="str">
            <v>Y1901-0180</v>
          </cell>
          <cell r="B878">
            <v>201810</v>
          </cell>
          <cell r="C878" t="str">
            <v>0100175001</v>
          </cell>
          <cell r="D878" t="str">
            <v>565548C</v>
          </cell>
          <cell r="E878">
            <v>75</v>
          </cell>
          <cell r="F878">
            <v>43481</v>
          </cell>
          <cell r="G878" t="str">
            <v>OK</v>
          </cell>
        </row>
        <row r="879">
          <cell r="A879" t="str">
            <v>Y1901-0181</v>
          </cell>
          <cell r="B879">
            <v>201810</v>
          </cell>
          <cell r="C879" t="str">
            <v>0100175002</v>
          </cell>
          <cell r="D879" t="str">
            <v>W9166</v>
          </cell>
          <cell r="E879">
            <v>2400</v>
          </cell>
          <cell r="F879">
            <v>43476</v>
          </cell>
          <cell r="G879" t="str">
            <v>OK</v>
          </cell>
        </row>
        <row r="880">
          <cell r="A880" t="str">
            <v>Y1901-0182</v>
          </cell>
          <cell r="B880">
            <v>201810</v>
          </cell>
          <cell r="C880" t="str">
            <v>0100175003</v>
          </cell>
          <cell r="D880" t="str">
            <v>M7652C</v>
          </cell>
          <cell r="E880">
            <v>900</v>
          </cell>
          <cell r="F880">
            <v>43476</v>
          </cell>
          <cell r="G880" t="str">
            <v>OK</v>
          </cell>
        </row>
        <row r="881">
          <cell r="A881" t="str">
            <v>Y1901-0183</v>
          </cell>
          <cell r="B881">
            <v>201810</v>
          </cell>
          <cell r="C881" t="str">
            <v>0100175004</v>
          </cell>
          <cell r="D881" t="str">
            <v>M7652C</v>
          </cell>
          <cell r="E881">
            <v>1200</v>
          </cell>
          <cell r="F881">
            <v>43476</v>
          </cell>
          <cell r="G881" t="str">
            <v>OK</v>
          </cell>
        </row>
        <row r="882">
          <cell r="A882" t="str">
            <v>Y1901-0184</v>
          </cell>
          <cell r="B882">
            <v>201810</v>
          </cell>
          <cell r="C882" t="str">
            <v>0100175005</v>
          </cell>
          <cell r="D882" t="str">
            <v>M7652C</v>
          </cell>
          <cell r="E882">
            <v>1200</v>
          </cell>
          <cell r="F882">
            <v>43476</v>
          </cell>
          <cell r="G882" t="str">
            <v>OK</v>
          </cell>
        </row>
        <row r="883">
          <cell r="A883" t="str">
            <v>Y1901-0185</v>
          </cell>
          <cell r="B883">
            <v>201810</v>
          </cell>
          <cell r="C883" t="str">
            <v>0100175006</v>
          </cell>
          <cell r="D883" t="str">
            <v>3J256C</v>
          </cell>
          <cell r="E883">
            <v>252</v>
          </cell>
          <cell r="F883">
            <v>43475</v>
          </cell>
          <cell r="G883" t="str">
            <v>OK</v>
          </cell>
        </row>
        <row r="884">
          <cell r="A884" t="str">
            <v>Y1901-0186</v>
          </cell>
          <cell r="B884">
            <v>201810</v>
          </cell>
          <cell r="C884" t="str">
            <v>0100175007</v>
          </cell>
          <cell r="D884" t="str">
            <v>M7652C</v>
          </cell>
          <cell r="E884">
            <v>1236</v>
          </cell>
          <cell r="F884">
            <v>43475</v>
          </cell>
          <cell r="G884" t="str">
            <v>OK</v>
          </cell>
        </row>
        <row r="885">
          <cell r="A885" t="str">
            <v>Y1901-0187</v>
          </cell>
          <cell r="B885">
            <v>201810</v>
          </cell>
          <cell r="C885" t="str">
            <v>0100175008</v>
          </cell>
          <cell r="D885" t="str">
            <v>M9621C</v>
          </cell>
          <cell r="E885">
            <v>528</v>
          </cell>
          <cell r="F885">
            <v>43475</v>
          </cell>
          <cell r="G885" t="str">
            <v>OK</v>
          </cell>
        </row>
        <row r="886">
          <cell r="A886" t="str">
            <v>Y1901-0188</v>
          </cell>
          <cell r="B886">
            <v>201810</v>
          </cell>
          <cell r="C886" t="str">
            <v>0100175009</v>
          </cell>
          <cell r="D886" t="str">
            <v>M9697C</v>
          </cell>
          <cell r="E886">
            <v>396</v>
          </cell>
          <cell r="F886">
            <v>43475</v>
          </cell>
          <cell r="G886" t="str">
            <v>OK</v>
          </cell>
        </row>
        <row r="887">
          <cell r="A887" t="str">
            <v>Y1902-0031</v>
          </cell>
          <cell r="B887">
            <v>201810</v>
          </cell>
          <cell r="C887" t="str">
            <v>0100175015</v>
          </cell>
          <cell r="D887" t="str">
            <v>M8437C</v>
          </cell>
          <cell r="E887">
            <v>4956</v>
          </cell>
          <cell r="F887">
            <v>43487</v>
          </cell>
          <cell r="G887" t="str">
            <v>OK</v>
          </cell>
        </row>
        <row r="888">
          <cell r="A888" t="str">
            <v>Y1902-0034</v>
          </cell>
          <cell r="B888">
            <v>201810</v>
          </cell>
          <cell r="C888" t="str">
            <v>0100175019</v>
          </cell>
          <cell r="D888" t="str">
            <v>158369C</v>
          </cell>
          <cell r="E888">
            <v>7596</v>
          </cell>
          <cell r="F888">
            <v>43486</v>
          </cell>
          <cell r="G888" t="str">
            <v>OK</v>
          </cell>
        </row>
        <row r="889">
          <cell r="A889" t="str">
            <v>Y1902-0035</v>
          </cell>
          <cell r="B889">
            <v>201810</v>
          </cell>
          <cell r="C889" t="str">
            <v>0100175020</v>
          </cell>
          <cell r="D889" t="str">
            <v>761307C</v>
          </cell>
          <cell r="E889">
            <v>5700</v>
          </cell>
          <cell r="F889">
            <v>43486</v>
          </cell>
          <cell r="G889" t="str">
            <v>OK</v>
          </cell>
        </row>
        <row r="890">
          <cell r="A890" t="str">
            <v>Y1902-0036</v>
          </cell>
          <cell r="B890">
            <v>201810</v>
          </cell>
          <cell r="C890" t="str">
            <v>0100175021</v>
          </cell>
          <cell r="D890" t="str">
            <v>761308C</v>
          </cell>
          <cell r="E890">
            <v>5076</v>
          </cell>
          <cell r="F890">
            <v>43486</v>
          </cell>
          <cell r="G890" t="str">
            <v>OK</v>
          </cell>
        </row>
        <row r="891">
          <cell r="A891" t="str">
            <v>Y1902-0040</v>
          </cell>
          <cell r="B891">
            <v>201810</v>
          </cell>
          <cell r="C891" t="str">
            <v>0100175027</v>
          </cell>
          <cell r="D891">
            <v>88875</v>
          </cell>
          <cell r="E891">
            <v>540</v>
          </cell>
          <cell r="F891">
            <v>43486</v>
          </cell>
          <cell r="G891" t="str">
            <v>OK</v>
          </cell>
        </row>
        <row r="892">
          <cell r="A892" t="str">
            <v>Y1902-0041</v>
          </cell>
          <cell r="B892">
            <v>201810</v>
          </cell>
          <cell r="C892" t="str">
            <v>0100175028</v>
          </cell>
          <cell r="D892">
            <v>88877</v>
          </cell>
          <cell r="E892">
            <v>384</v>
          </cell>
          <cell r="F892">
            <v>43486</v>
          </cell>
          <cell r="G892" t="str">
            <v>OK</v>
          </cell>
        </row>
        <row r="893">
          <cell r="A893" t="str">
            <v>Y1902-0042</v>
          </cell>
          <cell r="B893">
            <v>201810</v>
          </cell>
          <cell r="C893" t="str">
            <v>0100175029</v>
          </cell>
          <cell r="D893" t="str">
            <v>8J231</v>
          </cell>
          <cell r="E893">
            <v>672</v>
          </cell>
          <cell r="F893">
            <v>43486</v>
          </cell>
          <cell r="G893" t="str">
            <v>OK</v>
          </cell>
        </row>
        <row r="894">
          <cell r="A894" t="str">
            <v>Y1902-0043</v>
          </cell>
          <cell r="B894">
            <v>201810</v>
          </cell>
          <cell r="C894" t="str">
            <v>0100175030</v>
          </cell>
          <cell r="D894" t="str">
            <v>158371C</v>
          </cell>
          <cell r="E894">
            <v>252</v>
          </cell>
          <cell r="F894">
            <v>43486</v>
          </cell>
          <cell r="G894" t="str">
            <v>OK</v>
          </cell>
        </row>
        <row r="895">
          <cell r="A895" t="str">
            <v>Y1902-0044</v>
          </cell>
          <cell r="B895">
            <v>201810</v>
          </cell>
          <cell r="C895" t="str">
            <v>0100175031</v>
          </cell>
          <cell r="D895" t="str">
            <v>M3494</v>
          </cell>
          <cell r="E895">
            <v>3804</v>
          </cell>
          <cell r="F895">
            <v>43486</v>
          </cell>
          <cell r="G895" t="str">
            <v>OK</v>
          </cell>
        </row>
        <row r="896">
          <cell r="A896" t="str">
            <v>Y1902-0046</v>
          </cell>
          <cell r="B896">
            <v>201810</v>
          </cell>
          <cell r="C896" t="str">
            <v>0100175033</v>
          </cell>
          <cell r="D896" t="str">
            <v>560659C</v>
          </cell>
          <cell r="E896">
            <v>9348</v>
          </cell>
          <cell r="F896">
            <v>43486</v>
          </cell>
          <cell r="G896" t="str">
            <v>OK</v>
          </cell>
        </row>
        <row r="897">
          <cell r="A897" t="str">
            <v>Y1902-0047</v>
          </cell>
          <cell r="B897">
            <v>201810</v>
          </cell>
          <cell r="C897" t="str">
            <v>0100175034</v>
          </cell>
          <cell r="D897" t="str">
            <v>764172C</v>
          </cell>
          <cell r="E897">
            <v>612</v>
          </cell>
          <cell r="F897">
            <v>43492</v>
          </cell>
          <cell r="G897" t="str">
            <v>OK</v>
          </cell>
        </row>
        <row r="898">
          <cell r="A898" t="str">
            <v>Y1902-0048</v>
          </cell>
          <cell r="B898">
            <v>201810</v>
          </cell>
          <cell r="C898" t="str">
            <v>0100175035</v>
          </cell>
          <cell r="D898" t="str">
            <v>764173C</v>
          </cell>
          <cell r="E898">
            <v>2172</v>
          </cell>
          <cell r="F898">
            <v>43492</v>
          </cell>
          <cell r="G898" t="str">
            <v>OK</v>
          </cell>
        </row>
        <row r="899">
          <cell r="A899" t="str">
            <v>Y1902-0049</v>
          </cell>
          <cell r="B899">
            <v>201810</v>
          </cell>
          <cell r="C899" t="str">
            <v>0100175036</v>
          </cell>
          <cell r="D899" t="str">
            <v>764174C</v>
          </cell>
          <cell r="E899">
            <v>1584</v>
          </cell>
          <cell r="F899">
            <v>43492</v>
          </cell>
          <cell r="G899" t="str">
            <v>OK</v>
          </cell>
        </row>
        <row r="900">
          <cell r="A900" t="str">
            <v>Y1902-0050</v>
          </cell>
          <cell r="B900">
            <v>201810</v>
          </cell>
          <cell r="C900" t="str">
            <v>0100175037</v>
          </cell>
          <cell r="D900" t="str">
            <v>764238C</v>
          </cell>
          <cell r="E900">
            <v>792</v>
          </cell>
          <cell r="F900">
            <v>43486</v>
          </cell>
          <cell r="G900" t="str">
            <v>OK</v>
          </cell>
        </row>
        <row r="901">
          <cell r="A901" t="str">
            <v>Y1902-0051</v>
          </cell>
          <cell r="B901">
            <v>201810</v>
          </cell>
          <cell r="C901" t="str">
            <v>0100175038</v>
          </cell>
          <cell r="D901" t="str">
            <v>161577C</v>
          </cell>
          <cell r="E901">
            <v>168</v>
          </cell>
          <cell r="F901">
            <v>43486</v>
          </cell>
          <cell r="G901" t="str">
            <v>OK</v>
          </cell>
        </row>
        <row r="902">
          <cell r="A902" t="str">
            <v>Y1902-0053</v>
          </cell>
          <cell r="B902">
            <v>201810</v>
          </cell>
          <cell r="C902" t="str">
            <v>0100175040</v>
          </cell>
          <cell r="D902" t="str">
            <v>361307C</v>
          </cell>
          <cell r="E902">
            <v>5868</v>
          </cell>
          <cell r="F902">
            <v>43486</v>
          </cell>
          <cell r="G902" t="str">
            <v>OK</v>
          </cell>
        </row>
        <row r="903">
          <cell r="A903" t="str">
            <v>Y1902-0054</v>
          </cell>
          <cell r="B903">
            <v>201810</v>
          </cell>
          <cell r="C903" t="str">
            <v>0100175041</v>
          </cell>
          <cell r="D903" t="str">
            <v>161608C</v>
          </cell>
          <cell r="E903">
            <v>3420</v>
          </cell>
          <cell r="F903">
            <v>43486</v>
          </cell>
          <cell r="G903" t="str">
            <v>OK</v>
          </cell>
        </row>
        <row r="904">
          <cell r="A904" t="str">
            <v>Y1902-0055</v>
          </cell>
          <cell r="B904">
            <v>201810</v>
          </cell>
          <cell r="C904" t="str">
            <v>0100175042</v>
          </cell>
          <cell r="D904" t="str">
            <v>361308C</v>
          </cell>
          <cell r="E904">
            <v>6012</v>
          </cell>
          <cell r="F904">
            <v>43486</v>
          </cell>
          <cell r="G904" t="str">
            <v>OK</v>
          </cell>
        </row>
        <row r="905">
          <cell r="A905" t="str">
            <v>Y1902-0057</v>
          </cell>
          <cell r="B905">
            <v>201810</v>
          </cell>
          <cell r="C905" t="str">
            <v>0100175044</v>
          </cell>
          <cell r="D905" t="str">
            <v>364170C</v>
          </cell>
          <cell r="E905">
            <v>1272</v>
          </cell>
          <cell r="F905">
            <v>43492</v>
          </cell>
          <cell r="G905" t="str">
            <v>OK</v>
          </cell>
        </row>
        <row r="906">
          <cell r="A906" t="str">
            <v>Y1902-0058</v>
          </cell>
          <cell r="B906">
            <v>201810</v>
          </cell>
          <cell r="C906" t="str">
            <v>0100175045</v>
          </cell>
          <cell r="D906" t="str">
            <v>163269C</v>
          </cell>
          <cell r="E906">
            <v>4140</v>
          </cell>
          <cell r="F906">
            <v>43486</v>
          </cell>
          <cell r="G906" t="str">
            <v>OK</v>
          </cell>
        </row>
        <row r="907">
          <cell r="A907" t="str">
            <v>Y1902-0059</v>
          </cell>
          <cell r="B907">
            <v>201810</v>
          </cell>
          <cell r="C907" t="str">
            <v>0100175046</v>
          </cell>
          <cell r="D907" t="str">
            <v>163376C</v>
          </cell>
          <cell r="E907">
            <v>732</v>
          </cell>
          <cell r="F907">
            <v>43486</v>
          </cell>
          <cell r="G907" t="str">
            <v>OK</v>
          </cell>
        </row>
        <row r="908">
          <cell r="A908" t="str">
            <v>Y1902-0060</v>
          </cell>
          <cell r="B908">
            <v>201810</v>
          </cell>
          <cell r="C908" t="str">
            <v>0100175047</v>
          </cell>
          <cell r="D908" t="str">
            <v>564150C</v>
          </cell>
          <cell r="E908">
            <v>2964</v>
          </cell>
          <cell r="F908">
            <v>43487</v>
          </cell>
          <cell r="G908" t="str">
            <v>OK</v>
          </cell>
        </row>
        <row r="909">
          <cell r="A909" t="str">
            <v>Y1902-0062</v>
          </cell>
          <cell r="B909">
            <v>201810</v>
          </cell>
          <cell r="C909" t="str">
            <v>0100175049</v>
          </cell>
          <cell r="D909" t="str">
            <v>564152C</v>
          </cell>
          <cell r="E909">
            <v>5196</v>
          </cell>
          <cell r="F909">
            <v>43487</v>
          </cell>
          <cell r="G909" t="str">
            <v>OK</v>
          </cell>
        </row>
        <row r="910">
          <cell r="A910" t="str">
            <v>Y1902-0063</v>
          </cell>
          <cell r="B910">
            <v>201810</v>
          </cell>
          <cell r="C910" t="str">
            <v>0100175050</v>
          </cell>
          <cell r="D910" t="str">
            <v>564153C</v>
          </cell>
          <cell r="E910">
            <v>2592</v>
          </cell>
          <cell r="F910">
            <v>43487</v>
          </cell>
          <cell r="G910" t="str">
            <v>OK</v>
          </cell>
        </row>
        <row r="911">
          <cell r="A911" t="str">
            <v>Y1902-0065</v>
          </cell>
          <cell r="B911">
            <v>201810</v>
          </cell>
          <cell r="C911" t="str">
            <v>0100175056</v>
          </cell>
          <cell r="D911" t="str">
            <v>564608C</v>
          </cell>
          <cell r="E911">
            <v>4680</v>
          </cell>
          <cell r="F911">
            <v>43486</v>
          </cell>
          <cell r="G911" t="str">
            <v>OK</v>
          </cell>
        </row>
        <row r="912">
          <cell r="A912" t="str">
            <v>Y1902-0066</v>
          </cell>
          <cell r="B912">
            <v>201810</v>
          </cell>
          <cell r="C912" t="str">
            <v>0100175057</v>
          </cell>
          <cell r="D912" t="str">
            <v>564609C</v>
          </cell>
          <cell r="E912">
            <v>3396</v>
          </cell>
          <cell r="F912">
            <v>43486</v>
          </cell>
          <cell r="G912" t="str">
            <v>OK</v>
          </cell>
        </row>
        <row r="913">
          <cell r="A913" t="str">
            <v>Y1902-0067</v>
          </cell>
          <cell r="B913">
            <v>201810</v>
          </cell>
          <cell r="C913" t="str">
            <v>0100175058</v>
          </cell>
          <cell r="D913" t="str">
            <v>163377C</v>
          </cell>
          <cell r="E913">
            <v>528</v>
          </cell>
          <cell r="F913">
            <v>43486</v>
          </cell>
          <cell r="G913" t="str">
            <v>OK</v>
          </cell>
        </row>
        <row r="914">
          <cell r="A914" t="str">
            <v>Y1902-0068</v>
          </cell>
          <cell r="B914">
            <v>201810</v>
          </cell>
          <cell r="C914" t="str">
            <v>0100175059</v>
          </cell>
          <cell r="D914" t="str">
            <v>164060C</v>
          </cell>
          <cell r="E914">
            <v>360</v>
          </cell>
          <cell r="F914">
            <v>43486</v>
          </cell>
          <cell r="G914" t="str">
            <v>OK</v>
          </cell>
        </row>
        <row r="915">
          <cell r="A915" t="str">
            <v>Y1902-0069</v>
          </cell>
          <cell r="B915">
            <v>201810</v>
          </cell>
          <cell r="C915" t="str">
            <v>0100175060</v>
          </cell>
          <cell r="D915" t="str">
            <v>164101C</v>
          </cell>
          <cell r="E915">
            <v>828</v>
          </cell>
          <cell r="F915">
            <v>43496</v>
          </cell>
          <cell r="G915" t="str">
            <v>OK</v>
          </cell>
        </row>
        <row r="916">
          <cell r="A916" t="str">
            <v>Y1902-0070</v>
          </cell>
          <cell r="B916">
            <v>201810</v>
          </cell>
          <cell r="C916" t="str">
            <v>0100175061</v>
          </cell>
          <cell r="D916" t="str">
            <v>164103C</v>
          </cell>
          <cell r="E916">
            <v>1248</v>
          </cell>
          <cell r="F916">
            <v>43495</v>
          </cell>
          <cell r="G916" t="str">
            <v>OK</v>
          </cell>
        </row>
        <row r="917">
          <cell r="A917" t="str">
            <v>Y1902-0074</v>
          </cell>
          <cell r="B917">
            <v>201810</v>
          </cell>
          <cell r="C917" t="str">
            <v>0100175065</v>
          </cell>
          <cell r="D917" t="str">
            <v>164358C</v>
          </cell>
          <cell r="E917">
            <v>2064</v>
          </cell>
          <cell r="F917">
            <v>43492</v>
          </cell>
          <cell r="G917" t="str">
            <v>OK</v>
          </cell>
        </row>
        <row r="918">
          <cell r="A918" t="str">
            <v>Y1902-0076</v>
          </cell>
          <cell r="B918">
            <v>201810</v>
          </cell>
          <cell r="C918" t="str">
            <v>0100175067</v>
          </cell>
          <cell r="D918" t="str">
            <v>164360C</v>
          </cell>
          <cell r="E918">
            <v>7980</v>
          </cell>
          <cell r="F918">
            <v>43492</v>
          </cell>
          <cell r="G918" t="str">
            <v>OK</v>
          </cell>
        </row>
        <row r="919">
          <cell r="A919" t="str">
            <v>Y1902-0077</v>
          </cell>
          <cell r="B919">
            <v>201810</v>
          </cell>
          <cell r="C919" t="str">
            <v>0100175068</v>
          </cell>
          <cell r="D919" t="str">
            <v>164361C</v>
          </cell>
          <cell r="E919">
            <v>10224</v>
          </cell>
          <cell r="F919">
            <v>43492</v>
          </cell>
          <cell r="G919" t="str">
            <v>OK</v>
          </cell>
        </row>
        <row r="920">
          <cell r="A920" t="str">
            <v>Y1902-0078</v>
          </cell>
          <cell r="B920">
            <v>201810</v>
          </cell>
          <cell r="C920" t="str">
            <v>0100175069</v>
          </cell>
          <cell r="D920" t="str">
            <v>164362C</v>
          </cell>
          <cell r="E920">
            <v>2892</v>
          </cell>
          <cell r="F920">
            <v>43492</v>
          </cell>
          <cell r="G920" t="str">
            <v>OK</v>
          </cell>
        </row>
        <row r="921">
          <cell r="A921" t="str">
            <v>Y1902-0079</v>
          </cell>
          <cell r="B921">
            <v>201810</v>
          </cell>
          <cell r="C921" t="str">
            <v>0100175070</v>
          </cell>
          <cell r="D921" t="str">
            <v>164390C</v>
          </cell>
          <cell r="E921">
            <v>3144</v>
          </cell>
          <cell r="F921">
            <v>43486</v>
          </cell>
          <cell r="G921" t="str">
            <v>OK</v>
          </cell>
        </row>
        <row r="922">
          <cell r="A922" t="str">
            <v>Y1902-0080</v>
          </cell>
          <cell r="B922">
            <v>201810</v>
          </cell>
          <cell r="C922" t="str">
            <v>0100175071</v>
          </cell>
          <cell r="D922" t="str">
            <v>164391C</v>
          </cell>
          <cell r="E922">
            <v>4140</v>
          </cell>
          <cell r="F922">
            <v>43486</v>
          </cell>
          <cell r="G922" t="str">
            <v>OK</v>
          </cell>
        </row>
        <row r="923">
          <cell r="A923" t="str">
            <v>Y1902-0081</v>
          </cell>
          <cell r="B923">
            <v>201810</v>
          </cell>
          <cell r="C923" t="str">
            <v>0100175072</v>
          </cell>
          <cell r="D923" t="str">
            <v>164392C</v>
          </cell>
          <cell r="E923">
            <v>2328</v>
          </cell>
          <cell r="F923">
            <v>43495</v>
          </cell>
          <cell r="G923" t="str">
            <v>OK</v>
          </cell>
        </row>
        <row r="924">
          <cell r="A924" t="str">
            <v>Y1902-0082</v>
          </cell>
          <cell r="B924">
            <v>201810</v>
          </cell>
          <cell r="C924" t="str">
            <v>0100175073</v>
          </cell>
          <cell r="D924" t="str">
            <v>164393C</v>
          </cell>
          <cell r="E924">
            <v>2268</v>
          </cell>
          <cell r="F924">
            <v>43486</v>
          </cell>
          <cell r="G924" t="str">
            <v>OK</v>
          </cell>
        </row>
        <row r="925">
          <cell r="A925" t="str">
            <v>Y1902-0083</v>
          </cell>
          <cell r="B925">
            <v>201810</v>
          </cell>
          <cell r="C925" t="str">
            <v>0100175074</v>
          </cell>
          <cell r="D925" t="str">
            <v>164525C</v>
          </cell>
          <cell r="E925">
            <v>6852</v>
          </cell>
          <cell r="F925">
            <v>43486</v>
          </cell>
          <cell r="G925" t="str">
            <v>OK</v>
          </cell>
        </row>
        <row r="926">
          <cell r="A926" t="str">
            <v>Y1902-0084</v>
          </cell>
          <cell r="B926">
            <v>201810</v>
          </cell>
          <cell r="C926" t="str">
            <v>0100175075</v>
          </cell>
          <cell r="D926" t="str">
            <v>162066C</v>
          </cell>
          <cell r="E926">
            <v>4464</v>
          </cell>
          <cell r="F926">
            <v>43486</v>
          </cell>
          <cell r="G926" t="str">
            <v>OK</v>
          </cell>
        </row>
        <row r="927">
          <cell r="A927" t="str">
            <v>Y1902-0085</v>
          </cell>
          <cell r="B927">
            <v>201810</v>
          </cell>
          <cell r="C927" t="str">
            <v>0100175076</v>
          </cell>
          <cell r="D927" t="str">
            <v>162068C</v>
          </cell>
          <cell r="E927">
            <v>2952</v>
          </cell>
          <cell r="F927">
            <v>43486</v>
          </cell>
          <cell r="G927" t="str">
            <v>OK</v>
          </cell>
        </row>
        <row r="928">
          <cell r="A928" t="str">
            <v>Y1902-0086</v>
          </cell>
          <cell r="B928">
            <v>201810</v>
          </cell>
          <cell r="C928" t="str">
            <v>0100175077</v>
          </cell>
          <cell r="D928" t="str">
            <v>162069C</v>
          </cell>
          <cell r="E928">
            <v>2796</v>
          </cell>
          <cell r="F928">
            <v>43486</v>
          </cell>
          <cell r="G928" t="str">
            <v>OK</v>
          </cell>
        </row>
        <row r="929">
          <cell r="A929" t="str">
            <v>Y1902-0089</v>
          </cell>
          <cell r="B929">
            <v>201810</v>
          </cell>
          <cell r="C929" t="str">
            <v>0100175081</v>
          </cell>
          <cell r="D929" t="str">
            <v>565548C</v>
          </cell>
          <cell r="E929">
            <v>372</v>
          </cell>
          <cell r="F929">
            <v>43481</v>
          </cell>
          <cell r="G929" t="str">
            <v>OK</v>
          </cell>
        </row>
        <row r="930">
          <cell r="A930" t="str">
            <v>Y1901-0189</v>
          </cell>
          <cell r="B930">
            <v>201810</v>
          </cell>
          <cell r="C930" t="str">
            <v>0100175082</v>
          </cell>
          <cell r="D930" t="str">
            <v>159484C</v>
          </cell>
          <cell r="E930">
            <v>1080</v>
          </cell>
          <cell r="F930">
            <v>43492</v>
          </cell>
          <cell r="G930" t="str">
            <v>OK</v>
          </cell>
        </row>
        <row r="931">
          <cell r="A931" t="str">
            <v>Y1901-0190</v>
          </cell>
          <cell r="B931">
            <v>201810</v>
          </cell>
          <cell r="C931" t="str">
            <v>0100175083</v>
          </cell>
          <cell r="D931" t="str">
            <v>164058C</v>
          </cell>
          <cell r="E931">
            <v>1296</v>
          </cell>
          <cell r="F931">
            <v>43492</v>
          </cell>
          <cell r="G931" t="str">
            <v>OK</v>
          </cell>
        </row>
        <row r="932">
          <cell r="A932" t="str">
            <v>Y1901-0191</v>
          </cell>
          <cell r="B932">
            <v>201810</v>
          </cell>
          <cell r="C932" t="str">
            <v>0100175084</v>
          </cell>
          <cell r="D932" t="str">
            <v>M7650C</v>
          </cell>
          <cell r="E932">
            <v>1644</v>
          </cell>
          <cell r="F932">
            <v>43492</v>
          </cell>
          <cell r="G932" t="str">
            <v>OK</v>
          </cell>
        </row>
        <row r="933">
          <cell r="A933" t="str">
            <v>Y1901-0192</v>
          </cell>
          <cell r="B933">
            <v>201810</v>
          </cell>
          <cell r="C933" t="str">
            <v>0100175085</v>
          </cell>
          <cell r="D933" t="str">
            <v>155064C</v>
          </cell>
          <cell r="E933">
            <v>192</v>
          </cell>
          <cell r="F933">
            <v>43492</v>
          </cell>
          <cell r="G933" t="str">
            <v>OK</v>
          </cell>
        </row>
        <row r="934">
          <cell r="A934" t="str">
            <v>Y1901-0193</v>
          </cell>
          <cell r="B934">
            <v>201810</v>
          </cell>
          <cell r="C934" t="str">
            <v>0100175086</v>
          </cell>
          <cell r="D934" t="str">
            <v>164217C</v>
          </cell>
          <cell r="E934">
            <v>120</v>
          </cell>
          <cell r="F934">
            <v>43492</v>
          </cell>
          <cell r="G934" t="str">
            <v>OK</v>
          </cell>
        </row>
        <row r="935">
          <cell r="A935" t="str">
            <v>Y1901-0194</v>
          </cell>
          <cell r="B935">
            <v>201810</v>
          </cell>
          <cell r="C935" t="str">
            <v>0100175087</v>
          </cell>
          <cell r="D935" t="str">
            <v>M7652C</v>
          </cell>
          <cell r="E935">
            <v>1128</v>
          </cell>
          <cell r="F935">
            <v>43492</v>
          </cell>
          <cell r="G935" t="str">
            <v>OK</v>
          </cell>
        </row>
        <row r="936">
          <cell r="A936" t="str">
            <v>Y1901-0195</v>
          </cell>
          <cell r="B936">
            <v>201810</v>
          </cell>
          <cell r="C936" t="str">
            <v>0100175088</v>
          </cell>
          <cell r="D936" t="str">
            <v>1J794C</v>
          </cell>
          <cell r="E936">
            <v>636</v>
          </cell>
          <cell r="F936">
            <v>43492</v>
          </cell>
          <cell r="G936" t="str">
            <v>OK</v>
          </cell>
        </row>
        <row r="937">
          <cell r="A937" t="str">
            <v>Y1901-0196</v>
          </cell>
          <cell r="B937">
            <v>201810</v>
          </cell>
          <cell r="C937" t="str">
            <v>0100175089</v>
          </cell>
          <cell r="D937" t="str">
            <v>364169C</v>
          </cell>
          <cell r="E937">
            <v>180</v>
          </cell>
          <cell r="F937">
            <v>43492</v>
          </cell>
          <cell r="G937" t="str">
            <v>OK</v>
          </cell>
        </row>
        <row r="938">
          <cell r="A938" t="str">
            <v>Y1901-0197</v>
          </cell>
          <cell r="B938">
            <v>201810</v>
          </cell>
          <cell r="C938" t="str">
            <v>0100175090</v>
          </cell>
          <cell r="D938" t="str">
            <v>164280C</v>
          </cell>
          <cell r="E938">
            <v>192</v>
          </cell>
          <cell r="F938">
            <v>43492</v>
          </cell>
          <cell r="G938" t="str">
            <v>OK</v>
          </cell>
        </row>
        <row r="939">
          <cell r="A939" t="str">
            <v>Y1901-0198</v>
          </cell>
          <cell r="B939">
            <v>201810</v>
          </cell>
          <cell r="C939" t="str">
            <v>0100175091</v>
          </cell>
          <cell r="D939" t="str">
            <v>164058C</v>
          </cell>
          <cell r="E939">
            <v>336</v>
          </cell>
          <cell r="F939">
            <v>43492</v>
          </cell>
          <cell r="G939" t="str">
            <v>OK</v>
          </cell>
        </row>
        <row r="940">
          <cell r="A940" t="str">
            <v>Y1901-0199</v>
          </cell>
          <cell r="B940">
            <v>201810</v>
          </cell>
          <cell r="C940" t="str">
            <v>0100175092</v>
          </cell>
          <cell r="D940">
            <v>88871</v>
          </cell>
          <cell r="E940">
            <v>144</v>
          </cell>
          <cell r="F940">
            <v>43492</v>
          </cell>
          <cell r="G940" t="str">
            <v>OK</v>
          </cell>
        </row>
        <row r="941">
          <cell r="A941" t="str">
            <v>Y1901-0200</v>
          </cell>
          <cell r="B941">
            <v>201810</v>
          </cell>
          <cell r="C941" t="str">
            <v>0100175097</v>
          </cell>
          <cell r="D941" t="str">
            <v>565548C</v>
          </cell>
          <cell r="E941">
            <v>21</v>
          </cell>
          <cell r="F941">
            <v>43492</v>
          </cell>
          <cell r="G941" t="str">
            <v>OK</v>
          </cell>
        </row>
        <row r="942">
          <cell r="A942" t="str">
            <v>Y1901-0201</v>
          </cell>
          <cell r="B942">
            <v>201810</v>
          </cell>
          <cell r="C942" t="str">
            <v>0100175098</v>
          </cell>
          <cell r="D942" t="str">
            <v>M7652C</v>
          </cell>
          <cell r="E942">
            <v>14568</v>
          </cell>
          <cell r="F942">
            <v>43488</v>
          </cell>
          <cell r="G942" t="str">
            <v>OK</v>
          </cell>
        </row>
        <row r="943">
          <cell r="A943" t="str">
            <v>Y1901-0202</v>
          </cell>
          <cell r="B943">
            <v>201810</v>
          </cell>
          <cell r="C943" t="str">
            <v>0100175100</v>
          </cell>
          <cell r="D943" t="str">
            <v>3J253C</v>
          </cell>
          <cell r="E943">
            <v>4044</v>
          </cell>
          <cell r="F943">
            <v>43488</v>
          </cell>
          <cell r="G943" t="str">
            <v>OK</v>
          </cell>
        </row>
        <row r="944">
          <cell r="A944" t="str">
            <v>Y1901-0203</v>
          </cell>
          <cell r="B944">
            <v>201810</v>
          </cell>
          <cell r="C944" t="str">
            <v>0100175102</v>
          </cell>
          <cell r="D944" t="str">
            <v>3J256C</v>
          </cell>
          <cell r="E944">
            <v>480</v>
          </cell>
          <cell r="F944">
            <v>43468</v>
          </cell>
          <cell r="G944" t="str">
            <v>OK</v>
          </cell>
        </row>
        <row r="945">
          <cell r="A945" t="str">
            <v>Y1901-0204</v>
          </cell>
          <cell r="B945">
            <v>201810</v>
          </cell>
          <cell r="C945" t="str">
            <v>0100175103</v>
          </cell>
          <cell r="D945" t="str">
            <v>3J256C</v>
          </cell>
          <cell r="E945">
            <v>9492</v>
          </cell>
          <cell r="F945">
            <v>43488</v>
          </cell>
          <cell r="G945" t="str">
            <v>OK</v>
          </cell>
        </row>
        <row r="946">
          <cell r="A946" t="str">
            <v>Y1901-0205</v>
          </cell>
          <cell r="B946">
            <v>201810</v>
          </cell>
          <cell r="C946" t="str">
            <v>0100175105</v>
          </cell>
          <cell r="D946" t="str">
            <v>M7650C</v>
          </cell>
          <cell r="E946">
            <v>19836</v>
          </cell>
          <cell r="F946">
            <v>43488</v>
          </cell>
          <cell r="G946" t="str">
            <v>OK</v>
          </cell>
        </row>
        <row r="947">
          <cell r="A947" t="str">
            <v>Y1901-0206</v>
          </cell>
          <cell r="B947">
            <v>201810</v>
          </cell>
          <cell r="C947" t="str">
            <v>0100175108</v>
          </cell>
          <cell r="D947" t="str">
            <v>M8437C</v>
          </cell>
          <cell r="E947">
            <v>1848</v>
          </cell>
          <cell r="F947">
            <v>43489</v>
          </cell>
          <cell r="G947" t="str">
            <v>OK</v>
          </cell>
        </row>
        <row r="948">
          <cell r="A948" t="str">
            <v>Y1901-0207</v>
          </cell>
          <cell r="B948">
            <v>201810</v>
          </cell>
          <cell r="C948" t="str">
            <v>0100175109</v>
          </cell>
          <cell r="D948" t="str">
            <v>M9697C</v>
          </cell>
          <cell r="E948">
            <v>3114</v>
          </cell>
          <cell r="F948">
            <v>43468</v>
          </cell>
          <cell r="G948" t="str">
            <v>OK</v>
          </cell>
        </row>
        <row r="949">
          <cell r="A949" t="str">
            <v>Y1901-0208</v>
          </cell>
          <cell r="B949">
            <v>201810</v>
          </cell>
          <cell r="C949" t="str">
            <v>0100175111</v>
          </cell>
          <cell r="D949" t="str">
            <v>155064C</v>
          </cell>
          <cell r="E949">
            <v>1128</v>
          </cell>
          <cell r="F949">
            <v>43488</v>
          </cell>
          <cell r="G949" t="str">
            <v>OK</v>
          </cell>
        </row>
        <row r="950">
          <cell r="A950" t="str">
            <v>Y1901-0209</v>
          </cell>
          <cell r="B950">
            <v>201810</v>
          </cell>
          <cell r="C950" t="str">
            <v>0100175113</v>
          </cell>
          <cell r="D950" t="str">
            <v>155066C</v>
          </cell>
          <cell r="E950">
            <v>1128</v>
          </cell>
          <cell r="F950">
            <v>43488</v>
          </cell>
          <cell r="G950" t="str">
            <v>OK</v>
          </cell>
        </row>
        <row r="951">
          <cell r="A951" t="str">
            <v>Y1901-0210</v>
          </cell>
          <cell r="B951">
            <v>201810</v>
          </cell>
          <cell r="C951" t="str">
            <v>0100175114</v>
          </cell>
          <cell r="D951" t="str">
            <v>162884C</v>
          </cell>
          <cell r="E951">
            <v>168</v>
          </cell>
          <cell r="F951">
            <v>43488</v>
          </cell>
          <cell r="G951" t="str">
            <v>OK</v>
          </cell>
        </row>
        <row r="952">
          <cell r="A952" t="str">
            <v>Y1901-0211</v>
          </cell>
          <cell r="B952">
            <v>201810</v>
          </cell>
          <cell r="C952" t="str">
            <v>0100175115</v>
          </cell>
          <cell r="D952" t="str">
            <v>144148C</v>
          </cell>
          <cell r="E952">
            <v>924</v>
          </cell>
          <cell r="F952">
            <v>43488</v>
          </cell>
          <cell r="G952" t="str">
            <v>OK</v>
          </cell>
        </row>
        <row r="953">
          <cell r="A953" t="str">
            <v>Y1901-0212</v>
          </cell>
          <cell r="B953">
            <v>201810</v>
          </cell>
          <cell r="C953" t="str">
            <v>0100175116</v>
          </cell>
          <cell r="D953" t="str">
            <v>144150C</v>
          </cell>
          <cell r="E953">
            <v>5124</v>
          </cell>
          <cell r="F953">
            <v>43495</v>
          </cell>
          <cell r="G953" t="str">
            <v>OK</v>
          </cell>
        </row>
        <row r="954">
          <cell r="A954" t="str">
            <v>Y1902-0097</v>
          </cell>
          <cell r="B954">
            <v>201810</v>
          </cell>
          <cell r="C954" t="str">
            <v>0100175117</v>
          </cell>
          <cell r="D954" t="str">
            <v>162950C</v>
          </cell>
          <cell r="E954">
            <v>1812</v>
          </cell>
          <cell r="F954">
            <v>43496</v>
          </cell>
          <cell r="G954" t="str">
            <v>OK</v>
          </cell>
        </row>
        <row r="955">
          <cell r="A955" t="str">
            <v>Y1901-0213</v>
          </cell>
          <cell r="B955">
            <v>201810</v>
          </cell>
          <cell r="C955" t="str">
            <v>0100175118</v>
          </cell>
          <cell r="D955" t="str">
            <v>1J794C</v>
          </cell>
          <cell r="E955">
            <v>4008</v>
          </cell>
          <cell r="F955">
            <v>43488</v>
          </cell>
          <cell r="G955" t="str">
            <v>OK</v>
          </cell>
        </row>
        <row r="956">
          <cell r="A956" t="str">
            <v>Y1901-0214</v>
          </cell>
          <cell r="B956">
            <v>201810</v>
          </cell>
          <cell r="C956" t="str">
            <v>0100175120</v>
          </cell>
          <cell r="D956" t="str">
            <v>663599C</v>
          </cell>
          <cell r="E956">
            <v>1800</v>
          </cell>
          <cell r="F956">
            <v>43488</v>
          </cell>
          <cell r="G956" t="str">
            <v>OK</v>
          </cell>
        </row>
        <row r="957">
          <cell r="A957" t="str">
            <v>Y1901-0215</v>
          </cell>
          <cell r="B957">
            <v>201810</v>
          </cell>
          <cell r="C957" t="str">
            <v>0100175121</v>
          </cell>
          <cell r="D957" t="str">
            <v>144151C</v>
          </cell>
          <cell r="E957">
            <v>2976</v>
          </cell>
          <cell r="F957">
            <v>43488</v>
          </cell>
          <cell r="G957" t="str">
            <v>OK</v>
          </cell>
        </row>
        <row r="958">
          <cell r="A958" t="str">
            <v>Y1901-0216</v>
          </cell>
          <cell r="B958">
            <v>201810</v>
          </cell>
          <cell r="C958" t="str">
            <v>0100175124</v>
          </cell>
          <cell r="D958" t="str">
            <v>651827C</v>
          </cell>
          <cell r="E958">
            <v>3684</v>
          </cell>
          <cell r="F958">
            <v>43488</v>
          </cell>
          <cell r="G958" t="str">
            <v>OK</v>
          </cell>
        </row>
        <row r="959">
          <cell r="A959" t="str">
            <v>Y1901-0217</v>
          </cell>
          <cell r="B959">
            <v>201810</v>
          </cell>
          <cell r="C959" t="str">
            <v>0100175125</v>
          </cell>
          <cell r="D959" t="str">
            <v>161577C</v>
          </cell>
          <cell r="E959">
            <v>360</v>
          </cell>
          <cell r="F959">
            <v>43488</v>
          </cell>
          <cell r="G959" t="str">
            <v>OK</v>
          </cell>
        </row>
        <row r="960">
          <cell r="A960" t="str">
            <v>Y1902-0103</v>
          </cell>
          <cell r="B960">
            <v>201810</v>
          </cell>
          <cell r="C960" t="str">
            <v>0100175128</v>
          </cell>
          <cell r="D960" t="str">
            <v>364170C</v>
          </cell>
          <cell r="E960">
            <v>384</v>
          </cell>
          <cell r="F960">
            <v>43492</v>
          </cell>
          <cell r="G960" t="str">
            <v>OK</v>
          </cell>
        </row>
        <row r="961">
          <cell r="A961" t="str">
            <v>Y1901-0218</v>
          </cell>
          <cell r="B961">
            <v>201810</v>
          </cell>
          <cell r="C961" t="str">
            <v>0100175129</v>
          </cell>
          <cell r="D961" t="str">
            <v>158371C</v>
          </cell>
          <cell r="E961">
            <v>144</v>
          </cell>
          <cell r="F961">
            <v>43488</v>
          </cell>
          <cell r="G961" t="str">
            <v>OK</v>
          </cell>
        </row>
        <row r="962">
          <cell r="A962" t="str">
            <v>Y1901-0219</v>
          </cell>
          <cell r="B962">
            <v>201810</v>
          </cell>
          <cell r="C962" t="str">
            <v>0100175131</v>
          </cell>
          <cell r="D962" t="str">
            <v>161603C</v>
          </cell>
          <cell r="E962">
            <v>348</v>
          </cell>
          <cell r="F962">
            <v>43488</v>
          </cell>
          <cell r="G962" t="str">
            <v>OK</v>
          </cell>
        </row>
        <row r="963">
          <cell r="A963" t="str">
            <v>Y1902-0105</v>
          </cell>
          <cell r="B963">
            <v>201810</v>
          </cell>
          <cell r="C963" t="str">
            <v>0100175132</v>
          </cell>
          <cell r="D963" t="str">
            <v>163269C</v>
          </cell>
          <cell r="E963">
            <v>336</v>
          </cell>
          <cell r="F963">
            <v>43480</v>
          </cell>
          <cell r="G963" t="str">
            <v>OK</v>
          </cell>
        </row>
        <row r="964">
          <cell r="A964" t="str">
            <v>Y1902-0106</v>
          </cell>
          <cell r="B964">
            <v>201810</v>
          </cell>
          <cell r="C964" t="str">
            <v>0100175133</v>
          </cell>
          <cell r="D964" t="str">
            <v>764173C</v>
          </cell>
          <cell r="E964">
            <v>480</v>
          </cell>
          <cell r="F964">
            <v>43492</v>
          </cell>
          <cell r="G964" t="str">
            <v>OK</v>
          </cell>
        </row>
        <row r="965">
          <cell r="A965" t="str">
            <v>Y1902-0107</v>
          </cell>
          <cell r="B965">
            <v>201810</v>
          </cell>
          <cell r="C965" t="str">
            <v>0100175134</v>
          </cell>
          <cell r="D965" t="str">
            <v>764174C</v>
          </cell>
          <cell r="E965">
            <v>336</v>
          </cell>
          <cell r="F965">
            <v>43492</v>
          </cell>
          <cell r="G965" t="str">
            <v>OK</v>
          </cell>
        </row>
        <row r="966">
          <cell r="A966" t="str">
            <v>Y1902-0108</v>
          </cell>
          <cell r="B966">
            <v>201810</v>
          </cell>
          <cell r="C966" t="str">
            <v>0100175135</v>
          </cell>
          <cell r="D966" t="str">
            <v>764236C</v>
          </cell>
          <cell r="E966">
            <v>1812</v>
          </cell>
          <cell r="F966">
            <v>43486</v>
          </cell>
          <cell r="G966" t="str">
            <v>OK</v>
          </cell>
        </row>
        <row r="967">
          <cell r="A967" t="str">
            <v>Y1902-0109</v>
          </cell>
          <cell r="B967">
            <v>201810</v>
          </cell>
          <cell r="C967" t="str">
            <v>0100175136</v>
          </cell>
          <cell r="D967" t="str">
            <v>764237C</v>
          </cell>
          <cell r="E967">
            <v>1800</v>
          </cell>
          <cell r="F967">
            <v>43486</v>
          </cell>
          <cell r="G967" t="str">
            <v>OK</v>
          </cell>
        </row>
        <row r="968">
          <cell r="A968" t="str">
            <v>Y1902-0110</v>
          </cell>
          <cell r="B968">
            <v>201810</v>
          </cell>
          <cell r="C968" t="str">
            <v>0100175137</v>
          </cell>
          <cell r="D968" t="str">
            <v>764238C</v>
          </cell>
          <cell r="E968">
            <v>1812</v>
          </cell>
          <cell r="F968">
            <v>43486</v>
          </cell>
          <cell r="G968" t="str">
            <v>OK</v>
          </cell>
        </row>
        <row r="969">
          <cell r="A969" t="str">
            <v>Y1902-0111</v>
          </cell>
          <cell r="B969">
            <v>201810</v>
          </cell>
          <cell r="C969" t="str">
            <v>0100175138</v>
          </cell>
          <cell r="D969" t="str">
            <v>660740C</v>
          </cell>
          <cell r="E969">
            <v>5340</v>
          </cell>
          <cell r="F969">
            <v>43486</v>
          </cell>
          <cell r="G969" t="str">
            <v>OK</v>
          </cell>
        </row>
        <row r="970">
          <cell r="A970" t="str">
            <v>Y1901-0220</v>
          </cell>
          <cell r="B970">
            <v>201810</v>
          </cell>
          <cell r="C970" t="str">
            <v>0100175139</v>
          </cell>
          <cell r="D970" t="str">
            <v>3J234C</v>
          </cell>
          <cell r="E970">
            <v>1020</v>
          </cell>
          <cell r="F970">
            <v>43488</v>
          </cell>
          <cell r="G970" t="str">
            <v>OK</v>
          </cell>
        </row>
        <row r="971">
          <cell r="A971" t="str">
            <v>Y1901-0221</v>
          </cell>
          <cell r="B971">
            <v>201810</v>
          </cell>
          <cell r="C971" t="str">
            <v>0100175140</v>
          </cell>
          <cell r="D971" t="str">
            <v>159792C</v>
          </cell>
          <cell r="E971">
            <v>1812</v>
          </cell>
          <cell r="F971">
            <v>43493</v>
          </cell>
          <cell r="G971" t="str">
            <v>OK</v>
          </cell>
        </row>
        <row r="972">
          <cell r="A972" t="str">
            <v>Y1902-0112</v>
          </cell>
          <cell r="B972">
            <v>201810</v>
          </cell>
          <cell r="C972" t="str">
            <v>0100175141</v>
          </cell>
          <cell r="D972" t="str">
            <v>660742C</v>
          </cell>
          <cell r="E972">
            <v>4140</v>
          </cell>
          <cell r="F972">
            <v>43486</v>
          </cell>
          <cell r="G972" t="str">
            <v>OK</v>
          </cell>
        </row>
        <row r="973">
          <cell r="A973" t="str">
            <v>Y1901-0222</v>
          </cell>
          <cell r="B973">
            <v>201810</v>
          </cell>
          <cell r="C973" t="str">
            <v>0100175149</v>
          </cell>
          <cell r="D973" t="str">
            <v>163377C</v>
          </cell>
          <cell r="E973">
            <v>1404</v>
          </cell>
          <cell r="F973">
            <v>43488</v>
          </cell>
          <cell r="G973" t="str">
            <v>OK</v>
          </cell>
        </row>
        <row r="974">
          <cell r="A974" t="str">
            <v>Y1901-0223</v>
          </cell>
          <cell r="B974">
            <v>201810</v>
          </cell>
          <cell r="C974" t="str">
            <v>0100175150</v>
          </cell>
          <cell r="D974" t="str">
            <v>163380C</v>
          </cell>
          <cell r="E974">
            <v>684</v>
          </cell>
          <cell r="F974">
            <v>43488</v>
          </cell>
          <cell r="G974" t="str">
            <v>OK</v>
          </cell>
        </row>
        <row r="975">
          <cell r="A975" t="str">
            <v>Y1901-0224</v>
          </cell>
          <cell r="B975">
            <v>201810</v>
          </cell>
          <cell r="C975" t="str">
            <v>0100175151</v>
          </cell>
          <cell r="D975" t="str">
            <v>3J238C</v>
          </cell>
          <cell r="E975">
            <v>1704</v>
          </cell>
          <cell r="F975">
            <v>43488</v>
          </cell>
          <cell r="G975" t="str">
            <v>OK</v>
          </cell>
        </row>
        <row r="976">
          <cell r="A976" t="str">
            <v>Y1901-0225</v>
          </cell>
          <cell r="B976">
            <v>201810</v>
          </cell>
          <cell r="C976" t="str">
            <v>0100175152</v>
          </cell>
          <cell r="D976" t="str">
            <v>7J234C</v>
          </cell>
          <cell r="E976">
            <v>1032</v>
          </cell>
          <cell r="F976">
            <v>43488</v>
          </cell>
          <cell r="G976" t="str">
            <v>OK</v>
          </cell>
        </row>
        <row r="977">
          <cell r="A977" t="str">
            <v>Y1902-0019A</v>
          </cell>
          <cell r="B977">
            <v>201810</v>
          </cell>
          <cell r="C977" t="str">
            <v>0100175153</v>
          </cell>
          <cell r="D977" t="str">
            <v>663998C</v>
          </cell>
          <cell r="E977">
            <v>1800</v>
          </cell>
          <cell r="F977">
            <v>43492</v>
          </cell>
          <cell r="G977" t="str">
            <v>OK</v>
          </cell>
        </row>
        <row r="978">
          <cell r="A978" t="str">
            <v>Y1902-0120</v>
          </cell>
          <cell r="B978">
            <v>201810</v>
          </cell>
          <cell r="C978" t="str">
            <v>0100175154</v>
          </cell>
          <cell r="D978" t="str">
            <v>663999C</v>
          </cell>
          <cell r="E978">
            <v>1800</v>
          </cell>
          <cell r="F978">
            <v>43486</v>
          </cell>
          <cell r="G978" t="str">
            <v>OK</v>
          </cell>
        </row>
        <row r="979">
          <cell r="A979" t="str">
            <v>Y1902-0121</v>
          </cell>
          <cell r="B979">
            <v>201810</v>
          </cell>
          <cell r="C979" t="str">
            <v>0100175155</v>
          </cell>
          <cell r="D979" t="str">
            <v>564150C</v>
          </cell>
          <cell r="E979">
            <v>564</v>
          </cell>
          <cell r="F979">
            <v>43487</v>
          </cell>
          <cell r="G979" t="str">
            <v>OK</v>
          </cell>
        </row>
        <row r="980">
          <cell r="A980" t="str">
            <v>Y1902-0122</v>
          </cell>
          <cell r="B980">
            <v>201810</v>
          </cell>
          <cell r="C980" t="str">
            <v>0100175156</v>
          </cell>
          <cell r="D980" t="str">
            <v>564151C</v>
          </cell>
          <cell r="E980">
            <v>228</v>
          </cell>
          <cell r="F980">
            <v>43487</v>
          </cell>
          <cell r="G980" t="str">
            <v>OK</v>
          </cell>
        </row>
        <row r="981">
          <cell r="A981" t="str">
            <v>Y1902-0123</v>
          </cell>
          <cell r="B981">
            <v>201810</v>
          </cell>
          <cell r="C981" t="str">
            <v>0100175157</v>
          </cell>
          <cell r="D981" t="str">
            <v>564152C</v>
          </cell>
          <cell r="E981">
            <v>1068</v>
          </cell>
          <cell r="F981">
            <v>43487</v>
          </cell>
          <cell r="G981" t="str">
            <v>OK</v>
          </cell>
        </row>
        <row r="982">
          <cell r="A982" t="str">
            <v>Y1902-0124</v>
          </cell>
          <cell r="B982">
            <v>201810</v>
          </cell>
          <cell r="C982" t="str">
            <v>0100175158</v>
          </cell>
          <cell r="D982" t="str">
            <v>564153C</v>
          </cell>
          <cell r="E982">
            <v>1332</v>
          </cell>
          <cell r="F982">
            <v>43487</v>
          </cell>
          <cell r="G982" t="str">
            <v>OK</v>
          </cell>
        </row>
        <row r="983">
          <cell r="A983" t="str">
            <v>Y1902-0125</v>
          </cell>
          <cell r="B983">
            <v>201810</v>
          </cell>
          <cell r="C983" t="str">
            <v>0100175159</v>
          </cell>
          <cell r="D983" t="str">
            <v>564154C</v>
          </cell>
          <cell r="E983">
            <v>228</v>
          </cell>
          <cell r="F983">
            <v>43487</v>
          </cell>
          <cell r="G983" t="str">
            <v>OK</v>
          </cell>
        </row>
        <row r="984">
          <cell r="A984" t="str">
            <v>Y1901-0226</v>
          </cell>
          <cell r="B984">
            <v>201810</v>
          </cell>
          <cell r="C984" t="str">
            <v>0100175162</v>
          </cell>
          <cell r="D984" t="str">
            <v>7J253C</v>
          </cell>
          <cell r="E984">
            <v>4440</v>
          </cell>
          <cell r="F984">
            <v>43488</v>
          </cell>
          <cell r="G984" t="str">
            <v>OK</v>
          </cell>
        </row>
        <row r="985">
          <cell r="A985" t="str">
            <v>Y1901-0227</v>
          </cell>
          <cell r="B985">
            <v>201810</v>
          </cell>
          <cell r="C985" t="str">
            <v>0100175166</v>
          </cell>
          <cell r="D985" t="str">
            <v>7J256C</v>
          </cell>
          <cell r="E985">
            <v>7992</v>
          </cell>
          <cell r="F985">
            <v>43488</v>
          </cell>
          <cell r="G985" t="str">
            <v>OK</v>
          </cell>
        </row>
        <row r="986">
          <cell r="A986" t="str">
            <v>Y1901-0228</v>
          </cell>
          <cell r="B986">
            <v>201810</v>
          </cell>
          <cell r="C986" t="str">
            <v>0100175168</v>
          </cell>
          <cell r="D986">
            <v>88865</v>
          </cell>
          <cell r="E986">
            <v>7380</v>
          </cell>
          <cell r="F986">
            <v>43488</v>
          </cell>
          <cell r="G986" t="str">
            <v>OK</v>
          </cell>
        </row>
        <row r="987">
          <cell r="A987" t="str">
            <v>Y1902-0137</v>
          </cell>
          <cell r="B987">
            <v>201810</v>
          </cell>
          <cell r="C987" t="str">
            <v>0100175174</v>
          </cell>
          <cell r="D987" t="str">
            <v>164217C</v>
          </cell>
          <cell r="E987">
            <v>1230</v>
          </cell>
          <cell r="F987">
            <v>43486</v>
          </cell>
          <cell r="G987" t="str">
            <v>OK</v>
          </cell>
        </row>
        <row r="988">
          <cell r="A988" t="str">
            <v>Y1902-0138</v>
          </cell>
          <cell r="B988">
            <v>201810</v>
          </cell>
          <cell r="C988" t="str">
            <v>0100175175</v>
          </cell>
          <cell r="D988" t="str">
            <v>164218C</v>
          </cell>
          <cell r="E988">
            <v>1470</v>
          </cell>
          <cell r="F988">
            <v>43486</v>
          </cell>
          <cell r="G988" t="str">
            <v>OK</v>
          </cell>
        </row>
        <row r="989">
          <cell r="A989" t="str">
            <v>Y1902-0139</v>
          </cell>
          <cell r="B989">
            <v>201810</v>
          </cell>
          <cell r="C989" t="str">
            <v>0100175176</v>
          </cell>
          <cell r="D989" t="str">
            <v>164219C</v>
          </cell>
          <cell r="E989">
            <v>1422</v>
          </cell>
          <cell r="F989">
            <v>43486</v>
          </cell>
          <cell r="G989" t="str">
            <v>OK</v>
          </cell>
        </row>
        <row r="990">
          <cell r="A990" t="str">
            <v>Y1902-0140</v>
          </cell>
          <cell r="B990">
            <v>201810</v>
          </cell>
          <cell r="C990" t="str">
            <v>0100175177</v>
          </cell>
          <cell r="D990" t="str">
            <v>164220C</v>
          </cell>
          <cell r="E990">
            <v>762</v>
          </cell>
          <cell r="F990">
            <v>43486</v>
          </cell>
          <cell r="G990" t="str">
            <v>OK</v>
          </cell>
        </row>
        <row r="991">
          <cell r="A991" t="str">
            <v>Y1901-0229</v>
          </cell>
          <cell r="B991">
            <v>201810</v>
          </cell>
          <cell r="C991" t="str">
            <v>0100175179</v>
          </cell>
          <cell r="D991">
            <v>88871</v>
          </cell>
          <cell r="E991">
            <v>5688</v>
          </cell>
          <cell r="F991">
            <v>43488</v>
          </cell>
          <cell r="G991" t="str">
            <v>OK</v>
          </cell>
        </row>
        <row r="992">
          <cell r="A992" t="str">
            <v>Y1902-0142</v>
          </cell>
          <cell r="B992">
            <v>201810</v>
          </cell>
          <cell r="C992" t="str">
            <v>0100175180</v>
          </cell>
          <cell r="D992">
            <v>88875</v>
          </cell>
          <cell r="E992">
            <v>888</v>
          </cell>
          <cell r="F992">
            <v>43486</v>
          </cell>
          <cell r="G992" t="str">
            <v>OK</v>
          </cell>
        </row>
        <row r="993">
          <cell r="A993" t="str">
            <v>Y1902-0143</v>
          </cell>
          <cell r="B993">
            <v>201810</v>
          </cell>
          <cell r="C993" t="str">
            <v>0100175181</v>
          </cell>
          <cell r="D993">
            <v>88877</v>
          </cell>
          <cell r="E993">
            <v>1908</v>
          </cell>
          <cell r="F993">
            <v>43486</v>
          </cell>
          <cell r="G993" t="str">
            <v>OK</v>
          </cell>
        </row>
        <row r="994">
          <cell r="A994" t="str">
            <v>Y1901-0230</v>
          </cell>
          <cell r="B994">
            <v>201810</v>
          </cell>
          <cell r="C994" t="str">
            <v>0100175182</v>
          </cell>
          <cell r="D994" t="str">
            <v>8J231</v>
          </cell>
          <cell r="E994">
            <v>4380</v>
          </cell>
          <cell r="F994">
            <v>43488</v>
          </cell>
          <cell r="G994" t="str">
            <v>OK</v>
          </cell>
        </row>
        <row r="995">
          <cell r="A995" t="str">
            <v>Y1902-0144</v>
          </cell>
          <cell r="B995">
            <v>201810</v>
          </cell>
          <cell r="C995" t="str">
            <v>0100175183</v>
          </cell>
          <cell r="D995" t="str">
            <v>164358C</v>
          </cell>
          <cell r="E995">
            <v>1212</v>
          </cell>
          <cell r="F995">
            <v>43492</v>
          </cell>
          <cell r="G995" t="str">
            <v>OK</v>
          </cell>
        </row>
        <row r="996">
          <cell r="A996" t="str">
            <v>Y1902-0145</v>
          </cell>
          <cell r="B996">
            <v>201810</v>
          </cell>
          <cell r="C996" t="str">
            <v>0100175184</v>
          </cell>
          <cell r="D996" t="str">
            <v>164359C</v>
          </cell>
          <cell r="E996">
            <v>570</v>
          </cell>
          <cell r="F996">
            <v>43492</v>
          </cell>
          <cell r="G996" t="str">
            <v>OK</v>
          </cell>
        </row>
        <row r="997">
          <cell r="A997" t="str">
            <v>Y1902-0146</v>
          </cell>
          <cell r="B997">
            <v>201810</v>
          </cell>
          <cell r="C997" t="str">
            <v>0100175185</v>
          </cell>
          <cell r="D997" t="str">
            <v>164360C</v>
          </cell>
          <cell r="E997">
            <v>1650</v>
          </cell>
          <cell r="F997">
            <v>43492</v>
          </cell>
          <cell r="G997" t="str">
            <v>OK</v>
          </cell>
        </row>
        <row r="998">
          <cell r="A998" t="str">
            <v>Y1902-0147</v>
          </cell>
          <cell r="B998">
            <v>201810</v>
          </cell>
          <cell r="C998" t="str">
            <v>0100175186</v>
          </cell>
          <cell r="D998" t="str">
            <v>164361C</v>
          </cell>
          <cell r="E998">
            <v>1026</v>
          </cell>
          <cell r="F998">
            <v>43492</v>
          </cell>
          <cell r="G998" t="str">
            <v>OK</v>
          </cell>
        </row>
        <row r="999">
          <cell r="A999" t="str">
            <v>Y1902-0148</v>
          </cell>
          <cell r="B999">
            <v>201810</v>
          </cell>
          <cell r="C999" t="str">
            <v>0100175187</v>
          </cell>
          <cell r="D999" t="str">
            <v>164362C</v>
          </cell>
          <cell r="E999">
            <v>708</v>
          </cell>
          <cell r="F999">
            <v>43492</v>
          </cell>
          <cell r="G999" t="str">
            <v>OK</v>
          </cell>
        </row>
        <row r="1000">
          <cell r="A1000" t="str">
            <v>Y1902-0150</v>
          </cell>
          <cell r="B1000">
            <v>201810</v>
          </cell>
          <cell r="C1000" t="str">
            <v>0100175189</v>
          </cell>
          <cell r="D1000" t="str">
            <v>164390C</v>
          </cell>
          <cell r="E1000">
            <v>1044</v>
          </cell>
          <cell r="F1000">
            <v>43486</v>
          </cell>
          <cell r="G1000" t="str">
            <v>OK</v>
          </cell>
        </row>
        <row r="1001">
          <cell r="A1001" t="str">
            <v>Y1902-0151</v>
          </cell>
          <cell r="B1001">
            <v>201810</v>
          </cell>
          <cell r="C1001" t="str">
            <v>0100175190</v>
          </cell>
          <cell r="D1001" t="str">
            <v>164391C</v>
          </cell>
          <cell r="E1001">
            <v>432</v>
          </cell>
          <cell r="F1001">
            <v>43486</v>
          </cell>
          <cell r="G1001" t="str">
            <v>OK</v>
          </cell>
        </row>
        <row r="1002">
          <cell r="A1002" t="str">
            <v>Y1902-0153</v>
          </cell>
          <cell r="B1002">
            <v>201810</v>
          </cell>
          <cell r="C1002" t="str">
            <v>0100175192</v>
          </cell>
          <cell r="D1002" t="str">
            <v>164393C</v>
          </cell>
          <cell r="E1002">
            <v>852</v>
          </cell>
          <cell r="F1002">
            <v>43486</v>
          </cell>
          <cell r="G1002" t="str">
            <v>OK</v>
          </cell>
        </row>
        <row r="1003">
          <cell r="A1003" t="str">
            <v>Y1901-0231</v>
          </cell>
          <cell r="B1003">
            <v>201810</v>
          </cell>
          <cell r="C1003" t="str">
            <v>0100175193</v>
          </cell>
          <cell r="D1003" t="str">
            <v>636930C</v>
          </cell>
          <cell r="E1003">
            <v>2772</v>
          </cell>
          <cell r="F1003">
            <v>43488</v>
          </cell>
          <cell r="G1003" t="str">
            <v>OK</v>
          </cell>
        </row>
        <row r="1004">
          <cell r="A1004" t="str">
            <v>Y1901-0232</v>
          </cell>
          <cell r="B1004">
            <v>201810</v>
          </cell>
          <cell r="C1004" t="str">
            <v>0100175194</v>
          </cell>
          <cell r="D1004" t="str">
            <v>164525C</v>
          </cell>
          <cell r="E1004">
            <v>684</v>
          </cell>
          <cell r="F1004">
            <v>43488</v>
          </cell>
          <cell r="G1004" t="str">
            <v>OK</v>
          </cell>
        </row>
        <row r="1005">
          <cell r="A1005" t="str">
            <v>Y1902-0155</v>
          </cell>
          <cell r="B1005">
            <v>201810</v>
          </cell>
          <cell r="C1005" t="str">
            <v>0100175196</v>
          </cell>
          <cell r="D1005">
            <v>81229</v>
          </cell>
          <cell r="E1005">
            <v>3000</v>
          </cell>
          <cell r="F1005">
            <v>43492</v>
          </cell>
          <cell r="G1005" t="str">
            <v>OK</v>
          </cell>
        </row>
        <row r="1006">
          <cell r="A1006" t="str">
            <v>Y1902-0156</v>
          </cell>
          <cell r="B1006">
            <v>201810</v>
          </cell>
          <cell r="C1006" t="str">
            <v>0100175197</v>
          </cell>
          <cell r="D1006" t="str">
            <v>151202C</v>
          </cell>
          <cell r="E1006">
            <v>14988</v>
          </cell>
          <cell r="F1006">
            <v>43486</v>
          </cell>
          <cell r="G1006" t="str">
            <v>OK</v>
          </cell>
        </row>
        <row r="1007">
          <cell r="A1007" t="str">
            <v>Y1902-0157</v>
          </cell>
          <cell r="B1007">
            <v>201810</v>
          </cell>
          <cell r="C1007" t="str">
            <v>0100175198</v>
          </cell>
          <cell r="D1007" t="str">
            <v>157607C</v>
          </cell>
          <cell r="E1007">
            <v>5976</v>
          </cell>
          <cell r="F1007">
            <v>43486</v>
          </cell>
          <cell r="G1007" t="str">
            <v>OK</v>
          </cell>
        </row>
        <row r="1008">
          <cell r="A1008" t="str">
            <v>Y1902-0158</v>
          </cell>
          <cell r="B1008">
            <v>201810</v>
          </cell>
          <cell r="C1008" t="str">
            <v>0100175199</v>
          </cell>
          <cell r="D1008" t="str">
            <v>560628C</v>
          </cell>
          <cell r="E1008">
            <v>3888</v>
          </cell>
          <cell r="F1008">
            <v>43486</v>
          </cell>
          <cell r="G1008" t="str">
            <v>OK</v>
          </cell>
        </row>
        <row r="1009">
          <cell r="A1009" t="str">
            <v>Y1902-0159</v>
          </cell>
          <cell r="B1009">
            <v>201810</v>
          </cell>
          <cell r="C1009" t="str">
            <v>0100175200</v>
          </cell>
          <cell r="D1009" t="str">
            <v>560629C</v>
          </cell>
          <cell r="E1009">
            <v>4260</v>
          </cell>
          <cell r="F1009">
            <v>43486</v>
          </cell>
          <cell r="G1009" t="str">
            <v>OK</v>
          </cell>
        </row>
        <row r="1010">
          <cell r="A1010" t="str">
            <v>Y1902-0160</v>
          </cell>
          <cell r="B1010">
            <v>201810</v>
          </cell>
          <cell r="C1010" t="str">
            <v>0100175201</v>
          </cell>
          <cell r="D1010" t="str">
            <v>560630C</v>
          </cell>
          <cell r="E1010">
            <v>2964</v>
          </cell>
          <cell r="F1010">
            <v>43486</v>
          </cell>
          <cell r="G1010" t="str">
            <v>OK</v>
          </cell>
        </row>
        <row r="1011">
          <cell r="A1011" t="str">
            <v>Y1901-0233</v>
          </cell>
          <cell r="B1011">
            <v>201810</v>
          </cell>
          <cell r="C1011" t="str">
            <v>0100175202</v>
          </cell>
          <cell r="D1011" t="str">
            <v>560633C</v>
          </cell>
          <cell r="E1011">
            <v>4692</v>
          </cell>
          <cell r="F1011">
            <v>43493</v>
          </cell>
          <cell r="G1011" t="str">
            <v>OK</v>
          </cell>
        </row>
        <row r="1012">
          <cell r="A1012" t="str">
            <v>Y1902-0187</v>
          </cell>
          <cell r="B1012">
            <v>201810</v>
          </cell>
          <cell r="C1012" t="str">
            <v>0100175229</v>
          </cell>
          <cell r="D1012" t="str">
            <v>158369C</v>
          </cell>
          <cell r="E1012">
            <v>372</v>
          </cell>
          <cell r="F1012">
            <v>43486</v>
          </cell>
          <cell r="G1012" t="str">
            <v>OK</v>
          </cell>
        </row>
        <row r="1013">
          <cell r="A1013" t="str">
            <v>Y1902-0197</v>
          </cell>
          <cell r="B1013">
            <v>201810</v>
          </cell>
          <cell r="C1013" t="str">
            <v>0100175239</v>
          </cell>
          <cell r="D1013" t="str">
            <v>158371C</v>
          </cell>
          <cell r="E1013">
            <v>1176</v>
          </cell>
          <cell r="F1013">
            <v>43486</v>
          </cell>
          <cell r="G1013" t="str">
            <v>OK</v>
          </cell>
        </row>
        <row r="1014">
          <cell r="A1014" t="str">
            <v>Y1902-0212</v>
          </cell>
          <cell r="B1014">
            <v>201810</v>
          </cell>
          <cell r="C1014" t="str">
            <v>0100175258</v>
          </cell>
          <cell r="D1014" t="str">
            <v>1J794C</v>
          </cell>
          <cell r="E1014">
            <v>204</v>
          </cell>
          <cell r="F1014">
            <v>43474</v>
          </cell>
          <cell r="G1014" t="str">
            <v>OK</v>
          </cell>
        </row>
        <row r="1015">
          <cell r="A1015" t="str">
            <v>Y1901-0234</v>
          </cell>
          <cell r="B1015">
            <v>201810</v>
          </cell>
          <cell r="C1015" t="str">
            <v>0100175356</v>
          </cell>
          <cell r="D1015" t="str">
            <v>565548C</v>
          </cell>
          <cell r="E1015">
            <v>91</v>
          </cell>
          <cell r="F1015">
            <v>43481</v>
          </cell>
          <cell r="G1015" t="str">
            <v>OK</v>
          </cell>
        </row>
        <row r="1016">
          <cell r="A1016" t="str">
            <v>Y1901-0235</v>
          </cell>
          <cell r="B1016">
            <v>201810</v>
          </cell>
          <cell r="C1016" t="str">
            <v>0100175357</v>
          </cell>
          <cell r="D1016" t="str">
            <v>764173C</v>
          </cell>
          <cell r="E1016">
            <v>120</v>
          </cell>
          <cell r="F1016">
            <v>43486</v>
          </cell>
          <cell r="G1016" t="str">
            <v>OK</v>
          </cell>
        </row>
        <row r="1017">
          <cell r="A1017" t="str">
            <v>Y1901-0236</v>
          </cell>
          <cell r="B1017">
            <v>201810</v>
          </cell>
          <cell r="C1017" t="str">
            <v>0100175392</v>
          </cell>
          <cell r="D1017" t="str">
            <v>617663F</v>
          </cell>
          <cell r="E1017">
            <v>1116</v>
          </cell>
          <cell r="F1017">
            <v>43484</v>
          </cell>
          <cell r="G1017" t="str">
            <v>OK</v>
          </cell>
        </row>
        <row r="1018">
          <cell r="A1018" t="str">
            <v>Y1901-0237</v>
          </cell>
          <cell r="B1018">
            <v>201810</v>
          </cell>
          <cell r="C1018" t="str">
            <v>0100175393</v>
          </cell>
          <cell r="D1018" t="str">
            <v>161599C</v>
          </cell>
          <cell r="E1018">
            <v>204</v>
          </cell>
          <cell r="F1018">
            <v>43490</v>
          </cell>
          <cell r="G1018" t="str">
            <v>OK</v>
          </cell>
        </row>
        <row r="1019">
          <cell r="A1019" t="str">
            <v>Y1901-0238</v>
          </cell>
          <cell r="B1019">
            <v>201810</v>
          </cell>
          <cell r="C1019" t="str">
            <v>0100175394</v>
          </cell>
          <cell r="D1019" t="str">
            <v>162884C</v>
          </cell>
          <cell r="E1019">
            <v>468</v>
          </cell>
          <cell r="F1019">
            <v>43475</v>
          </cell>
          <cell r="G1019" t="str">
            <v>OK</v>
          </cell>
        </row>
        <row r="1020">
          <cell r="A1020" t="str">
            <v>Y1901-0239</v>
          </cell>
          <cell r="B1020">
            <v>201810</v>
          </cell>
          <cell r="C1020" t="str">
            <v>0100175395</v>
          </cell>
          <cell r="D1020" t="str">
            <v>162580C</v>
          </cell>
          <cell r="E1020">
            <v>120</v>
          </cell>
          <cell r="F1020">
            <v>43490</v>
          </cell>
          <cell r="G1020" t="str">
            <v>OK</v>
          </cell>
        </row>
        <row r="1021">
          <cell r="A1021" t="str">
            <v>Y1901-0240</v>
          </cell>
          <cell r="B1021">
            <v>201810</v>
          </cell>
          <cell r="C1021" t="str">
            <v>0100175396</v>
          </cell>
          <cell r="D1021" t="str">
            <v>164058C</v>
          </cell>
          <cell r="E1021">
            <v>1980</v>
          </cell>
          <cell r="F1021">
            <v>43475</v>
          </cell>
          <cell r="G1021" t="str">
            <v>OK</v>
          </cell>
        </row>
        <row r="1022">
          <cell r="A1022" t="str">
            <v>Y1901-0241</v>
          </cell>
          <cell r="B1022">
            <v>201810</v>
          </cell>
          <cell r="C1022" t="str">
            <v>0100175398</v>
          </cell>
          <cell r="D1022" t="str">
            <v>3J237</v>
          </cell>
          <cell r="E1022">
            <v>1248</v>
          </cell>
          <cell r="F1022">
            <v>43490</v>
          </cell>
          <cell r="G1022" t="str">
            <v>OK</v>
          </cell>
        </row>
        <row r="1023">
          <cell r="A1023" t="str">
            <v>Y1901-0242</v>
          </cell>
          <cell r="B1023">
            <v>201810</v>
          </cell>
          <cell r="C1023" t="str">
            <v>0100175399</v>
          </cell>
          <cell r="D1023">
            <v>88871</v>
          </cell>
          <cell r="E1023">
            <v>1860</v>
          </cell>
          <cell r="F1023">
            <v>43486</v>
          </cell>
          <cell r="G1023" t="str">
            <v>OK</v>
          </cell>
        </row>
        <row r="1024">
          <cell r="A1024" t="str">
            <v>Y1901-0243</v>
          </cell>
          <cell r="B1024">
            <v>201810</v>
          </cell>
          <cell r="C1024" t="str">
            <v>0100175400</v>
          </cell>
          <cell r="D1024" t="str">
            <v>3J253</v>
          </cell>
          <cell r="E1024">
            <v>1932</v>
          </cell>
          <cell r="F1024">
            <v>43486</v>
          </cell>
          <cell r="G1024" t="str">
            <v>OK</v>
          </cell>
        </row>
        <row r="1025">
          <cell r="A1025" t="str">
            <v>Y1901-0244</v>
          </cell>
          <cell r="B1025">
            <v>201810</v>
          </cell>
          <cell r="C1025" t="str">
            <v>0100175401</v>
          </cell>
          <cell r="D1025" t="str">
            <v>3J256</v>
          </cell>
          <cell r="E1025">
            <v>1812</v>
          </cell>
          <cell r="F1025">
            <v>43472</v>
          </cell>
          <cell r="G1025" t="str">
            <v>OK</v>
          </cell>
        </row>
        <row r="1026">
          <cell r="A1026" t="str">
            <v>Y1901-0245</v>
          </cell>
          <cell r="B1026">
            <v>201810</v>
          </cell>
          <cell r="C1026" t="str">
            <v>0100175402</v>
          </cell>
          <cell r="D1026" t="str">
            <v>3J256</v>
          </cell>
          <cell r="E1026">
            <v>948</v>
          </cell>
          <cell r="F1026">
            <v>43477</v>
          </cell>
          <cell r="G1026" t="str">
            <v>OK</v>
          </cell>
        </row>
        <row r="1027">
          <cell r="A1027" t="str">
            <v>Y1901-0246</v>
          </cell>
          <cell r="B1027">
            <v>201810</v>
          </cell>
          <cell r="C1027" t="str">
            <v>0100175405</v>
          </cell>
          <cell r="D1027" t="str">
            <v>159484F</v>
          </cell>
          <cell r="E1027">
            <v>990</v>
          </cell>
          <cell r="F1027">
            <v>43490</v>
          </cell>
          <cell r="G1027" t="str">
            <v>OK</v>
          </cell>
        </row>
        <row r="1028">
          <cell r="A1028" t="str">
            <v>Y1901-0247</v>
          </cell>
          <cell r="B1028">
            <v>201810</v>
          </cell>
          <cell r="C1028" t="str">
            <v>0100175406</v>
          </cell>
          <cell r="D1028" t="str">
            <v>163269C</v>
          </cell>
          <cell r="E1028">
            <v>300</v>
          </cell>
          <cell r="F1028">
            <v>43490</v>
          </cell>
          <cell r="G1028" t="str">
            <v>OK</v>
          </cell>
        </row>
        <row r="1029">
          <cell r="A1029" t="str">
            <v>Y1901-0248</v>
          </cell>
          <cell r="B1029">
            <v>201810</v>
          </cell>
          <cell r="C1029" t="str">
            <v>0100175407</v>
          </cell>
          <cell r="D1029" t="str">
            <v>158371C</v>
          </cell>
          <cell r="E1029">
            <v>144</v>
          </cell>
          <cell r="F1029">
            <v>43490</v>
          </cell>
          <cell r="G1029" t="str">
            <v>OK</v>
          </cell>
        </row>
        <row r="1030">
          <cell r="A1030" t="str">
            <v>Y1901-0249</v>
          </cell>
          <cell r="B1030">
            <v>201810</v>
          </cell>
          <cell r="C1030" t="str">
            <v>0100175408</v>
          </cell>
          <cell r="D1030" t="str">
            <v>163380C</v>
          </cell>
          <cell r="E1030">
            <v>1020</v>
          </cell>
          <cell r="F1030">
            <v>43490</v>
          </cell>
          <cell r="G1030" t="str">
            <v>OK</v>
          </cell>
        </row>
        <row r="1031">
          <cell r="A1031" t="str">
            <v>Y1901-0250</v>
          </cell>
          <cell r="B1031">
            <v>201810</v>
          </cell>
          <cell r="C1031" t="str">
            <v>0100175409</v>
          </cell>
          <cell r="D1031" t="str">
            <v>663605C</v>
          </cell>
          <cell r="E1031">
            <v>828</v>
          </cell>
          <cell r="F1031">
            <v>43475</v>
          </cell>
          <cell r="G1031" t="str">
            <v>OK</v>
          </cell>
        </row>
        <row r="1032">
          <cell r="A1032" t="str">
            <v>Y1901-0251</v>
          </cell>
          <cell r="B1032">
            <v>201810</v>
          </cell>
          <cell r="C1032" t="str">
            <v>0100175410</v>
          </cell>
          <cell r="D1032" t="str">
            <v>663605C</v>
          </cell>
          <cell r="E1032">
            <v>624</v>
          </cell>
          <cell r="F1032">
            <v>43490</v>
          </cell>
          <cell r="G1032" t="str">
            <v>OK</v>
          </cell>
        </row>
        <row r="1033">
          <cell r="A1033" t="str">
            <v>Y1901-0252</v>
          </cell>
          <cell r="B1033">
            <v>201810</v>
          </cell>
          <cell r="C1033" t="str">
            <v>0100175412</v>
          </cell>
          <cell r="D1033" t="str">
            <v>663608C</v>
          </cell>
          <cell r="E1033">
            <v>1512</v>
          </cell>
          <cell r="F1033">
            <v>43475</v>
          </cell>
          <cell r="G1033" t="str">
            <v>OK</v>
          </cell>
        </row>
        <row r="1034">
          <cell r="A1034" t="str">
            <v>Y1901-0253</v>
          </cell>
          <cell r="B1034">
            <v>201810</v>
          </cell>
          <cell r="C1034" t="str">
            <v>0100175413</v>
          </cell>
          <cell r="D1034" t="str">
            <v>663608C</v>
          </cell>
          <cell r="E1034">
            <v>732</v>
          </cell>
          <cell r="F1034">
            <v>43490</v>
          </cell>
          <cell r="G1034" t="str">
            <v>OK</v>
          </cell>
        </row>
        <row r="1035">
          <cell r="A1035" t="str">
            <v>Y1901-0254</v>
          </cell>
          <cell r="B1035">
            <v>201810</v>
          </cell>
          <cell r="C1035" t="str">
            <v>0100175415</v>
          </cell>
          <cell r="D1035" t="str">
            <v>W9160</v>
          </cell>
          <cell r="E1035">
            <v>2736</v>
          </cell>
          <cell r="F1035">
            <v>43490</v>
          </cell>
          <cell r="G1035" t="str">
            <v>OK</v>
          </cell>
        </row>
        <row r="1036">
          <cell r="A1036" t="str">
            <v>Y1901-0255</v>
          </cell>
          <cell r="B1036">
            <v>201810</v>
          </cell>
          <cell r="C1036" t="str">
            <v>0100175416</v>
          </cell>
          <cell r="D1036" t="str">
            <v>W9160</v>
          </cell>
          <cell r="E1036">
            <v>420</v>
          </cell>
          <cell r="F1036">
            <v>43490</v>
          </cell>
          <cell r="G1036" t="str">
            <v>OK</v>
          </cell>
        </row>
        <row r="1037">
          <cell r="A1037" t="str">
            <v>Y1901-0256</v>
          </cell>
          <cell r="B1037">
            <v>201810</v>
          </cell>
          <cell r="C1037" t="str">
            <v>0100175417</v>
          </cell>
          <cell r="D1037" t="str">
            <v>W9166</v>
          </cell>
          <cell r="E1037">
            <v>6732</v>
          </cell>
          <cell r="F1037">
            <v>43490</v>
          </cell>
          <cell r="G1037" t="str">
            <v>OK</v>
          </cell>
        </row>
        <row r="1038">
          <cell r="A1038" t="str">
            <v>Y1901-0257</v>
          </cell>
          <cell r="B1038">
            <v>201810</v>
          </cell>
          <cell r="C1038" t="str">
            <v>0100175418</v>
          </cell>
          <cell r="D1038" t="str">
            <v>W9166</v>
          </cell>
          <cell r="E1038">
            <v>3480</v>
          </cell>
          <cell r="F1038">
            <v>43490</v>
          </cell>
          <cell r="G1038" t="str">
            <v>OK</v>
          </cell>
        </row>
        <row r="1039">
          <cell r="A1039" t="str">
            <v>Y1901-0258</v>
          </cell>
          <cell r="B1039">
            <v>201810</v>
          </cell>
          <cell r="C1039" t="str">
            <v>0100175419</v>
          </cell>
          <cell r="D1039" t="str">
            <v>164058C</v>
          </cell>
          <cell r="E1039">
            <v>1116</v>
          </cell>
          <cell r="F1039">
            <v>43490</v>
          </cell>
          <cell r="G1039" t="str">
            <v>OK</v>
          </cell>
        </row>
        <row r="1040">
          <cell r="A1040" t="str">
            <v>Y1901-0259</v>
          </cell>
          <cell r="B1040">
            <v>201810</v>
          </cell>
          <cell r="C1040" t="str">
            <v>0100175420</v>
          </cell>
          <cell r="D1040" t="str">
            <v>164059C</v>
          </cell>
          <cell r="E1040">
            <v>804</v>
          </cell>
          <cell r="F1040">
            <v>43475</v>
          </cell>
          <cell r="G1040" t="str">
            <v>OK</v>
          </cell>
        </row>
        <row r="1041">
          <cell r="A1041" t="str">
            <v>Y1901-0260</v>
          </cell>
          <cell r="B1041">
            <v>201810</v>
          </cell>
          <cell r="C1041" t="str">
            <v>0100175421</v>
          </cell>
          <cell r="D1041" t="str">
            <v>764437C</v>
          </cell>
          <cell r="E1041">
            <v>168</v>
          </cell>
          <cell r="F1041">
            <v>43490</v>
          </cell>
          <cell r="G1041" t="str">
            <v>OK</v>
          </cell>
        </row>
        <row r="1042">
          <cell r="A1042" t="str">
            <v>Y1901-0261</v>
          </cell>
          <cell r="B1042">
            <v>201810</v>
          </cell>
          <cell r="C1042" t="str">
            <v>0100175422</v>
          </cell>
          <cell r="D1042" t="str">
            <v>764438C</v>
          </cell>
          <cell r="E1042">
            <v>168</v>
          </cell>
          <cell r="F1042">
            <v>43490</v>
          </cell>
          <cell r="G1042" t="str">
            <v>OK</v>
          </cell>
        </row>
        <row r="1043">
          <cell r="A1043" t="str">
            <v>Y1901-0262</v>
          </cell>
          <cell r="B1043">
            <v>201810</v>
          </cell>
          <cell r="C1043" t="str">
            <v>0100175423</v>
          </cell>
          <cell r="D1043" t="str">
            <v>764439C</v>
          </cell>
          <cell r="E1043">
            <v>168</v>
          </cell>
          <cell r="F1043">
            <v>43490</v>
          </cell>
          <cell r="G1043" t="str">
            <v>OK</v>
          </cell>
        </row>
        <row r="1044">
          <cell r="A1044" t="str">
            <v>Y1901-0263</v>
          </cell>
          <cell r="B1044">
            <v>201810</v>
          </cell>
          <cell r="C1044" t="str">
            <v>0100175424</v>
          </cell>
          <cell r="D1044" t="str">
            <v>164060C</v>
          </cell>
          <cell r="E1044">
            <v>720</v>
          </cell>
          <cell r="F1044">
            <v>43490</v>
          </cell>
          <cell r="G1044" t="str">
            <v>OK</v>
          </cell>
        </row>
        <row r="1045">
          <cell r="A1045" t="str">
            <v>Y1901-0264</v>
          </cell>
          <cell r="B1045">
            <v>201810</v>
          </cell>
          <cell r="C1045" t="str">
            <v>0100175425</v>
          </cell>
          <cell r="D1045" t="str">
            <v>660747C</v>
          </cell>
          <cell r="E1045">
            <v>4044</v>
          </cell>
          <cell r="F1045">
            <v>43490</v>
          </cell>
          <cell r="G1045" t="str">
            <v>OK</v>
          </cell>
        </row>
        <row r="1046">
          <cell r="A1046" t="str">
            <v>Y1901-0265</v>
          </cell>
          <cell r="B1046">
            <v>201810</v>
          </cell>
          <cell r="C1046" t="str">
            <v>0100175427</v>
          </cell>
          <cell r="D1046" t="str">
            <v>3J234</v>
          </cell>
          <cell r="E1046">
            <v>456</v>
          </cell>
          <cell r="F1046">
            <v>43490</v>
          </cell>
          <cell r="G1046" t="str">
            <v>OK</v>
          </cell>
        </row>
        <row r="1047">
          <cell r="A1047" t="str">
            <v>Y1901-0266</v>
          </cell>
          <cell r="B1047">
            <v>201810</v>
          </cell>
          <cell r="C1047" t="str">
            <v>0100175428</v>
          </cell>
          <cell r="D1047" t="str">
            <v>3J234</v>
          </cell>
          <cell r="E1047">
            <v>1308</v>
          </cell>
          <cell r="F1047">
            <v>43490</v>
          </cell>
          <cell r="G1047" t="str">
            <v>OK</v>
          </cell>
        </row>
        <row r="1048">
          <cell r="A1048" t="str">
            <v>Y1901-0267</v>
          </cell>
          <cell r="B1048">
            <v>201810</v>
          </cell>
          <cell r="C1048" t="str">
            <v>0100175429</v>
          </cell>
          <cell r="D1048" t="str">
            <v>760971C</v>
          </cell>
          <cell r="E1048">
            <v>4020</v>
          </cell>
          <cell r="F1048">
            <v>43490</v>
          </cell>
          <cell r="G1048" t="str">
            <v>OK</v>
          </cell>
        </row>
        <row r="1049">
          <cell r="A1049" t="str">
            <v>Y1901-0268</v>
          </cell>
          <cell r="B1049">
            <v>201810</v>
          </cell>
          <cell r="C1049" t="str">
            <v>0100175430</v>
          </cell>
          <cell r="D1049" t="str">
            <v>164101C</v>
          </cell>
          <cell r="E1049">
            <v>360</v>
          </cell>
          <cell r="F1049">
            <v>43492</v>
          </cell>
          <cell r="G1049" t="str">
            <v>OK</v>
          </cell>
        </row>
        <row r="1050">
          <cell r="A1050" t="str">
            <v>Y1901-0269</v>
          </cell>
          <cell r="B1050">
            <v>201810</v>
          </cell>
          <cell r="C1050" t="str">
            <v>0100175431</v>
          </cell>
          <cell r="D1050" t="str">
            <v>164101C</v>
          </cell>
          <cell r="E1050">
            <v>660</v>
          </cell>
          <cell r="F1050">
            <v>43492</v>
          </cell>
          <cell r="G1050" t="str">
            <v>OK</v>
          </cell>
        </row>
        <row r="1051">
          <cell r="A1051" t="str">
            <v>Y1901-0270</v>
          </cell>
          <cell r="B1051">
            <v>201810</v>
          </cell>
          <cell r="C1051" t="str">
            <v>0100175432</v>
          </cell>
          <cell r="D1051" t="str">
            <v>164103C</v>
          </cell>
          <cell r="E1051">
            <v>1134</v>
          </cell>
          <cell r="F1051">
            <v>43492</v>
          </cell>
          <cell r="G1051" t="str">
            <v>OK</v>
          </cell>
        </row>
        <row r="1052">
          <cell r="A1052" t="str">
            <v>Y1901-0271</v>
          </cell>
          <cell r="B1052">
            <v>201810</v>
          </cell>
          <cell r="C1052" t="str">
            <v>0100175433</v>
          </cell>
          <cell r="D1052" t="str">
            <v>660971C</v>
          </cell>
          <cell r="E1052">
            <v>4416</v>
          </cell>
          <cell r="F1052">
            <v>43490</v>
          </cell>
          <cell r="G1052" t="str">
            <v>OK</v>
          </cell>
        </row>
        <row r="1053">
          <cell r="A1053" t="str">
            <v>Y1901-0272</v>
          </cell>
          <cell r="B1053">
            <v>201810</v>
          </cell>
          <cell r="C1053" t="str">
            <v>0100175434</v>
          </cell>
          <cell r="D1053" t="str">
            <v>564204C</v>
          </cell>
          <cell r="E1053">
            <v>336</v>
          </cell>
          <cell r="F1053">
            <v>43490</v>
          </cell>
          <cell r="G1053" t="str">
            <v>OK</v>
          </cell>
        </row>
        <row r="1054">
          <cell r="A1054" t="str">
            <v>Y1901-0273</v>
          </cell>
          <cell r="B1054">
            <v>201810</v>
          </cell>
          <cell r="C1054" t="str">
            <v>0100175435</v>
          </cell>
          <cell r="D1054" t="str">
            <v>564205C</v>
          </cell>
          <cell r="E1054">
            <v>576</v>
          </cell>
          <cell r="F1054">
            <v>43490</v>
          </cell>
          <cell r="G1054" t="str">
            <v>OK</v>
          </cell>
        </row>
        <row r="1055">
          <cell r="A1055" t="str">
            <v>Y1901-0274</v>
          </cell>
          <cell r="B1055">
            <v>201810</v>
          </cell>
          <cell r="C1055" t="str">
            <v>0100175436</v>
          </cell>
          <cell r="D1055" t="str">
            <v>564206C</v>
          </cell>
          <cell r="E1055">
            <v>900</v>
          </cell>
          <cell r="F1055">
            <v>43483</v>
          </cell>
          <cell r="G1055" t="str">
            <v>OK</v>
          </cell>
        </row>
        <row r="1056">
          <cell r="A1056" t="str">
            <v>Y1901-0275</v>
          </cell>
          <cell r="B1056">
            <v>201810</v>
          </cell>
          <cell r="C1056" t="str">
            <v>0100175437</v>
          </cell>
          <cell r="D1056" t="str">
            <v>564207C</v>
          </cell>
          <cell r="E1056">
            <v>336</v>
          </cell>
          <cell r="F1056">
            <v>43490</v>
          </cell>
          <cell r="G1056" t="str">
            <v>OK</v>
          </cell>
        </row>
        <row r="1057">
          <cell r="A1057" t="str">
            <v>Y1901-0276</v>
          </cell>
          <cell r="B1057">
            <v>201810</v>
          </cell>
          <cell r="C1057" t="str">
            <v>0100175438</v>
          </cell>
          <cell r="D1057" t="str">
            <v>7J234</v>
          </cell>
          <cell r="E1057">
            <v>612</v>
          </cell>
          <cell r="F1057">
            <v>43490</v>
          </cell>
          <cell r="G1057" t="str">
            <v>OK</v>
          </cell>
        </row>
        <row r="1058">
          <cell r="A1058" t="str">
            <v>Y1901-0277</v>
          </cell>
          <cell r="B1058">
            <v>201810</v>
          </cell>
          <cell r="C1058" t="str">
            <v>0100175439</v>
          </cell>
          <cell r="D1058" t="str">
            <v>7J234</v>
          </cell>
          <cell r="E1058">
            <v>972</v>
          </cell>
          <cell r="F1058">
            <v>43490</v>
          </cell>
          <cell r="G1058" t="str">
            <v>OK</v>
          </cell>
        </row>
        <row r="1059">
          <cell r="A1059" t="str">
            <v>Y1901-0278</v>
          </cell>
          <cell r="B1059">
            <v>201810</v>
          </cell>
          <cell r="C1059" t="str">
            <v>0100175440</v>
          </cell>
          <cell r="D1059" t="str">
            <v>664184F</v>
          </cell>
          <cell r="E1059">
            <v>276</v>
          </cell>
          <cell r="F1059">
            <v>43490</v>
          </cell>
          <cell r="G1059" t="str">
            <v>OK</v>
          </cell>
        </row>
        <row r="1060">
          <cell r="A1060" t="str">
            <v>Y1901-0279</v>
          </cell>
          <cell r="B1060">
            <v>201810</v>
          </cell>
          <cell r="C1060" t="str">
            <v>0100175441</v>
          </cell>
          <cell r="D1060" t="str">
            <v>164217C</v>
          </cell>
          <cell r="E1060">
            <v>216</v>
          </cell>
          <cell r="F1060">
            <v>43490</v>
          </cell>
          <cell r="G1060" t="str">
            <v>OK</v>
          </cell>
        </row>
        <row r="1061">
          <cell r="A1061" t="str">
            <v>Y1901-0280</v>
          </cell>
          <cell r="B1061">
            <v>201810</v>
          </cell>
          <cell r="C1061" t="str">
            <v>0100175442</v>
          </cell>
          <cell r="D1061" t="str">
            <v>164218C</v>
          </cell>
          <cell r="E1061">
            <v>216</v>
          </cell>
          <cell r="F1061">
            <v>43490</v>
          </cell>
          <cell r="G1061" t="str">
            <v>OK</v>
          </cell>
        </row>
        <row r="1062">
          <cell r="A1062" t="str">
            <v>Y1901-0281</v>
          </cell>
          <cell r="B1062">
            <v>201810</v>
          </cell>
          <cell r="C1062" t="str">
            <v>0100175443</v>
          </cell>
          <cell r="D1062" t="str">
            <v>164219C</v>
          </cell>
          <cell r="E1062">
            <v>216</v>
          </cell>
          <cell r="F1062">
            <v>43490</v>
          </cell>
          <cell r="G1062" t="str">
            <v>OK</v>
          </cell>
        </row>
        <row r="1063">
          <cell r="A1063" t="str">
            <v>Y1901-0282</v>
          </cell>
          <cell r="B1063">
            <v>201810</v>
          </cell>
          <cell r="C1063" t="str">
            <v>0100175444</v>
          </cell>
          <cell r="D1063" t="str">
            <v>164220C</v>
          </cell>
          <cell r="E1063">
            <v>216</v>
          </cell>
          <cell r="F1063">
            <v>43490</v>
          </cell>
          <cell r="G1063" t="str">
            <v>OK</v>
          </cell>
        </row>
        <row r="1064">
          <cell r="A1064" t="str">
            <v>Y1901-0283</v>
          </cell>
          <cell r="B1064">
            <v>201810</v>
          </cell>
          <cell r="C1064" t="str">
            <v>0100175445</v>
          </cell>
          <cell r="D1064" t="str">
            <v>664434C</v>
          </cell>
          <cell r="E1064">
            <v>168</v>
          </cell>
          <cell r="F1064">
            <v>43490</v>
          </cell>
          <cell r="G1064" t="str">
            <v>OK</v>
          </cell>
        </row>
        <row r="1065">
          <cell r="A1065" t="str">
            <v>Y1901-0284</v>
          </cell>
          <cell r="B1065">
            <v>201810</v>
          </cell>
          <cell r="C1065" t="str">
            <v>0100175446</v>
          </cell>
          <cell r="D1065" t="str">
            <v>664436C</v>
          </cell>
          <cell r="E1065">
            <v>168</v>
          </cell>
          <cell r="F1065">
            <v>43490</v>
          </cell>
          <cell r="G1065" t="str">
            <v>OK</v>
          </cell>
        </row>
        <row r="1066">
          <cell r="A1066" t="str">
            <v>Y1901-0285</v>
          </cell>
          <cell r="B1066">
            <v>201810</v>
          </cell>
          <cell r="C1066" t="str">
            <v>0100175447</v>
          </cell>
          <cell r="D1066" t="str">
            <v>3J237</v>
          </cell>
          <cell r="E1066">
            <v>1920</v>
          </cell>
          <cell r="F1066">
            <v>43490</v>
          </cell>
          <cell r="G1066" t="str">
            <v>OK</v>
          </cell>
        </row>
        <row r="1067">
          <cell r="A1067" t="str">
            <v>Y1901-0286</v>
          </cell>
          <cell r="B1067">
            <v>201810</v>
          </cell>
          <cell r="C1067" t="str">
            <v>0100175448</v>
          </cell>
          <cell r="D1067" t="str">
            <v>3J238</v>
          </cell>
          <cell r="E1067">
            <v>1572</v>
          </cell>
          <cell r="F1067">
            <v>43490</v>
          </cell>
          <cell r="G1067" t="str">
            <v>OK</v>
          </cell>
        </row>
        <row r="1068">
          <cell r="A1068" t="str">
            <v>Y1901-0287</v>
          </cell>
          <cell r="B1068">
            <v>201810</v>
          </cell>
          <cell r="C1068" t="str">
            <v>0100175449</v>
          </cell>
          <cell r="D1068" t="str">
            <v>3J238</v>
          </cell>
          <cell r="E1068">
            <v>1620</v>
          </cell>
          <cell r="F1068">
            <v>43490</v>
          </cell>
          <cell r="G1068" t="str">
            <v>OK</v>
          </cell>
        </row>
        <row r="1069">
          <cell r="A1069" t="str">
            <v>Y1901-0288</v>
          </cell>
          <cell r="B1069">
            <v>201810</v>
          </cell>
          <cell r="C1069" t="str">
            <v>0100175450</v>
          </cell>
          <cell r="D1069" t="str">
            <v>164358C</v>
          </cell>
          <cell r="E1069">
            <v>810</v>
          </cell>
          <cell r="F1069">
            <v>43483</v>
          </cell>
          <cell r="G1069" t="str">
            <v>OK</v>
          </cell>
        </row>
        <row r="1070">
          <cell r="A1070" t="str">
            <v>Y1901-0289</v>
          </cell>
          <cell r="B1070">
            <v>201810</v>
          </cell>
          <cell r="C1070" t="str">
            <v>0100175451</v>
          </cell>
          <cell r="D1070" t="str">
            <v>164359C</v>
          </cell>
          <cell r="E1070">
            <v>456</v>
          </cell>
          <cell r="F1070">
            <v>43490</v>
          </cell>
          <cell r="G1070" t="str">
            <v>OK</v>
          </cell>
        </row>
        <row r="1071">
          <cell r="A1071" t="str">
            <v>Y1901-0290</v>
          </cell>
          <cell r="B1071">
            <v>201810</v>
          </cell>
          <cell r="C1071" t="str">
            <v>0100175452</v>
          </cell>
          <cell r="D1071" t="str">
            <v>164360C</v>
          </cell>
          <cell r="E1071">
            <v>1182</v>
          </cell>
          <cell r="F1071">
            <v>43483</v>
          </cell>
          <cell r="G1071" t="str">
            <v>OK</v>
          </cell>
        </row>
        <row r="1072">
          <cell r="A1072" t="str">
            <v>Y1901-0291</v>
          </cell>
          <cell r="B1072">
            <v>201810</v>
          </cell>
          <cell r="C1072" t="str">
            <v>0100175453</v>
          </cell>
          <cell r="D1072" t="str">
            <v>164361C</v>
          </cell>
          <cell r="E1072">
            <v>486</v>
          </cell>
          <cell r="F1072">
            <v>43490</v>
          </cell>
          <cell r="G1072" t="str">
            <v>OK</v>
          </cell>
        </row>
        <row r="1073">
          <cell r="A1073" t="str">
            <v>Y1901-0292</v>
          </cell>
          <cell r="B1073">
            <v>201810</v>
          </cell>
          <cell r="C1073" t="str">
            <v>0100175454</v>
          </cell>
          <cell r="D1073" t="str">
            <v>164362C</v>
          </cell>
          <cell r="E1073">
            <v>858</v>
          </cell>
          <cell r="F1073">
            <v>43483</v>
          </cell>
          <cell r="G1073" t="str">
            <v>OK</v>
          </cell>
        </row>
        <row r="1074">
          <cell r="A1074" t="str">
            <v>Y1901-0293</v>
          </cell>
          <cell r="B1074">
            <v>201810</v>
          </cell>
          <cell r="C1074" t="str">
            <v>0100175455</v>
          </cell>
          <cell r="D1074" t="str">
            <v>164363C</v>
          </cell>
          <cell r="E1074">
            <v>216</v>
          </cell>
          <cell r="F1074">
            <v>43490</v>
          </cell>
          <cell r="G1074" t="str">
            <v>OK</v>
          </cell>
        </row>
        <row r="1075">
          <cell r="A1075" t="str">
            <v>Y1901-0294</v>
          </cell>
          <cell r="B1075">
            <v>201810</v>
          </cell>
          <cell r="C1075" t="str">
            <v>0100175456</v>
          </cell>
          <cell r="D1075" t="str">
            <v>164390C</v>
          </cell>
          <cell r="E1075">
            <v>216</v>
          </cell>
          <cell r="F1075">
            <v>43490</v>
          </cell>
          <cell r="G1075" t="str">
            <v>OK</v>
          </cell>
        </row>
        <row r="1076">
          <cell r="A1076" t="str">
            <v>Y1901-0295</v>
          </cell>
          <cell r="B1076">
            <v>201810</v>
          </cell>
          <cell r="C1076" t="str">
            <v>0100175457</v>
          </cell>
          <cell r="D1076" t="str">
            <v>617660F</v>
          </cell>
          <cell r="E1076">
            <v>1116</v>
          </cell>
          <cell r="F1076">
            <v>43482</v>
          </cell>
          <cell r="G1076" t="str">
            <v>OK</v>
          </cell>
        </row>
        <row r="1077">
          <cell r="A1077" t="str">
            <v>Y1901-0296</v>
          </cell>
          <cell r="B1077">
            <v>201810</v>
          </cell>
          <cell r="C1077" t="str">
            <v>0100175458</v>
          </cell>
          <cell r="D1077" t="str">
            <v>617660F</v>
          </cell>
          <cell r="E1077">
            <v>468</v>
          </cell>
          <cell r="F1077">
            <v>43490</v>
          </cell>
          <cell r="G1077" t="str">
            <v>OK</v>
          </cell>
        </row>
        <row r="1078">
          <cell r="A1078" t="str">
            <v>Y1901-0297</v>
          </cell>
          <cell r="B1078">
            <v>201810</v>
          </cell>
          <cell r="C1078" t="str">
            <v>0100175460</v>
          </cell>
          <cell r="D1078" t="str">
            <v>164392C</v>
          </cell>
          <cell r="E1078">
            <v>450</v>
          </cell>
          <cell r="F1078">
            <v>43486</v>
          </cell>
          <cell r="G1078" t="str">
            <v>OK</v>
          </cell>
        </row>
        <row r="1079">
          <cell r="A1079" t="str">
            <v>Y1901-0298</v>
          </cell>
          <cell r="B1079">
            <v>201810</v>
          </cell>
          <cell r="C1079" t="str">
            <v>0100175461</v>
          </cell>
          <cell r="D1079" t="str">
            <v>164392C</v>
          </cell>
          <cell r="E1079">
            <v>396</v>
          </cell>
          <cell r="F1079">
            <v>43490</v>
          </cell>
          <cell r="G1079" t="str">
            <v>OK</v>
          </cell>
        </row>
        <row r="1080">
          <cell r="A1080" t="str">
            <v>Y1901-0299</v>
          </cell>
          <cell r="B1080">
            <v>201810</v>
          </cell>
          <cell r="C1080" t="str">
            <v>0100175462</v>
          </cell>
          <cell r="D1080" t="str">
            <v>617663F</v>
          </cell>
          <cell r="E1080">
            <v>588</v>
          </cell>
          <cell r="F1080">
            <v>43490</v>
          </cell>
          <cell r="G1080" t="str">
            <v>OK</v>
          </cell>
        </row>
        <row r="1081">
          <cell r="A1081" t="str">
            <v>Y1901-0300</v>
          </cell>
          <cell r="B1081">
            <v>201810</v>
          </cell>
          <cell r="C1081" t="str">
            <v>0100175464</v>
          </cell>
          <cell r="D1081" t="str">
            <v>164393C</v>
          </cell>
          <cell r="E1081">
            <v>288</v>
          </cell>
          <cell r="F1081">
            <v>43475</v>
          </cell>
          <cell r="G1081" t="str">
            <v>OK</v>
          </cell>
        </row>
        <row r="1082">
          <cell r="A1082" t="str">
            <v>Y1901-0301</v>
          </cell>
          <cell r="B1082">
            <v>201810</v>
          </cell>
          <cell r="C1082" t="str">
            <v>0100175465</v>
          </cell>
          <cell r="D1082" t="str">
            <v>164393C</v>
          </cell>
          <cell r="E1082">
            <v>402</v>
          </cell>
          <cell r="F1082">
            <v>43490</v>
          </cell>
          <cell r="G1082" t="str">
            <v>OK</v>
          </cell>
        </row>
        <row r="1083">
          <cell r="A1083" t="str">
            <v>Y1901-0302</v>
          </cell>
          <cell r="B1083">
            <v>201810</v>
          </cell>
          <cell r="C1083" t="str">
            <v>0100175466</v>
          </cell>
          <cell r="D1083" t="str">
            <v>3J256</v>
          </cell>
          <cell r="E1083">
            <v>12660</v>
          </cell>
          <cell r="F1083">
            <v>43484</v>
          </cell>
          <cell r="G1083" t="str">
            <v>OK</v>
          </cell>
        </row>
        <row r="1084">
          <cell r="A1084" t="str">
            <v>Y1901-0303</v>
          </cell>
          <cell r="B1084">
            <v>201810</v>
          </cell>
          <cell r="C1084" t="str">
            <v>0100175467</v>
          </cell>
          <cell r="D1084" t="str">
            <v>7J253</v>
          </cell>
          <cell r="E1084">
            <v>1344</v>
          </cell>
          <cell r="F1084">
            <v>43490</v>
          </cell>
          <cell r="G1084" t="str">
            <v>OK</v>
          </cell>
        </row>
        <row r="1085">
          <cell r="A1085" t="str">
            <v>Y1901-0304</v>
          </cell>
          <cell r="B1085">
            <v>201810</v>
          </cell>
          <cell r="C1085" t="str">
            <v>0100175468</v>
          </cell>
          <cell r="D1085" t="str">
            <v>7J256</v>
          </cell>
          <cell r="E1085">
            <v>3900</v>
          </cell>
          <cell r="F1085">
            <v>43490</v>
          </cell>
          <cell r="G1085" t="str">
            <v>OK</v>
          </cell>
        </row>
        <row r="1086">
          <cell r="A1086" t="str">
            <v>Y1901-0305</v>
          </cell>
          <cell r="B1086">
            <v>201810</v>
          </cell>
          <cell r="C1086" t="str">
            <v>0100175469</v>
          </cell>
          <cell r="D1086" t="str">
            <v>7J256</v>
          </cell>
          <cell r="E1086">
            <v>4140</v>
          </cell>
          <cell r="F1086">
            <v>43490</v>
          </cell>
          <cell r="G1086" t="str">
            <v>OK</v>
          </cell>
        </row>
        <row r="1087">
          <cell r="A1087" t="str">
            <v>Y1901-0306</v>
          </cell>
          <cell r="B1087">
            <v>201810</v>
          </cell>
          <cell r="C1087" t="str">
            <v>0100175470</v>
          </cell>
          <cell r="D1087">
            <v>81229</v>
          </cell>
          <cell r="E1087">
            <v>1740</v>
          </cell>
          <cell r="F1087">
            <v>43490</v>
          </cell>
          <cell r="G1087" t="str">
            <v>OK</v>
          </cell>
        </row>
        <row r="1088">
          <cell r="A1088" t="str">
            <v>Y1901-0307</v>
          </cell>
          <cell r="B1088">
            <v>201810</v>
          </cell>
          <cell r="C1088" t="str">
            <v>0100175471</v>
          </cell>
          <cell r="D1088">
            <v>81229</v>
          </cell>
          <cell r="E1088">
            <v>1308</v>
          </cell>
          <cell r="F1088">
            <v>43490</v>
          </cell>
          <cell r="G1088" t="str">
            <v>OK</v>
          </cell>
        </row>
        <row r="1089">
          <cell r="A1089" t="str">
            <v>Y1901-0308</v>
          </cell>
          <cell r="B1089">
            <v>201810</v>
          </cell>
          <cell r="C1089" t="str">
            <v>0100175472</v>
          </cell>
          <cell r="D1089">
            <v>88865</v>
          </cell>
          <cell r="E1089">
            <v>1020</v>
          </cell>
          <cell r="F1089">
            <v>43490</v>
          </cell>
          <cell r="G1089" t="str">
            <v>OK</v>
          </cell>
        </row>
        <row r="1090">
          <cell r="A1090" t="str">
            <v>Y1901-0309</v>
          </cell>
          <cell r="B1090">
            <v>201810</v>
          </cell>
          <cell r="C1090" t="str">
            <v>0100175473</v>
          </cell>
          <cell r="D1090">
            <v>88865</v>
          </cell>
          <cell r="E1090">
            <v>744</v>
          </cell>
          <cell r="F1090">
            <v>43490</v>
          </cell>
          <cell r="G1090" t="str">
            <v>OK</v>
          </cell>
        </row>
        <row r="1091">
          <cell r="A1091" t="str">
            <v>Y1901-0310</v>
          </cell>
          <cell r="B1091">
            <v>201810</v>
          </cell>
          <cell r="C1091" t="str">
            <v>0100175474</v>
          </cell>
          <cell r="D1091">
            <v>88871</v>
          </cell>
          <cell r="E1091">
            <v>924</v>
          </cell>
          <cell r="F1091">
            <v>43486</v>
          </cell>
          <cell r="G1091" t="str">
            <v>OK</v>
          </cell>
        </row>
        <row r="1092">
          <cell r="A1092" t="str">
            <v>Y1901-0311</v>
          </cell>
          <cell r="B1092">
            <v>201810</v>
          </cell>
          <cell r="C1092" t="str">
            <v>0100175475</v>
          </cell>
          <cell r="D1092">
            <v>88875</v>
          </cell>
          <cell r="E1092">
            <v>960</v>
          </cell>
          <cell r="F1092">
            <v>43490</v>
          </cell>
          <cell r="G1092" t="str">
            <v>OK</v>
          </cell>
        </row>
        <row r="1093">
          <cell r="A1093" t="str">
            <v>Y1901-0312</v>
          </cell>
          <cell r="B1093">
            <v>201810</v>
          </cell>
          <cell r="C1093" t="str">
            <v>0100175476</v>
          </cell>
          <cell r="D1093" t="str">
            <v>8J231</v>
          </cell>
          <cell r="E1093">
            <v>3000</v>
          </cell>
          <cell r="F1093">
            <v>43490</v>
          </cell>
          <cell r="G1093" t="str">
            <v>OK</v>
          </cell>
        </row>
        <row r="1094">
          <cell r="A1094" t="str">
            <v>Y1901-0313</v>
          </cell>
          <cell r="B1094">
            <v>201810</v>
          </cell>
          <cell r="C1094" t="str">
            <v>0100175477</v>
          </cell>
          <cell r="D1094" t="str">
            <v>8J231</v>
          </cell>
          <cell r="E1094">
            <v>1104</v>
          </cell>
          <cell r="F1094">
            <v>43490</v>
          </cell>
          <cell r="G1094" t="str">
            <v>OK</v>
          </cell>
        </row>
        <row r="1095">
          <cell r="A1095" t="str">
            <v>Y1901-0314</v>
          </cell>
          <cell r="B1095">
            <v>201810</v>
          </cell>
          <cell r="C1095" t="str">
            <v>0100175478</v>
          </cell>
          <cell r="D1095" t="str">
            <v>M9613</v>
          </cell>
          <cell r="E1095">
            <v>612</v>
          </cell>
          <cell r="F1095">
            <v>43490</v>
          </cell>
          <cell r="G1095" t="str">
            <v>OK</v>
          </cell>
        </row>
        <row r="1096">
          <cell r="A1096" t="str">
            <v>Y1901-0315</v>
          </cell>
          <cell r="B1096">
            <v>201810</v>
          </cell>
          <cell r="C1096" t="str">
            <v>0100175479</v>
          </cell>
          <cell r="D1096" t="str">
            <v>M9613</v>
          </cell>
          <cell r="E1096">
            <v>2238</v>
          </cell>
          <cell r="F1096">
            <v>43490</v>
          </cell>
          <cell r="G1096" t="str">
            <v>OK</v>
          </cell>
        </row>
        <row r="1097">
          <cell r="A1097" t="str">
            <v>Y1901-0316</v>
          </cell>
          <cell r="B1097">
            <v>201810</v>
          </cell>
          <cell r="C1097" t="str">
            <v>0100175480</v>
          </cell>
          <cell r="D1097" t="str">
            <v>M9621</v>
          </cell>
          <cell r="E1097">
            <v>456</v>
          </cell>
          <cell r="F1097">
            <v>43490</v>
          </cell>
          <cell r="G1097" t="str">
            <v>OK</v>
          </cell>
        </row>
        <row r="1098">
          <cell r="A1098" t="str">
            <v>Y1901-0317</v>
          </cell>
          <cell r="B1098">
            <v>201810</v>
          </cell>
          <cell r="C1098" t="str">
            <v>0100175481</v>
          </cell>
          <cell r="D1098" t="str">
            <v>M9696</v>
          </cell>
          <cell r="E1098">
            <v>3156</v>
          </cell>
          <cell r="F1098">
            <v>43490</v>
          </cell>
          <cell r="G1098" t="str">
            <v>OK</v>
          </cell>
        </row>
        <row r="1099">
          <cell r="A1099" t="str">
            <v>Y1901-0318</v>
          </cell>
          <cell r="B1099">
            <v>201810</v>
          </cell>
          <cell r="C1099" t="str">
            <v>0100175482</v>
          </cell>
          <cell r="D1099" t="str">
            <v>560643C</v>
          </cell>
          <cell r="E1099">
            <v>15600</v>
          </cell>
          <cell r="F1099">
            <v>43490</v>
          </cell>
          <cell r="G1099" t="str">
            <v>OK</v>
          </cell>
        </row>
        <row r="1100">
          <cell r="A1100" t="str">
            <v>Y1901-0319</v>
          </cell>
          <cell r="B1100">
            <v>201810</v>
          </cell>
          <cell r="C1100" t="str">
            <v>0100175483</v>
          </cell>
          <cell r="D1100" t="str">
            <v>560644C</v>
          </cell>
          <cell r="E1100">
            <v>11208</v>
          </cell>
          <cell r="F1100">
            <v>43490</v>
          </cell>
          <cell r="G1100" t="str">
            <v>OK</v>
          </cell>
        </row>
        <row r="1101">
          <cell r="A1101" t="str">
            <v>Y1901-0320</v>
          </cell>
          <cell r="B1101">
            <v>201810</v>
          </cell>
          <cell r="C1101" t="str">
            <v>0100175485</v>
          </cell>
          <cell r="D1101" t="str">
            <v>560630C</v>
          </cell>
          <cell r="E1101">
            <v>2736</v>
          </cell>
          <cell r="F1101">
            <v>43490</v>
          </cell>
          <cell r="G1101" t="str">
            <v>OK</v>
          </cell>
        </row>
        <row r="1102">
          <cell r="A1102" t="str">
            <v>Y1901-0321</v>
          </cell>
          <cell r="B1102">
            <v>201810</v>
          </cell>
          <cell r="C1102" t="str">
            <v>0100175486</v>
          </cell>
          <cell r="D1102" t="str">
            <v>560629F</v>
          </cell>
          <cell r="E1102">
            <v>5124</v>
          </cell>
          <cell r="F1102">
            <v>43490</v>
          </cell>
          <cell r="G1102" t="str">
            <v>OK</v>
          </cell>
        </row>
        <row r="1103">
          <cell r="A1103" t="str">
            <v>Y1901-0322</v>
          </cell>
          <cell r="B1103">
            <v>201810</v>
          </cell>
          <cell r="C1103" t="str">
            <v>0100175487</v>
          </cell>
          <cell r="D1103" t="str">
            <v>M8437</v>
          </cell>
          <cell r="E1103">
            <v>624</v>
          </cell>
          <cell r="F1103">
            <v>43483</v>
          </cell>
          <cell r="G1103" t="str">
            <v>OK</v>
          </cell>
        </row>
        <row r="1104">
          <cell r="A1104" t="str">
            <v>Y1901-0323</v>
          </cell>
          <cell r="B1104">
            <v>201810</v>
          </cell>
          <cell r="C1104" t="str">
            <v>0100175488</v>
          </cell>
          <cell r="D1104" t="str">
            <v>M8437</v>
          </cell>
          <cell r="E1104">
            <v>3732</v>
          </cell>
          <cell r="F1104">
            <v>43490</v>
          </cell>
          <cell r="G1104" t="str">
            <v>OK</v>
          </cell>
        </row>
        <row r="1105">
          <cell r="A1105" t="str">
            <v>Y1901-0324</v>
          </cell>
          <cell r="B1105">
            <v>201810</v>
          </cell>
          <cell r="C1105" t="str">
            <v>0100175489</v>
          </cell>
          <cell r="D1105" t="str">
            <v>M3494</v>
          </cell>
          <cell r="E1105">
            <v>3732</v>
          </cell>
          <cell r="F1105">
            <v>43490</v>
          </cell>
          <cell r="G1105" t="str">
            <v>OK</v>
          </cell>
        </row>
        <row r="1106">
          <cell r="A1106" t="str">
            <v>Y1901-0325</v>
          </cell>
          <cell r="B1106">
            <v>201810</v>
          </cell>
          <cell r="C1106" t="str">
            <v>0100175490</v>
          </cell>
          <cell r="D1106" t="str">
            <v>660727F</v>
          </cell>
          <cell r="E1106">
            <v>3864</v>
          </cell>
          <cell r="F1106">
            <v>43490</v>
          </cell>
          <cell r="G1106" t="str">
            <v>OK</v>
          </cell>
        </row>
        <row r="1107">
          <cell r="A1107" t="str">
            <v>Y1901-0326</v>
          </cell>
          <cell r="B1107">
            <v>201810</v>
          </cell>
          <cell r="C1107" t="str">
            <v>0100175491</v>
          </cell>
          <cell r="D1107" t="str">
            <v>660728F</v>
          </cell>
          <cell r="E1107">
            <v>3852</v>
          </cell>
          <cell r="F1107">
            <v>43490</v>
          </cell>
          <cell r="G1107" t="str">
            <v>12/21</v>
          </cell>
        </row>
        <row r="1108">
          <cell r="A1108" t="str">
            <v>Y1901-0327</v>
          </cell>
          <cell r="B1108">
            <v>201810</v>
          </cell>
          <cell r="C1108" t="str">
            <v>0100175492</v>
          </cell>
          <cell r="D1108" t="str">
            <v>565548C</v>
          </cell>
          <cell r="E1108">
            <v>312</v>
          </cell>
          <cell r="F1108">
            <v>43481</v>
          </cell>
          <cell r="G1108" t="str">
            <v>OK</v>
          </cell>
        </row>
        <row r="1109">
          <cell r="A1109" t="str">
            <v>Y1901-0328</v>
          </cell>
          <cell r="B1109">
            <v>201810</v>
          </cell>
          <cell r="C1109" t="str">
            <v>0100175493</v>
          </cell>
          <cell r="D1109" t="str">
            <v>163377C</v>
          </cell>
          <cell r="E1109">
            <v>684</v>
          </cell>
          <cell r="F1109">
            <v>43490</v>
          </cell>
          <cell r="G1109" t="str">
            <v>OK</v>
          </cell>
        </row>
        <row r="1110">
          <cell r="A1110" t="str">
            <v>Y1901-0329</v>
          </cell>
          <cell r="B1110">
            <v>201810</v>
          </cell>
          <cell r="C1110" t="str">
            <v>0100175494</v>
          </cell>
          <cell r="D1110" t="str">
            <v>7J256</v>
          </cell>
          <cell r="E1110">
            <v>900</v>
          </cell>
          <cell r="F1110">
            <v>43479</v>
          </cell>
          <cell r="G1110" t="str">
            <v>OK</v>
          </cell>
        </row>
        <row r="1111">
          <cell r="A1111" t="str">
            <v>Y1901-0330</v>
          </cell>
          <cell r="B1111">
            <v>201810</v>
          </cell>
          <cell r="C1111" t="str">
            <v>0100175495</v>
          </cell>
          <cell r="D1111" t="str">
            <v>3J253</v>
          </cell>
          <cell r="E1111">
            <v>900</v>
          </cell>
          <cell r="F1111">
            <v>43479</v>
          </cell>
          <cell r="G1111" t="str">
            <v>OK</v>
          </cell>
        </row>
        <row r="1112">
          <cell r="A1112" t="str">
            <v>Y1901-0331</v>
          </cell>
          <cell r="B1112">
            <v>201810</v>
          </cell>
          <cell r="C1112" t="str">
            <v>0100175496</v>
          </cell>
          <cell r="D1112" t="str">
            <v>3J256</v>
          </cell>
          <cell r="E1112">
            <v>1200</v>
          </cell>
          <cell r="F1112">
            <v>43479</v>
          </cell>
          <cell r="G1112" t="str">
            <v>OK</v>
          </cell>
        </row>
        <row r="1113">
          <cell r="A1113" t="str">
            <v>Y1901-0332</v>
          </cell>
          <cell r="B1113">
            <v>201810</v>
          </cell>
          <cell r="C1113" t="str">
            <v>0100175497</v>
          </cell>
          <cell r="D1113" t="str">
            <v>3J238</v>
          </cell>
          <cell r="E1113">
            <v>1212</v>
          </cell>
          <cell r="F1113">
            <v>43479</v>
          </cell>
          <cell r="G1113" t="str">
            <v>OK</v>
          </cell>
        </row>
        <row r="1114">
          <cell r="A1114" t="str">
            <v>Y1901-0333</v>
          </cell>
          <cell r="B1114">
            <v>201810</v>
          </cell>
          <cell r="C1114" t="str">
            <v>0100175498</v>
          </cell>
          <cell r="D1114" t="str">
            <v>7J256</v>
          </cell>
          <cell r="E1114">
            <v>900</v>
          </cell>
          <cell r="F1114">
            <v>43468</v>
          </cell>
          <cell r="G1114" t="str">
            <v>OK</v>
          </cell>
        </row>
        <row r="1115">
          <cell r="A1115" t="str">
            <v>Y1901-0334</v>
          </cell>
          <cell r="B1115">
            <v>201810</v>
          </cell>
          <cell r="C1115" t="str">
            <v>0100175499</v>
          </cell>
          <cell r="D1115" t="str">
            <v>M7652</v>
          </cell>
          <cell r="E1115">
            <v>1196</v>
          </cell>
          <cell r="F1115">
            <v>43468</v>
          </cell>
          <cell r="G1115" t="str">
            <v>OK</v>
          </cell>
        </row>
        <row r="1116">
          <cell r="A1116" t="str">
            <v>Y1901-0335</v>
          </cell>
          <cell r="B1116">
            <v>201810</v>
          </cell>
          <cell r="C1116" t="str">
            <v>0100175500</v>
          </cell>
          <cell r="D1116" t="str">
            <v>M7650</v>
          </cell>
          <cell r="E1116">
            <v>3600</v>
          </cell>
          <cell r="F1116">
            <v>43479</v>
          </cell>
          <cell r="G1116" t="str">
            <v>OK</v>
          </cell>
        </row>
        <row r="1117">
          <cell r="A1117" t="str">
            <v>Y1901-0336</v>
          </cell>
          <cell r="B1117">
            <v>201810</v>
          </cell>
          <cell r="C1117" t="str">
            <v>0100175501</v>
          </cell>
          <cell r="D1117" t="str">
            <v>M7652</v>
          </cell>
          <cell r="E1117">
            <v>6000</v>
          </cell>
          <cell r="F1117">
            <v>43479</v>
          </cell>
          <cell r="G1117" t="str">
            <v>OK</v>
          </cell>
        </row>
        <row r="1118">
          <cell r="A1118" t="str">
            <v>Y1901-0337</v>
          </cell>
          <cell r="B1118">
            <v>201810</v>
          </cell>
          <cell r="C1118" t="str">
            <v>0100175502</v>
          </cell>
          <cell r="D1118" t="str">
            <v>3J238</v>
          </cell>
          <cell r="E1118">
            <v>900</v>
          </cell>
          <cell r="F1118">
            <v>43468</v>
          </cell>
          <cell r="G1118" t="str">
            <v>OK</v>
          </cell>
        </row>
        <row r="1119">
          <cell r="A1119" t="str">
            <v>Y1901-0338</v>
          </cell>
          <cell r="B1119">
            <v>201810</v>
          </cell>
          <cell r="C1119" t="str">
            <v>0100175503</v>
          </cell>
          <cell r="D1119" t="str">
            <v>M7652</v>
          </cell>
          <cell r="E1119">
            <v>1200</v>
          </cell>
          <cell r="F1119">
            <v>43479</v>
          </cell>
          <cell r="G1119" t="str">
            <v>OK</v>
          </cell>
        </row>
        <row r="1120">
          <cell r="A1120" t="str">
            <v>Y1901-0339</v>
          </cell>
          <cell r="B1120">
            <v>201810</v>
          </cell>
          <cell r="C1120" t="str">
            <v>0100175504</v>
          </cell>
          <cell r="D1120" t="str">
            <v>M9697</v>
          </cell>
          <cell r="E1120">
            <v>900</v>
          </cell>
          <cell r="F1120">
            <v>43479</v>
          </cell>
          <cell r="G1120" t="str">
            <v>OK</v>
          </cell>
        </row>
        <row r="1121">
          <cell r="A1121" t="str">
            <v>Y1901-0340</v>
          </cell>
          <cell r="B1121">
            <v>201810</v>
          </cell>
          <cell r="C1121" t="str">
            <v>0100175505</v>
          </cell>
          <cell r="D1121" t="str">
            <v>M7652</v>
          </cell>
          <cell r="E1121">
            <v>2256</v>
          </cell>
          <cell r="F1121">
            <v>43479</v>
          </cell>
          <cell r="G1121" t="str">
            <v>OK</v>
          </cell>
        </row>
        <row r="1122">
          <cell r="A1122" t="str">
            <v>Y1901-0341</v>
          </cell>
          <cell r="B1122">
            <v>201810</v>
          </cell>
          <cell r="C1122" t="str">
            <v>0100175506</v>
          </cell>
          <cell r="D1122" t="str">
            <v>M9621</v>
          </cell>
          <cell r="E1122">
            <v>696</v>
          </cell>
          <cell r="F1122">
            <v>43479</v>
          </cell>
          <cell r="G1122" t="str">
            <v>OK</v>
          </cell>
        </row>
        <row r="1123">
          <cell r="A1123" t="str">
            <v>Y1901-0342</v>
          </cell>
          <cell r="B1123">
            <v>201810</v>
          </cell>
          <cell r="C1123" t="str">
            <v>0100175507</v>
          </cell>
          <cell r="D1123" t="str">
            <v>M7650</v>
          </cell>
          <cell r="E1123">
            <v>1356</v>
          </cell>
          <cell r="F1123">
            <v>43479</v>
          </cell>
          <cell r="G1123" t="str">
            <v>OK</v>
          </cell>
        </row>
        <row r="1124">
          <cell r="A1124" t="str">
            <v>Y1901-0343</v>
          </cell>
          <cell r="B1124">
            <v>201810</v>
          </cell>
          <cell r="C1124" t="str">
            <v>0100175508</v>
          </cell>
          <cell r="D1124" t="str">
            <v>M9696</v>
          </cell>
          <cell r="E1124">
            <v>900</v>
          </cell>
          <cell r="F1124">
            <v>43479</v>
          </cell>
          <cell r="G1124" t="str">
            <v>OK</v>
          </cell>
        </row>
        <row r="1125">
          <cell r="A1125" t="str">
            <v>Y1901-0344</v>
          </cell>
          <cell r="B1125">
            <v>201810</v>
          </cell>
          <cell r="C1125" t="str">
            <v>0100175509</v>
          </cell>
          <cell r="D1125" t="str">
            <v>M7650</v>
          </cell>
          <cell r="E1125">
            <v>360</v>
          </cell>
          <cell r="F1125">
            <v>43479</v>
          </cell>
          <cell r="G1125" t="str">
            <v>OK</v>
          </cell>
        </row>
        <row r="1126">
          <cell r="A1126" t="str">
            <v>Y1901-0345</v>
          </cell>
          <cell r="B1126">
            <v>201810</v>
          </cell>
          <cell r="C1126" t="str">
            <v>0100175510</v>
          </cell>
          <cell r="D1126" t="str">
            <v>M7650</v>
          </cell>
          <cell r="E1126">
            <v>420</v>
          </cell>
          <cell r="F1126">
            <v>43479</v>
          </cell>
          <cell r="G1126" t="str">
            <v>OK</v>
          </cell>
        </row>
        <row r="1127">
          <cell r="A1127" t="str">
            <v>Y1901-0346</v>
          </cell>
          <cell r="B1127">
            <v>201810</v>
          </cell>
          <cell r="C1127" t="str">
            <v>0100175511</v>
          </cell>
          <cell r="D1127" t="str">
            <v>M9696</v>
          </cell>
          <cell r="E1127">
            <v>360</v>
          </cell>
          <cell r="F1127">
            <v>43479</v>
          </cell>
          <cell r="G1127" t="str">
            <v>OK</v>
          </cell>
        </row>
        <row r="1128">
          <cell r="A1128" t="str">
            <v>Y1901-0347</v>
          </cell>
          <cell r="B1128">
            <v>201810</v>
          </cell>
          <cell r="C1128" t="str">
            <v>0100175512</v>
          </cell>
          <cell r="D1128" t="str">
            <v>M7652</v>
          </cell>
          <cell r="E1128">
            <v>588</v>
          </cell>
          <cell r="F1128">
            <v>43479</v>
          </cell>
          <cell r="G1128" t="str">
            <v>OK</v>
          </cell>
        </row>
        <row r="1129">
          <cell r="A1129" t="str">
            <v>Y1901-0348</v>
          </cell>
          <cell r="B1129">
            <v>201810</v>
          </cell>
          <cell r="C1129" t="str">
            <v>0100175513</v>
          </cell>
          <cell r="D1129" t="str">
            <v>M7652</v>
          </cell>
          <cell r="E1129">
            <v>612</v>
          </cell>
          <cell r="F1129">
            <v>43479</v>
          </cell>
          <cell r="G1129" t="str">
            <v>OK</v>
          </cell>
        </row>
        <row r="1130">
          <cell r="A1130" t="str">
            <v>Y1901-0349</v>
          </cell>
          <cell r="B1130">
            <v>201810</v>
          </cell>
          <cell r="C1130" t="str">
            <v>0100175514</v>
          </cell>
          <cell r="D1130" t="str">
            <v>M7652</v>
          </cell>
          <cell r="E1130">
            <v>360</v>
          </cell>
          <cell r="F1130">
            <v>43475</v>
          </cell>
          <cell r="G1130" t="str">
            <v>OK</v>
          </cell>
        </row>
        <row r="1131">
          <cell r="A1131" t="str">
            <v>Y1901-0350</v>
          </cell>
          <cell r="B1131">
            <v>201810</v>
          </cell>
          <cell r="C1131" t="str">
            <v>0100175515</v>
          </cell>
          <cell r="D1131" t="str">
            <v>W9166</v>
          </cell>
          <cell r="E1131">
            <v>2808</v>
          </cell>
          <cell r="F1131">
            <v>43475</v>
          </cell>
          <cell r="G1131" t="str">
            <v>OK</v>
          </cell>
        </row>
        <row r="1132">
          <cell r="A1132" t="str">
            <v>Y1901-0351</v>
          </cell>
          <cell r="B1132">
            <v>201810</v>
          </cell>
          <cell r="C1132" t="str">
            <v>0100175516</v>
          </cell>
          <cell r="D1132" t="str">
            <v>7J256</v>
          </cell>
          <cell r="E1132">
            <v>360</v>
          </cell>
          <cell r="F1132">
            <v>43479</v>
          </cell>
          <cell r="G1132" t="str">
            <v>OK</v>
          </cell>
        </row>
        <row r="1133">
          <cell r="A1133" t="str">
            <v>Y1901-0610</v>
          </cell>
          <cell r="B1133">
            <v>201810</v>
          </cell>
          <cell r="C1133" t="str">
            <v>0100175517</v>
          </cell>
          <cell r="D1133">
            <v>88871</v>
          </cell>
          <cell r="E1133">
            <v>360</v>
          </cell>
          <cell r="F1133">
            <v>43477</v>
          </cell>
          <cell r="G1133" t="str">
            <v>OK</v>
          </cell>
        </row>
        <row r="1134">
          <cell r="A1134" t="str">
            <v>Y1901-0352</v>
          </cell>
          <cell r="B1134">
            <v>201810</v>
          </cell>
          <cell r="C1134" t="str">
            <v>0100175518</v>
          </cell>
          <cell r="D1134" t="str">
            <v>1J794</v>
          </cell>
          <cell r="E1134">
            <v>552</v>
          </cell>
          <cell r="F1134">
            <v>43479</v>
          </cell>
          <cell r="G1134" t="str">
            <v>OK</v>
          </cell>
        </row>
        <row r="1135">
          <cell r="A1135" t="str">
            <v>Y1901-0353</v>
          </cell>
          <cell r="B1135">
            <v>201810</v>
          </cell>
          <cell r="C1135" t="str">
            <v>0100175519</v>
          </cell>
          <cell r="D1135" t="str">
            <v>1J794</v>
          </cell>
          <cell r="E1135">
            <v>612</v>
          </cell>
          <cell r="F1135">
            <v>43479</v>
          </cell>
          <cell r="G1135" t="str">
            <v>OK</v>
          </cell>
        </row>
        <row r="1136">
          <cell r="A1136" t="str">
            <v>Y1901-0354</v>
          </cell>
          <cell r="B1136">
            <v>201810</v>
          </cell>
          <cell r="C1136" t="str">
            <v>0100175520</v>
          </cell>
          <cell r="D1136" t="str">
            <v>M9621</v>
          </cell>
          <cell r="E1136">
            <v>456</v>
          </cell>
          <cell r="F1136">
            <v>43479</v>
          </cell>
          <cell r="G1136" t="str">
            <v>OK</v>
          </cell>
        </row>
        <row r="1137">
          <cell r="A1137" t="str">
            <v>Y1901-0355</v>
          </cell>
          <cell r="B1137">
            <v>201810</v>
          </cell>
          <cell r="C1137" t="str">
            <v>0100175521</v>
          </cell>
          <cell r="D1137" t="str">
            <v>M9697</v>
          </cell>
          <cell r="E1137">
            <v>432</v>
          </cell>
          <cell r="F1137">
            <v>43479</v>
          </cell>
          <cell r="G1137" t="str">
            <v>OK</v>
          </cell>
        </row>
        <row r="1138">
          <cell r="A1138" t="str">
            <v>Y1901-0356</v>
          </cell>
          <cell r="B1138">
            <v>201810</v>
          </cell>
          <cell r="C1138" t="str">
            <v>0100175522</v>
          </cell>
          <cell r="D1138" t="str">
            <v>M9697</v>
          </cell>
          <cell r="E1138">
            <v>624</v>
          </cell>
          <cell r="F1138">
            <v>43479</v>
          </cell>
          <cell r="G1138" t="str">
            <v>OK</v>
          </cell>
        </row>
        <row r="1139">
          <cell r="A1139" t="str">
            <v>Y1901-0357</v>
          </cell>
          <cell r="B1139">
            <v>201810</v>
          </cell>
          <cell r="C1139" t="str">
            <v>0100175523</v>
          </cell>
          <cell r="D1139" t="str">
            <v>M9696</v>
          </cell>
          <cell r="E1139">
            <v>624</v>
          </cell>
          <cell r="F1139">
            <v>43479</v>
          </cell>
          <cell r="G1139" t="str">
            <v>OK</v>
          </cell>
        </row>
        <row r="1140">
          <cell r="A1140" t="str">
            <v>Y1901-0358</v>
          </cell>
          <cell r="B1140">
            <v>201810</v>
          </cell>
          <cell r="C1140" t="str">
            <v>0100175524</v>
          </cell>
          <cell r="D1140" t="str">
            <v>M9696</v>
          </cell>
          <cell r="E1140">
            <v>468</v>
          </cell>
          <cell r="F1140">
            <v>43479</v>
          </cell>
          <cell r="G1140" t="str">
            <v>OK</v>
          </cell>
        </row>
        <row r="1141">
          <cell r="A1141" t="str">
            <v>Y1901-0359</v>
          </cell>
          <cell r="B1141">
            <v>201810</v>
          </cell>
          <cell r="C1141" t="str">
            <v>0100175525</v>
          </cell>
          <cell r="D1141" t="str">
            <v>3J256</v>
          </cell>
          <cell r="E1141">
            <v>1200</v>
          </cell>
          <cell r="F1141">
            <v>43479</v>
          </cell>
          <cell r="G1141" t="str">
            <v>OK</v>
          </cell>
        </row>
        <row r="1142">
          <cell r="A1142" t="str">
            <v>Y1901-0360</v>
          </cell>
          <cell r="B1142">
            <v>201810</v>
          </cell>
          <cell r="C1142" t="str">
            <v>0100175526</v>
          </cell>
          <cell r="D1142" t="str">
            <v>7J256</v>
          </cell>
          <cell r="E1142">
            <v>1500</v>
          </cell>
          <cell r="F1142">
            <v>43479</v>
          </cell>
          <cell r="G1142" t="str">
            <v>OK</v>
          </cell>
        </row>
        <row r="1143">
          <cell r="A1143" t="str">
            <v>Y1901-0361</v>
          </cell>
          <cell r="B1143">
            <v>201810</v>
          </cell>
          <cell r="C1143" t="str">
            <v>0100175527</v>
          </cell>
          <cell r="D1143" t="str">
            <v>3J256</v>
          </cell>
          <cell r="E1143">
            <v>6012</v>
          </cell>
          <cell r="F1143">
            <v>43483</v>
          </cell>
          <cell r="G1143" t="str">
            <v>OK</v>
          </cell>
        </row>
        <row r="1144">
          <cell r="A1144" t="str">
            <v>Y1901-0362</v>
          </cell>
          <cell r="B1144">
            <v>201810</v>
          </cell>
          <cell r="C1144" t="str">
            <v>0100175528</v>
          </cell>
          <cell r="D1144" t="str">
            <v>107469F</v>
          </cell>
          <cell r="E1144">
            <v>3000</v>
          </cell>
          <cell r="F1144">
            <v>43493</v>
          </cell>
          <cell r="G1144" t="str">
            <v>OK</v>
          </cell>
        </row>
        <row r="1145">
          <cell r="A1145" t="str">
            <v>Y1901-0363</v>
          </cell>
          <cell r="B1145">
            <v>201810</v>
          </cell>
          <cell r="C1145" t="str">
            <v>0100175529</v>
          </cell>
          <cell r="D1145" t="str">
            <v>3J253</v>
          </cell>
          <cell r="E1145">
            <v>384</v>
          </cell>
          <cell r="F1145">
            <v>43483</v>
          </cell>
          <cell r="G1145" t="str">
            <v>OK</v>
          </cell>
        </row>
        <row r="1146">
          <cell r="A1146" t="str">
            <v>Y1901-0364</v>
          </cell>
          <cell r="B1146">
            <v>201810</v>
          </cell>
          <cell r="C1146" t="str">
            <v>0100175530</v>
          </cell>
          <cell r="D1146" t="str">
            <v>7J256</v>
          </cell>
          <cell r="E1146">
            <v>576</v>
          </cell>
          <cell r="F1146">
            <v>43490</v>
          </cell>
          <cell r="G1146" t="str">
            <v>OK</v>
          </cell>
        </row>
        <row r="1147">
          <cell r="A1147" t="str">
            <v>Y1901-0365</v>
          </cell>
          <cell r="B1147">
            <v>201810</v>
          </cell>
          <cell r="C1147" t="str">
            <v>0100175531</v>
          </cell>
          <cell r="D1147" t="str">
            <v>7J256</v>
          </cell>
          <cell r="E1147">
            <v>924</v>
          </cell>
          <cell r="F1147">
            <v>43490</v>
          </cell>
          <cell r="G1147" t="str">
            <v>OK</v>
          </cell>
        </row>
        <row r="1148">
          <cell r="A1148" t="str">
            <v>Y1901-0366</v>
          </cell>
          <cell r="B1148">
            <v>201810</v>
          </cell>
          <cell r="C1148" t="str">
            <v>0100175532</v>
          </cell>
          <cell r="D1148" t="str">
            <v>8J231</v>
          </cell>
          <cell r="E1148">
            <v>1500</v>
          </cell>
          <cell r="F1148">
            <v>43483</v>
          </cell>
          <cell r="G1148" t="str">
            <v>OK</v>
          </cell>
        </row>
        <row r="1149">
          <cell r="A1149" t="str">
            <v>Y1901-0367</v>
          </cell>
          <cell r="B1149">
            <v>201810</v>
          </cell>
          <cell r="C1149" t="str">
            <v>0100175533</v>
          </cell>
          <cell r="D1149" t="str">
            <v>7J256</v>
          </cell>
          <cell r="E1149">
            <v>9480</v>
          </cell>
          <cell r="F1149">
            <v>43483</v>
          </cell>
          <cell r="G1149" t="str">
            <v>OK</v>
          </cell>
        </row>
        <row r="1150">
          <cell r="A1150" t="str">
            <v>Y1901-0368</v>
          </cell>
          <cell r="B1150">
            <v>201810</v>
          </cell>
          <cell r="C1150" t="str">
            <v>0100175534</v>
          </cell>
          <cell r="D1150" t="str">
            <v>3J256</v>
          </cell>
          <cell r="E1150">
            <v>720</v>
          </cell>
          <cell r="F1150">
            <v>43490</v>
          </cell>
          <cell r="G1150" t="str">
            <v>OK</v>
          </cell>
        </row>
        <row r="1151">
          <cell r="A1151" t="str">
            <v>Y1901-0369</v>
          </cell>
          <cell r="B1151">
            <v>201810</v>
          </cell>
          <cell r="C1151" t="str">
            <v>0100175535</v>
          </cell>
          <cell r="D1151" t="str">
            <v>3J256</v>
          </cell>
          <cell r="E1151">
            <v>768</v>
          </cell>
          <cell r="F1151">
            <v>43490</v>
          </cell>
          <cell r="G1151" t="str">
            <v>OK</v>
          </cell>
        </row>
        <row r="1152">
          <cell r="A1152" t="str">
            <v>Y1901-0370</v>
          </cell>
          <cell r="B1152">
            <v>201810</v>
          </cell>
          <cell r="C1152" t="str">
            <v>0100175536</v>
          </cell>
          <cell r="D1152" t="str">
            <v>M9621</v>
          </cell>
          <cell r="E1152">
            <v>4008</v>
          </cell>
          <cell r="F1152">
            <v>43479</v>
          </cell>
          <cell r="G1152" t="str">
            <v>OK</v>
          </cell>
        </row>
        <row r="1153">
          <cell r="A1153" t="str">
            <v>Y1901-0371</v>
          </cell>
          <cell r="B1153">
            <v>201810</v>
          </cell>
          <cell r="C1153" t="str">
            <v>0100175537</v>
          </cell>
          <cell r="D1153" t="str">
            <v>M9696</v>
          </cell>
          <cell r="E1153">
            <v>4008</v>
          </cell>
          <cell r="F1153">
            <v>43479</v>
          </cell>
          <cell r="G1153" t="str">
            <v>OK</v>
          </cell>
        </row>
        <row r="1154">
          <cell r="A1154" t="str">
            <v>Y1902-0298</v>
          </cell>
          <cell r="B1154">
            <v>201810</v>
          </cell>
          <cell r="C1154" t="str">
            <v>0100175538</v>
          </cell>
          <cell r="D1154" t="str">
            <v>549700F</v>
          </cell>
          <cell r="E1154">
            <v>402</v>
          </cell>
          <cell r="F1154">
            <v>43487</v>
          </cell>
          <cell r="G1154" t="str">
            <v>OK</v>
          </cell>
        </row>
        <row r="1155">
          <cell r="A1155" t="str">
            <v>Y1902-0299</v>
          </cell>
          <cell r="B1155">
            <v>201810</v>
          </cell>
          <cell r="C1155" t="str">
            <v>0100175539</v>
          </cell>
          <cell r="D1155" t="str">
            <v>549700F</v>
          </cell>
          <cell r="E1155">
            <v>690</v>
          </cell>
          <cell r="F1155">
            <v>43487</v>
          </cell>
          <cell r="G1155" t="str">
            <v>OK</v>
          </cell>
        </row>
        <row r="1156">
          <cell r="A1156" t="str">
            <v>Y1902-0300</v>
          </cell>
          <cell r="B1156">
            <v>201810</v>
          </cell>
          <cell r="C1156" t="str">
            <v>0100175540</v>
          </cell>
          <cell r="D1156" t="str">
            <v>549700F</v>
          </cell>
          <cell r="E1156">
            <v>408</v>
          </cell>
          <cell r="F1156">
            <v>43487</v>
          </cell>
          <cell r="G1156" t="str">
            <v>OK</v>
          </cell>
        </row>
        <row r="1157">
          <cell r="A1157" t="str">
            <v>Y1901-0372</v>
          </cell>
          <cell r="B1157">
            <v>201810</v>
          </cell>
          <cell r="C1157" t="str">
            <v>0100177693</v>
          </cell>
          <cell r="D1157" t="str">
            <v>565536C</v>
          </cell>
          <cell r="E1157">
            <v>105</v>
          </cell>
          <cell r="F1157">
            <v>43481</v>
          </cell>
          <cell r="G1157" t="str">
            <v>OK</v>
          </cell>
        </row>
        <row r="1158">
          <cell r="A1158" t="str">
            <v>Y1901-0373</v>
          </cell>
          <cell r="B1158">
            <v>201810</v>
          </cell>
          <cell r="C1158" t="str">
            <v>0100177694</v>
          </cell>
          <cell r="D1158" t="str">
            <v>M9621C</v>
          </cell>
          <cell r="E1158">
            <v>360</v>
          </cell>
          <cell r="F1158">
            <v>43476</v>
          </cell>
          <cell r="G1158" t="str">
            <v>OK</v>
          </cell>
        </row>
        <row r="1159">
          <cell r="A1159" t="str">
            <v>Y1902-0302</v>
          </cell>
          <cell r="B1159">
            <v>201810</v>
          </cell>
          <cell r="C1159" t="str">
            <v>0100177695</v>
          </cell>
          <cell r="D1159" t="str">
            <v>565536C</v>
          </cell>
          <cell r="E1159">
            <v>564</v>
          </cell>
          <cell r="F1159">
            <v>43481</v>
          </cell>
          <cell r="G1159" t="str">
            <v>OK</v>
          </cell>
        </row>
        <row r="1160">
          <cell r="A1160" t="str">
            <v>Y1901-0374</v>
          </cell>
          <cell r="B1160">
            <v>201810</v>
          </cell>
          <cell r="C1160" t="str">
            <v>0100177696</v>
          </cell>
          <cell r="D1160" t="str">
            <v>164060C</v>
          </cell>
          <cell r="E1160">
            <v>1296</v>
          </cell>
          <cell r="F1160">
            <v>43492</v>
          </cell>
          <cell r="G1160" t="str">
            <v>OK</v>
          </cell>
        </row>
        <row r="1161">
          <cell r="A1161" t="str">
            <v>Y1901-0375</v>
          </cell>
          <cell r="B1161">
            <v>201810</v>
          </cell>
          <cell r="C1161" t="str">
            <v>0100177697</v>
          </cell>
          <cell r="D1161" t="str">
            <v>M7652C</v>
          </cell>
          <cell r="E1161">
            <v>2436</v>
          </cell>
          <cell r="F1161">
            <v>43492</v>
          </cell>
          <cell r="G1161" t="str">
            <v>OK</v>
          </cell>
        </row>
        <row r="1162">
          <cell r="A1162" t="str">
            <v>Y1901-0376</v>
          </cell>
          <cell r="B1162">
            <v>201810</v>
          </cell>
          <cell r="C1162" t="str">
            <v>0100177698</v>
          </cell>
          <cell r="D1162" t="str">
            <v>364170C</v>
          </cell>
          <cell r="E1162">
            <v>180</v>
          </cell>
          <cell r="F1162">
            <v>43492</v>
          </cell>
          <cell r="G1162" t="str">
            <v>OK</v>
          </cell>
        </row>
        <row r="1163">
          <cell r="A1163" t="str">
            <v>Y1901-0377</v>
          </cell>
          <cell r="B1163">
            <v>201810</v>
          </cell>
          <cell r="C1163" t="str">
            <v>0100177699</v>
          </cell>
          <cell r="D1163" t="str">
            <v>164281C</v>
          </cell>
          <cell r="E1163">
            <v>264</v>
          </cell>
          <cell r="F1163">
            <v>43492</v>
          </cell>
          <cell r="G1163" t="str">
            <v>OK</v>
          </cell>
        </row>
        <row r="1164">
          <cell r="A1164" t="str">
            <v>Y1901-0378</v>
          </cell>
          <cell r="B1164">
            <v>201810</v>
          </cell>
          <cell r="C1164" t="str">
            <v>0100177700</v>
          </cell>
          <cell r="D1164" t="str">
            <v>164059C</v>
          </cell>
          <cell r="E1164">
            <v>264</v>
          </cell>
          <cell r="F1164">
            <v>43492</v>
          </cell>
          <cell r="G1164" t="str">
            <v>OK</v>
          </cell>
        </row>
        <row r="1165">
          <cell r="A1165" t="str">
            <v>Y1901-0379</v>
          </cell>
          <cell r="B1165">
            <v>201810</v>
          </cell>
          <cell r="C1165" t="str">
            <v>0100177701</v>
          </cell>
          <cell r="D1165">
            <v>88875</v>
          </cell>
          <cell r="E1165">
            <v>360</v>
          </cell>
          <cell r="F1165">
            <v>43492</v>
          </cell>
          <cell r="G1165" t="str">
            <v>OK</v>
          </cell>
        </row>
        <row r="1166">
          <cell r="A1166" t="str">
            <v>Y1901-0380</v>
          </cell>
          <cell r="B1166">
            <v>201810</v>
          </cell>
          <cell r="C1166" t="str">
            <v>0100177702</v>
          </cell>
          <cell r="D1166" t="str">
            <v>565536C</v>
          </cell>
          <cell r="E1166">
            <v>21</v>
          </cell>
          <cell r="F1166">
            <v>43492</v>
          </cell>
          <cell r="G1166" t="str">
            <v>OK</v>
          </cell>
        </row>
        <row r="1167">
          <cell r="A1167" t="str">
            <v>Y1902-0307</v>
          </cell>
          <cell r="B1167">
            <v>201810</v>
          </cell>
          <cell r="C1167" t="str">
            <v>0100177707</v>
          </cell>
          <cell r="D1167" t="str">
            <v>158369C</v>
          </cell>
          <cell r="E1167">
            <v>1692</v>
          </cell>
          <cell r="F1167">
            <v>43486</v>
          </cell>
          <cell r="G1167" t="str">
            <v>OK</v>
          </cell>
        </row>
        <row r="1168">
          <cell r="A1168" t="str">
            <v>Y1901-0381</v>
          </cell>
          <cell r="B1168">
            <v>201810</v>
          </cell>
          <cell r="C1168" t="str">
            <v>0100177709</v>
          </cell>
          <cell r="D1168" t="str">
            <v>565536C</v>
          </cell>
          <cell r="E1168">
            <v>172</v>
          </cell>
          <cell r="F1168">
            <v>43481</v>
          </cell>
          <cell r="G1168" t="str">
            <v>OK</v>
          </cell>
        </row>
        <row r="1169">
          <cell r="A1169" t="str">
            <v>Y1901-0382</v>
          </cell>
          <cell r="B1169">
            <v>201810</v>
          </cell>
          <cell r="C1169" t="str">
            <v>0100177710</v>
          </cell>
          <cell r="D1169" t="str">
            <v>565548C</v>
          </cell>
          <cell r="E1169">
            <v>196</v>
          </cell>
          <cell r="F1169">
            <v>43481</v>
          </cell>
          <cell r="G1169" t="str">
            <v>OK</v>
          </cell>
        </row>
        <row r="1170">
          <cell r="A1170" t="str">
            <v>Y1901-0383</v>
          </cell>
          <cell r="B1170">
            <v>201810</v>
          </cell>
          <cell r="C1170" t="str">
            <v>0100177839</v>
          </cell>
          <cell r="D1170" t="str">
            <v>3J238C</v>
          </cell>
          <cell r="E1170">
            <v>300</v>
          </cell>
          <cell r="F1170">
            <v>43476</v>
          </cell>
          <cell r="G1170" t="str">
            <v>OK</v>
          </cell>
        </row>
        <row r="1171">
          <cell r="A1171" t="str">
            <v>Y1901-0384</v>
          </cell>
          <cell r="B1171">
            <v>201810</v>
          </cell>
          <cell r="C1171" t="str">
            <v>0100177840</v>
          </cell>
          <cell r="D1171" t="str">
            <v>164280C</v>
          </cell>
          <cell r="E1171">
            <v>1296</v>
          </cell>
          <cell r="F1171">
            <v>43492</v>
          </cell>
          <cell r="G1171" t="str">
            <v>OK</v>
          </cell>
        </row>
        <row r="1172">
          <cell r="A1172" t="str">
            <v>Y1901-0385</v>
          </cell>
          <cell r="B1172">
            <v>201810</v>
          </cell>
          <cell r="C1172" t="str">
            <v>0100177841</v>
          </cell>
          <cell r="D1172" t="str">
            <v>M7650C</v>
          </cell>
          <cell r="E1172">
            <v>1188</v>
          </cell>
          <cell r="F1172">
            <v>43492</v>
          </cell>
          <cell r="G1172" t="str">
            <v>OK</v>
          </cell>
        </row>
        <row r="1173">
          <cell r="A1173" t="str">
            <v>Y1901-0386</v>
          </cell>
          <cell r="B1173">
            <v>201810</v>
          </cell>
          <cell r="C1173" t="str">
            <v>0100177842</v>
          </cell>
          <cell r="D1173" t="str">
            <v>3J256C</v>
          </cell>
          <cell r="E1173">
            <v>144</v>
          </cell>
          <cell r="F1173">
            <v>43492</v>
          </cell>
          <cell r="G1173" t="str">
            <v>OK</v>
          </cell>
        </row>
        <row r="1174">
          <cell r="A1174" t="str">
            <v>Y1901-0387</v>
          </cell>
          <cell r="B1174">
            <v>201810</v>
          </cell>
          <cell r="C1174" t="str">
            <v>0100177843</v>
          </cell>
          <cell r="D1174" t="str">
            <v>164358C</v>
          </cell>
          <cell r="E1174">
            <v>168</v>
          </cell>
          <cell r="F1174">
            <v>43492</v>
          </cell>
          <cell r="G1174" t="str">
            <v>OK</v>
          </cell>
        </row>
        <row r="1175">
          <cell r="A1175" t="str">
            <v>Y1901-0388</v>
          </cell>
          <cell r="B1175">
            <v>201810</v>
          </cell>
          <cell r="C1175" t="str">
            <v>0100177844</v>
          </cell>
          <cell r="D1175" t="str">
            <v>764172C</v>
          </cell>
          <cell r="E1175">
            <v>204</v>
          </cell>
          <cell r="F1175">
            <v>43492</v>
          </cell>
          <cell r="G1175" t="str">
            <v>OK</v>
          </cell>
        </row>
        <row r="1176">
          <cell r="A1176" t="str">
            <v>Y1901-0389</v>
          </cell>
          <cell r="B1176">
            <v>201810</v>
          </cell>
          <cell r="C1176" t="str">
            <v>0100177845</v>
          </cell>
          <cell r="D1176" t="str">
            <v>164282C</v>
          </cell>
          <cell r="E1176">
            <v>120</v>
          </cell>
          <cell r="F1176">
            <v>43492</v>
          </cell>
          <cell r="G1176" t="str">
            <v>OK</v>
          </cell>
        </row>
        <row r="1177">
          <cell r="A1177" t="str">
            <v>Y1901-0390</v>
          </cell>
          <cell r="B1177">
            <v>201810</v>
          </cell>
          <cell r="C1177" t="str">
            <v>0100177846</v>
          </cell>
          <cell r="D1177" t="str">
            <v>M7650C</v>
          </cell>
          <cell r="E1177">
            <v>204</v>
          </cell>
          <cell r="F1177">
            <v>43492</v>
          </cell>
          <cell r="G1177" t="str">
            <v>OK</v>
          </cell>
        </row>
        <row r="1178">
          <cell r="A1178" t="str">
            <v>Y1901-0391</v>
          </cell>
          <cell r="B1178">
            <v>201810</v>
          </cell>
          <cell r="C1178" t="str">
            <v>0100177847</v>
          </cell>
          <cell r="D1178" t="str">
            <v>164060C</v>
          </cell>
          <cell r="E1178">
            <v>324</v>
          </cell>
          <cell r="F1178">
            <v>43492</v>
          </cell>
          <cell r="G1178" t="str">
            <v>OK</v>
          </cell>
        </row>
        <row r="1179">
          <cell r="A1179" t="str">
            <v>Y1901-0392</v>
          </cell>
          <cell r="B1179">
            <v>201810</v>
          </cell>
          <cell r="C1179" t="str">
            <v>0100177848</v>
          </cell>
          <cell r="D1179" t="str">
            <v>M7652C</v>
          </cell>
          <cell r="E1179">
            <v>1104</v>
          </cell>
          <cell r="F1179">
            <v>43492</v>
          </cell>
          <cell r="G1179" t="str">
            <v>OK</v>
          </cell>
        </row>
        <row r="1180">
          <cell r="A1180" t="str">
            <v>Y1901-0393</v>
          </cell>
          <cell r="B1180">
            <v>201810</v>
          </cell>
          <cell r="C1180" t="str">
            <v>0100177849</v>
          </cell>
          <cell r="D1180" t="str">
            <v>M7652C</v>
          </cell>
          <cell r="E1180">
            <v>3360</v>
          </cell>
          <cell r="F1180">
            <v>43492</v>
          </cell>
          <cell r="G1180" t="str">
            <v>OK</v>
          </cell>
        </row>
        <row r="1181">
          <cell r="A1181" t="str">
            <v>Y1901-0394</v>
          </cell>
          <cell r="B1181">
            <v>201810</v>
          </cell>
          <cell r="C1181" t="str">
            <v>0100177856</v>
          </cell>
          <cell r="D1181" t="str">
            <v>565536C</v>
          </cell>
          <cell r="E1181">
            <v>24</v>
          </cell>
          <cell r="F1181">
            <v>43481</v>
          </cell>
          <cell r="G1181" t="str">
            <v>OK</v>
          </cell>
        </row>
        <row r="1182">
          <cell r="A1182" t="str">
            <v>Y1901-0395</v>
          </cell>
          <cell r="B1182">
            <v>201810</v>
          </cell>
          <cell r="C1182" t="str">
            <v>0100177930</v>
          </cell>
          <cell r="D1182" t="str">
            <v>162580C</v>
          </cell>
          <cell r="E1182">
            <v>2304</v>
          </cell>
          <cell r="F1182">
            <v>43492</v>
          </cell>
          <cell r="G1182" t="str">
            <v>OK</v>
          </cell>
        </row>
        <row r="1183">
          <cell r="A1183" t="str">
            <v>Y1901-0396</v>
          </cell>
          <cell r="B1183">
            <v>201810</v>
          </cell>
          <cell r="C1183" t="str">
            <v>0100177931</v>
          </cell>
          <cell r="D1183" t="str">
            <v>164281C</v>
          </cell>
          <cell r="E1183">
            <v>864</v>
          </cell>
          <cell r="F1183">
            <v>43492</v>
          </cell>
          <cell r="G1183" t="str">
            <v>OK</v>
          </cell>
        </row>
        <row r="1184">
          <cell r="A1184" t="str">
            <v>Y1901-0397</v>
          </cell>
          <cell r="B1184">
            <v>201810</v>
          </cell>
          <cell r="C1184" t="str">
            <v>0100177932</v>
          </cell>
          <cell r="D1184" t="str">
            <v>M7652C</v>
          </cell>
          <cell r="E1184">
            <v>948</v>
          </cell>
          <cell r="F1184">
            <v>43492</v>
          </cell>
          <cell r="G1184" t="str">
            <v>OK</v>
          </cell>
        </row>
        <row r="1185">
          <cell r="A1185" t="str">
            <v>Y1901-0398</v>
          </cell>
          <cell r="B1185">
            <v>201810</v>
          </cell>
          <cell r="C1185" t="str">
            <v>0100177933</v>
          </cell>
          <cell r="D1185" t="str">
            <v>164359C</v>
          </cell>
          <cell r="E1185">
            <v>120</v>
          </cell>
          <cell r="F1185">
            <v>43492</v>
          </cell>
          <cell r="G1185" t="str">
            <v>OK</v>
          </cell>
        </row>
        <row r="1186">
          <cell r="A1186" t="str">
            <v>Y1901-0399</v>
          </cell>
          <cell r="B1186">
            <v>201810</v>
          </cell>
          <cell r="C1186" t="str">
            <v>0100177934</v>
          </cell>
          <cell r="D1186" t="str">
            <v>564151C</v>
          </cell>
          <cell r="E1186">
            <v>216</v>
          </cell>
          <cell r="F1186">
            <v>43492</v>
          </cell>
          <cell r="G1186" t="str">
            <v>OK</v>
          </cell>
        </row>
        <row r="1187">
          <cell r="A1187" t="str">
            <v>Y1901-0400</v>
          </cell>
          <cell r="B1187">
            <v>201810</v>
          </cell>
          <cell r="C1187" t="str">
            <v>0100177935</v>
          </cell>
          <cell r="D1187" t="str">
            <v>764173C</v>
          </cell>
          <cell r="E1187">
            <v>204</v>
          </cell>
          <cell r="F1187">
            <v>43492</v>
          </cell>
          <cell r="G1187" t="str">
            <v>OK</v>
          </cell>
        </row>
        <row r="1188">
          <cell r="A1188" t="str">
            <v>Y1901-0401</v>
          </cell>
          <cell r="B1188">
            <v>201810</v>
          </cell>
          <cell r="C1188" t="str">
            <v>0100177940</v>
          </cell>
          <cell r="D1188" t="str">
            <v>565536C</v>
          </cell>
          <cell r="E1188">
            <v>194</v>
          </cell>
          <cell r="F1188">
            <v>43481</v>
          </cell>
          <cell r="G1188" t="str">
            <v>OK</v>
          </cell>
        </row>
        <row r="1189">
          <cell r="A1189" t="str">
            <v>Y1901-0402</v>
          </cell>
          <cell r="B1189">
            <v>201810</v>
          </cell>
          <cell r="C1189" t="str">
            <v>0100178001</v>
          </cell>
          <cell r="D1189" t="str">
            <v>164219C</v>
          </cell>
          <cell r="E1189">
            <v>120</v>
          </cell>
          <cell r="F1189">
            <v>43492</v>
          </cell>
          <cell r="G1189" t="str">
            <v>OK</v>
          </cell>
        </row>
        <row r="1190">
          <cell r="A1190" t="str">
            <v>Y1901-0403</v>
          </cell>
          <cell r="B1190">
            <v>201810</v>
          </cell>
          <cell r="C1190" t="str">
            <v>0100178002</v>
          </cell>
          <cell r="D1190" t="str">
            <v>164360C</v>
          </cell>
          <cell r="E1190">
            <v>300</v>
          </cell>
          <cell r="F1190">
            <v>43492</v>
          </cell>
          <cell r="G1190" t="str">
            <v>OK</v>
          </cell>
        </row>
        <row r="1191">
          <cell r="A1191" t="str">
            <v>Y1901-0404</v>
          </cell>
          <cell r="B1191">
            <v>201810</v>
          </cell>
          <cell r="C1191" t="str">
            <v>0100178003</v>
          </cell>
          <cell r="D1191" t="str">
            <v>564152C</v>
          </cell>
          <cell r="E1191">
            <v>168</v>
          </cell>
          <cell r="F1191">
            <v>43492</v>
          </cell>
          <cell r="G1191" t="str">
            <v>OK</v>
          </cell>
        </row>
        <row r="1192">
          <cell r="A1192" t="str">
            <v>Y1901-0405</v>
          </cell>
          <cell r="B1192">
            <v>201810</v>
          </cell>
          <cell r="C1192" t="str">
            <v>0100178004</v>
          </cell>
          <cell r="D1192" t="str">
            <v>M7652C</v>
          </cell>
          <cell r="E1192">
            <v>1908</v>
          </cell>
          <cell r="F1192">
            <v>43492</v>
          </cell>
          <cell r="G1192" t="str">
            <v>OK</v>
          </cell>
        </row>
        <row r="1193">
          <cell r="A1193" t="str">
            <v>Y1901-0406</v>
          </cell>
          <cell r="B1193">
            <v>201810</v>
          </cell>
          <cell r="C1193" t="str">
            <v>0100178005</v>
          </cell>
          <cell r="D1193" t="str">
            <v>163376C</v>
          </cell>
          <cell r="E1193">
            <v>144</v>
          </cell>
          <cell r="F1193">
            <v>43492</v>
          </cell>
          <cell r="G1193" t="str">
            <v>OK</v>
          </cell>
        </row>
        <row r="1194">
          <cell r="A1194" t="str">
            <v>Y1902-0320</v>
          </cell>
          <cell r="B1194">
            <v>201810</v>
          </cell>
          <cell r="C1194" t="str">
            <v>0100178007</v>
          </cell>
          <cell r="D1194" t="str">
            <v>158369C</v>
          </cell>
          <cell r="E1194">
            <v>1668</v>
          </cell>
          <cell r="F1194">
            <v>43486</v>
          </cell>
          <cell r="G1194" t="str">
            <v>OK</v>
          </cell>
        </row>
        <row r="1195">
          <cell r="A1195" t="str">
            <v>Y1902-0321</v>
          </cell>
          <cell r="B1195">
            <v>201810</v>
          </cell>
          <cell r="C1195" t="str">
            <v>0100178008</v>
          </cell>
          <cell r="D1195" t="str">
            <v>M7652C</v>
          </cell>
          <cell r="E1195">
            <v>288</v>
          </cell>
          <cell r="F1195">
            <v>43474</v>
          </cell>
          <cell r="G1195" t="str">
            <v>OK</v>
          </cell>
        </row>
        <row r="1196">
          <cell r="A1196" t="str">
            <v>Y1901-0407</v>
          </cell>
          <cell r="B1196">
            <v>201810</v>
          </cell>
          <cell r="C1196" t="str">
            <v>0100178065</v>
          </cell>
          <cell r="D1196" t="str">
            <v>164359C</v>
          </cell>
          <cell r="E1196">
            <v>120</v>
          </cell>
          <cell r="F1196">
            <v>43492</v>
          </cell>
          <cell r="G1196" t="str">
            <v>OK</v>
          </cell>
        </row>
        <row r="1197">
          <cell r="A1197" t="str">
            <v>Y1901-0408</v>
          </cell>
          <cell r="B1197">
            <v>201810</v>
          </cell>
          <cell r="C1197" t="str">
            <v>0100178066</v>
          </cell>
          <cell r="D1197" t="str">
            <v>164361C</v>
          </cell>
          <cell r="E1197">
            <v>120</v>
          </cell>
          <cell r="F1197">
            <v>43492</v>
          </cell>
          <cell r="G1197" t="str">
            <v>OK</v>
          </cell>
        </row>
        <row r="1198">
          <cell r="A1198" t="str">
            <v>Y1901-0409</v>
          </cell>
          <cell r="B1198">
            <v>201810</v>
          </cell>
          <cell r="C1198" t="str">
            <v>0100178067</v>
          </cell>
          <cell r="D1198" t="str">
            <v>164280C</v>
          </cell>
          <cell r="E1198">
            <v>120</v>
          </cell>
          <cell r="F1198">
            <v>43492</v>
          </cell>
          <cell r="G1198" t="str">
            <v>OK</v>
          </cell>
        </row>
        <row r="1199">
          <cell r="A1199" t="str">
            <v>Y1901-0410</v>
          </cell>
          <cell r="B1199">
            <v>201810</v>
          </cell>
          <cell r="C1199" t="str">
            <v>0100178068</v>
          </cell>
          <cell r="D1199" t="str">
            <v>164360C</v>
          </cell>
          <cell r="E1199">
            <v>192</v>
          </cell>
          <cell r="F1199">
            <v>43492</v>
          </cell>
          <cell r="G1199" t="str">
            <v>OK</v>
          </cell>
        </row>
        <row r="1200">
          <cell r="A1200" t="str">
            <v>Y1901-0411</v>
          </cell>
          <cell r="B1200">
            <v>201810</v>
          </cell>
          <cell r="C1200" t="str">
            <v>0100178069</v>
          </cell>
          <cell r="D1200" t="str">
            <v>164361C</v>
          </cell>
          <cell r="E1200">
            <v>192</v>
          </cell>
          <cell r="F1200">
            <v>43492</v>
          </cell>
          <cell r="G1200" t="str">
            <v>OK</v>
          </cell>
        </row>
        <row r="1201">
          <cell r="A1201" t="str">
            <v>Y1901-0412</v>
          </cell>
          <cell r="B1201">
            <v>201810</v>
          </cell>
          <cell r="C1201" t="str">
            <v>0100178070</v>
          </cell>
          <cell r="D1201" t="str">
            <v>7J256C</v>
          </cell>
          <cell r="E1201">
            <v>120</v>
          </cell>
          <cell r="F1201">
            <v>43492</v>
          </cell>
          <cell r="G1201" t="str">
            <v>OK</v>
          </cell>
        </row>
        <row r="1202">
          <cell r="A1202" t="str">
            <v>Y1901-0413</v>
          </cell>
          <cell r="B1202">
            <v>201810</v>
          </cell>
          <cell r="C1202" t="str">
            <v>0100178071</v>
          </cell>
          <cell r="D1202" t="str">
            <v>164361C</v>
          </cell>
          <cell r="E1202">
            <v>348</v>
          </cell>
          <cell r="F1202">
            <v>43492</v>
          </cell>
          <cell r="G1202" t="str">
            <v>OK</v>
          </cell>
        </row>
        <row r="1203">
          <cell r="A1203" t="str">
            <v>Y1901-0414</v>
          </cell>
          <cell r="B1203">
            <v>201810</v>
          </cell>
          <cell r="C1203" t="str">
            <v>0100178072</v>
          </cell>
          <cell r="D1203" t="str">
            <v>564154C</v>
          </cell>
          <cell r="E1203">
            <v>180</v>
          </cell>
          <cell r="F1203">
            <v>43492</v>
          </cell>
          <cell r="G1203" t="str">
            <v>OK</v>
          </cell>
        </row>
        <row r="1204">
          <cell r="A1204" t="str">
            <v>Y1901-0415</v>
          </cell>
          <cell r="B1204">
            <v>201810</v>
          </cell>
          <cell r="C1204" t="str">
            <v>0100178073</v>
          </cell>
          <cell r="D1204" t="str">
            <v>163377C</v>
          </cell>
          <cell r="E1204">
            <v>144</v>
          </cell>
          <cell r="F1204">
            <v>43492</v>
          </cell>
          <cell r="G1204" t="str">
            <v>OK</v>
          </cell>
        </row>
        <row r="1205">
          <cell r="A1205" t="str">
            <v>Y1901-0416</v>
          </cell>
          <cell r="B1205">
            <v>201810</v>
          </cell>
          <cell r="C1205" t="str">
            <v>0100178075</v>
          </cell>
          <cell r="D1205" t="str">
            <v>163376C</v>
          </cell>
          <cell r="E1205">
            <v>300</v>
          </cell>
          <cell r="F1205">
            <v>43492</v>
          </cell>
          <cell r="G1205" t="str">
            <v>OK</v>
          </cell>
        </row>
        <row r="1206">
          <cell r="A1206" t="str">
            <v>Y1901-0417</v>
          </cell>
          <cell r="B1206">
            <v>201810</v>
          </cell>
          <cell r="C1206" t="str">
            <v>0100178076</v>
          </cell>
          <cell r="D1206" t="str">
            <v>163377C</v>
          </cell>
          <cell r="E1206">
            <v>252</v>
          </cell>
          <cell r="F1206">
            <v>43492</v>
          </cell>
          <cell r="G1206" t="str">
            <v>OK</v>
          </cell>
        </row>
        <row r="1207">
          <cell r="A1207" t="str">
            <v>Y1901-0418</v>
          </cell>
          <cell r="B1207">
            <v>201810</v>
          </cell>
          <cell r="C1207" t="str">
            <v>0100178077</v>
          </cell>
          <cell r="D1207" t="str">
            <v>164058C</v>
          </cell>
          <cell r="E1207">
            <v>600</v>
          </cell>
          <cell r="F1207">
            <v>43492</v>
          </cell>
          <cell r="G1207" t="str">
            <v>OK</v>
          </cell>
        </row>
        <row r="1208">
          <cell r="A1208" t="str">
            <v>Y1902-0327</v>
          </cell>
          <cell r="B1208">
            <v>201810</v>
          </cell>
          <cell r="C1208" t="str">
            <v>0100178083</v>
          </cell>
          <cell r="D1208" t="str">
            <v>158371C</v>
          </cell>
          <cell r="E1208">
            <v>1140</v>
          </cell>
          <cell r="F1208">
            <v>43486</v>
          </cell>
          <cell r="G1208" t="str">
            <v>OK</v>
          </cell>
        </row>
        <row r="1209">
          <cell r="A1209" t="str">
            <v>Y1902-0330</v>
          </cell>
          <cell r="B1209">
            <v>201810</v>
          </cell>
          <cell r="C1209" t="str">
            <v>0100178086</v>
          </cell>
          <cell r="D1209" t="str">
            <v>161577C</v>
          </cell>
          <cell r="E1209">
            <v>252</v>
          </cell>
          <cell r="F1209">
            <v>43486</v>
          </cell>
          <cell r="G1209" t="str">
            <v>OK</v>
          </cell>
        </row>
        <row r="1210">
          <cell r="A1210" t="str">
            <v>Y1902-0331</v>
          </cell>
          <cell r="B1210">
            <v>201810</v>
          </cell>
          <cell r="C1210" t="str">
            <v>0100178087</v>
          </cell>
          <cell r="D1210" t="str">
            <v>161577C</v>
          </cell>
          <cell r="E1210">
            <v>204</v>
          </cell>
          <cell r="F1210">
            <v>43486</v>
          </cell>
          <cell r="G1210" t="str">
            <v>OK</v>
          </cell>
        </row>
        <row r="1211">
          <cell r="A1211" t="str">
            <v>Y1902-0334</v>
          </cell>
          <cell r="B1211">
            <v>201810</v>
          </cell>
          <cell r="C1211" t="str">
            <v>0100178090</v>
          </cell>
          <cell r="D1211" t="str">
            <v>3J256C</v>
          </cell>
          <cell r="E1211">
            <v>120</v>
          </cell>
          <cell r="F1211">
            <v>43474</v>
          </cell>
          <cell r="G1211" t="str">
            <v>OK</v>
          </cell>
        </row>
        <row r="1212">
          <cell r="A1212" t="str">
            <v>Y1902-0335</v>
          </cell>
          <cell r="B1212">
            <v>201810</v>
          </cell>
          <cell r="C1212" t="str">
            <v>0100178091</v>
          </cell>
          <cell r="D1212" t="str">
            <v>7J253C</v>
          </cell>
          <cell r="E1212">
            <v>120</v>
          </cell>
          <cell r="F1212">
            <v>43474</v>
          </cell>
          <cell r="G1212" t="str">
            <v>OK</v>
          </cell>
        </row>
        <row r="1213">
          <cell r="A1213" t="str">
            <v>Y1901-0419</v>
          </cell>
          <cell r="B1213">
            <v>201810</v>
          </cell>
          <cell r="C1213" t="str">
            <v>0100178223</v>
          </cell>
          <cell r="D1213" t="str">
            <v>564154C</v>
          </cell>
          <cell r="E1213">
            <v>120</v>
          </cell>
          <cell r="F1213">
            <v>43492</v>
          </cell>
          <cell r="G1213" t="str">
            <v>OK</v>
          </cell>
        </row>
        <row r="1214">
          <cell r="A1214" t="str">
            <v>Y1901-0420</v>
          </cell>
          <cell r="B1214">
            <v>201810</v>
          </cell>
          <cell r="C1214" t="str">
            <v>0100178224</v>
          </cell>
          <cell r="D1214" t="str">
            <v>164281C</v>
          </cell>
          <cell r="E1214">
            <v>120</v>
          </cell>
          <cell r="F1214">
            <v>43492</v>
          </cell>
          <cell r="G1214" t="str">
            <v>OK</v>
          </cell>
        </row>
        <row r="1215">
          <cell r="A1215" t="str">
            <v>Y1901-0421</v>
          </cell>
          <cell r="B1215">
            <v>201810</v>
          </cell>
          <cell r="C1215" t="str">
            <v>0100178225</v>
          </cell>
          <cell r="D1215" t="str">
            <v>164282C</v>
          </cell>
          <cell r="E1215">
            <v>120</v>
          </cell>
          <cell r="F1215">
            <v>43492</v>
          </cell>
          <cell r="G1215" t="str">
            <v>OK</v>
          </cell>
        </row>
        <row r="1216">
          <cell r="A1216" t="str">
            <v>Y1901-0422</v>
          </cell>
          <cell r="B1216">
            <v>201810</v>
          </cell>
          <cell r="C1216" t="str">
            <v>0100178226</v>
          </cell>
          <cell r="D1216" t="str">
            <v>164359C</v>
          </cell>
          <cell r="E1216">
            <v>120</v>
          </cell>
          <cell r="F1216">
            <v>43492</v>
          </cell>
          <cell r="G1216" t="str">
            <v>OK</v>
          </cell>
        </row>
        <row r="1217">
          <cell r="A1217" t="str">
            <v>Y1901-0423</v>
          </cell>
          <cell r="B1217">
            <v>201810</v>
          </cell>
          <cell r="C1217" t="str">
            <v>0100178227</v>
          </cell>
          <cell r="D1217" t="str">
            <v>164360C</v>
          </cell>
          <cell r="E1217">
            <v>120</v>
          </cell>
          <cell r="F1217">
            <v>43492</v>
          </cell>
          <cell r="G1217" t="str">
            <v>OK</v>
          </cell>
        </row>
        <row r="1218">
          <cell r="A1218" t="str">
            <v>Y1901-0424</v>
          </cell>
          <cell r="B1218">
            <v>201810</v>
          </cell>
          <cell r="C1218" t="str">
            <v>0100178228</v>
          </cell>
          <cell r="D1218" t="str">
            <v>364169C</v>
          </cell>
          <cell r="E1218">
            <v>180</v>
          </cell>
          <cell r="F1218">
            <v>43492</v>
          </cell>
          <cell r="G1218" t="str">
            <v>OK</v>
          </cell>
        </row>
        <row r="1219">
          <cell r="A1219" t="str">
            <v>Y1901-0425</v>
          </cell>
          <cell r="B1219">
            <v>201810</v>
          </cell>
          <cell r="C1219" t="str">
            <v>0100178229</v>
          </cell>
          <cell r="D1219" t="str">
            <v>364170C</v>
          </cell>
          <cell r="E1219">
            <v>168</v>
          </cell>
          <cell r="F1219">
            <v>43492</v>
          </cell>
          <cell r="G1219" t="str">
            <v>OK</v>
          </cell>
        </row>
        <row r="1220">
          <cell r="A1220" t="str">
            <v>Y1901-0426</v>
          </cell>
          <cell r="B1220">
            <v>201810</v>
          </cell>
          <cell r="C1220" t="str">
            <v>0100178230</v>
          </cell>
          <cell r="D1220" t="str">
            <v>164393C</v>
          </cell>
          <cell r="E1220">
            <v>144</v>
          </cell>
          <cell r="F1220">
            <v>43492</v>
          </cell>
          <cell r="G1220" t="str">
            <v>OK</v>
          </cell>
        </row>
        <row r="1221">
          <cell r="A1221" t="str">
            <v>Y1901-0427</v>
          </cell>
          <cell r="B1221">
            <v>201810</v>
          </cell>
          <cell r="C1221" t="str">
            <v>0100178231</v>
          </cell>
          <cell r="D1221" t="str">
            <v>364169C</v>
          </cell>
          <cell r="E1221">
            <v>144</v>
          </cell>
          <cell r="F1221">
            <v>43492</v>
          </cell>
          <cell r="G1221" t="str">
            <v>OK</v>
          </cell>
        </row>
        <row r="1222">
          <cell r="A1222" t="str">
            <v>Y1901-0428</v>
          </cell>
          <cell r="B1222">
            <v>201810</v>
          </cell>
          <cell r="C1222" t="str">
            <v>0100178232</v>
          </cell>
          <cell r="D1222" t="str">
            <v>364170C</v>
          </cell>
          <cell r="E1222">
            <v>144</v>
          </cell>
          <cell r="F1222">
            <v>43492</v>
          </cell>
          <cell r="G1222" t="str">
            <v>OK</v>
          </cell>
        </row>
        <row r="1223">
          <cell r="A1223" t="str">
            <v>Y1901-0429</v>
          </cell>
          <cell r="B1223">
            <v>201810</v>
          </cell>
          <cell r="C1223" t="str">
            <v>0100178233</v>
          </cell>
          <cell r="D1223" t="str">
            <v>164059C</v>
          </cell>
          <cell r="E1223">
            <v>516</v>
          </cell>
          <cell r="F1223">
            <v>43492</v>
          </cell>
          <cell r="G1223" t="str">
            <v>OK</v>
          </cell>
        </row>
        <row r="1224">
          <cell r="A1224" t="str">
            <v>Y1901-0430</v>
          </cell>
          <cell r="B1224">
            <v>201810</v>
          </cell>
          <cell r="C1224" t="str">
            <v>0100178234</v>
          </cell>
          <cell r="D1224" t="str">
            <v>164060C</v>
          </cell>
          <cell r="E1224">
            <v>528</v>
          </cell>
          <cell r="F1224">
            <v>43492</v>
          </cell>
          <cell r="G1224" t="str">
            <v>OK</v>
          </cell>
        </row>
        <row r="1225">
          <cell r="A1225" t="str">
            <v>Y1902-0345</v>
          </cell>
          <cell r="B1225">
            <v>201810</v>
          </cell>
          <cell r="C1225" t="str">
            <v>0100178243</v>
          </cell>
          <cell r="D1225" t="str">
            <v>7J256C</v>
          </cell>
          <cell r="E1225">
            <v>120</v>
          </cell>
          <cell r="F1225">
            <v>43474</v>
          </cell>
          <cell r="G1225" t="str">
            <v>OK</v>
          </cell>
        </row>
        <row r="1226">
          <cell r="A1226" t="str">
            <v>Y1902-0346</v>
          </cell>
          <cell r="B1226">
            <v>201810</v>
          </cell>
          <cell r="C1226" t="str">
            <v>0100178244</v>
          </cell>
          <cell r="D1226" t="str">
            <v>M3310C</v>
          </cell>
          <cell r="E1226">
            <v>180</v>
          </cell>
          <cell r="F1226">
            <v>43474</v>
          </cell>
          <cell r="G1226" t="str">
            <v>OK</v>
          </cell>
        </row>
        <row r="1227">
          <cell r="A1227" t="str">
            <v>Y1902-0347</v>
          </cell>
          <cell r="B1227">
            <v>201810</v>
          </cell>
          <cell r="C1227" t="str">
            <v>0100178245</v>
          </cell>
          <cell r="D1227" t="str">
            <v>M7650C</v>
          </cell>
          <cell r="E1227">
            <v>300</v>
          </cell>
          <cell r="F1227">
            <v>43474</v>
          </cell>
          <cell r="G1227" t="str">
            <v>OK</v>
          </cell>
        </row>
        <row r="1228">
          <cell r="A1228" t="str">
            <v>Y1902-0348</v>
          </cell>
          <cell r="B1228">
            <v>201810</v>
          </cell>
          <cell r="C1228" t="str">
            <v>0100178246</v>
          </cell>
          <cell r="D1228" t="str">
            <v>M7652C</v>
          </cell>
          <cell r="E1228">
            <v>492</v>
          </cell>
          <cell r="F1228">
            <v>43474</v>
          </cell>
          <cell r="G1228" t="str">
            <v>OK</v>
          </cell>
        </row>
        <row r="1229">
          <cell r="A1229" t="str">
            <v>Y1901-0431</v>
          </cell>
          <cell r="B1229">
            <v>201810</v>
          </cell>
          <cell r="C1229" t="str">
            <v>0100178314</v>
          </cell>
          <cell r="D1229" t="str">
            <v>164219C</v>
          </cell>
          <cell r="E1229">
            <v>240</v>
          </cell>
          <cell r="F1229">
            <v>43492</v>
          </cell>
          <cell r="G1229" t="str">
            <v>OK</v>
          </cell>
        </row>
        <row r="1230">
          <cell r="A1230" t="str">
            <v>Y1901-0432</v>
          </cell>
          <cell r="B1230">
            <v>201810</v>
          </cell>
          <cell r="C1230" t="str">
            <v>0100178315</v>
          </cell>
          <cell r="D1230" t="str">
            <v>164220C</v>
          </cell>
          <cell r="E1230">
            <v>216</v>
          </cell>
          <cell r="F1230">
            <v>43492</v>
          </cell>
          <cell r="G1230" t="str">
            <v>OK</v>
          </cell>
        </row>
        <row r="1231">
          <cell r="A1231" t="str">
            <v>Y1901-0433</v>
          </cell>
          <cell r="B1231">
            <v>201810</v>
          </cell>
          <cell r="C1231" t="str">
            <v>0100178316</v>
          </cell>
          <cell r="D1231" t="str">
            <v>1J794C</v>
          </cell>
          <cell r="E1231">
            <v>552</v>
          </cell>
          <cell r="F1231">
            <v>43492</v>
          </cell>
          <cell r="G1231" t="str">
            <v>OK</v>
          </cell>
        </row>
        <row r="1232">
          <cell r="A1232" t="str">
            <v>Y1901-0434</v>
          </cell>
          <cell r="B1232">
            <v>201810</v>
          </cell>
          <cell r="C1232" t="str">
            <v>0100178317</v>
          </cell>
          <cell r="D1232" t="str">
            <v>164362C</v>
          </cell>
          <cell r="E1232">
            <v>120</v>
          </cell>
          <cell r="F1232">
            <v>43492</v>
          </cell>
          <cell r="G1232" t="str">
            <v>OK</v>
          </cell>
        </row>
        <row r="1233">
          <cell r="A1233" t="str">
            <v>Y1901-0435</v>
          </cell>
          <cell r="B1233">
            <v>201810</v>
          </cell>
          <cell r="C1233" t="str">
            <v>0100178318</v>
          </cell>
          <cell r="D1233" t="str">
            <v>3J238C</v>
          </cell>
          <cell r="E1233">
            <v>120</v>
          </cell>
          <cell r="F1233">
            <v>43492</v>
          </cell>
          <cell r="G1233" t="str">
            <v>OK</v>
          </cell>
        </row>
        <row r="1234">
          <cell r="A1234" t="str">
            <v>Y1901-0436</v>
          </cell>
          <cell r="B1234">
            <v>201810</v>
          </cell>
          <cell r="C1234" t="str">
            <v>0100178319</v>
          </cell>
          <cell r="D1234" t="str">
            <v>3J256C</v>
          </cell>
          <cell r="E1234">
            <v>180</v>
          </cell>
          <cell r="F1234">
            <v>43492</v>
          </cell>
          <cell r="G1234" t="str">
            <v>OK</v>
          </cell>
        </row>
        <row r="1235">
          <cell r="A1235" t="str">
            <v>Y1901-0437</v>
          </cell>
          <cell r="B1235">
            <v>201810</v>
          </cell>
          <cell r="C1235" t="str">
            <v>0100178320</v>
          </cell>
          <cell r="D1235" t="str">
            <v>564072C</v>
          </cell>
          <cell r="E1235">
            <v>156</v>
          </cell>
          <cell r="F1235">
            <v>43492</v>
          </cell>
          <cell r="G1235" t="str">
            <v>OK</v>
          </cell>
        </row>
        <row r="1236">
          <cell r="A1236" t="str">
            <v>Y1901-0438</v>
          </cell>
          <cell r="B1236">
            <v>201810</v>
          </cell>
          <cell r="C1236" t="str">
            <v>0100178321</v>
          </cell>
          <cell r="D1236" t="str">
            <v>3J238C</v>
          </cell>
          <cell r="E1236">
            <v>144</v>
          </cell>
          <cell r="F1236">
            <v>43492</v>
          </cell>
          <cell r="G1236" t="str">
            <v>OK</v>
          </cell>
        </row>
        <row r="1237">
          <cell r="A1237" t="str">
            <v>Y1901-0439</v>
          </cell>
          <cell r="B1237">
            <v>201810</v>
          </cell>
          <cell r="C1237" t="str">
            <v>0100178322</v>
          </cell>
          <cell r="D1237" t="str">
            <v>3J253C</v>
          </cell>
          <cell r="E1237">
            <v>144</v>
          </cell>
          <cell r="F1237">
            <v>43492</v>
          </cell>
          <cell r="G1237" t="str">
            <v>OK</v>
          </cell>
        </row>
        <row r="1238">
          <cell r="A1238" t="str">
            <v>Y1901-0440</v>
          </cell>
          <cell r="B1238">
            <v>201810</v>
          </cell>
          <cell r="C1238" t="str">
            <v>0100178324</v>
          </cell>
          <cell r="D1238" t="str">
            <v>164359C</v>
          </cell>
          <cell r="E1238">
            <v>276</v>
          </cell>
          <cell r="F1238">
            <v>43492</v>
          </cell>
          <cell r="G1238" t="str">
            <v>OK</v>
          </cell>
        </row>
        <row r="1239">
          <cell r="A1239" t="str">
            <v>Y1901-0441</v>
          </cell>
          <cell r="B1239">
            <v>201810</v>
          </cell>
          <cell r="C1239" t="str">
            <v>0100178388</v>
          </cell>
          <cell r="D1239" t="str">
            <v>M3310C</v>
          </cell>
          <cell r="E1239">
            <v>552</v>
          </cell>
          <cell r="F1239">
            <v>43492</v>
          </cell>
          <cell r="G1239" t="str">
            <v>OK</v>
          </cell>
        </row>
        <row r="1240">
          <cell r="A1240" t="str">
            <v>Y1901-0442</v>
          </cell>
          <cell r="B1240">
            <v>201810</v>
          </cell>
          <cell r="C1240" t="str">
            <v>0100178389</v>
          </cell>
          <cell r="D1240" t="str">
            <v>M7652C</v>
          </cell>
          <cell r="E1240">
            <v>528</v>
          </cell>
          <cell r="F1240">
            <v>43492</v>
          </cell>
          <cell r="G1240" t="str">
            <v>OK</v>
          </cell>
        </row>
        <row r="1241">
          <cell r="A1241" t="str">
            <v>Y1901-0443</v>
          </cell>
          <cell r="B1241">
            <v>201810</v>
          </cell>
          <cell r="C1241" t="str">
            <v>0100178390</v>
          </cell>
          <cell r="D1241" t="str">
            <v>3J256C</v>
          </cell>
          <cell r="E1241">
            <v>132</v>
          </cell>
          <cell r="F1241">
            <v>43492</v>
          </cell>
          <cell r="G1241" t="str">
            <v>OK</v>
          </cell>
        </row>
        <row r="1242">
          <cell r="A1242" t="str">
            <v>Y1901-0444</v>
          </cell>
          <cell r="B1242">
            <v>201810</v>
          </cell>
          <cell r="C1242" t="str">
            <v>0100178391</v>
          </cell>
          <cell r="D1242" t="str">
            <v>564071C</v>
          </cell>
          <cell r="E1242">
            <v>132</v>
          </cell>
          <cell r="F1242">
            <v>43492</v>
          </cell>
          <cell r="G1242" t="str">
            <v>OK</v>
          </cell>
        </row>
        <row r="1243">
          <cell r="A1243" t="str">
            <v>Y1901-0445</v>
          </cell>
          <cell r="B1243">
            <v>201810</v>
          </cell>
          <cell r="C1243" t="str">
            <v>0100178392</v>
          </cell>
          <cell r="D1243" t="str">
            <v>564072C</v>
          </cell>
          <cell r="E1243">
            <v>120</v>
          </cell>
          <cell r="F1243">
            <v>43492</v>
          </cell>
          <cell r="G1243" t="str">
            <v>OK</v>
          </cell>
        </row>
        <row r="1244">
          <cell r="A1244" t="str">
            <v>Y1901-0446</v>
          </cell>
          <cell r="B1244">
            <v>201810</v>
          </cell>
          <cell r="C1244" t="str">
            <v>0100178393</v>
          </cell>
          <cell r="D1244" t="str">
            <v>764172C</v>
          </cell>
          <cell r="E1244">
            <v>180</v>
          </cell>
          <cell r="F1244">
            <v>43492</v>
          </cell>
          <cell r="G1244" t="str">
            <v>OK</v>
          </cell>
        </row>
        <row r="1245">
          <cell r="A1245" t="str">
            <v>Y1901-0447</v>
          </cell>
          <cell r="B1245">
            <v>201810</v>
          </cell>
          <cell r="C1245" t="str">
            <v>0100178394</v>
          </cell>
          <cell r="D1245" t="str">
            <v>764173C</v>
          </cell>
          <cell r="E1245">
            <v>180</v>
          </cell>
          <cell r="F1245">
            <v>43492</v>
          </cell>
          <cell r="G1245" t="str">
            <v>OK</v>
          </cell>
        </row>
        <row r="1246">
          <cell r="A1246" t="str">
            <v>Y1901-0448</v>
          </cell>
          <cell r="B1246">
            <v>201810</v>
          </cell>
          <cell r="C1246" t="str">
            <v>0100178395</v>
          </cell>
          <cell r="D1246" t="str">
            <v>164361C</v>
          </cell>
          <cell r="E1246">
            <v>120</v>
          </cell>
          <cell r="F1246">
            <v>43492</v>
          </cell>
          <cell r="G1246" t="str">
            <v>OK</v>
          </cell>
        </row>
        <row r="1247">
          <cell r="A1247" t="str">
            <v>Y1901-0449</v>
          </cell>
          <cell r="B1247">
            <v>201810</v>
          </cell>
          <cell r="C1247" t="str">
            <v>0100178396</v>
          </cell>
          <cell r="D1247" t="str">
            <v>164362C</v>
          </cell>
          <cell r="E1247">
            <v>120</v>
          </cell>
          <cell r="F1247">
            <v>43492</v>
          </cell>
          <cell r="G1247" t="str">
            <v>OK</v>
          </cell>
        </row>
        <row r="1248">
          <cell r="A1248" t="str">
            <v>Y1901-0450</v>
          </cell>
          <cell r="B1248">
            <v>201810</v>
          </cell>
          <cell r="C1248" t="str">
            <v>0100178397</v>
          </cell>
          <cell r="D1248" t="str">
            <v>164219C</v>
          </cell>
          <cell r="E1248">
            <v>120</v>
          </cell>
          <cell r="F1248">
            <v>43492</v>
          </cell>
          <cell r="G1248" t="str">
            <v>OK</v>
          </cell>
        </row>
        <row r="1249">
          <cell r="A1249" t="str">
            <v>Y1901-0451</v>
          </cell>
          <cell r="B1249">
            <v>201810</v>
          </cell>
          <cell r="C1249" t="str">
            <v>0100178398</v>
          </cell>
          <cell r="D1249" t="str">
            <v>164361C</v>
          </cell>
          <cell r="E1249">
            <v>276</v>
          </cell>
          <cell r="F1249">
            <v>43492</v>
          </cell>
          <cell r="G1249" t="str">
            <v>OK</v>
          </cell>
        </row>
        <row r="1250">
          <cell r="A1250" t="str">
            <v>Y1901-0452</v>
          </cell>
          <cell r="B1250">
            <v>201810</v>
          </cell>
          <cell r="C1250" t="str">
            <v>0100178399</v>
          </cell>
          <cell r="D1250" t="str">
            <v>3J256C</v>
          </cell>
          <cell r="E1250">
            <v>204</v>
          </cell>
          <cell r="F1250">
            <v>43492</v>
          </cell>
          <cell r="G1250" t="str">
            <v>OK</v>
          </cell>
        </row>
        <row r="1251">
          <cell r="A1251" t="str">
            <v>Y1902-0360</v>
          </cell>
          <cell r="B1251">
            <v>201810</v>
          </cell>
          <cell r="C1251" t="str">
            <v>0100178401</v>
          </cell>
          <cell r="D1251" t="str">
            <v>164359C</v>
          </cell>
          <cell r="E1251">
            <v>192</v>
          </cell>
          <cell r="F1251">
            <v>43492</v>
          </cell>
          <cell r="G1251" t="str">
            <v>OK</v>
          </cell>
        </row>
        <row r="1252">
          <cell r="A1252" t="str">
            <v>Y1902-0361</v>
          </cell>
          <cell r="B1252">
            <v>201810</v>
          </cell>
          <cell r="C1252" t="str">
            <v>0100178402</v>
          </cell>
          <cell r="D1252" t="str">
            <v>164360C</v>
          </cell>
          <cell r="E1252">
            <v>192</v>
          </cell>
          <cell r="F1252">
            <v>43492</v>
          </cell>
          <cell r="G1252" t="str">
            <v>OK</v>
          </cell>
        </row>
        <row r="1253">
          <cell r="A1253" t="str">
            <v>Y1902-0362</v>
          </cell>
          <cell r="B1253">
            <v>201810</v>
          </cell>
          <cell r="C1253" t="str">
            <v>0100178403</v>
          </cell>
          <cell r="D1253" t="str">
            <v>164393C</v>
          </cell>
          <cell r="E1253">
            <v>132</v>
          </cell>
          <cell r="F1253">
            <v>43486</v>
          </cell>
          <cell r="G1253" t="str">
            <v>OK</v>
          </cell>
        </row>
        <row r="1254">
          <cell r="A1254" t="str">
            <v>Y1902-0363</v>
          </cell>
          <cell r="B1254">
            <v>201810</v>
          </cell>
          <cell r="C1254" t="str">
            <v>0100178404</v>
          </cell>
          <cell r="D1254" t="str">
            <v>M9697C</v>
          </cell>
          <cell r="E1254">
            <v>144</v>
          </cell>
          <cell r="F1254">
            <v>43474</v>
          </cell>
          <cell r="G1254" t="str">
            <v>OK</v>
          </cell>
        </row>
        <row r="1255">
          <cell r="A1255" t="str">
            <v>Y1901-0453</v>
          </cell>
          <cell r="B1255">
            <v>201810</v>
          </cell>
          <cell r="C1255" t="str">
            <v>0100178405</v>
          </cell>
          <cell r="D1255" t="str">
            <v>165524C</v>
          </cell>
          <cell r="E1255">
            <v>149</v>
          </cell>
          <cell r="F1255">
            <v>43486</v>
          </cell>
          <cell r="G1255" t="str">
            <v>OK</v>
          </cell>
        </row>
        <row r="1256">
          <cell r="A1256" t="str">
            <v>Y1901-0454</v>
          </cell>
          <cell r="B1256">
            <v>201810</v>
          </cell>
          <cell r="C1256" t="str">
            <v>0100178406</v>
          </cell>
          <cell r="D1256" t="str">
            <v>165524C</v>
          </cell>
          <cell r="E1256">
            <v>184</v>
          </cell>
          <cell r="F1256">
            <v>43486</v>
          </cell>
          <cell r="G1256" t="str">
            <v>OK</v>
          </cell>
        </row>
        <row r="1257">
          <cell r="A1257" t="str">
            <v>Y1901-0455</v>
          </cell>
          <cell r="B1257">
            <v>201810</v>
          </cell>
          <cell r="C1257" t="str">
            <v>0100178407</v>
          </cell>
          <cell r="D1257" t="str">
            <v>165525C</v>
          </cell>
          <cell r="E1257">
            <v>149</v>
          </cell>
          <cell r="F1257">
            <v>43486</v>
          </cell>
          <cell r="G1257" t="str">
            <v>OK</v>
          </cell>
        </row>
        <row r="1258">
          <cell r="A1258" t="str">
            <v>Y1901-0456</v>
          </cell>
          <cell r="B1258">
            <v>201810</v>
          </cell>
          <cell r="C1258" t="str">
            <v>0100178448</v>
          </cell>
          <cell r="D1258" t="str">
            <v>361817C</v>
          </cell>
          <cell r="E1258">
            <v>324</v>
          </cell>
          <cell r="F1258">
            <v>43492</v>
          </cell>
          <cell r="G1258" t="str">
            <v>OK</v>
          </cell>
        </row>
        <row r="1259">
          <cell r="A1259" t="str">
            <v>Y1901-0457</v>
          </cell>
          <cell r="B1259">
            <v>201810</v>
          </cell>
          <cell r="C1259" t="str">
            <v>0100178451</v>
          </cell>
          <cell r="D1259" t="str">
            <v>M7652C</v>
          </cell>
          <cell r="E1259">
            <v>1776</v>
          </cell>
          <cell r="F1259">
            <v>43492</v>
          </cell>
          <cell r="G1259" t="str">
            <v>OK</v>
          </cell>
        </row>
        <row r="1260">
          <cell r="A1260" t="str">
            <v>Y1901-0458</v>
          </cell>
          <cell r="B1260">
            <v>201810</v>
          </cell>
          <cell r="C1260" t="str">
            <v>0100178452</v>
          </cell>
          <cell r="D1260" t="str">
            <v>164217C</v>
          </cell>
          <cell r="E1260">
            <v>120</v>
          </cell>
          <cell r="F1260">
            <v>43492</v>
          </cell>
          <cell r="G1260" t="str">
            <v>OK</v>
          </cell>
        </row>
        <row r="1261">
          <cell r="A1261" t="str">
            <v>Y1901-0459</v>
          </cell>
          <cell r="B1261">
            <v>201810</v>
          </cell>
          <cell r="C1261" t="str">
            <v>0100178453</v>
          </cell>
          <cell r="D1261" t="str">
            <v>164220C</v>
          </cell>
          <cell r="E1261">
            <v>120</v>
          </cell>
          <cell r="F1261">
            <v>43492</v>
          </cell>
          <cell r="G1261" t="str">
            <v>OK</v>
          </cell>
        </row>
        <row r="1262">
          <cell r="A1262" t="str">
            <v>Y1901-0460</v>
          </cell>
          <cell r="B1262">
            <v>201810</v>
          </cell>
          <cell r="C1262" t="str">
            <v>0100178454</v>
          </cell>
          <cell r="D1262" t="str">
            <v>564151C</v>
          </cell>
          <cell r="E1262">
            <v>132</v>
          </cell>
          <cell r="F1262">
            <v>43492</v>
          </cell>
          <cell r="G1262" t="str">
            <v>OK</v>
          </cell>
        </row>
        <row r="1263">
          <cell r="A1263" t="str">
            <v>Y1901-0461</v>
          </cell>
          <cell r="B1263">
            <v>201810</v>
          </cell>
          <cell r="C1263" t="str">
            <v>0100178455</v>
          </cell>
          <cell r="D1263" t="str">
            <v>564153C</v>
          </cell>
          <cell r="E1263">
            <v>132</v>
          </cell>
          <cell r="F1263">
            <v>43492</v>
          </cell>
          <cell r="G1263" t="str">
            <v>OK</v>
          </cell>
        </row>
        <row r="1264">
          <cell r="A1264" t="str">
            <v>Y1901-0462</v>
          </cell>
          <cell r="B1264">
            <v>201810</v>
          </cell>
          <cell r="C1264" t="str">
            <v>0100178458</v>
          </cell>
          <cell r="D1264" t="str">
            <v>165525C</v>
          </cell>
          <cell r="E1264">
            <v>184</v>
          </cell>
          <cell r="F1264">
            <v>43486</v>
          </cell>
          <cell r="G1264" t="str">
            <v>OK</v>
          </cell>
        </row>
        <row r="1265">
          <cell r="A1265" t="str">
            <v>Y1901-0463</v>
          </cell>
          <cell r="B1265">
            <v>201810</v>
          </cell>
          <cell r="C1265" t="str">
            <v>0100178459</v>
          </cell>
          <cell r="D1265" t="str">
            <v>165526C</v>
          </cell>
          <cell r="E1265">
            <v>149</v>
          </cell>
          <cell r="F1265">
            <v>43486</v>
          </cell>
          <cell r="G1265" t="str">
            <v>OK</v>
          </cell>
        </row>
        <row r="1266">
          <cell r="A1266" t="str">
            <v>Y1901-0464</v>
          </cell>
          <cell r="B1266">
            <v>201810</v>
          </cell>
          <cell r="C1266" t="str">
            <v>0100178460</v>
          </cell>
          <cell r="D1266" t="str">
            <v>165526C</v>
          </cell>
          <cell r="E1266">
            <v>184</v>
          </cell>
          <cell r="F1266">
            <v>43486</v>
          </cell>
          <cell r="G1266" t="str">
            <v>OK</v>
          </cell>
        </row>
        <row r="1267">
          <cell r="A1267" t="str">
            <v>Y1901-0465</v>
          </cell>
          <cell r="B1267">
            <v>201810</v>
          </cell>
          <cell r="C1267" t="str">
            <v>0100178515</v>
          </cell>
          <cell r="D1267" t="str">
            <v>564071C</v>
          </cell>
          <cell r="E1267">
            <v>156</v>
          </cell>
          <cell r="F1267">
            <v>43492</v>
          </cell>
          <cell r="G1267" t="str">
            <v>OK</v>
          </cell>
        </row>
        <row r="1268">
          <cell r="A1268" t="str">
            <v>Y1901-0466</v>
          </cell>
          <cell r="B1268">
            <v>201810</v>
          </cell>
          <cell r="C1268" t="str">
            <v>0100178516</v>
          </cell>
          <cell r="D1268" t="str">
            <v>564072C</v>
          </cell>
          <cell r="E1268">
            <v>408</v>
          </cell>
          <cell r="F1268">
            <v>43492</v>
          </cell>
          <cell r="G1268" t="str">
            <v>OK</v>
          </cell>
        </row>
        <row r="1269">
          <cell r="A1269" t="str">
            <v>Y1901-0467</v>
          </cell>
          <cell r="B1269">
            <v>201810</v>
          </cell>
          <cell r="C1269" t="str">
            <v>0100178517</v>
          </cell>
          <cell r="D1269" t="str">
            <v>M7650C</v>
          </cell>
          <cell r="E1269">
            <v>252</v>
          </cell>
          <cell r="F1269">
            <v>43492</v>
          </cell>
          <cell r="G1269" t="str">
            <v>OK</v>
          </cell>
        </row>
        <row r="1270">
          <cell r="A1270" t="str">
            <v>Y1901-0468</v>
          </cell>
          <cell r="B1270">
            <v>201810</v>
          </cell>
          <cell r="C1270" t="str">
            <v>0100178518</v>
          </cell>
          <cell r="D1270" t="str">
            <v>M7652C</v>
          </cell>
          <cell r="E1270">
            <v>1224</v>
          </cell>
          <cell r="F1270">
            <v>43492</v>
          </cell>
          <cell r="G1270" t="str">
            <v>OK</v>
          </cell>
        </row>
        <row r="1271">
          <cell r="A1271" t="str">
            <v>Y1901-0469</v>
          </cell>
          <cell r="B1271">
            <v>201810</v>
          </cell>
          <cell r="C1271" t="str">
            <v>0100178519</v>
          </cell>
          <cell r="D1271" t="str">
            <v>M9697C</v>
          </cell>
          <cell r="E1271">
            <v>840</v>
          </cell>
          <cell r="F1271">
            <v>43492</v>
          </cell>
          <cell r="G1271" t="str">
            <v>OK</v>
          </cell>
        </row>
        <row r="1272">
          <cell r="A1272" t="str">
            <v>Y1901-0470</v>
          </cell>
          <cell r="B1272">
            <v>201810</v>
          </cell>
          <cell r="C1272" t="str">
            <v>0100178520</v>
          </cell>
          <cell r="D1272" t="str">
            <v>564154C</v>
          </cell>
          <cell r="E1272">
            <v>132</v>
          </cell>
          <cell r="F1272">
            <v>43492</v>
          </cell>
          <cell r="G1272" t="str">
            <v>OK</v>
          </cell>
        </row>
        <row r="1273">
          <cell r="A1273" t="str">
            <v>Y1901-0471</v>
          </cell>
          <cell r="B1273">
            <v>201810</v>
          </cell>
          <cell r="C1273" t="str">
            <v>0100178521</v>
          </cell>
          <cell r="D1273" t="str">
            <v>M3310C</v>
          </cell>
          <cell r="E1273">
            <v>540</v>
          </cell>
          <cell r="F1273">
            <v>43492</v>
          </cell>
          <cell r="G1273" t="str">
            <v>OK</v>
          </cell>
        </row>
        <row r="1274">
          <cell r="A1274" t="str">
            <v>Y1902-0368</v>
          </cell>
          <cell r="B1274">
            <v>201810</v>
          </cell>
          <cell r="C1274" t="str">
            <v>0100178524</v>
          </cell>
          <cell r="D1274" t="str">
            <v>3J256C</v>
          </cell>
          <cell r="E1274">
            <v>780</v>
          </cell>
          <cell r="F1274">
            <v>43474</v>
          </cell>
          <cell r="G1274" t="str">
            <v>OK</v>
          </cell>
        </row>
        <row r="1275">
          <cell r="A1275" t="str">
            <v>Y1901-0472</v>
          </cell>
          <cell r="B1275">
            <v>201810</v>
          </cell>
          <cell r="C1275" t="str">
            <v>0100178615</v>
          </cell>
          <cell r="D1275" t="str">
            <v>164358C</v>
          </cell>
          <cell r="E1275">
            <v>216</v>
          </cell>
          <cell r="F1275">
            <v>43492</v>
          </cell>
          <cell r="G1275" t="str">
            <v>OK</v>
          </cell>
        </row>
        <row r="1276">
          <cell r="A1276" t="str">
            <v>Y1901-0473</v>
          </cell>
          <cell r="B1276">
            <v>201810</v>
          </cell>
          <cell r="C1276" t="str">
            <v>0100178616</v>
          </cell>
          <cell r="D1276" t="str">
            <v>164359C</v>
          </cell>
          <cell r="E1276">
            <v>216</v>
          </cell>
          <cell r="F1276">
            <v>43492</v>
          </cell>
          <cell r="G1276" t="str">
            <v>OK</v>
          </cell>
        </row>
        <row r="1277">
          <cell r="A1277" t="str">
            <v>Y1901-0474</v>
          </cell>
          <cell r="B1277">
            <v>201810</v>
          </cell>
          <cell r="C1277" t="str">
            <v>0100178617</v>
          </cell>
          <cell r="D1277" t="str">
            <v>164360C</v>
          </cell>
          <cell r="E1277">
            <v>216</v>
          </cell>
          <cell r="F1277">
            <v>43492</v>
          </cell>
          <cell r="G1277" t="str">
            <v>OK</v>
          </cell>
        </row>
        <row r="1278">
          <cell r="A1278" t="str">
            <v>Y1901-0475</v>
          </cell>
          <cell r="B1278">
            <v>201810</v>
          </cell>
          <cell r="C1278" t="str">
            <v>0100178618</v>
          </cell>
          <cell r="D1278" t="str">
            <v>764172C</v>
          </cell>
          <cell r="E1278">
            <v>144</v>
          </cell>
          <cell r="F1278">
            <v>43492</v>
          </cell>
          <cell r="G1278" t="str">
            <v>OK</v>
          </cell>
        </row>
        <row r="1279">
          <cell r="A1279" t="str">
            <v>Y1901-0476</v>
          </cell>
          <cell r="B1279">
            <v>201810</v>
          </cell>
          <cell r="C1279" t="str">
            <v>0100178619</v>
          </cell>
          <cell r="D1279" t="str">
            <v>764173C</v>
          </cell>
          <cell r="E1279">
            <v>144</v>
          </cell>
          <cell r="F1279">
            <v>43492</v>
          </cell>
          <cell r="G1279" t="str">
            <v>OK</v>
          </cell>
        </row>
        <row r="1280">
          <cell r="A1280" t="str">
            <v>Y1901-0477</v>
          </cell>
          <cell r="B1280">
            <v>201810</v>
          </cell>
          <cell r="C1280" t="str">
            <v>0100178620</v>
          </cell>
          <cell r="D1280" t="str">
            <v>764173C</v>
          </cell>
          <cell r="E1280">
            <v>120</v>
          </cell>
          <cell r="F1280">
            <v>43492</v>
          </cell>
          <cell r="G1280" t="str">
            <v>OK</v>
          </cell>
        </row>
        <row r="1281">
          <cell r="A1281" t="str">
            <v>Y1901-0478</v>
          </cell>
          <cell r="B1281">
            <v>201810</v>
          </cell>
          <cell r="C1281" t="str">
            <v>0100178621</v>
          </cell>
          <cell r="D1281" t="str">
            <v>7J256C</v>
          </cell>
          <cell r="E1281">
            <v>120</v>
          </cell>
          <cell r="F1281">
            <v>43492</v>
          </cell>
          <cell r="G1281" t="str">
            <v>OK</v>
          </cell>
        </row>
        <row r="1282">
          <cell r="A1282" t="str">
            <v>Y1901-0479</v>
          </cell>
          <cell r="B1282">
            <v>201810</v>
          </cell>
          <cell r="C1282" t="str">
            <v>0100178622</v>
          </cell>
          <cell r="D1282" t="str">
            <v>M7650C</v>
          </cell>
          <cell r="E1282">
            <v>516</v>
          </cell>
          <cell r="F1282">
            <v>43492</v>
          </cell>
          <cell r="G1282" t="str">
            <v>OK</v>
          </cell>
        </row>
        <row r="1283">
          <cell r="A1283" t="str">
            <v>Y1901-0480</v>
          </cell>
          <cell r="B1283">
            <v>201810</v>
          </cell>
          <cell r="C1283" t="str">
            <v>0100178623</v>
          </cell>
          <cell r="D1283" t="str">
            <v>M7652C</v>
          </cell>
          <cell r="E1283">
            <v>1944</v>
          </cell>
          <cell r="F1283">
            <v>43492</v>
          </cell>
          <cell r="G1283" t="str">
            <v>OK</v>
          </cell>
        </row>
        <row r="1284">
          <cell r="A1284" t="str">
            <v>Y1901-0481</v>
          </cell>
          <cell r="B1284">
            <v>201810</v>
          </cell>
          <cell r="C1284" t="str">
            <v>0100178624</v>
          </cell>
          <cell r="D1284" t="str">
            <v>M9697C</v>
          </cell>
          <cell r="E1284">
            <v>708</v>
          </cell>
          <cell r="F1284">
            <v>43492</v>
          </cell>
          <cell r="G1284" t="str">
            <v>OK</v>
          </cell>
        </row>
        <row r="1285">
          <cell r="A1285" t="str">
            <v>Y1902-0378</v>
          </cell>
          <cell r="B1285">
            <v>201810</v>
          </cell>
          <cell r="C1285" t="str">
            <v>0100178634</v>
          </cell>
          <cell r="D1285" t="str">
            <v>564152C</v>
          </cell>
          <cell r="E1285">
            <v>204</v>
          </cell>
          <cell r="F1285">
            <v>43487</v>
          </cell>
          <cell r="G1285" t="str">
            <v>OK</v>
          </cell>
        </row>
        <row r="1286">
          <cell r="A1286" t="str">
            <v>Y1901-0482</v>
          </cell>
          <cell r="B1286">
            <v>201810</v>
          </cell>
          <cell r="C1286" t="str">
            <v>0100178684</v>
          </cell>
          <cell r="D1286">
            <v>88865</v>
          </cell>
          <cell r="E1286">
            <v>144</v>
          </cell>
          <cell r="F1286">
            <v>43492</v>
          </cell>
          <cell r="G1286" t="str">
            <v>OK</v>
          </cell>
        </row>
        <row r="1287">
          <cell r="A1287" t="str">
            <v>Y1901-0483</v>
          </cell>
          <cell r="B1287">
            <v>201810</v>
          </cell>
          <cell r="C1287" t="str">
            <v>0100178685</v>
          </cell>
          <cell r="D1287">
            <v>88877</v>
          </cell>
          <cell r="E1287">
            <v>360</v>
          </cell>
          <cell r="F1287">
            <v>43492</v>
          </cell>
          <cell r="G1287" t="str">
            <v>OK</v>
          </cell>
        </row>
        <row r="1288">
          <cell r="A1288" t="str">
            <v>Y1901-0484</v>
          </cell>
          <cell r="B1288">
            <v>201810</v>
          </cell>
          <cell r="C1288" t="str">
            <v>0100178686</v>
          </cell>
          <cell r="D1288" t="str">
            <v>164360C</v>
          </cell>
          <cell r="E1288">
            <v>132</v>
          </cell>
          <cell r="F1288">
            <v>43492</v>
          </cell>
          <cell r="G1288" t="str">
            <v>OK</v>
          </cell>
        </row>
        <row r="1289">
          <cell r="A1289" t="str">
            <v>Y1901-0485</v>
          </cell>
          <cell r="B1289">
            <v>201810</v>
          </cell>
          <cell r="C1289" t="str">
            <v>0100178687</v>
          </cell>
          <cell r="D1289" t="str">
            <v>164358C</v>
          </cell>
          <cell r="E1289">
            <v>120</v>
          </cell>
          <cell r="F1289">
            <v>43492</v>
          </cell>
          <cell r="G1289" t="str">
            <v>OK</v>
          </cell>
        </row>
        <row r="1290">
          <cell r="A1290" t="str">
            <v>Y1901-0486</v>
          </cell>
          <cell r="B1290">
            <v>201810</v>
          </cell>
          <cell r="C1290" t="str">
            <v>0100178732</v>
          </cell>
          <cell r="D1290" t="str">
            <v>564151C</v>
          </cell>
          <cell r="E1290">
            <v>132</v>
          </cell>
          <cell r="F1290">
            <v>43492</v>
          </cell>
          <cell r="G1290" t="str">
            <v>OK</v>
          </cell>
        </row>
        <row r="1291">
          <cell r="A1291" t="str">
            <v>Y1901-0487</v>
          </cell>
          <cell r="B1291">
            <v>201810</v>
          </cell>
          <cell r="C1291" t="str">
            <v>0100178733</v>
          </cell>
          <cell r="D1291" t="str">
            <v>564152C</v>
          </cell>
          <cell r="E1291">
            <v>132</v>
          </cell>
          <cell r="F1291">
            <v>43492</v>
          </cell>
          <cell r="G1291" t="str">
            <v>OK</v>
          </cell>
        </row>
        <row r="1292">
          <cell r="A1292" t="str">
            <v>Y1901-0488</v>
          </cell>
          <cell r="B1292">
            <v>201810</v>
          </cell>
          <cell r="C1292" t="str">
            <v>0100178734</v>
          </cell>
          <cell r="D1292" t="str">
            <v>564154C</v>
          </cell>
          <cell r="E1292">
            <v>132</v>
          </cell>
          <cell r="F1292">
            <v>43492</v>
          </cell>
          <cell r="G1292" t="str">
            <v>OK</v>
          </cell>
        </row>
        <row r="1293">
          <cell r="A1293" t="str">
            <v>Y1901-0489</v>
          </cell>
          <cell r="B1293">
            <v>201810</v>
          </cell>
          <cell r="C1293" t="str">
            <v>0100178735</v>
          </cell>
          <cell r="D1293" t="str">
            <v>564205C</v>
          </cell>
          <cell r="E1293">
            <v>132</v>
          </cell>
          <cell r="F1293">
            <v>43492</v>
          </cell>
          <cell r="G1293" t="str">
            <v>OK</v>
          </cell>
        </row>
        <row r="1294">
          <cell r="A1294" t="str">
            <v>Y1901-0490</v>
          </cell>
          <cell r="B1294">
            <v>201810</v>
          </cell>
          <cell r="C1294" t="str">
            <v>0100178736</v>
          </cell>
          <cell r="D1294" t="str">
            <v>564206C</v>
          </cell>
          <cell r="E1294">
            <v>168</v>
          </cell>
          <cell r="F1294">
            <v>43492</v>
          </cell>
          <cell r="G1294" t="str">
            <v>OK</v>
          </cell>
        </row>
        <row r="1295">
          <cell r="A1295" t="str">
            <v>Y1901-0491</v>
          </cell>
          <cell r="B1295">
            <v>201810</v>
          </cell>
          <cell r="C1295" t="str">
            <v>0100178737</v>
          </cell>
          <cell r="D1295" t="str">
            <v>564207C</v>
          </cell>
          <cell r="E1295">
            <v>168</v>
          </cell>
          <cell r="F1295">
            <v>43492</v>
          </cell>
          <cell r="G1295" t="str">
            <v>OK</v>
          </cell>
        </row>
        <row r="1296">
          <cell r="A1296" t="str">
            <v>Y1901-0492</v>
          </cell>
          <cell r="B1296">
            <v>201810</v>
          </cell>
          <cell r="C1296" t="str">
            <v>0100178738</v>
          </cell>
          <cell r="D1296" t="str">
            <v>8J231</v>
          </cell>
          <cell r="E1296">
            <v>360</v>
          </cell>
          <cell r="F1296">
            <v>43492</v>
          </cell>
          <cell r="G1296" t="str">
            <v>OK</v>
          </cell>
        </row>
        <row r="1297">
          <cell r="A1297" t="str">
            <v>Y1902-0386</v>
          </cell>
          <cell r="B1297">
            <v>201810</v>
          </cell>
          <cell r="C1297" t="str">
            <v>0100178743</v>
          </cell>
          <cell r="D1297" t="str">
            <v>7J256C</v>
          </cell>
          <cell r="E1297">
            <v>228</v>
          </cell>
          <cell r="F1297">
            <v>43474</v>
          </cell>
          <cell r="G1297" t="str">
            <v>OK</v>
          </cell>
        </row>
        <row r="1298">
          <cell r="A1298" t="str">
            <v>Y1902-0387</v>
          </cell>
          <cell r="B1298">
            <v>201810</v>
          </cell>
          <cell r="C1298" t="str">
            <v>0100178744</v>
          </cell>
          <cell r="D1298" t="str">
            <v>M7652C</v>
          </cell>
          <cell r="E1298">
            <v>1500</v>
          </cell>
          <cell r="F1298">
            <v>43474</v>
          </cell>
          <cell r="G1298" t="str">
            <v>OK</v>
          </cell>
        </row>
        <row r="1299">
          <cell r="A1299" t="str">
            <v>Y1901-0493</v>
          </cell>
          <cell r="B1299">
            <v>201810</v>
          </cell>
          <cell r="C1299" t="str">
            <v>0100178834</v>
          </cell>
          <cell r="D1299" t="str">
            <v>M7652C</v>
          </cell>
          <cell r="E1299">
            <v>264</v>
          </cell>
          <cell r="F1299">
            <v>43492</v>
          </cell>
          <cell r="G1299" t="str">
            <v>OK</v>
          </cell>
        </row>
        <row r="1300">
          <cell r="A1300" t="str">
            <v>Y1901-0494</v>
          </cell>
          <cell r="B1300">
            <v>201810</v>
          </cell>
          <cell r="C1300" t="str">
            <v>0100178835</v>
          </cell>
          <cell r="D1300" t="str">
            <v>M9697C</v>
          </cell>
          <cell r="E1300">
            <v>288</v>
          </cell>
          <cell r="F1300">
            <v>43492</v>
          </cell>
          <cell r="G1300" t="str">
            <v>OK</v>
          </cell>
        </row>
        <row r="1301">
          <cell r="A1301" t="str">
            <v>Y1901-0495</v>
          </cell>
          <cell r="B1301">
            <v>201810</v>
          </cell>
          <cell r="C1301" t="str">
            <v>0100178849</v>
          </cell>
          <cell r="D1301" t="str">
            <v>564206C</v>
          </cell>
          <cell r="E1301">
            <v>180</v>
          </cell>
          <cell r="F1301">
            <v>43492</v>
          </cell>
          <cell r="G1301" t="str">
            <v>OK</v>
          </cell>
        </row>
        <row r="1302">
          <cell r="A1302" t="str">
            <v>Y1901-0496</v>
          </cell>
          <cell r="B1302">
            <v>201810</v>
          </cell>
          <cell r="C1302" t="str">
            <v>0100178850</v>
          </cell>
          <cell r="D1302" t="str">
            <v>564204C</v>
          </cell>
          <cell r="E1302">
            <v>180</v>
          </cell>
          <cell r="F1302">
            <v>43492</v>
          </cell>
          <cell r="G1302" t="str">
            <v>OK</v>
          </cell>
        </row>
        <row r="1303">
          <cell r="A1303" t="str">
            <v>Y1901-0497</v>
          </cell>
          <cell r="B1303">
            <v>201810</v>
          </cell>
          <cell r="C1303" t="str">
            <v>0100178851</v>
          </cell>
          <cell r="D1303" t="str">
            <v>564205C</v>
          </cell>
          <cell r="E1303">
            <v>156</v>
          </cell>
          <cell r="F1303">
            <v>43492</v>
          </cell>
          <cell r="G1303" t="str">
            <v>OK</v>
          </cell>
        </row>
        <row r="1304">
          <cell r="A1304" t="str">
            <v>Y1901-0498</v>
          </cell>
          <cell r="B1304">
            <v>201810</v>
          </cell>
          <cell r="C1304" t="str">
            <v>0100178852</v>
          </cell>
          <cell r="D1304" t="str">
            <v>564207C</v>
          </cell>
          <cell r="E1304">
            <v>120</v>
          </cell>
          <cell r="F1304">
            <v>43492</v>
          </cell>
          <cell r="G1304" t="str">
            <v>OK</v>
          </cell>
        </row>
        <row r="1305">
          <cell r="A1305" t="str">
            <v>Y1901-0499</v>
          </cell>
          <cell r="B1305">
            <v>201810</v>
          </cell>
          <cell r="C1305" t="str">
            <v>0100178853</v>
          </cell>
          <cell r="D1305" t="str">
            <v>361818C</v>
          </cell>
          <cell r="E1305">
            <v>120</v>
          </cell>
          <cell r="F1305">
            <v>43492</v>
          </cell>
          <cell r="G1305" t="str">
            <v>OK</v>
          </cell>
        </row>
        <row r="1306">
          <cell r="A1306" t="str">
            <v>Y1901-0500</v>
          </cell>
          <cell r="B1306">
            <v>201810</v>
          </cell>
          <cell r="C1306" t="str">
            <v>0100178854</v>
          </cell>
          <cell r="D1306" t="str">
            <v>361817C</v>
          </cell>
          <cell r="E1306">
            <v>120</v>
          </cell>
          <cell r="F1306">
            <v>43492</v>
          </cell>
          <cell r="G1306" t="str">
            <v>OK</v>
          </cell>
        </row>
        <row r="1307">
          <cell r="A1307" t="str">
            <v>Y1901-0501</v>
          </cell>
          <cell r="B1307">
            <v>201810</v>
          </cell>
          <cell r="C1307" t="str">
            <v>4600064484</v>
          </cell>
          <cell r="D1307" t="str">
            <v>8J231</v>
          </cell>
          <cell r="E1307">
            <v>564</v>
          </cell>
          <cell r="F1307">
            <v>43484</v>
          </cell>
          <cell r="G1307" t="str">
            <v>OK</v>
          </cell>
        </row>
        <row r="1308">
          <cell r="A1308" t="str">
            <v>Y1901-0502</v>
          </cell>
          <cell r="B1308">
            <v>201810</v>
          </cell>
          <cell r="C1308" t="str">
            <v>4600064485</v>
          </cell>
          <cell r="D1308" t="str">
            <v>155066C</v>
          </cell>
          <cell r="E1308">
            <v>720</v>
          </cell>
          <cell r="F1308">
            <v>43484</v>
          </cell>
          <cell r="G1308" t="str">
            <v>OK</v>
          </cell>
        </row>
        <row r="1309">
          <cell r="A1309" t="str">
            <v>Y1901-0503</v>
          </cell>
          <cell r="B1309">
            <v>201810</v>
          </cell>
          <cell r="C1309" t="str">
            <v>4600064486</v>
          </cell>
          <cell r="D1309" t="str">
            <v>155064C</v>
          </cell>
          <cell r="E1309">
            <v>720</v>
          </cell>
          <cell r="F1309">
            <v>43484</v>
          </cell>
          <cell r="G1309" t="str">
            <v>OK</v>
          </cell>
        </row>
        <row r="1310">
          <cell r="A1310" t="str">
            <v>Y1901-0504</v>
          </cell>
          <cell r="B1310">
            <v>201810</v>
          </cell>
          <cell r="C1310" t="str">
            <v>4600064487</v>
          </cell>
          <cell r="D1310">
            <v>88871</v>
          </cell>
          <cell r="E1310">
            <v>492</v>
          </cell>
          <cell r="F1310">
            <v>43484</v>
          </cell>
          <cell r="G1310" t="str">
            <v>OK</v>
          </cell>
        </row>
        <row r="1311">
          <cell r="A1311" t="str">
            <v>Y1901-0505</v>
          </cell>
          <cell r="B1311">
            <v>201810</v>
          </cell>
          <cell r="C1311" t="str">
            <v>4600064488</v>
          </cell>
          <cell r="D1311">
            <v>88865</v>
          </cell>
          <cell r="E1311">
            <v>648</v>
          </cell>
          <cell r="F1311">
            <v>43484</v>
          </cell>
          <cell r="G1311" t="str">
            <v>OK</v>
          </cell>
        </row>
        <row r="1312">
          <cell r="A1312" t="str">
            <v>Y1902-0405</v>
          </cell>
          <cell r="B1312">
            <v>201810</v>
          </cell>
          <cell r="C1312" t="str">
            <v>4600064491</v>
          </cell>
          <cell r="D1312" t="str">
            <v>164059C</v>
          </cell>
          <cell r="E1312">
            <v>2184</v>
          </cell>
          <cell r="F1312">
            <v>43490</v>
          </cell>
          <cell r="G1312" t="str">
            <v>OK</v>
          </cell>
        </row>
        <row r="1313">
          <cell r="A1313" t="str">
            <v>Y1902-0406</v>
          </cell>
          <cell r="B1313">
            <v>201810</v>
          </cell>
          <cell r="C1313" t="str">
            <v>4600064493</v>
          </cell>
          <cell r="D1313" t="str">
            <v>164058C</v>
          </cell>
          <cell r="E1313">
            <v>1440</v>
          </cell>
          <cell r="F1313">
            <v>43490</v>
          </cell>
          <cell r="G1313" t="str">
            <v>OK</v>
          </cell>
        </row>
        <row r="1314">
          <cell r="A1314" t="str">
            <v>Y1901-0506</v>
          </cell>
          <cell r="B1314">
            <v>201810</v>
          </cell>
          <cell r="C1314" t="str">
            <v>4600064496</v>
          </cell>
          <cell r="D1314" t="str">
            <v>164217C</v>
          </cell>
          <cell r="E1314">
            <v>120</v>
          </cell>
          <cell r="F1314">
            <v>43484</v>
          </cell>
          <cell r="G1314" t="str">
            <v>OK</v>
          </cell>
        </row>
        <row r="1315">
          <cell r="A1315" t="str">
            <v>Y1902-0407</v>
          </cell>
          <cell r="B1315">
            <v>201810</v>
          </cell>
          <cell r="C1315" t="str">
            <v>4600064497</v>
          </cell>
          <cell r="D1315" t="str">
            <v>564206C</v>
          </cell>
          <cell r="E1315">
            <v>156</v>
          </cell>
          <cell r="F1315">
            <v>43492</v>
          </cell>
          <cell r="G1315" t="str">
            <v>OK</v>
          </cell>
        </row>
        <row r="1316">
          <cell r="A1316" t="str">
            <v>Y1902-0408</v>
          </cell>
          <cell r="B1316">
            <v>201810</v>
          </cell>
          <cell r="C1316" t="str">
            <v>4600064498</v>
          </cell>
          <cell r="D1316" t="str">
            <v>564205C</v>
          </cell>
          <cell r="E1316">
            <v>156</v>
          </cell>
          <cell r="F1316">
            <v>43492</v>
          </cell>
          <cell r="G1316" t="str">
            <v>OK</v>
          </cell>
        </row>
        <row r="1317">
          <cell r="A1317" t="str">
            <v>Y1902-0409</v>
          </cell>
          <cell r="B1317">
            <v>201810</v>
          </cell>
          <cell r="C1317" t="str">
            <v>4600064499</v>
          </cell>
          <cell r="D1317" t="str">
            <v>564151C</v>
          </cell>
          <cell r="E1317">
            <v>1020</v>
          </cell>
          <cell r="F1317">
            <v>43490</v>
          </cell>
          <cell r="G1317" t="str">
            <v>OK</v>
          </cell>
        </row>
        <row r="1318">
          <cell r="A1318" t="str">
            <v>Y1901-0507</v>
          </cell>
          <cell r="B1318">
            <v>201810</v>
          </cell>
          <cell r="C1318" t="str">
            <v>4600064502</v>
          </cell>
          <cell r="D1318" t="str">
            <v>164220C</v>
          </cell>
          <cell r="E1318">
            <v>120</v>
          </cell>
          <cell r="F1318">
            <v>43484</v>
          </cell>
          <cell r="G1318" t="str">
            <v>OK</v>
          </cell>
        </row>
        <row r="1319">
          <cell r="A1319" t="str">
            <v>Y1901-0508</v>
          </cell>
          <cell r="B1319">
            <v>201810</v>
          </cell>
          <cell r="C1319" t="str">
            <v>4600064503</v>
          </cell>
          <cell r="D1319" t="str">
            <v>164219C</v>
          </cell>
          <cell r="E1319">
            <v>120</v>
          </cell>
          <cell r="F1319">
            <v>43484</v>
          </cell>
          <cell r="G1319" t="str">
            <v>OK</v>
          </cell>
        </row>
        <row r="1320">
          <cell r="A1320" t="str">
            <v>Y1901-0509</v>
          </cell>
          <cell r="B1320">
            <v>201810</v>
          </cell>
          <cell r="C1320" t="str">
            <v>4600064506</v>
          </cell>
          <cell r="D1320" t="str">
            <v>565536C</v>
          </cell>
          <cell r="E1320">
            <v>48</v>
          </cell>
          <cell r="F1320">
            <v>43484</v>
          </cell>
          <cell r="G1320" t="str">
            <v>OK</v>
          </cell>
        </row>
        <row r="1321">
          <cell r="A1321" t="str">
            <v>Y1901-0510</v>
          </cell>
          <cell r="B1321">
            <v>201810</v>
          </cell>
          <cell r="C1321" t="str">
            <v>4600064507</v>
          </cell>
          <cell r="D1321" t="str">
            <v>164391C</v>
          </cell>
          <cell r="E1321">
            <v>420</v>
          </cell>
          <cell r="F1321">
            <v>43484</v>
          </cell>
          <cell r="G1321" t="str">
            <v>OK</v>
          </cell>
        </row>
        <row r="1322">
          <cell r="A1322" t="str">
            <v>Y1901-0511</v>
          </cell>
          <cell r="B1322">
            <v>201810</v>
          </cell>
          <cell r="C1322" t="str">
            <v>4600064508</v>
          </cell>
          <cell r="D1322" t="str">
            <v>164390C</v>
          </cell>
          <cell r="E1322">
            <v>300</v>
          </cell>
          <cell r="F1322">
            <v>43484</v>
          </cell>
          <cell r="G1322" t="str">
            <v>OK</v>
          </cell>
        </row>
        <row r="1323">
          <cell r="A1323" t="str">
            <v>Y1901-0512</v>
          </cell>
          <cell r="B1323">
            <v>201810</v>
          </cell>
          <cell r="C1323" t="str">
            <v>4600064509</v>
          </cell>
          <cell r="D1323" t="str">
            <v>163269C</v>
          </cell>
          <cell r="E1323">
            <v>1104</v>
          </cell>
          <cell r="F1323">
            <v>43484</v>
          </cell>
          <cell r="G1323" t="str">
            <v>OK</v>
          </cell>
        </row>
        <row r="1324">
          <cell r="A1324" t="str">
            <v>Y1901-0513</v>
          </cell>
          <cell r="B1324">
            <v>201810</v>
          </cell>
          <cell r="C1324" t="str">
            <v>4600064510</v>
          </cell>
          <cell r="D1324" t="str">
            <v>158369C</v>
          </cell>
          <cell r="E1324">
            <v>936</v>
          </cell>
          <cell r="F1324">
            <v>43484</v>
          </cell>
          <cell r="G1324" t="str">
            <v>OK</v>
          </cell>
        </row>
        <row r="1325">
          <cell r="A1325" t="str">
            <v>Y1902-0410</v>
          </cell>
          <cell r="B1325">
            <v>201810</v>
          </cell>
          <cell r="C1325" t="str">
            <v>4600064511</v>
          </cell>
          <cell r="D1325" t="str">
            <v>564204C</v>
          </cell>
          <cell r="E1325">
            <v>156</v>
          </cell>
          <cell r="F1325">
            <v>43492</v>
          </cell>
          <cell r="G1325" t="str">
            <v>OK</v>
          </cell>
        </row>
        <row r="1326">
          <cell r="A1326" t="str">
            <v>Y1902-0411</v>
          </cell>
          <cell r="B1326">
            <v>201810</v>
          </cell>
          <cell r="C1326" t="str">
            <v>4600064512</v>
          </cell>
          <cell r="D1326" t="str">
            <v>564154C</v>
          </cell>
          <cell r="E1326">
            <v>1020</v>
          </cell>
          <cell r="F1326">
            <v>43490</v>
          </cell>
          <cell r="G1326" t="str">
            <v>OK</v>
          </cell>
        </row>
        <row r="1327">
          <cell r="A1327" t="str">
            <v>Y1902-0412</v>
          </cell>
          <cell r="B1327">
            <v>201810</v>
          </cell>
          <cell r="C1327" t="str">
            <v>4600064513</v>
          </cell>
          <cell r="D1327" t="str">
            <v>564153C</v>
          </cell>
          <cell r="E1327">
            <v>1020</v>
          </cell>
          <cell r="F1327">
            <v>43490</v>
          </cell>
          <cell r="G1327" t="str">
            <v>OK</v>
          </cell>
        </row>
        <row r="1328">
          <cell r="A1328" t="str">
            <v>Y1902-0413</v>
          </cell>
          <cell r="B1328">
            <v>201810</v>
          </cell>
          <cell r="C1328" t="str">
            <v>4600064514</v>
          </cell>
          <cell r="D1328" t="str">
            <v>564152C</v>
          </cell>
          <cell r="E1328">
            <v>1020</v>
          </cell>
          <cell r="F1328">
            <v>43490</v>
          </cell>
          <cell r="G1328" t="str">
            <v>OK</v>
          </cell>
        </row>
        <row r="1329">
          <cell r="A1329" t="str">
            <v>Y1901-0514</v>
          </cell>
          <cell r="B1329">
            <v>201810</v>
          </cell>
          <cell r="C1329" t="str">
            <v>4600064520</v>
          </cell>
          <cell r="D1329" t="str">
            <v>161599C</v>
          </cell>
          <cell r="E1329">
            <v>156</v>
          </cell>
          <cell r="F1329">
            <v>43484</v>
          </cell>
          <cell r="G1329" t="str">
            <v>OK</v>
          </cell>
        </row>
        <row r="1330">
          <cell r="A1330" t="str">
            <v>Y1901-0515</v>
          </cell>
          <cell r="B1330">
            <v>201810</v>
          </cell>
          <cell r="C1330" t="str">
            <v>4600064522</v>
          </cell>
          <cell r="D1330">
            <v>88877</v>
          </cell>
          <cell r="E1330">
            <v>864</v>
          </cell>
          <cell r="F1330">
            <v>43484</v>
          </cell>
          <cell r="G1330" t="str">
            <v>OK</v>
          </cell>
        </row>
        <row r="1331">
          <cell r="A1331" t="str">
            <v>Y1901-0516</v>
          </cell>
          <cell r="B1331">
            <v>201810</v>
          </cell>
          <cell r="C1331" t="str">
            <v>4600064523</v>
          </cell>
          <cell r="D1331" t="str">
            <v>159786C</v>
          </cell>
          <cell r="E1331">
            <v>468</v>
          </cell>
          <cell r="F1331">
            <v>43484</v>
          </cell>
          <cell r="G1331" t="str">
            <v>OK</v>
          </cell>
        </row>
        <row r="1332">
          <cell r="A1332" t="str">
            <v>Y1902-0414</v>
          </cell>
          <cell r="B1332">
            <v>201810</v>
          </cell>
          <cell r="C1332" t="str">
            <v>4600064524</v>
          </cell>
          <cell r="D1332" t="str">
            <v>161603C</v>
          </cell>
          <cell r="E1332">
            <v>2940</v>
          </cell>
          <cell r="F1332">
            <v>43490</v>
          </cell>
          <cell r="G1332" t="str">
            <v>OK</v>
          </cell>
        </row>
        <row r="1333">
          <cell r="A1333" t="str">
            <v>Y1901-0517</v>
          </cell>
          <cell r="B1333">
            <v>201810</v>
          </cell>
          <cell r="C1333" t="str">
            <v>4600064530</v>
          </cell>
          <cell r="D1333" t="str">
            <v>164525C</v>
          </cell>
          <cell r="E1333">
            <v>1344</v>
          </cell>
          <cell r="F1333">
            <v>43484</v>
          </cell>
          <cell r="G1333" t="str">
            <v>OK</v>
          </cell>
        </row>
        <row r="1334">
          <cell r="A1334" t="str">
            <v>Y1901-0518</v>
          </cell>
          <cell r="B1334">
            <v>201810</v>
          </cell>
          <cell r="C1334" t="str">
            <v>4600064531</v>
          </cell>
          <cell r="D1334" t="str">
            <v>164393C</v>
          </cell>
          <cell r="E1334">
            <v>600</v>
          </cell>
          <cell r="F1334">
            <v>43484</v>
          </cell>
          <cell r="G1334" t="str">
            <v>OK</v>
          </cell>
        </row>
        <row r="1335">
          <cell r="A1335" t="str">
            <v>Y1902-0415</v>
          </cell>
          <cell r="B1335">
            <v>201810</v>
          </cell>
          <cell r="C1335" t="str">
            <v>4600064533</v>
          </cell>
          <cell r="D1335" t="str">
            <v>164058C</v>
          </cell>
          <cell r="E1335">
            <v>396</v>
          </cell>
          <cell r="F1335">
            <v>43490</v>
          </cell>
          <cell r="G1335" t="str">
            <v>OK</v>
          </cell>
        </row>
        <row r="1336">
          <cell r="A1336" t="str">
            <v>Y1902-0416</v>
          </cell>
          <cell r="B1336">
            <v>201810</v>
          </cell>
          <cell r="C1336" t="str">
            <v>4600064541</v>
          </cell>
          <cell r="D1336" t="str">
            <v>564153C</v>
          </cell>
          <cell r="E1336">
            <v>204</v>
          </cell>
          <cell r="F1336">
            <v>43490</v>
          </cell>
          <cell r="G1336" t="str">
            <v>OK</v>
          </cell>
        </row>
        <row r="1337">
          <cell r="A1337" t="str">
            <v>Y1902-0417</v>
          </cell>
          <cell r="B1337">
            <v>201810</v>
          </cell>
          <cell r="C1337" t="str">
            <v>4600064544</v>
          </cell>
          <cell r="D1337" t="str">
            <v>161603C</v>
          </cell>
          <cell r="E1337">
            <v>516</v>
          </cell>
          <cell r="F1337">
            <v>43490</v>
          </cell>
          <cell r="G1337" t="str">
            <v>OK</v>
          </cell>
        </row>
        <row r="1338">
          <cell r="A1338" t="str">
            <v>Y1902-0418</v>
          </cell>
          <cell r="B1338">
            <v>201810</v>
          </cell>
          <cell r="C1338" t="str">
            <v>4600064545</v>
          </cell>
          <cell r="D1338" t="str">
            <v>164059C</v>
          </cell>
          <cell r="E1338">
            <v>240</v>
          </cell>
          <cell r="F1338">
            <v>43490</v>
          </cell>
          <cell r="G1338" t="str">
            <v>OK</v>
          </cell>
        </row>
        <row r="1339">
          <cell r="A1339" t="str">
            <v>Y1902-0419</v>
          </cell>
          <cell r="B1339">
            <v>201810</v>
          </cell>
          <cell r="C1339" t="str">
            <v>4600064546</v>
          </cell>
          <cell r="D1339" t="str">
            <v>564154C</v>
          </cell>
          <cell r="E1339">
            <v>312</v>
          </cell>
          <cell r="F1339">
            <v>43490</v>
          </cell>
          <cell r="G1339" t="str">
            <v>OK</v>
          </cell>
        </row>
        <row r="1340">
          <cell r="A1340" t="str">
            <v>Y1902-0420</v>
          </cell>
          <cell r="B1340">
            <v>201810</v>
          </cell>
          <cell r="C1340" t="str">
            <v>4600064547</v>
          </cell>
          <cell r="D1340" t="str">
            <v>564152C</v>
          </cell>
          <cell r="E1340">
            <v>204</v>
          </cell>
          <cell r="F1340">
            <v>43490</v>
          </cell>
          <cell r="G1340" t="str">
            <v>OK</v>
          </cell>
        </row>
        <row r="1341">
          <cell r="A1341" t="str">
            <v>Y1902-0421</v>
          </cell>
          <cell r="B1341">
            <v>201810</v>
          </cell>
          <cell r="C1341" t="str">
            <v>4600064548</v>
          </cell>
          <cell r="D1341" t="str">
            <v>564151C</v>
          </cell>
          <cell r="E1341">
            <v>312</v>
          </cell>
          <cell r="F1341">
            <v>43490</v>
          </cell>
          <cell r="G1341" t="str">
            <v>OK</v>
          </cell>
        </row>
        <row r="1342">
          <cell r="A1342" t="str">
            <v>Y1902-0422</v>
          </cell>
          <cell r="B1342">
            <v>201810</v>
          </cell>
          <cell r="C1342" t="str">
            <v>4600064550</v>
          </cell>
          <cell r="D1342" t="str">
            <v>155064C</v>
          </cell>
          <cell r="E1342">
            <v>192</v>
          </cell>
          <cell r="F1342">
            <v>43490</v>
          </cell>
          <cell r="G1342" t="str">
            <v>OK</v>
          </cell>
        </row>
        <row r="1343">
          <cell r="A1343" t="str">
            <v>Y1901-0519</v>
          </cell>
          <cell r="B1343">
            <v>201810</v>
          </cell>
          <cell r="C1343" t="str">
            <v>4600064563</v>
          </cell>
          <cell r="D1343" t="str">
            <v>164359C</v>
          </cell>
          <cell r="E1343">
            <v>120</v>
          </cell>
          <cell r="F1343">
            <v>43490</v>
          </cell>
          <cell r="G1343" t="str">
            <v>OK</v>
          </cell>
        </row>
        <row r="1344">
          <cell r="A1344" t="str">
            <v>Y1901-0520</v>
          </cell>
          <cell r="B1344">
            <v>201810</v>
          </cell>
          <cell r="C1344" t="str">
            <v>4600064564</v>
          </cell>
          <cell r="D1344" t="str">
            <v>164360C</v>
          </cell>
          <cell r="E1344">
            <v>120</v>
          </cell>
          <cell r="F1344">
            <v>43490</v>
          </cell>
          <cell r="G1344" t="str">
            <v>OK</v>
          </cell>
        </row>
        <row r="1345">
          <cell r="A1345" t="str">
            <v>Y1901-0521</v>
          </cell>
          <cell r="B1345">
            <v>201810</v>
          </cell>
          <cell r="C1345" t="str">
            <v>4600064565</v>
          </cell>
          <cell r="D1345" t="str">
            <v>164219C</v>
          </cell>
          <cell r="E1345">
            <v>120</v>
          </cell>
          <cell r="F1345">
            <v>43486</v>
          </cell>
          <cell r="G1345" t="str">
            <v>OK</v>
          </cell>
        </row>
        <row r="1346">
          <cell r="A1346" t="str">
            <v>Y1901-0522</v>
          </cell>
          <cell r="B1346">
            <v>201810</v>
          </cell>
          <cell r="C1346" t="str">
            <v>4600064566</v>
          </cell>
          <cell r="D1346" t="str">
            <v>161577C</v>
          </cell>
          <cell r="E1346">
            <v>120</v>
          </cell>
          <cell r="F1346">
            <v>43486</v>
          </cell>
          <cell r="G1346" t="str">
            <v>OK</v>
          </cell>
        </row>
        <row r="1347">
          <cell r="A1347" t="str">
            <v>Y1901-0523</v>
          </cell>
          <cell r="B1347">
            <v>201810</v>
          </cell>
          <cell r="C1347" t="str">
            <v>4600064567</v>
          </cell>
          <cell r="D1347" t="str">
            <v>164220C</v>
          </cell>
          <cell r="E1347">
            <v>120</v>
          </cell>
          <cell r="F1347">
            <v>43486</v>
          </cell>
          <cell r="G1347" t="str">
            <v>OK</v>
          </cell>
        </row>
        <row r="1348">
          <cell r="A1348" t="str">
            <v>Y1901-0524</v>
          </cell>
          <cell r="B1348">
            <v>201810</v>
          </cell>
          <cell r="C1348" t="str">
            <v>4600064569</v>
          </cell>
          <cell r="D1348" t="str">
            <v>164280C</v>
          </cell>
          <cell r="E1348">
            <v>456</v>
          </cell>
          <cell r="F1348">
            <v>43484</v>
          </cell>
          <cell r="G1348" t="str">
            <v>OK</v>
          </cell>
        </row>
        <row r="1349">
          <cell r="A1349" t="str">
            <v>Y1901-0525</v>
          </cell>
          <cell r="B1349">
            <v>201810</v>
          </cell>
          <cell r="C1349" t="str">
            <v>4600064570</v>
          </cell>
          <cell r="D1349" t="str">
            <v>364170C</v>
          </cell>
          <cell r="E1349">
            <v>144</v>
          </cell>
          <cell r="F1349">
            <v>43490</v>
          </cell>
          <cell r="G1349" t="str">
            <v>OK</v>
          </cell>
        </row>
        <row r="1350">
          <cell r="A1350" t="str">
            <v>Y1901-0526</v>
          </cell>
          <cell r="B1350">
            <v>201810</v>
          </cell>
          <cell r="C1350" t="str">
            <v>4600064571</v>
          </cell>
          <cell r="D1350" t="str">
            <v>361818C</v>
          </cell>
          <cell r="E1350">
            <v>144</v>
          </cell>
          <cell r="F1350">
            <v>43486</v>
          </cell>
          <cell r="G1350" t="str">
            <v>OK</v>
          </cell>
        </row>
        <row r="1351">
          <cell r="A1351" t="str">
            <v>Y1901-0527</v>
          </cell>
          <cell r="B1351">
            <v>201810</v>
          </cell>
          <cell r="C1351" t="str">
            <v>4600064572</v>
          </cell>
          <cell r="D1351" t="str">
            <v>164060C</v>
          </cell>
          <cell r="E1351">
            <v>192</v>
          </cell>
          <cell r="F1351">
            <v>43484</v>
          </cell>
          <cell r="G1351" t="str">
            <v>OK</v>
          </cell>
        </row>
        <row r="1352">
          <cell r="A1352" t="str">
            <v>Y1901-0528</v>
          </cell>
          <cell r="B1352">
            <v>201810</v>
          </cell>
          <cell r="C1352" t="str">
            <v>4600064573</v>
          </cell>
          <cell r="D1352" t="str">
            <v>663605C</v>
          </cell>
          <cell r="E1352">
            <v>252</v>
          </cell>
          <cell r="F1352">
            <v>43484</v>
          </cell>
          <cell r="G1352" t="str">
            <v>OK</v>
          </cell>
        </row>
        <row r="1353">
          <cell r="A1353" t="str">
            <v>Y1901-0529</v>
          </cell>
          <cell r="B1353">
            <v>201810</v>
          </cell>
          <cell r="C1353" t="str">
            <v>4600064574</v>
          </cell>
          <cell r="D1353" t="str">
            <v>564072C</v>
          </cell>
          <cell r="E1353">
            <v>1692</v>
          </cell>
          <cell r="F1353">
            <v>43486</v>
          </cell>
          <cell r="G1353" t="str">
            <v>OK</v>
          </cell>
        </row>
        <row r="1354">
          <cell r="A1354" t="str">
            <v>Y1901-0530</v>
          </cell>
          <cell r="B1354">
            <v>201810</v>
          </cell>
          <cell r="C1354" t="str">
            <v>4600064575</v>
          </cell>
          <cell r="D1354" t="str">
            <v>164360C</v>
          </cell>
          <cell r="E1354">
            <v>324</v>
          </cell>
          <cell r="F1354">
            <v>43490</v>
          </cell>
          <cell r="G1354" t="str">
            <v>OK</v>
          </cell>
        </row>
        <row r="1355">
          <cell r="A1355" t="str">
            <v>Y1901-0531</v>
          </cell>
          <cell r="B1355">
            <v>201810</v>
          </cell>
          <cell r="C1355" t="str">
            <v>4600064576</v>
          </cell>
          <cell r="D1355" t="str">
            <v>564071C</v>
          </cell>
          <cell r="E1355">
            <v>1344</v>
          </cell>
          <cell r="F1355">
            <v>43486</v>
          </cell>
          <cell r="G1355" t="str">
            <v>OK</v>
          </cell>
        </row>
        <row r="1356">
          <cell r="A1356" t="str">
            <v>Y1901-0532</v>
          </cell>
          <cell r="B1356">
            <v>201810</v>
          </cell>
          <cell r="C1356" t="str">
            <v>4600064577</v>
          </cell>
          <cell r="D1356" t="str">
            <v>161603C</v>
          </cell>
          <cell r="E1356">
            <v>456</v>
          </cell>
          <cell r="F1356">
            <v>43484</v>
          </cell>
          <cell r="G1356" t="str">
            <v>OK</v>
          </cell>
        </row>
        <row r="1357">
          <cell r="A1357" t="str">
            <v>Y1901-0533</v>
          </cell>
          <cell r="B1357">
            <v>201810</v>
          </cell>
          <cell r="C1357" t="str">
            <v>4600064578</v>
          </cell>
          <cell r="D1357" t="str">
            <v>564151C</v>
          </cell>
          <cell r="E1357">
            <v>1428</v>
          </cell>
          <cell r="F1357">
            <v>43486</v>
          </cell>
          <cell r="G1357" t="str">
            <v>OK</v>
          </cell>
        </row>
        <row r="1358">
          <cell r="A1358" t="str">
            <v>Y1901-0534</v>
          </cell>
          <cell r="B1358">
            <v>201810</v>
          </cell>
          <cell r="C1358" t="str">
            <v>4600064579</v>
          </cell>
          <cell r="D1358" t="str">
            <v>164361C</v>
          </cell>
          <cell r="E1358">
            <v>120</v>
          </cell>
          <cell r="F1358">
            <v>43490</v>
          </cell>
          <cell r="G1358" t="str">
            <v>OK</v>
          </cell>
        </row>
        <row r="1359">
          <cell r="A1359" t="str">
            <v>Y1901-0535</v>
          </cell>
          <cell r="B1359">
            <v>201810</v>
          </cell>
          <cell r="C1359" t="str">
            <v>4600064580</v>
          </cell>
          <cell r="D1359" t="str">
            <v>564070C</v>
          </cell>
          <cell r="E1359">
            <v>792</v>
          </cell>
          <cell r="F1359">
            <v>43486</v>
          </cell>
          <cell r="G1359" t="str">
            <v>OK</v>
          </cell>
        </row>
        <row r="1360">
          <cell r="A1360" t="str">
            <v>Y1901-0536</v>
          </cell>
          <cell r="B1360">
            <v>201810</v>
          </cell>
          <cell r="C1360" t="str">
            <v>4600064581</v>
          </cell>
          <cell r="D1360" t="str">
            <v>164281C</v>
          </cell>
          <cell r="E1360">
            <v>456</v>
          </cell>
          <cell r="F1360">
            <v>43484</v>
          </cell>
          <cell r="G1360" t="str">
            <v>OK</v>
          </cell>
        </row>
        <row r="1361">
          <cell r="A1361" t="str">
            <v>Y1901-0537</v>
          </cell>
          <cell r="B1361">
            <v>201810</v>
          </cell>
          <cell r="C1361" t="str">
            <v>4600064582</v>
          </cell>
          <cell r="D1361" t="str">
            <v>564072C</v>
          </cell>
          <cell r="E1361">
            <v>120</v>
          </cell>
          <cell r="F1361">
            <v>43486</v>
          </cell>
          <cell r="G1361" t="str">
            <v>OK</v>
          </cell>
        </row>
        <row r="1362">
          <cell r="A1362" t="str">
            <v>Y1901-0538</v>
          </cell>
          <cell r="B1362">
            <v>201810</v>
          </cell>
          <cell r="C1362" t="str">
            <v>4600064583</v>
          </cell>
          <cell r="D1362" t="str">
            <v>564070C</v>
          </cell>
          <cell r="E1362">
            <v>120</v>
          </cell>
          <cell r="F1362">
            <v>43486</v>
          </cell>
          <cell r="G1362" t="str">
            <v>OK</v>
          </cell>
        </row>
        <row r="1363">
          <cell r="A1363" t="str">
            <v>Y1901-0539</v>
          </cell>
          <cell r="B1363">
            <v>201810</v>
          </cell>
          <cell r="C1363" t="str">
            <v>4600064584</v>
          </cell>
          <cell r="D1363" t="str">
            <v>164390C</v>
          </cell>
          <cell r="E1363">
            <v>144</v>
          </cell>
          <cell r="F1363">
            <v>43486</v>
          </cell>
          <cell r="G1363" t="str">
            <v>OK</v>
          </cell>
        </row>
        <row r="1364">
          <cell r="A1364" t="str">
            <v>Y1901-0540</v>
          </cell>
          <cell r="B1364">
            <v>201810</v>
          </cell>
          <cell r="C1364" t="str">
            <v>4600064585</v>
          </cell>
          <cell r="D1364" t="str">
            <v>164393C</v>
          </cell>
          <cell r="E1364">
            <v>144</v>
          </cell>
          <cell r="F1364">
            <v>43486</v>
          </cell>
          <cell r="G1364" t="str">
            <v>OK</v>
          </cell>
        </row>
        <row r="1365">
          <cell r="A1365" t="str">
            <v>Y1901-0611</v>
          </cell>
          <cell r="B1365">
            <v>201810</v>
          </cell>
          <cell r="C1365" t="str">
            <v>4600064586</v>
          </cell>
          <cell r="D1365" t="str">
            <v>150767C</v>
          </cell>
          <cell r="E1365">
            <v>3600</v>
          </cell>
          <cell r="F1365">
            <v>43480</v>
          </cell>
          <cell r="G1365" t="str">
            <v>OK</v>
          </cell>
        </row>
        <row r="1366">
          <cell r="A1366" t="str">
            <v>Y1901-0541</v>
          </cell>
          <cell r="B1366">
            <v>201810</v>
          </cell>
          <cell r="C1366" t="str">
            <v>4600064587</v>
          </cell>
          <cell r="D1366" t="str">
            <v>150765C</v>
          </cell>
          <cell r="E1366">
            <v>1848</v>
          </cell>
          <cell r="F1366">
            <v>43480</v>
          </cell>
          <cell r="G1366" t="str">
            <v>OK</v>
          </cell>
        </row>
        <row r="1367">
          <cell r="A1367" t="str">
            <v>Y1901-0612</v>
          </cell>
          <cell r="B1367">
            <v>201810</v>
          </cell>
          <cell r="C1367" t="str">
            <v>4600064588</v>
          </cell>
          <cell r="D1367" t="str">
            <v>150764C</v>
          </cell>
          <cell r="E1367">
            <v>1848</v>
          </cell>
          <cell r="F1367">
            <v>43480</v>
          </cell>
          <cell r="G1367" t="str">
            <v>OK</v>
          </cell>
        </row>
        <row r="1368">
          <cell r="A1368" t="str">
            <v>Y1901-0613</v>
          </cell>
          <cell r="B1368">
            <v>201810</v>
          </cell>
          <cell r="C1368" t="str">
            <v>4600064589</v>
          </cell>
          <cell r="D1368" t="str">
            <v>150763C</v>
          </cell>
          <cell r="E1368">
            <v>1860</v>
          </cell>
          <cell r="F1368">
            <v>43480</v>
          </cell>
          <cell r="G1368" t="str">
            <v>OK</v>
          </cell>
        </row>
        <row r="1369">
          <cell r="A1369" t="str">
            <v>Y1901-0614</v>
          </cell>
          <cell r="B1369">
            <v>201810</v>
          </cell>
          <cell r="C1369" t="str">
            <v>4600064590</v>
          </cell>
          <cell r="D1369" t="str">
            <v>150760C</v>
          </cell>
          <cell r="E1369">
            <v>1848</v>
          </cell>
          <cell r="F1369">
            <v>43480</v>
          </cell>
          <cell r="G1369" t="str">
            <v>OK</v>
          </cell>
        </row>
        <row r="1370">
          <cell r="A1370" t="str">
            <v>Y1901-0615</v>
          </cell>
          <cell r="B1370">
            <v>201810</v>
          </cell>
          <cell r="C1370" t="str">
            <v>4600064591</v>
          </cell>
          <cell r="D1370" t="str">
            <v>150759C</v>
          </cell>
          <cell r="E1370">
            <v>1848</v>
          </cell>
          <cell r="F1370">
            <v>43480</v>
          </cell>
          <cell r="G1370" t="str">
            <v>OK</v>
          </cell>
        </row>
        <row r="1371">
          <cell r="A1371" t="str">
            <v>Y1901-0616</v>
          </cell>
          <cell r="B1371">
            <v>201810</v>
          </cell>
          <cell r="C1371" t="str">
            <v>4600064592</v>
          </cell>
          <cell r="D1371" t="str">
            <v>150756C</v>
          </cell>
          <cell r="E1371">
            <v>1848</v>
          </cell>
          <cell r="F1371">
            <v>43480</v>
          </cell>
          <cell r="G1371" t="str">
            <v>OK</v>
          </cell>
        </row>
        <row r="1372">
          <cell r="A1372" t="str">
            <v>Y1901-0617</v>
          </cell>
          <cell r="B1372">
            <v>201810</v>
          </cell>
          <cell r="C1372" t="str">
            <v>4600064598</v>
          </cell>
          <cell r="D1372" t="str">
            <v>150768C</v>
          </cell>
          <cell r="E1372">
            <v>2388</v>
          </cell>
          <cell r="F1372">
            <v>43480</v>
          </cell>
          <cell r="G1372" t="str">
            <v>OK</v>
          </cell>
        </row>
        <row r="1373">
          <cell r="A1373" t="str">
            <v>Y1902-0427</v>
          </cell>
          <cell r="B1373">
            <v>201810</v>
          </cell>
          <cell r="C1373" t="str">
            <v>4600064655</v>
          </cell>
          <cell r="D1373" t="str">
            <v>163380C</v>
          </cell>
          <cell r="E1373">
            <v>420</v>
          </cell>
          <cell r="F1373">
            <v>43493</v>
          </cell>
          <cell r="G1373" t="str">
            <v>OK</v>
          </cell>
        </row>
        <row r="1374">
          <cell r="A1374" t="str">
            <v>Y1902-0439</v>
          </cell>
          <cell r="B1374">
            <v>201810</v>
          </cell>
          <cell r="C1374" t="str">
            <v>4600064667</v>
          </cell>
          <cell r="D1374" t="str">
            <v>651830C</v>
          </cell>
          <cell r="E1374">
            <v>1164</v>
          </cell>
          <cell r="F1374">
            <v>43493</v>
          </cell>
          <cell r="G1374" t="str">
            <v>OK</v>
          </cell>
        </row>
        <row r="1375">
          <cell r="A1375" t="str">
            <v>Y1902-0440</v>
          </cell>
          <cell r="B1375">
            <v>201810</v>
          </cell>
          <cell r="C1375" t="str">
            <v>4600064668</v>
          </cell>
          <cell r="D1375" t="str">
            <v>651827C</v>
          </cell>
          <cell r="E1375">
            <v>2292</v>
          </cell>
          <cell r="F1375">
            <v>43493</v>
          </cell>
          <cell r="G1375" t="str">
            <v>OK</v>
          </cell>
        </row>
        <row r="1376">
          <cell r="A1376" t="str">
            <v>Y1902-0441</v>
          </cell>
          <cell r="B1376">
            <v>201810</v>
          </cell>
          <cell r="C1376" t="str">
            <v>4600064669</v>
          </cell>
          <cell r="D1376" t="str">
            <v>651827C</v>
          </cell>
          <cell r="E1376">
            <v>1260</v>
          </cell>
          <cell r="F1376">
            <v>43493</v>
          </cell>
          <cell r="G1376" t="str">
            <v>OK</v>
          </cell>
        </row>
        <row r="1377">
          <cell r="A1377" t="str">
            <v>Y1902-0448</v>
          </cell>
          <cell r="B1377">
            <v>201810</v>
          </cell>
          <cell r="C1377" t="str">
            <v>4600064677</v>
          </cell>
          <cell r="D1377" t="str">
            <v>751878C</v>
          </cell>
          <cell r="E1377">
            <v>1800</v>
          </cell>
          <cell r="F1377">
            <v>43493</v>
          </cell>
          <cell r="G1377" t="str">
            <v>OK</v>
          </cell>
        </row>
        <row r="1378">
          <cell r="A1378" t="str">
            <v>Y1902-0451</v>
          </cell>
          <cell r="B1378">
            <v>201810</v>
          </cell>
          <cell r="C1378" t="str">
            <v>4600064680</v>
          </cell>
          <cell r="D1378" t="str">
            <v>651830C</v>
          </cell>
          <cell r="E1378">
            <v>1284</v>
          </cell>
          <cell r="F1378">
            <v>43493</v>
          </cell>
          <cell r="G1378" t="str">
            <v>OK</v>
          </cell>
        </row>
        <row r="1379">
          <cell r="A1379" t="str">
            <v>Y1902-0452</v>
          </cell>
          <cell r="B1379">
            <v>201810</v>
          </cell>
          <cell r="C1379" t="str">
            <v>4600064681</v>
          </cell>
          <cell r="D1379" t="str">
            <v>651830C</v>
          </cell>
          <cell r="E1379">
            <v>336</v>
          </cell>
          <cell r="F1379">
            <v>43493</v>
          </cell>
          <cell r="G1379" t="str">
            <v>OK</v>
          </cell>
        </row>
        <row r="1380">
          <cell r="A1380" t="str">
            <v>Y1902-0454</v>
          </cell>
          <cell r="B1380">
            <v>201810</v>
          </cell>
          <cell r="C1380" t="str">
            <v>4600064683</v>
          </cell>
          <cell r="D1380" t="str">
            <v>651830C</v>
          </cell>
          <cell r="E1380">
            <v>336</v>
          </cell>
          <cell r="F1380">
            <v>43493</v>
          </cell>
          <cell r="G1380" t="str">
            <v>OK</v>
          </cell>
        </row>
        <row r="1381">
          <cell r="A1381" t="str">
            <v>Y1902-0457</v>
          </cell>
          <cell r="B1381">
            <v>201810</v>
          </cell>
          <cell r="C1381" t="str">
            <v>4600064686</v>
          </cell>
          <cell r="D1381" t="str">
            <v>564153C</v>
          </cell>
          <cell r="E1381">
            <v>228</v>
          </cell>
          <cell r="F1381">
            <v>43493</v>
          </cell>
          <cell r="G1381" t="str">
            <v>OK</v>
          </cell>
        </row>
        <row r="1382">
          <cell r="A1382" t="str">
            <v>Y1902-0459</v>
          </cell>
          <cell r="B1382">
            <v>201810</v>
          </cell>
          <cell r="C1382" t="str">
            <v>4600064688</v>
          </cell>
          <cell r="D1382" t="str">
            <v>158369C</v>
          </cell>
          <cell r="E1382">
            <v>600</v>
          </cell>
          <cell r="F1382">
            <v>43493</v>
          </cell>
          <cell r="G1382" t="str">
            <v>OK</v>
          </cell>
        </row>
        <row r="1383">
          <cell r="A1383" t="str">
            <v>Y1902-0462</v>
          </cell>
          <cell r="B1383">
            <v>201810</v>
          </cell>
          <cell r="C1383" t="str">
            <v>4600064691</v>
          </cell>
          <cell r="D1383" t="str">
            <v>651827C</v>
          </cell>
          <cell r="E1383">
            <v>1260</v>
          </cell>
          <cell r="F1383">
            <v>43493</v>
          </cell>
          <cell r="G1383" t="str">
            <v>OK</v>
          </cell>
        </row>
        <row r="1384">
          <cell r="A1384" t="str">
            <v>Y1902-0472</v>
          </cell>
          <cell r="B1384">
            <v>201810</v>
          </cell>
          <cell r="C1384" t="str">
            <v>4600064701</v>
          </cell>
          <cell r="D1384" t="str">
            <v>158371C</v>
          </cell>
          <cell r="E1384">
            <v>600</v>
          </cell>
          <cell r="F1384">
            <v>43493</v>
          </cell>
          <cell r="G1384" t="str">
            <v>OK</v>
          </cell>
        </row>
        <row r="1385">
          <cell r="A1385" t="str">
            <v>Y1902-0480</v>
          </cell>
          <cell r="B1385">
            <v>201810</v>
          </cell>
          <cell r="C1385" t="str">
            <v>4600064709</v>
          </cell>
          <cell r="D1385" t="str">
            <v>163377C</v>
          </cell>
          <cell r="E1385">
            <v>420</v>
          </cell>
          <cell r="F1385">
            <v>43493</v>
          </cell>
          <cell r="G1385" t="str">
            <v>OK</v>
          </cell>
        </row>
        <row r="1386">
          <cell r="A1386" t="str">
            <v>Y1901-0544</v>
          </cell>
          <cell r="B1386">
            <v>201810</v>
          </cell>
          <cell r="C1386" t="str">
            <v>4600064715</v>
          </cell>
          <cell r="D1386" t="str">
            <v>564071C</v>
          </cell>
          <cell r="E1386">
            <v>432</v>
          </cell>
          <cell r="F1386">
            <v>43484</v>
          </cell>
          <cell r="G1386" t="str">
            <v>OK</v>
          </cell>
        </row>
        <row r="1387">
          <cell r="A1387" t="str">
            <v>Y1901-0545</v>
          </cell>
          <cell r="B1387">
            <v>201810</v>
          </cell>
          <cell r="C1387" t="str">
            <v>4600064721</v>
          </cell>
          <cell r="D1387" t="str">
            <v>564072C</v>
          </cell>
          <cell r="E1387">
            <v>432</v>
          </cell>
          <cell r="F1387">
            <v>43484</v>
          </cell>
          <cell r="G1387" t="str">
            <v>OK</v>
          </cell>
        </row>
        <row r="1388">
          <cell r="A1388" t="str">
            <v>Y1901-0546</v>
          </cell>
          <cell r="B1388">
            <v>201810</v>
          </cell>
          <cell r="C1388" t="str">
            <v>4600064722</v>
          </cell>
          <cell r="D1388" t="str">
            <v>564070C</v>
          </cell>
          <cell r="E1388">
            <v>288</v>
          </cell>
          <cell r="F1388">
            <v>43484</v>
          </cell>
          <cell r="G1388" t="str">
            <v>OK</v>
          </cell>
        </row>
        <row r="1389">
          <cell r="A1389" t="str">
            <v>Y1901-0547</v>
          </cell>
          <cell r="B1389">
            <v>201810</v>
          </cell>
          <cell r="C1389" t="str">
            <v>4600064727</v>
          </cell>
          <cell r="D1389" t="str">
            <v>164059C</v>
          </cell>
          <cell r="E1389">
            <v>396</v>
          </cell>
          <cell r="F1389">
            <v>43484</v>
          </cell>
          <cell r="G1389" t="str">
            <v>OK</v>
          </cell>
        </row>
        <row r="1390">
          <cell r="A1390" t="str">
            <v>Y1901-0548</v>
          </cell>
          <cell r="B1390">
            <v>201810</v>
          </cell>
          <cell r="C1390" t="str">
            <v>4600064728</v>
          </cell>
          <cell r="D1390" t="str">
            <v>164060C</v>
          </cell>
          <cell r="E1390">
            <v>360</v>
          </cell>
          <cell r="F1390">
            <v>43484</v>
          </cell>
          <cell r="G1390" t="str">
            <v>OK</v>
          </cell>
        </row>
        <row r="1391">
          <cell r="A1391" t="str">
            <v>Y1901-0549</v>
          </cell>
          <cell r="B1391">
            <v>201810</v>
          </cell>
          <cell r="C1391" t="str">
            <v>4600064729</v>
          </cell>
          <cell r="D1391" t="str">
            <v>164280C</v>
          </cell>
          <cell r="E1391">
            <v>1164</v>
          </cell>
          <cell r="F1391">
            <v>43484</v>
          </cell>
          <cell r="G1391" t="str">
            <v>OK</v>
          </cell>
        </row>
        <row r="1392">
          <cell r="A1392" t="str">
            <v>Y1901-0550</v>
          </cell>
          <cell r="B1392">
            <v>201810</v>
          </cell>
          <cell r="C1392" t="str">
            <v>4600064730</v>
          </cell>
          <cell r="D1392" t="str">
            <v>164220C</v>
          </cell>
          <cell r="E1392">
            <v>228</v>
          </cell>
          <cell r="F1392">
            <v>43484</v>
          </cell>
          <cell r="G1392" t="str">
            <v>OK</v>
          </cell>
        </row>
        <row r="1393">
          <cell r="A1393" t="str">
            <v>Y1901-0551</v>
          </cell>
          <cell r="B1393">
            <v>201810</v>
          </cell>
          <cell r="C1393" t="str">
            <v>4600064731</v>
          </cell>
          <cell r="D1393" t="str">
            <v>164219C</v>
          </cell>
          <cell r="E1393">
            <v>120</v>
          </cell>
          <cell r="F1393">
            <v>43484</v>
          </cell>
          <cell r="G1393" t="str">
            <v>OK</v>
          </cell>
        </row>
        <row r="1394">
          <cell r="A1394" t="str">
            <v>Y1901-0552</v>
          </cell>
          <cell r="B1394">
            <v>201810</v>
          </cell>
          <cell r="C1394" t="str">
            <v>4600064740</v>
          </cell>
          <cell r="D1394" t="str">
            <v>564072C</v>
          </cell>
          <cell r="E1394">
            <v>336</v>
          </cell>
          <cell r="F1394">
            <v>43484</v>
          </cell>
          <cell r="G1394" t="str">
            <v>OK</v>
          </cell>
        </row>
        <row r="1395">
          <cell r="A1395" t="str">
            <v>Y1901-0553</v>
          </cell>
          <cell r="B1395">
            <v>201810</v>
          </cell>
          <cell r="C1395" t="str">
            <v>4600064741</v>
          </cell>
          <cell r="D1395" t="str">
            <v>564070C</v>
          </cell>
          <cell r="E1395">
            <v>672</v>
          </cell>
          <cell r="F1395">
            <v>43484</v>
          </cell>
          <cell r="G1395" t="str">
            <v>OK</v>
          </cell>
        </row>
        <row r="1396">
          <cell r="A1396" t="str">
            <v>Y1901-0554</v>
          </cell>
          <cell r="B1396">
            <v>201810</v>
          </cell>
          <cell r="C1396" t="str">
            <v>4600064742</v>
          </cell>
          <cell r="D1396" t="str">
            <v>364169C</v>
          </cell>
          <cell r="E1396">
            <v>288</v>
          </cell>
          <cell r="F1396">
            <v>43490</v>
          </cell>
          <cell r="G1396" t="str">
            <v>OK</v>
          </cell>
        </row>
        <row r="1397">
          <cell r="A1397" t="str">
            <v>Y1901-0555</v>
          </cell>
          <cell r="B1397">
            <v>201810</v>
          </cell>
          <cell r="C1397" t="str">
            <v>4600064743</v>
          </cell>
          <cell r="D1397" t="str">
            <v>364170C</v>
          </cell>
          <cell r="E1397">
            <v>300</v>
          </cell>
          <cell r="F1397">
            <v>43490</v>
          </cell>
          <cell r="G1397" t="str">
            <v>OK</v>
          </cell>
        </row>
        <row r="1398">
          <cell r="A1398" t="str">
            <v>Y1901-0556</v>
          </cell>
          <cell r="B1398">
            <v>201810</v>
          </cell>
          <cell r="C1398" t="str">
            <v>4600064744</v>
          </cell>
          <cell r="D1398" t="str">
            <v>164217C</v>
          </cell>
          <cell r="E1398">
            <v>192</v>
          </cell>
          <cell r="F1398">
            <v>43484</v>
          </cell>
          <cell r="G1398" t="str">
            <v>OK</v>
          </cell>
        </row>
        <row r="1399">
          <cell r="A1399" t="str">
            <v>Y1901-0557</v>
          </cell>
          <cell r="B1399">
            <v>201810</v>
          </cell>
          <cell r="C1399" t="str">
            <v>4600064746</v>
          </cell>
          <cell r="D1399" t="str">
            <v>164058C</v>
          </cell>
          <cell r="E1399">
            <v>768</v>
          </cell>
          <cell r="F1399">
            <v>43484</v>
          </cell>
          <cell r="G1399" t="str">
            <v>OK</v>
          </cell>
        </row>
        <row r="1400">
          <cell r="A1400" t="str">
            <v>Y1901-0558</v>
          </cell>
          <cell r="B1400">
            <v>201810</v>
          </cell>
          <cell r="C1400" t="str">
            <v>4600064747</v>
          </cell>
          <cell r="D1400" t="str">
            <v>164282C</v>
          </cell>
          <cell r="E1400">
            <v>936</v>
          </cell>
          <cell r="F1400">
            <v>43484</v>
          </cell>
          <cell r="G1400" t="str">
            <v>OK</v>
          </cell>
        </row>
        <row r="1401">
          <cell r="A1401" t="str">
            <v>Y1901-0559</v>
          </cell>
          <cell r="B1401">
            <v>201810</v>
          </cell>
          <cell r="C1401" t="str">
            <v>4600064748</v>
          </cell>
          <cell r="D1401" t="str">
            <v>164281C</v>
          </cell>
          <cell r="E1401">
            <v>216</v>
          </cell>
          <cell r="F1401">
            <v>43484</v>
          </cell>
          <cell r="G1401" t="str">
            <v>OK</v>
          </cell>
        </row>
        <row r="1402">
          <cell r="A1402" t="str">
            <v>Y1901-0560</v>
          </cell>
          <cell r="B1402">
            <v>201810</v>
          </cell>
          <cell r="C1402" t="str">
            <v>4600064749</v>
          </cell>
          <cell r="D1402" t="str">
            <v>164218C</v>
          </cell>
          <cell r="E1402">
            <v>144</v>
          </cell>
          <cell r="F1402">
            <v>43484</v>
          </cell>
          <cell r="G1402" t="str">
            <v>OK</v>
          </cell>
        </row>
        <row r="1403">
          <cell r="A1403" t="str">
            <v>Y1901-0561</v>
          </cell>
          <cell r="B1403">
            <v>201810</v>
          </cell>
          <cell r="C1403" t="str">
            <v>4600064750</v>
          </cell>
          <cell r="D1403" t="str">
            <v>164390C</v>
          </cell>
          <cell r="E1403">
            <v>204</v>
          </cell>
          <cell r="F1403">
            <v>43484</v>
          </cell>
          <cell r="G1403" t="str">
            <v>OK</v>
          </cell>
        </row>
        <row r="1404">
          <cell r="A1404" t="str">
            <v>Y1901-0562</v>
          </cell>
          <cell r="B1404">
            <v>201810</v>
          </cell>
          <cell r="C1404" t="str">
            <v>4600064751</v>
          </cell>
          <cell r="D1404" t="str">
            <v>164392C</v>
          </cell>
          <cell r="E1404">
            <v>168</v>
          </cell>
          <cell r="F1404">
            <v>43495</v>
          </cell>
          <cell r="G1404" t="str">
            <v>OK</v>
          </cell>
        </row>
        <row r="1405">
          <cell r="A1405" t="str">
            <v>Y1901-0563</v>
          </cell>
          <cell r="B1405">
            <v>201810</v>
          </cell>
          <cell r="C1405" t="str">
            <v>4600064752</v>
          </cell>
          <cell r="D1405" t="str">
            <v>164393C</v>
          </cell>
          <cell r="E1405">
            <v>156</v>
          </cell>
          <cell r="F1405">
            <v>43484</v>
          </cell>
          <cell r="G1405" t="str">
            <v>OK</v>
          </cell>
        </row>
        <row r="1406">
          <cell r="A1406" t="str">
            <v>Y1901-0564</v>
          </cell>
          <cell r="B1406">
            <v>201810</v>
          </cell>
          <cell r="C1406" t="str">
            <v>4600064753</v>
          </cell>
          <cell r="D1406" t="str">
            <v>164391C</v>
          </cell>
          <cell r="E1406">
            <v>144</v>
          </cell>
          <cell r="F1406">
            <v>43484</v>
          </cell>
          <cell r="G1406" t="str">
            <v>OK</v>
          </cell>
        </row>
        <row r="1407">
          <cell r="A1407" t="str">
            <v>Y1901-0565</v>
          </cell>
          <cell r="B1407">
            <v>201810</v>
          </cell>
          <cell r="C1407" t="str">
            <v>4600064754</v>
          </cell>
          <cell r="D1407" t="str">
            <v>164362C</v>
          </cell>
          <cell r="E1407">
            <v>144</v>
          </cell>
          <cell r="F1407">
            <v>43490</v>
          </cell>
          <cell r="G1407" t="str">
            <v>OK</v>
          </cell>
        </row>
        <row r="1408">
          <cell r="A1408" t="str">
            <v>Y1901-0566</v>
          </cell>
          <cell r="B1408">
            <v>201810</v>
          </cell>
          <cell r="C1408" t="str">
            <v>4600064755</v>
          </cell>
          <cell r="D1408" t="str">
            <v>164359C</v>
          </cell>
          <cell r="E1408">
            <v>204</v>
          </cell>
          <cell r="F1408">
            <v>43490</v>
          </cell>
          <cell r="G1408" t="str">
            <v>OK</v>
          </cell>
        </row>
        <row r="1409">
          <cell r="A1409" t="str">
            <v>Y1901-0567</v>
          </cell>
          <cell r="B1409">
            <v>201810</v>
          </cell>
          <cell r="C1409" t="str">
            <v>4600064756</v>
          </cell>
          <cell r="D1409" t="str">
            <v>164361C</v>
          </cell>
          <cell r="E1409">
            <v>360</v>
          </cell>
          <cell r="F1409">
            <v>43490</v>
          </cell>
          <cell r="G1409" t="str">
            <v>OK</v>
          </cell>
        </row>
        <row r="1410">
          <cell r="A1410" t="str">
            <v>Y1901-0568</v>
          </cell>
          <cell r="B1410">
            <v>201810</v>
          </cell>
          <cell r="C1410" t="str">
            <v>4600064757</v>
          </cell>
          <cell r="D1410" t="str">
            <v>164358C</v>
          </cell>
          <cell r="E1410">
            <v>120</v>
          </cell>
          <cell r="F1410">
            <v>43490</v>
          </cell>
          <cell r="G1410" t="str">
            <v>OK</v>
          </cell>
        </row>
        <row r="1411">
          <cell r="A1411" t="str">
            <v>Y1901-0569</v>
          </cell>
          <cell r="B1411">
            <v>201810</v>
          </cell>
          <cell r="C1411" t="str">
            <v>4600064758</v>
          </cell>
          <cell r="D1411" t="str">
            <v>164360C</v>
          </cell>
          <cell r="E1411">
            <v>432</v>
          </cell>
          <cell r="F1411">
            <v>43490</v>
          </cell>
          <cell r="G1411" t="str">
            <v>OK</v>
          </cell>
        </row>
        <row r="1412">
          <cell r="A1412" t="str">
            <v>Y1901-0570</v>
          </cell>
          <cell r="B1412">
            <v>201810</v>
          </cell>
          <cell r="C1412" t="str">
            <v>4600064759</v>
          </cell>
          <cell r="D1412" t="str">
            <v>564154C</v>
          </cell>
          <cell r="E1412">
            <v>252</v>
          </cell>
          <cell r="F1412">
            <v>43485</v>
          </cell>
          <cell r="G1412" t="str">
            <v>OK</v>
          </cell>
        </row>
        <row r="1413">
          <cell r="A1413" t="str">
            <v>Y1901-0571</v>
          </cell>
          <cell r="B1413">
            <v>201810</v>
          </cell>
          <cell r="C1413" t="str">
            <v>4600064760</v>
          </cell>
          <cell r="D1413" t="str">
            <v>564152C</v>
          </cell>
          <cell r="E1413">
            <v>336</v>
          </cell>
          <cell r="F1413">
            <v>43485</v>
          </cell>
          <cell r="G1413" t="str">
            <v>OK</v>
          </cell>
        </row>
        <row r="1414">
          <cell r="A1414" t="str">
            <v>Y1901-0572</v>
          </cell>
          <cell r="B1414">
            <v>201810</v>
          </cell>
          <cell r="C1414" t="str">
            <v>4600064761</v>
          </cell>
          <cell r="D1414" t="str">
            <v>564153C</v>
          </cell>
          <cell r="E1414">
            <v>156</v>
          </cell>
          <cell r="F1414">
            <v>43485</v>
          </cell>
          <cell r="G1414" t="str">
            <v>OK</v>
          </cell>
        </row>
        <row r="1415">
          <cell r="A1415" t="str">
            <v>Y1901-0573</v>
          </cell>
          <cell r="B1415">
            <v>201810</v>
          </cell>
          <cell r="C1415" t="str">
            <v>4600064762</v>
          </cell>
          <cell r="D1415" t="str">
            <v>564151C</v>
          </cell>
          <cell r="E1415">
            <v>360</v>
          </cell>
          <cell r="F1415">
            <v>43485</v>
          </cell>
          <cell r="G1415" t="str">
            <v>OK</v>
          </cell>
        </row>
        <row r="1416">
          <cell r="A1416" t="str">
            <v>Y1901-0574</v>
          </cell>
          <cell r="B1416">
            <v>201810</v>
          </cell>
          <cell r="C1416" t="str">
            <v>4600064796</v>
          </cell>
          <cell r="D1416" t="str">
            <v>158371C</v>
          </cell>
          <cell r="E1416">
            <v>288</v>
          </cell>
          <cell r="F1416">
            <v>43495</v>
          </cell>
          <cell r="G1416" t="str">
            <v>OK</v>
          </cell>
        </row>
        <row r="1417">
          <cell r="A1417" t="str">
            <v>Y1901-0575</v>
          </cell>
          <cell r="B1417">
            <v>201810</v>
          </cell>
          <cell r="C1417" t="str">
            <v>4600064797</v>
          </cell>
          <cell r="D1417" t="str">
            <v>164218C</v>
          </cell>
          <cell r="E1417">
            <v>120</v>
          </cell>
          <cell r="F1417">
            <v>43495</v>
          </cell>
          <cell r="G1417" t="str">
            <v>OK</v>
          </cell>
        </row>
        <row r="1418">
          <cell r="A1418" t="str">
            <v>Y1901-0576</v>
          </cell>
          <cell r="B1418">
            <v>201810</v>
          </cell>
          <cell r="C1418" t="str">
            <v>4600064798</v>
          </cell>
          <cell r="D1418" t="str">
            <v>164220C</v>
          </cell>
          <cell r="E1418">
            <v>120</v>
          </cell>
          <cell r="F1418">
            <v>43495</v>
          </cell>
          <cell r="G1418" t="str">
            <v>OK</v>
          </cell>
        </row>
        <row r="1419">
          <cell r="A1419" t="str">
            <v>Y1901-0577</v>
          </cell>
          <cell r="B1419">
            <v>201810</v>
          </cell>
          <cell r="C1419" t="str">
            <v>4600064799</v>
          </cell>
          <cell r="D1419" t="str">
            <v>164217C</v>
          </cell>
          <cell r="E1419">
            <v>120</v>
          </cell>
          <cell r="F1419">
            <v>43495</v>
          </cell>
          <cell r="G1419" t="str">
            <v>OK</v>
          </cell>
        </row>
        <row r="1420">
          <cell r="A1420" t="str">
            <v>Y1901-0578</v>
          </cell>
          <cell r="B1420">
            <v>201810</v>
          </cell>
          <cell r="C1420" t="str">
            <v>4600064800</v>
          </cell>
          <cell r="D1420" t="str">
            <v>158369C</v>
          </cell>
          <cell r="E1420">
            <v>972</v>
          </cell>
          <cell r="F1420">
            <v>43495</v>
          </cell>
          <cell r="G1420" t="str">
            <v>OK</v>
          </cell>
        </row>
        <row r="1421">
          <cell r="A1421" t="str">
            <v>Y1901-0579</v>
          </cell>
          <cell r="B1421">
            <v>201810</v>
          </cell>
          <cell r="C1421" t="str">
            <v>4600064801</v>
          </cell>
          <cell r="D1421" t="str">
            <v>144148C</v>
          </cell>
          <cell r="E1421">
            <v>3096</v>
          </cell>
          <cell r="F1421">
            <v>43495</v>
          </cell>
          <cell r="G1421" t="str">
            <v>OK</v>
          </cell>
        </row>
        <row r="1422">
          <cell r="A1422" t="str">
            <v>Y1901-0580</v>
          </cell>
          <cell r="B1422">
            <v>201810</v>
          </cell>
          <cell r="C1422" t="str">
            <v>4600064802</v>
          </cell>
          <cell r="D1422" t="str">
            <v>164281C</v>
          </cell>
          <cell r="E1422">
            <v>1044</v>
          </cell>
          <cell r="F1422">
            <v>43495</v>
          </cell>
          <cell r="G1422" t="str">
            <v>OK</v>
          </cell>
        </row>
        <row r="1423">
          <cell r="A1423" t="str">
            <v>Y1901-0581</v>
          </cell>
          <cell r="B1423">
            <v>201810</v>
          </cell>
          <cell r="C1423" t="str">
            <v>4600064803</v>
          </cell>
          <cell r="D1423" t="str">
            <v>164280C</v>
          </cell>
          <cell r="E1423">
            <v>1980</v>
          </cell>
          <cell r="F1423">
            <v>43495</v>
          </cell>
          <cell r="G1423" t="str">
            <v>OK</v>
          </cell>
        </row>
        <row r="1424">
          <cell r="A1424" t="str">
            <v>Y1901-0582</v>
          </cell>
          <cell r="B1424">
            <v>201810</v>
          </cell>
          <cell r="C1424" t="str">
            <v>4600064804</v>
          </cell>
          <cell r="D1424" t="str">
            <v>164282C</v>
          </cell>
          <cell r="E1424">
            <v>1620</v>
          </cell>
          <cell r="F1424">
            <v>43495</v>
          </cell>
          <cell r="G1424" t="str">
            <v>OK</v>
          </cell>
        </row>
        <row r="1425">
          <cell r="A1425" t="str">
            <v>Y1901-0583</v>
          </cell>
          <cell r="B1425">
            <v>201810</v>
          </cell>
          <cell r="C1425" t="str">
            <v>4600064805</v>
          </cell>
          <cell r="D1425" t="str">
            <v>164060C</v>
          </cell>
          <cell r="E1425">
            <v>576</v>
          </cell>
          <cell r="F1425">
            <v>43495</v>
          </cell>
          <cell r="G1425" t="str">
            <v>OK</v>
          </cell>
        </row>
        <row r="1426">
          <cell r="A1426" t="str">
            <v>Y1901-0584</v>
          </cell>
          <cell r="B1426">
            <v>201810</v>
          </cell>
          <cell r="C1426" t="str">
            <v>4600064806</v>
          </cell>
          <cell r="D1426" t="str">
            <v>164392C</v>
          </cell>
          <cell r="E1426">
            <v>180</v>
          </cell>
          <cell r="F1426">
            <v>43495</v>
          </cell>
          <cell r="G1426" t="str">
            <v>OK</v>
          </cell>
        </row>
        <row r="1427">
          <cell r="A1427" t="str">
            <v>Y1901-0585</v>
          </cell>
          <cell r="B1427">
            <v>201810</v>
          </cell>
          <cell r="C1427" t="str">
            <v>4600064807</v>
          </cell>
          <cell r="D1427" t="str">
            <v>164393C</v>
          </cell>
          <cell r="E1427">
            <v>228</v>
          </cell>
          <cell r="F1427">
            <v>43495</v>
          </cell>
          <cell r="G1427" t="str">
            <v>OK</v>
          </cell>
        </row>
        <row r="1428">
          <cell r="A1428" t="str">
            <v>Y1901-0586</v>
          </cell>
          <cell r="B1428">
            <v>201810</v>
          </cell>
          <cell r="C1428" t="str">
            <v>4600064808</v>
          </cell>
          <cell r="D1428" t="str">
            <v>164390C</v>
          </cell>
          <cell r="E1428">
            <v>216</v>
          </cell>
          <cell r="F1428">
            <v>43495</v>
          </cell>
          <cell r="G1428" t="str">
            <v>OK</v>
          </cell>
        </row>
        <row r="1429">
          <cell r="A1429" t="str">
            <v>Y1901-0587</v>
          </cell>
          <cell r="B1429">
            <v>201810</v>
          </cell>
          <cell r="C1429" t="str">
            <v>4600064809</v>
          </cell>
          <cell r="D1429" t="str">
            <v>164360C</v>
          </cell>
          <cell r="E1429">
            <v>336</v>
          </cell>
          <cell r="F1429">
            <v>43495</v>
          </cell>
          <cell r="G1429" t="str">
            <v>OK</v>
          </cell>
        </row>
        <row r="1430">
          <cell r="A1430" t="str">
            <v>Y1901-0588</v>
          </cell>
          <cell r="B1430">
            <v>201810</v>
          </cell>
          <cell r="C1430" t="str">
            <v>4600064810</v>
          </cell>
          <cell r="D1430" t="str">
            <v>164361C</v>
          </cell>
          <cell r="E1430">
            <v>324</v>
          </cell>
          <cell r="F1430">
            <v>43495</v>
          </cell>
          <cell r="G1430" t="str">
            <v>OK</v>
          </cell>
        </row>
        <row r="1431">
          <cell r="A1431" t="str">
            <v>Y1901-0589</v>
          </cell>
          <cell r="B1431">
            <v>201810</v>
          </cell>
          <cell r="C1431" t="str">
            <v>4600064811</v>
          </cell>
          <cell r="D1431" t="str">
            <v>164359C</v>
          </cell>
          <cell r="E1431">
            <v>132</v>
          </cell>
          <cell r="F1431">
            <v>43495</v>
          </cell>
          <cell r="G1431" t="str">
            <v>OK</v>
          </cell>
        </row>
        <row r="1432">
          <cell r="A1432" t="str">
            <v>Y1901-0590</v>
          </cell>
          <cell r="B1432">
            <v>201810</v>
          </cell>
          <cell r="C1432" t="str">
            <v>4600064812</v>
          </cell>
          <cell r="D1432" t="str">
            <v>164358C</v>
          </cell>
          <cell r="E1432">
            <v>180</v>
          </cell>
          <cell r="F1432">
            <v>43495</v>
          </cell>
          <cell r="G1432" t="str">
            <v>OK</v>
          </cell>
        </row>
        <row r="1433">
          <cell r="A1433" t="str">
            <v>Y1901-0591</v>
          </cell>
          <cell r="B1433">
            <v>201810</v>
          </cell>
          <cell r="C1433" t="str">
            <v>4600064813</v>
          </cell>
          <cell r="D1433" t="str">
            <v>164219C</v>
          </cell>
          <cell r="E1433">
            <v>120</v>
          </cell>
          <cell r="F1433">
            <v>43495</v>
          </cell>
          <cell r="G1433" t="str">
            <v>OK</v>
          </cell>
        </row>
        <row r="1434">
          <cell r="A1434" t="str">
            <v>Y1901-0592</v>
          </cell>
          <cell r="B1434">
            <v>201810</v>
          </cell>
          <cell r="C1434" t="str">
            <v>4600064814</v>
          </cell>
          <cell r="D1434" t="str">
            <v>M7650C</v>
          </cell>
          <cell r="E1434">
            <v>384</v>
          </cell>
          <cell r="F1434">
            <v>43495</v>
          </cell>
          <cell r="G1434" t="str">
            <v>OK</v>
          </cell>
        </row>
        <row r="1435">
          <cell r="A1435" t="str">
            <v>Y1901-0593</v>
          </cell>
          <cell r="B1435">
            <v>201810</v>
          </cell>
          <cell r="C1435" t="str">
            <v>4600064815</v>
          </cell>
          <cell r="D1435" t="str">
            <v>144151C</v>
          </cell>
          <cell r="E1435">
            <v>5940</v>
          </cell>
          <cell r="F1435">
            <v>43495</v>
          </cell>
          <cell r="G1435" t="str">
            <v>OK</v>
          </cell>
        </row>
        <row r="1436">
          <cell r="A1436" t="str">
            <v>Y1901-0594</v>
          </cell>
          <cell r="B1436">
            <v>201810</v>
          </cell>
          <cell r="C1436" t="str">
            <v>4600064817</v>
          </cell>
          <cell r="D1436" t="str">
            <v>564072C</v>
          </cell>
          <cell r="E1436">
            <v>1296</v>
          </cell>
          <cell r="F1436">
            <v>43495</v>
          </cell>
          <cell r="G1436" t="str">
            <v>OK</v>
          </cell>
        </row>
        <row r="1437">
          <cell r="A1437" t="str">
            <v>Y1901-0595</v>
          </cell>
          <cell r="B1437">
            <v>201810</v>
          </cell>
          <cell r="C1437" t="str">
            <v>4600064818</v>
          </cell>
          <cell r="D1437" t="str">
            <v>564070C</v>
          </cell>
          <cell r="E1437">
            <v>1080</v>
          </cell>
          <cell r="F1437">
            <v>43495</v>
          </cell>
          <cell r="G1437" t="str">
            <v>OK</v>
          </cell>
        </row>
        <row r="1438">
          <cell r="A1438" t="str">
            <v>Y1901-0596</v>
          </cell>
          <cell r="B1438">
            <v>201810</v>
          </cell>
          <cell r="C1438" t="str">
            <v>4600064819</v>
          </cell>
          <cell r="D1438" t="str">
            <v>564071C</v>
          </cell>
          <cell r="E1438">
            <v>1164</v>
          </cell>
          <cell r="F1438">
            <v>43495</v>
          </cell>
          <cell r="G1438" t="str">
            <v>OK</v>
          </cell>
        </row>
        <row r="1439">
          <cell r="A1439" t="str">
            <v>Y1901-0597</v>
          </cell>
          <cell r="B1439">
            <v>201810</v>
          </cell>
          <cell r="C1439" t="str">
            <v>4600064820</v>
          </cell>
          <cell r="D1439" t="str">
            <v>164058C</v>
          </cell>
          <cell r="E1439">
            <v>576</v>
          </cell>
          <cell r="F1439">
            <v>43495</v>
          </cell>
          <cell r="G1439" t="str">
            <v>OK</v>
          </cell>
        </row>
        <row r="1440">
          <cell r="A1440" t="str">
            <v>Y1901-0598</v>
          </cell>
          <cell r="B1440">
            <v>201810</v>
          </cell>
          <cell r="C1440" t="str">
            <v>4600064821</v>
          </cell>
          <cell r="D1440" t="str">
            <v>164219C</v>
          </cell>
          <cell r="E1440">
            <v>120</v>
          </cell>
          <cell r="F1440">
            <v>43484</v>
          </cell>
          <cell r="G1440" t="str">
            <v>OK</v>
          </cell>
        </row>
        <row r="1441">
          <cell r="A1441" t="str">
            <v>Y1901-0599</v>
          </cell>
          <cell r="B1441">
            <v>201810</v>
          </cell>
          <cell r="C1441" t="str">
            <v>4600064822</v>
          </cell>
          <cell r="D1441" t="str">
            <v>164217C</v>
          </cell>
          <cell r="E1441">
            <v>120</v>
          </cell>
          <cell r="F1441">
            <v>43484</v>
          </cell>
          <cell r="G1441" t="str">
            <v>OK</v>
          </cell>
        </row>
        <row r="1442">
          <cell r="A1442" t="str">
            <v>Y1901-0600</v>
          </cell>
          <cell r="B1442">
            <v>201810</v>
          </cell>
          <cell r="C1442" t="str">
            <v>4600064823</v>
          </cell>
          <cell r="D1442" t="str">
            <v>163380C</v>
          </cell>
          <cell r="E1442">
            <v>192</v>
          </cell>
          <cell r="F1442">
            <v>43484</v>
          </cell>
          <cell r="G1442" t="str">
            <v>OK</v>
          </cell>
        </row>
        <row r="1443">
          <cell r="A1443" t="str">
            <v>Y1901-0601</v>
          </cell>
          <cell r="B1443">
            <v>201810</v>
          </cell>
          <cell r="C1443" t="str">
            <v>4600064824</v>
          </cell>
          <cell r="D1443" t="str">
            <v>564152C</v>
          </cell>
          <cell r="E1443">
            <v>120</v>
          </cell>
          <cell r="F1443">
            <v>43485</v>
          </cell>
          <cell r="G1443" t="str">
            <v>OK</v>
          </cell>
        </row>
        <row r="1444">
          <cell r="A1444" t="str">
            <v>Y1901-0602</v>
          </cell>
          <cell r="B1444">
            <v>201810</v>
          </cell>
          <cell r="C1444" t="str">
            <v>4600064825</v>
          </cell>
          <cell r="D1444" t="str">
            <v>164361C</v>
          </cell>
          <cell r="E1444">
            <v>120</v>
          </cell>
          <cell r="F1444">
            <v>43490</v>
          </cell>
          <cell r="G1444" t="str">
            <v>OK</v>
          </cell>
        </row>
        <row r="1445">
          <cell r="A1445" t="str">
            <v>Y1901-0603</v>
          </cell>
          <cell r="B1445">
            <v>201810</v>
          </cell>
          <cell r="C1445" t="str">
            <v>4600064826</v>
          </cell>
          <cell r="D1445" t="str">
            <v>164360C</v>
          </cell>
          <cell r="E1445">
            <v>120</v>
          </cell>
          <cell r="F1445">
            <v>43490</v>
          </cell>
          <cell r="G1445" t="str">
            <v>OK</v>
          </cell>
        </row>
        <row r="1446">
          <cell r="A1446" t="str">
            <v>Y1901-0604</v>
          </cell>
          <cell r="B1446">
            <v>201810</v>
          </cell>
          <cell r="C1446" t="str">
            <v>4600064836</v>
          </cell>
          <cell r="D1446" t="str">
            <v>164359C</v>
          </cell>
          <cell r="E1446">
            <v>120</v>
          </cell>
          <cell r="F1446">
            <v>43490</v>
          </cell>
          <cell r="G1446" t="str">
            <v>OK</v>
          </cell>
        </row>
        <row r="1447">
          <cell r="A1447" t="str">
            <v>Y1901-0605</v>
          </cell>
          <cell r="B1447">
            <v>201810</v>
          </cell>
          <cell r="C1447" t="str">
            <v>4600064837</v>
          </cell>
          <cell r="D1447" t="str">
            <v>564154C</v>
          </cell>
          <cell r="E1447">
            <v>120</v>
          </cell>
          <cell r="F1447">
            <v>43485</v>
          </cell>
          <cell r="G1447" t="str">
            <v>OK</v>
          </cell>
        </row>
        <row r="1448">
          <cell r="A1448" t="str">
            <v>Y1901-0606</v>
          </cell>
          <cell r="B1448">
            <v>201810</v>
          </cell>
          <cell r="C1448" t="str">
            <v>4600064838</v>
          </cell>
          <cell r="D1448" t="str">
            <v>564153C</v>
          </cell>
          <cell r="E1448">
            <v>120</v>
          </cell>
          <cell r="F1448">
            <v>43485</v>
          </cell>
          <cell r="G1448" t="str">
            <v>OK</v>
          </cell>
        </row>
        <row r="1449">
          <cell r="A1449" t="str">
            <v>Y1901-0607</v>
          </cell>
          <cell r="B1449">
            <v>201810</v>
          </cell>
          <cell r="C1449" t="str">
            <v>4600064839</v>
          </cell>
          <cell r="D1449" t="str">
            <v>564151C</v>
          </cell>
          <cell r="E1449">
            <v>120</v>
          </cell>
          <cell r="F1449">
            <v>43485</v>
          </cell>
          <cell r="G1449" t="str">
            <v>OK</v>
          </cell>
        </row>
        <row r="1450">
          <cell r="A1450" t="str">
            <v>Y1901-0608</v>
          </cell>
          <cell r="B1450">
            <v>201810</v>
          </cell>
          <cell r="C1450" t="str">
            <v>4600064840</v>
          </cell>
          <cell r="D1450" t="str">
            <v>164220C</v>
          </cell>
          <cell r="E1450">
            <v>120</v>
          </cell>
          <cell r="F1450">
            <v>43484</v>
          </cell>
          <cell r="G1450" t="str">
            <v>OK</v>
          </cell>
        </row>
        <row r="1451">
          <cell r="A1451" t="str">
            <v>Y1901-0609</v>
          </cell>
          <cell r="B1451">
            <v>201810</v>
          </cell>
          <cell r="C1451" t="str">
            <v>4600064841</v>
          </cell>
          <cell r="D1451" t="str">
            <v>163377C</v>
          </cell>
          <cell r="E1451">
            <v>192</v>
          </cell>
          <cell r="F1451">
            <v>43484</v>
          </cell>
          <cell r="G1451" t="str">
            <v>OK</v>
          </cell>
        </row>
        <row r="1452">
          <cell r="A1452" t="str">
            <v>Y1901-0618</v>
          </cell>
          <cell r="B1452">
            <v>201810</v>
          </cell>
          <cell r="C1452" t="str">
            <v>1000002724</v>
          </cell>
          <cell r="D1452" t="str">
            <v>565536C</v>
          </cell>
          <cell r="E1452">
            <v>78</v>
          </cell>
          <cell r="F1452">
            <v>43481</v>
          </cell>
          <cell r="G1452" t="str">
            <v>OK</v>
          </cell>
        </row>
        <row r="1453">
          <cell r="A1453" t="str">
            <v>Y1901-0619</v>
          </cell>
          <cell r="B1453">
            <v>201810</v>
          </cell>
          <cell r="C1453" t="str">
            <v>1000002725</v>
          </cell>
          <cell r="D1453" t="str">
            <v>565548C</v>
          </cell>
          <cell r="E1453">
            <v>55</v>
          </cell>
          <cell r="F1453">
            <v>43481</v>
          </cell>
          <cell r="G1453" t="str">
            <v>OK</v>
          </cell>
        </row>
        <row r="1454">
          <cell r="A1454" t="str">
            <v>Y1902-0241</v>
          </cell>
          <cell r="B1454">
            <v>201810</v>
          </cell>
          <cell r="C1454" t="str">
            <v>0100175331</v>
          </cell>
          <cell r="D1454" t="str">
            <v>565548C</v>
          </cell>
          <cell r="E1454">
            <v>16</v>
          </cell>
          <cell r="F1454">
            <v>43494</v>
          </cell>
          <cell r="G1454" t="str">
            <v>OK</v>
          </cell>
        </row>
        <row r="1455">
          <cell r="A1455" t="str">
            <v>Y1902-0308</v>
          </cell>
          <cell r="B1455">
            <v>201810</v>
          </cell>
          <cell r="C1455" t="str">
            <v>0100177708</v>
          </cell>
          <cell r="D1455" t="str">
            <v>565536C</v>
          </cell>
          <cell r="E1455">
            <v>16</v>
          </cell>
          <cell r="F1455">
            <v>43494</v>
          </cell>
          <cell r="G1455" t="str">
            <v>OK</v>
          </cell>
        </row>
        <row r="1456">
          <cell r="A1456" t="str">
            <v>Y1902-0090</v>
          </cell>
          <cell r="B1456">
            <v>201810</v>
          </cell>
          <cell r="C1456" t="str">
            <v>0100175099</v>
          </cell>
          <cell r="D1456" t="str">
            <v>M7650C</v>
          </cell>
          <cell r="E1456">
            <v>3012</v>
          </cell>
          <cell r="F1456">
            <v>43490</v>
          </cell>
          <cell r="G1456" t="str">
            <v>OK</v>
          </cell>
        </row>
        <row r="1457">
          <cell r="A1457" t="str">
            <v>YL1901-0001</v>
          </cell>
          <cell r="B1457">
            <v>201811</v>
          </cell>
          <cell r="C1457" t="str">
            <v>0100179043</v>
          </cell>
          <cell r="D1457" t="str">
            <v>1J793C</v>
          </cell>
          <cell r="E1457">
            <v>7788</v>
          </cell>
          <cell r="F1457">
            <v>43475</v>
          </cell>
          <cell r="G1457" t="str">
            <v>OK</v>
          </cell>
        </row>
        <row r="1458">
          <cell r="A1458" t="str">
            <v>YL1901-0002</v>
          </cell>
          <cell r="B1458">
            <v>201811</v>
          </cell>
          <cell r="C1458" t="str">
            <v>0100179044</v>
          </cell>
          <cell r="D1458" t="str">
            <v>1J794C</v>
          </cell>
          <cell r="E1458">
            <v>5760</v>
          </cell>
          <cell r="F1458">
            <v>43475</v>
          </cell>
          <cell r="G1458" t="str">
            <v>OK</v>
          </cell>
        </row>
        <row r="1459">
          <cell r="A1459" t="str">
            <v>YL1901-0004</v>
          </cell>
          <cell r="B1459">
            <v>201811</v>
          </cell>
          <cell r="C1459" t="str">
            <v>0100179045</v>
          </cell>
          <cell r="D1459" t="str">
            <v>M5039C</v>
          </cell>
          <cell r="E1459">
            <v>6792</v>
          </cell>
          <cell r="F1459">
            <v>43475</v>
          </cell>
          <cell r="G1459" t="str">
            <v>OK</v>
          </cell>
        </row>
        <row r="1460">
          <cell r="A1460" t="str">
            <v>YL1901-0009</v>
          </cell>
          <cell r="B1460">
            <v>201811</v>
          </cell>
          <cell r="C1460" t="str">
            <v>0100179046</v>
          </cell>
          <cell r="D1460" t="str">
            <v>M9622C</v>
          </cell>
          <cell r="E1460">
            <v>2052</v>
          </cell>
          <cell r="F1460">
            <v>43475</v>
          </cell>
          <cell r="G1460" t="str">
            <v>OK</v>
          </cell>
        </row>
        <row r="1461">
          <cell r="A1461" t="str">
            <v>YL1901-0010</v>
          </cell>
          <cell r="B1461">
            <v>201811</v>
          </cell>
          <cell r="C1461" t="str">
            <v>0100179047</v>
          </cell>
          <cell r="D1461" t="str">
            <v>M9697C</v>
          </cell>
          <cell r="E1461">
            <v>2448</v>
          </cell>
          <cell r="F1461">
            <v>43475</v>
          </cell>
          <cell r="G1461" t="str">
            <v>OK</v>
          </cell>
        </row>
        <row r="1462">
          <cell r="A1462" t="str">
            <v>YL1901-0005A</v>
          </cell>
          <cell r="B1462">
            <v>201811</v>
          </cell>
          <cell r="C1462" t="str">
            <v>0100179048</v>
          </cell>
          <cell r="D1462" t="str">
            <v>M7650C</v>
          </cell>
          <cell r="E1462">
            <v>19632</v>
          </cell>
          <cell r="F1462">
            <v>43475</v>
          </cell>
          <cell r="G1462" t="str">
            <v>OK</v>
          </cell>
        </row>
        <row r="1463">
          <cell r="A1463" t="str">
            <v>YL1901-0005B</v>
          </cell>
          <cell r="B1463">
            <v>201811</v>
          </cell>
          <cell r="C1463" t="str">
            <v>0100179049</v>
          </cell>
          <cell r="D1463" t="str">
            <v>M7650C</v>
          </cell>
          <cell r="E1463">
            <v>16488</v>
          </cell>
          <cell r="F1463">
            <v>43475</v>
          </cell>
          <cell r="G1463" t="str">
            <v>OK</v>
          </cell>
        </row>
        <row r="1464">
          <cell r="A1464" t="str">
            <v>YL1901-0005C</v>
          </cell>
          <cell r="B1464">
            <v>201811</v>
          </cell>
          <cell r="C1464" t="str">
            <v>0100179050</v>
          </cell>
          <cell r="D1464" t="str">
            <v>M7650C</v>
          </cell>
          <cell r="E1464">
            <v>19716</v>
          </cell>
          <cell r="F1464">
            <v>43475</v>
          </cell>
          <cell r="G1464" t="str">
            <v>OK</v>
          </cell>
        </row>
        <row r="1465">
          <cell r="A1465" t="str">
            <v>YL1901-0006A</v>
          </cell>
          <cell r="B1465">
            <v>201811</v>
          </cell>
          <cell r="C1465" t="str">
            <v>0100179051</v>
          </cell>
          <cell r="D1465" t="str">
            <v>M7652C</v>
          </cell>
          <cell r="E1465">
            <v>11532</v>
          </cell>
          <cell r="F1465">
            <v>43475</v>
          </cell>
          <cell r="G1465" t="str">
            <v>OK</v>
          </cell>
        </row>
        <row r="1466">
          <cell r="A1466" t="str">
            <v>YL1901-0006B</v>
          </cell>
          <cell r="B1466">
            <v>201811</v>
          </cell>
          <cell r="C1466" t="str">
            <v>0100179052</v>
          </cell>
          <cell r="D1466" t="str">
            <v>M7652C</v>
          </cell>
          <cell r="E1466">
            <v>18864</v>
          </cell>
          <cell r="F1466">
            <v>43475</v>
          </cell>
          <cell r="G1466" t="str">
            <v>OK</v>
          </cell>
        </row>
        <row r="1467">
          <cell r="A1467" t="str">
            <v>YL1901-0006C</v>
          </cell>
          <cell r="B1467">
            <v>201811</v>
          </cell>
          <cell r="C1467" t="str">
            <v>0100179053</v>
          </cell>
          <cell r="D1467" t="str">
            <v>M7652C</v>
          </cell>
          <cell r="E1467">
            <v>17412</v>
          </cell>
          <cell r="F1467">
            <v>43475</v>
          </cell>
          <cell r="G1467" t="str">
            <v>OK</v>
          </cell>
        </row>
        <row r="1468">
          <cell r="A1468" t="str">
            <v>YL1901-0006D</v>
          </cell>
          <cell r="B1468">
            <v>201811</v>
          </cell>
          <cell r="C1468" t="str">
            <v>0100179054</v>
          </cell>
          <cell r="D1468" t="str">
            <v>M7652C</v>
          </cell>
          <cell r="E1468">
            <v>19428</v>
          </cell>
          <cell r="F1468">
            <v>43475</v>
          </cell>
          <cell r="G1468" t="str">
            <v>OK</v>
          </cell>
        </row>
        <row r="1469">
          <cell r="A1469" t="str">
            <v>YL1901-0006E</v>
          </cell>
          <cell r="B1469">
            <v>201811</v>
          </cell>
          <cell r="C1469" t="str">
            <v>0100179055</v>
          </cell>
          <cell r="D1469" t="str">
            <v>M7652C</v>
          </cell>
          <cell r="E1469">
            <v>19116</v>
          </cell>
          <cell r="F1469">
            <v>43475</v>
          </cell>
          <cell r="G1469" t="str">
            <v>OK</v>
          </cell>
        </row>
        <row r="1470">
          <cell r="A1470" t="str">
            <v>YL1901-0006F</v>
          </cell>
          <cell r="B1470">
            <v>201811</v>
          </cell>
          <cell r="C1470" t="str">
            <v>0100179056</v>
          </cell>
          <cell r="D1470" t="str">
            <v>M7652C</v>
          </cell>
          <cell r="E1470">
            <v>3504</v>
          </cell>
          <cell r="F1470">
            <v>43475</v>
          </cell>
          <cell r="G1470" t="str">
            <v>OK</v>
          </cell>
        </row>
        <row r="1471">
          <cell r="A1471" t="str">
            <v>YL1901-0007A</v>
          </cell>
          <cell r="B1471">
            <v>201811</v>
          </cell>
          <cell r="C1471" t="str">
            <v>0100179057</v>
          </cell>
          <cell r="D1471" t="str">
            <v>M9160C</v>
          </cell>
          <cell r="E1471">
            <v>17136</v>
          </cell>
          <cell r="F1471">
            <v>43475</v>
          </cell>
          <cell r="G1471" t="str">
            <v>OK</v>
          </cell>
        </row>
        <row r="1472">
          <cell r="A1472" t="str">
            <v>YL1901-0007B</v>
          </cell>
          <cell r="B1472">
            <v>201811</v>
          </cell>
          <cell r="C1472" t="str">
            <v>0100179058</v>
          </cell>
          <cell r="D1472" t="str">
            <v>M9160C</v>
          </cell>
          <cell r="E1472">
            <v>18780</v>
          </cell>
          <cell r="F1472">
            <v>43475</v>
          </cell>
          <cell r="G1472" t="str">
            <v>OK</v>
          </cell>
        </row>
        <row r="1473">
          <cell r="A1473" t="str">
            <v>YL1901-0007C</v>
          </cell>
          <cell r="B1473">
            <v>201811</v>
          </cell>
          <cell r="C1473" t="str">
            <v>0100179059</v>
          </cell>
          <cell r="D1473" t="str">
            <v>M9160C</v>
          </cell>
          <cell r="E1473">
            <v>18840</v>
          </cell>
          <cell r="F1473">
            <v>43475</v>
          </cell>
          <cell r="G1473" t="str">
            <v>OK</v>
          </cell>
        </row>
        <row r="1474">
          <cell r="A1474" t="str">
            <v>YL1901-0007D</v>
          </cell>
          <cell r="B1474">
            <v>201811</v>
          </cell>
          <cell r="C1474" t="str">
            <v>0100179060</v>
          </cell>
          <cell r="D1474" t="str">
            <v>M9160C</v>
          </cell>
          <cell r="E1474">
            <v>3696</v>
          </cell>
          <cell r="F1474">
            <v>43475</v>
          </cell>
          <cell r="G1474" t="str">
            <v>OK</v>
          </cell>
        </row>
        <row r="1475">
          <cell r="A1475" t="str">
            <v>YL1901-0008A</v>
          </cell>
          <cell r="B1475">
            <v>201811</v>
          </cell>
          <cell r="C1475" t="str">
            <v>0100179061</v>
          </cell>
          <cell r="D1475" t="str">
            <v>M9166C</v>
          </cell>
          <cell r="E1475">
            <v>16764</v>
          </cell>
          <cell r="F1475">
            <v>43475</v>
          </cell>
          <cell r="G1475" t="str">
            <v>OK</v>
          </cell>
        </row>
        <row r="1476">
          <cell r="A1476" t="str">
            <v>YL1901-0008B</v>
          </cell>
          <cell r="B1476">
            <v>201811</v>
          </cell>
          <cell r="C1476" t="str">
            <v>0100179062</v>
          </cell>
          <cell r="D1476" t="str">
            <v>M9166C</v>
          </cell>
          <cell r="E1476">
            <v>18636</v>
          </cell>
          <cell r="F1476">
            <v>43475</v>
          </cell>
          <cell r="G1476" t="str">
            <v>OK</v>
          </cell>
        </row>
        <row r="1477">
          <cell r="A1477" t="str">
            <v>YL1901-0008C</v>
          </cell>
          <cell r="B1477">
            <v>201811</v>
          </cell>
          <cell r="C1477" t="str">
            <v>0100179063</v>
          </cell>
          <cell r="D1477" t="str">
            <v>M9166C</v>
          </cell>
          <cell r="E1477">
            <v>6348</v>
          </cell>
          <cell r="F1477">
            <v>43475</v>
          </cell>
          <cell r="G1477" t="str">
            <v>OK</v>
          </cell>
        </row>
        <row r="1478">
          <cell r="A1478" t="str">
            <v>Y1901-0624</v>
          </cell>
          <cell r="B1478">
            <v>201811</v>
          </cell>
          <cell r="C1478" t="str">
            <v>0100179963</v>
          </cell>
          <cell r="D1478" t="str">
            <v>M7652C</v>
          </cell>
          <cell r="E1478">
            <v>528</v>
          </cell>
          <cell r="F1478">
            <v>43483</v>
          </cell>
          <cell r="G1478" t="str">
            <v>OK</v>
          </cell>
        </row>
        <row r="1479">
          <cell r="A1479" t="str">
            <v>Y1901-0625</v>
          </cell>
          <cell r="B1479">
            <v>201811</v>
          </cell>
          <cell r="C1479" t="str">
            <v>0100179964</v>
          </cell>
          <cell r="D1479" t="str">
            <v>M7652C</v>
          </cell>
          <cell r="E1479">
            <v>780</v>
          </cell>
          <cell r="F1479">
            <v>43483</v>
          </cell>
          <cell r="G1479" t="str">
            <v>OK</v>
          </cell>
        </row>
        <row r="1480">
          <cell r="A1480" t="str">
            <v>Y1901-0626</v>
          </cell>
          <cell r="B1480">
            <v>201811</v>
          </cell>
          <cell r="C1480" t="str">
            <v>0100179965</v>
          </cell>
          <cell r="D1480" t="str">
            <v>M7650C</v>
          </cell>
          <cell r="E1480">
            <v>360</v>
          </cell>
          <cell r="F1480">
            <v>43483</v>
          </cell>
          <cell r="G1480" t="str">
            <v>12/25</v>
          </cell>
        </row>
        <row r="1481">
          <cell r="A1481" t="str">
            <v>Y1901-0627</v>
          </cell>
          <cell r="B1481">
            <v>201811</v>
          </cell>
          <cell r="C1481" t="str">
            <v>0100179966</v>
          </cell>
          <cell r="D1481" t="str">
            <v>M7652C</v>
          </cell>
          <cell r="E1481">
            <v>1752</v>
          </cell>
          <cell r="F1481">
            <v>43483</v>
          </cell>
          <cell r="G1481" t="str">
            <v>OK</v>
          </cell>
        </row>
        <row r="1482">
          <cell r="A1482" t="str">
            <v>Y1901-0628</v>
          </cell>
          <cell r="B1482">
            <v>201811</v>
          </cell>
          <cell r="C1482" t="str">
            <v>0100179967</v>
          </cell>
          <cell r="D1482" t="str">
            <v>7J256C</v>
          </cell>
          <cell r="E1482">
            <v>504</v>
          </cell>
          <cell r="F1482">
            <v>43483</v>
          </cell>
          <cell r="G1482" t="str">
            <v>12/21</v>
          </cell>
        </row>
        <row r="1483">
          <cell r="A1483" t="str">
            <v>Y1901-0629</v>
          </cell>
          <cell r="B1483">
            <v>201811</v>
          </cell>
          <cell r="C1483" t="str">
            <v>0100179968</v>
          </cell>
          <cell r="D1483" t="str">
            <v>7J256C</v>
          </cell>
          <cell r="E1483">
            <v>816</v>
          </cell>
          <cell r="F1483">
            <v>43483</v>
          </cell>
          <cell r="G1483" t="str">
            <v>12/21</v>
          </cell>
        </row>
        <row r="1484">
          <cell r="A1484" t="str">
            <v>Y1901-0630</v>
          </cell>
          <cell r="B1484">
            <v>201811</v>
          </cell>
          <cell r="C1484" t="str">
            <v>0100179971</v>
          </cell>
          <cell r="D1484" t="str">
            <v>158369C</v>
          </cell>
          <cell r="E1484">
            <v>288</v>
          </cell>
          <cell r="F1484">
            <v>43483</v>
          </cell>
          <cell r="G1484" t="str">
            <v>OK</v>
          </cell>
        </row>
        <row r="1485">
          <cell r="A1485" t="str">
            <v>Y1901-0631</v>
          </cell>
          <cell r="B1485">
            <v>201811</v>
          </cell>
          <cell r="C1485" t="str">
            <v>0100179974</v>
          </cell>
          <cell r="D1485" t="str">
            <v>7J256C</v>
          </cell>
          <cell r="E1485">
            <v>360</v>
          </cell>
          <cell r="F1485">
            <v>43483</v>
          </cell>
          <cell r="G1485" t="str">
            <v>12/21</v>
          </cell>
        </row>
        <row r="1486">
          <cell r="A1486" t="str">
            <v>Y1901-0632</v>
          </cell>
          <cell r="B1486">
            <v>201811</v>
          </cell>
          <cell r="C1486" t="str">
            <v>0100179977</v>
          </cell>
          <cell r="D1486" t="str">
            <v>M7650</v>
          </cell>
          <cell r="E1486">
            <v>408</v>
          </cell>
          <cell r="F1486">
            <v>43483</v>
          </cell>
          <cell r="G1486" t="str">
            <v>01/11</v>
          </cell>
        </row>
        <row r="1487">
          <cell r="A1487" t="str">
            <v>Y1902-0554</v>
          </cell>
          <cell r="B1487">
            <v>201811</v>
          </cell>
          <cell r="C1487" t="str">
            <v>0100179982</v>
          </cell>
          <cell r="D1487" t="str">
            <v>M7652C</v>
          </cell>
          <cell r="E1487">
            <v>600</v>
          </cell>
          <cell r="F1487">
            <v>43493</v>
          </cell>
          <cell r="G1487" t="str">
            <v>12/21</v>
          </cell>
        </row>
        <row r="1488">
          <cell r="A1488" t="str">
            <v>Y1902-0558</v>
          </cell>
          <cell r="B1488">
            <v>201811</v>
          </cell>
          <cell r="C1488" t="str">
            <v>0100179993</v>
          </cell>
          <cell r="D1488" t="str">
            <v>158369C</v>
          </cell>
          <cell r="E1488">
            <v>15708</v>
          </cell>
          <cell r="F1488">
            <v>43493</v>
          </cell>
          <cell r="G1488" t="str">
            <v>OK</v>
          </cell>
        </row>
        <row r="1489">
          <cell r="A1489" t="str">
            <v>Y1901-0633</v>
          </cell>
          <cell r="B1489">
            <v>201811</v>
          </cell>
          <cell r="C1489" t="str">
            <v>0100180059</v>
          </cell>
          <cell r="D1489" t="str">
            <v>158369C</v>
          </cell>
          <cell r="E1489">
            <v>360</v>
          </cell>
          <cell r="F1489">
            <v>43468</v>
          </cell>
          <cell r="G1489" t="str">
            <v>OK</v>
          </cell>
        </row>
        <row r="1490">
          <cell r="A1490" t="str">
            <v>Y1901-0634</v>
          </cell>
          <cell r="B1490">
            <v>201811</v>
          </cell>
          <cell r="C1490" t="str">
            <v>0100180061</v>
          </cell>
          <cell r="D1490" t="str">
            <v>1J793</v>
          </cell>
          <cell r="E1490">
            <v>438</v>
          </cell>
          <cell r="F1490">
            <v>43490</v>
          </cell>
          <cell r="G1490" t="str">
            <v>01/08</v>
          </cell>
        </row>
        <row r="1491">
          <cell r="A1491" t="str">
            <v>Y1901-0635</v>
          </cell>
          <cell r="B1491">
            <v>201811</v>
          </cell>
          <cell r="C1491" t="str">
            <v>0100180065</v>
          </cell>
          <cell r="D1491" t="str">
            <v>5J794</v>
          </cell>
          <cell r="E1491">
            <v>1104</v>
          </cell>
          <cell r="F1491">
            <v>43483</v>
          </cell>
          <cell r="G1491" t="str">
            <v>12/21</v>
          </cell>
        </row>
        <row r="1492">
          <cell r="A1492" t="str">
            <v>Y1901-0636</v>
          </cell>
          <cell r="B1492">
            <v>201811</v>
          </cell>
          <cell r="C1492" t="str">
            <v>0100180066</v>
          </cell>
          <cell r="D1492" t="str">
            <v>5J794</v>
          </cell>
          <cell r="E1492">
            <v>900</v>
          </cell>
          <cell r="F1492">
            <v>43490</v>
          </cell>
          <cell r="G1492" t="str">
            <v>12/21</v>
          </cell>
        </row>
        <row r="1493">
          <cell r="A1493" t="str">
            <v>Y1901-0637</v>
          </cell>
          <cell r="B1493">
            <v>201811</v>
          </cell>
          <cell r="C1493" t="str">
            <v>0100180067</v>
          </cell>
          <cell r="D1493" t="str">
            <v>5J794</v>
          </cell>
          <cell r="E1493">
            <v>360</v>
          </cell>
          <cell r="F1493">
            <v>43490</v>
          </cell>
          <cell r="G1493" t="str">
            <v>12/21</v>
          </cell>
        </row>
        <row r="1494">
          <cell r="A1494" t="str">
            <v>Y1901-0638</v>
          </cell>
          <cell r="B1494">
            <v>201811</v>
          </cell>
          <cell r="C1494" t="str">
            <v>0100180078</v>
          </cell>
          <cell r="D1494">
            <v>88877</v>
          </cell>
          <cell r="E1494">
            <v>360</v>
          </cell>
          <cell r="F1494">
            <v>43479</v>
          </cell>
          <cell r="G1494" t="str">
            <v>12/24</v>
          </cell>
        </row>
        <row r="1495">
          <cell r="A1495" t="str">
            <v>Y1902-0582</v>
          </cell>
          <cell r="B1495">
            <v>201811</v>
          </cell>
          <cell r="C1495" t="str">
            <v>0100180084</v>
          </cell>
          <cell r="D1495" t="str">
            <v>W9160</v>
          </cell>
          <cell r="E1495">
            <v>1212</v>
          </cell>
          <cell r="F1495">
            <v>43493</v>
          </cell>
          <cell r="G1495" t="str">
            <v>01/04</v>
          </cell>
        </row>
        <row r="1496">
          <cell r="A1496" t="str">
            <v>Y1901-0639</v>
          </cell>
          <cell r="B1496">
            <v>201811</v>
          </cell>
          <cell r="C1496" t="str">
            <v>4600066146</v>
          </cell>
          <cell r="D1496" t="str">
            <v>3J253C</v>
          </cell>
          <cell r="E1496">
            <v>876</v>
          </cell>
          <cell r="F1496">
            <v>43492</v>
          </cell>
          <cell r="G1496" t="str">
            <v>12/21</v>
          </cell>
        </row>
        <row r="1497">
          <cell r="A1497" t="str">
            <v>Y1901-0640</v>
          </cell>
          <cell r="B1497">
            <v>201811</v>
          </cell>
          <cell r="C1497" t="str">
            <v>4600066147</v>
          </cell>
          <cell r="D1497" t="str">
            <v>3J256C</v>
          </cell>
          <cell r="E1497">
            <v>1248</v>
          </cell>
          <cell r="F1497">
            <v>43492</v>
          </cell>
          <cell r="G1497" t="str">
            <v>OK</v>
          </cell>
        </row>
        <row r="1498">
          <cell r="A1498" t="str">
            <v>Y1901-0641</v>
          </cell>
          <cell r="B1498">
            <v>201811</v>
          </cell>
          <cell r="C1498" t="str">
            <v>4600066148</v>
          </cell>
          <cell r="D1498" t="str">
            <v>7J253C</v>
          </cell>
          <cell r="E1498">
            <v>876</v>
          </cell>
          <cell r="F1498">
            <v>43492</v>
          </cell>
          <cell r="G1498" t="str">
            <v>12/21</v>
          </cell>
        </row>
        <row r="1499">
          <cell r="A1499" t="str">
            <v>Y1901-0642</v>
          </cell>
          <cell r="B1499">
            <v>201811</v>
          </cell>
          <cell r="C1499" t="str">
            <v>4600066149</v>
          </cell>
          <cell r="D1499" t="str">
            <v>7J256C</v>
          </cell>
          <cell r="E1499">
            <v>1212</v>
          </cell>
          <cell r="F1499">
            <v>43492</v>
          </cell>
          <cell r="G1499" t="str">
            <v>12/21</v>
          </cell>
        </row>
        <row r="1500">
          <cell r="A1500" t="str">
            <v>Y1901-0643</v>
          </cell>
          <cell r="B1500">
            <v>201811</v>
          </cell>
          <cell r="C1500" t="str">
            <v>4600066154</v>
          </cell>
          <cell r="D1500" t="str">
            <v>1J794C</v>
          </cell>
          <cell r="E1500">
            <v>480</v>
          </cell>
          <cell r="F1500">
            <v>43492</v>
          </cell>
          <cell r="G1500" t="str">
            <v>12/21</v>
          </cell>
        </row>
        <row r="1501">
          <cell r="A1501" t="str">
            <v>Y1901-0644</v>
          </cell>
          <cell r="B1501">
            <v>201811</v>
          </cell>
          <cell r="C1501" t="str">
            <v>4600066155</v>
          </cell>
          <cell r="D1501" t="str">
            <v>M7650C</v>
          </cell>
          <cell r="E1501">
            <v>900</v>
          </cell>
          <cell r="F1501">
            <v>43492</v>
          </cell>
          <cell r="G1501" t="str">
            <v>12/21</v>
          </cell>
        </row>
        <row r="1502">
          <cell r="A1502" t="str">
            <v>Y1901-0645</v>
          </cell>
          <cell r="B1502">
            <v>201811</v>
          </cell>
          <cell r="C1502" t="str">
            <v>4600066158</v>
          </cell>
          <cell r="D1502" t="str">
            <v>M7652C</v>
          </cell>
          <cell r="E1502">
            <v>1722</v>
          </cell>
          <cell r="F1502">
            <v>43492</v>
          </cell>
          <cell r="G1502" t="str">
            <v>OK</v>
          </cell>
        </row>
        <row r="1503">
          <cell r="A1503" t="str">
            <v>Y1901-0646</v>
          </cell>
          <cell r="B1503">
            <v>201811</v>
          </cell>
          <cell r="C1503" t="str">
            <v>4600066165</v>
          </cell>
          <cell r="D1503" t="str">
            <v>M7650C</v>
          </cell>
          <cell r="E1503">
            <v>366</v>
          </cell>
          <cell r="F1503">
            <v>43492</v>
          </cell>
          <cell r="G1503" t="str">
            <v>12/21</v>
          </cell>
        </row>
        <row r="1504">
          <cell r="A1504" t="str">
            <v>Y1901-0647</v>
          </cell>
          <cell r="B1504">
            <v>201811</v>
          </cell>
          <cell r="C1504" t="str">
            <v>4600066166</v>
          </cell>
          <cell r="D1504" t="str">
            <v>M7652C</v>
          </cell>
          <cell r="E1504">
            <v>2004</v>
          </cell>
          <cell r="F1504">
            <v>43492</v>
          </cell>
          <cell r="G1504" t="str">
            <v>OK</v>
          </cell>
        </row>
        <row r="1505">
          <cell r="A1505" t="str">
            <v>Y1901-0648</v>
          </cell>
          <cell r="B1505">
            <v>201811</v>
          </cell>
          <cell r="C1505" t="str">
            <v>4600066167</v>
          </cell>
          <cell r="D1505" t="str">
            <v>7J256C</v>
          </cell>
          <cell r="E1505">
            <v>360</v>
          </cell>
          <cell r="F1505">
            <v>43492</v>
          </cell>
          <cell r="G1505" t="str">
            <v>12/21</v>
          </cell>
        </row>
        <row r="1506">
          <cell r="A1506" t="str">
            <v>Y1901-0649</v>
          </cell>
          <cell r="B1506">
            <v>201811</v>
          </cell>
          <cell r="C1506" t="str">
            <v>4600066185</v>
          </cell>
          <cell r="D1506" t="str">
            <v>150757C</v>
          </cell>
          <cell r="E1506">
            <v>1848</v>
          </cell>
          <cell r="F1506">
            <v>43496</v>
          </cell>
          <cell r="G1506" t="str">
            <v>CFM</v>
          </cell>
        </row>
        <row r="1507">
          <cell r="A1507" t="str">
            <v>Y1901-0650</v>
          </cell>
          <cell r="B1507">
            <v>201811</v>
          </cell>
          <cell r="C1507" t="str">
            <v>4600066186</v>
          </cell>
          <cell r="D1507" t="str">
            <v>150768C</v>
          </cell>
          <cell r="E1507">
            <v>1836</v>
          </cell>
          <cell r="F1507">
            <v>43496</v>
          </cell>
          <cell r="G1507" t="str">
            <v>CFM</v>
          </cell>
        </row>
        <row r="1508">
          <cell r="A1508" t="str">
            <v>Y1901-0651</v>
          </cell>
          <cell r="B1508">
            <v>201811</v>
          </cell>
          <cell r="C1508" t="str">
            <v>4600066187</v>
          </cell>
          <cell r="D1508" t="str">
            <v>150770C</v>
          </cell>
          <cell r="E1508">
            <v>1860</v>
          </cell>
          <cell r="F1508">
            <v>43496</v>
          </cell>
          <cell r="G1508" t="str">
            <v>CFM</v>
          </cell>
        </row>
        <row r="1509">
          <cell r="A1509" t="str">
            <v>Y1901-0652</v>
          </cell>
          <cell r="B1509">
            <v>201811</v>
          </cell>
          <cell r="C1509" t="str">
            <v>4600066189</v>
          </cell>
          <cell r="D1509" t="str">
            <v>150763C</v>
          </cell>
          <cell r="E1509">
            <v>1848</v>
          </cell>
          <cell r="F1509">
            <v>43496</v>
          </cell>
          <cell r="G1509" t="str">
            <v>CFM</v>
          </cell>
        </row>
        <row r="1510">
          <cell r="A1510" t="str">
            <v>Y1901-0653</v>
          </cell>
          <cell r="B1510">
            <v>201811</v>
          </cell>
          <cell r="C1510" t="str">
            <v>4600066190</v>
          </cell>
          <cell r="D1510" t="str">
            <v>150764C</v>
          </cell>
          <cell r="E1510">
            <v>1848</v>
          </cell>
          <cell r="F1510">
            <v>43496</v>
          </cell>
          <cell r="G1510" t="str">
            <v>CFM</v>
          </cell>
        </row>
        <row r="1511">
          <cell r="A1511" t="str">
            <v>Y1901-0654</v>
          </cell>
          <cell r="B1511">
            <v>201811</v>
          </cell>
          <cell r="C1511" t="str">
            <v>4600066191</v>
          </cell>
          <cell r="D1511" t="str">
            <v>150767C</v>
          </cell>
          <cell r="E1511">
            <v>2256</v>
          </cell>
          <cell r="F1511">
            <v>43496</v>
          </cell>
          <cell r="G1511" t="str">
            <v>CFM</v>
          </cell>
        </row>
        <row r="1512">
          <cell r="A1512" t="str">
            <v>Y1901-0655</v>
          </cell>
          <cell r="B1512">
            <v>201811</v>
          </cell>
          <cell r="C1512" t="str">
            <v>4600066193</v>
          </cell>
          <cell r="D1512" t="str">
            <v>150762C</v>
          </cell>
          <cell r="E1512">
            <v>1872</v>
          </cell>
          <cell r="F1512">
            <v>43496</v>
          </cell>
          <cell r="G1512" t="str">
            <v>CFM</v>
          </cell>
        </row>
        <row r="1513">
          <cell r="A1513" t="str">
            <v>Y1901-0656</v>
          </cell>
          <cell r="B1513">
            <v>201811</v>
          </cell>
          <cell r="C1513" t="str">
            <v>4600066244</v>
          </cell>
          <cell r="D1513" t="str">
            <v>7J256C</v>
          </cell>
          <cell r="E1513">
            <v>360</v>
          </cell>
          <cell r="F1513">
            <v>43492</v>
          </cell>
          <cell r="G1513" t="str">
            <v>12/21</v>
          </cell>
        </row>
        <row r="1514">
          <cell r="A1514" t="str">
            <v>Y1901-0657</v>
          </cell>
          <cell r="B1514">
            <v>201811</v>
          </cell>
          <cell r="C1514" t="str">
            <v>4600066245</v>
          </cell>
          <cell r="D1514" t="str">
            <v>3J256C</v>
          </cell>
          <cell r="E1514">
            <v>672</v>
          </cell>
          <cell r="F1514">
            <v>43492</v>
          </cell>
          <cell r="G1514" t="str">
            <v>OK</v>
          </cell>
        </row>
        <row r="1515">
          <cell r="A1515" t="str">
            <v>Y1901-0658</v>
          </cell>
          <cell r="B1515">
            <v>201811</v>
          </cell>
          <cell r="C1515" t="str">
            <v>4600066246</v>
          </cell>
          <cell r="D1515" t="str">
            <v>7J256C</v>
          </cell>
          <cell r="E1515">
            <v>348</v>
          </cell>
          <cell r="F1515">
            <v>43492</v>
          </cell>
          <cell r="G1515" t="str">
            <v>12/21</v>
          </cell>
        </row>
        <row r="1516">
          <cell r="A1516" t="str">
            <v>Y1901-0659</v>
          </cell>
          <cell r="B1516">
            <v>201811</v>
          </cell>
          <cell r="C1516" t="str">
            <v>4600066247</v>
          </cell>
          <cell r="D1516" t="str">
            <v>M7650C</v>
          </cell>
          <cell r="E1516">
            <v>2004</v>
          </cell>
          <cell r="F1516">
            <v>43492</v>
          </cell>
          <cell r="G1516" t="str">
            <v>12/21</v>
          </cell>
        </row>
        <row r="1517">
          <cell r="A1517" t="str">
            <v>Y1901-0660</v>
          </cell>
          <cell r="B1517">
            <v>201811</v>
          </cell>
          <cell r="C1517" t="str">
            <v>4600066250</v>
          </cell>
          <cell r="D1517" t="str">
            <v>7J253C</v>
          </cell>
          <cell r="E1517">
            <v>612</v>
          </cell>
          <cell r="F1517">
            <v>43492</v>
          </cell>
          <cell r="G1517" t="str">
            <v>12/21</v>
          </cell>
        </row>
        <row r="1518">
          <cell r="A1518" t="str">
            <v>Y1901-0661</v>
          </cell>
          <cell r="B1518">
            <v>201811</v>
          </cell>
          <cell r="C1518" t="str">
            <v>4600066251</v>
          </cell>
          <cell r="D1518" t="str">
            <v>3J253C</v>
          </cell>
          <cell r="E1518">
            <v>432</v>
          </cell>
          <cell r="F1518">
            <v>43492</v>
          </cell>
          <cell r="G1518" t="str">
            <v>12/21</v>
          </cell>
        </row>
        <row r="1519">
          <cell r="A1519" t="str">
            <v>Y1901-0671</v>
          </cell>
          <cell r="B1519">
            <v>201811</v>
          </cell>
          <cell r="C1519" t="str">
            <v>4600066271</v>
          </cell>
          <cell r="D1519" t="str">
            <v>158369C</v>
          </cell>
          <cell r="E1519">
            <v>120</v>
          </cell>
          <cell r="F1519">
            <v>43492</v>
          </cell>
          <cell r="G1519" t="str">
            <v>OK</v>
          </cell>
        </row>
        <row r="1520">
          <cell r="A1520" t="str">
            <v>Y1812-0414</v>
          </cell>
          <cell r="B1520">
            <v>201808</v>
          </cell>
          <cell r="C1520" t="str">
            <v>4600061975</v>
          </cell>
          <cell r="D1520" t="str">
            <v>663655C</v>
          </cell>
          <cell r="E1520">
            <v>144</v>
          </cell>
          <cell r="F1520">
            <v>43468</v>
          </cell>
          <cell r="G1520" t="str">
            <v>OK</v>
          </cell>
        </row>
        <row r="1521">
          <cell r="A1521" t="str">
            <v>Y1812-0811</v>
          </cell>
          <cell r="B1521">
            <v>201809</v>
          </cell>
          <cell r="C1521" t="str">
            <v>4600062897</v>
          </cell>
          <cell r="D1521" t="str">
            <v>155065C</v>
          </cell>
          <cell r="E1521">
            <v>1476</v>
          </cell>
          <cell r="F1521">
            <v>43488</v>
          </cell>
          <cell r="G1521" t="str">
            <v>OK</v>
          </cell>
        </row>
        <row r="1522">
          <cell r="A1522" t="str">
            <v>Y1812-0097</v>
          </cell>
          <cell r="B1522">
            <v>201807</v>
          </cell>
          <cell r="C1522" t="str">
            <v>4600059637</v>
          </cell>
          <cell r="D1522" t="str">
            <v>163246C</v>
          </cell>
          <cell r="E1522">
            <v>996</v>
          </cell>
          <cell r="F1522">
            <v>43488</v>
          </cell>
          <cell r="G1522" t="str">
            <v>OK</v>
          </cell>
        </row>
        <row r="1523">
          <cell r="A1523" t="str">
            <v>Y1812-0098</v>
          </cell>
          <cell r="B1523">
            <v>201807</v>
          </cell>
          <cell r="C1523" t="str">
            <v>4600059638</v>
          </cell>
          <cell r="D1523" t="str">
            <v>163247C</v>
          </cell>
          <cell r="E1523">
            <v>1128</v>
          </cell>
          <cell r="F1523">
            <v>43488</v>
          </cell>
          <cell r="G1523" t="str">
            <v>OK</v>
          </cell>
        </row>
        <row r="1524">
          <cell r="A1524" t="str">
            <v>Y1812-0099</v>
          </cell>
          <cell r="B1524">
            <v>201807</v>
          </cell>
          <cell r="C1524" t="str">
            <v>4600059639</v>
          </cell>
          <cell r="D1524" t="str">
            <v>163247C</v>
          </cell>
          <cell r="E1524">
            <v>288</v>
          </cell>
          <cell r="F1524">
            <v>43488</v>
          </cell>
          <cell r="G1524" t="str">
            <v>OK</v>
          </cell>
        </row>
        <row r="1525">
          <cell r="A1525" t="str">
            <v>Y1812-0100</v>
          </cell>
          <cell r="B1525">
            <v>201807</v>
          </cell>
          <cell r="C1525" t="str">
            <v>4600059640</v>
          </cell>
          <cell r="D1525" t="str">
            <v>163248C</v>
          </cell>
          <cell r="E1525">
            <v>996</v>
          </cell>
          <cell r="F1525">
            <v>43488</v>
          </cell>
          <cell r="G1525" t="str">
            <v>OK</v>
          </cell>
        </row>
        <row r="1526">
          <cell r="A1526" t="str">
            <v>Y1812-0101</v>
          </cell>
          <cell r="B1526">
            <v>201807</v>
          </cell>
          <cell r="C1526" t="str">
            <v>4600059641</v>
          </cell>
          <cell r="D1526" t="str">
            <v>163248C</v>
          </cell>
          <cell r="E1526">
            <v>252</v>
          </cell>
          <cell r="F1526">
            <v>43488</v>
          </cell>
          <cell r="G1526" t="str">
            <v>OK</v>
          </cell>
        </row>
        <row r="1527">
          <cell r="A1527" t="str">
            <v>Y1812-0103</v>
          </cell>
          <cell r="B1527">
            <v>201807</v>
          </cell>
          <cell r="C1527" t="str">
            <v>4600059643</v>
          </cell>
          <cell r="D1527" t="str">
            <v>563428C</v>
          </cell>
          <cell r="E1527">
            <v>1980</v>
          </cell>
          <cell r="F1527">
            <v>43488</v>
          </cell>
          <cell r="G1527" t="str">
            <v>OK</v>
          </cell>
        </row>
        <row r="1528">
          <cell r="A1528" t="str">
            <v>Y1812-0114</v>
          </cell>
          <cell r="B1528">
            <v>201807</v>
          </cell>
          <cell r="C1528" t="str">
            <v>4600059654</v>
          </cell>
          <cell r="D1528" t="str">
            <v>563430C</v>
          </cell>
          <cell r="E1528">
            <v>2052</v>
          </cell>
          <cell r="F1528">
            <v>43488</v>
          </cell>
          <cell r="G1528" t="str">
            <v>OK</v>
          </cell>
        </row>
        <row r="1529">
          <cell r="A1529" t="str">
            <v>Y1812-0127</v>
          </cell>
          <cell r="B1529">
            <v>201807</v>
          </cell>
          <cell r="C1529" t="str">
            <v>4600059670</v>
          </cell>
          <cell r="D1529" t="str">
            <v>563428C</v>
          </cell>
          <cell r="E1529">
            <v>480</v>
          </cell>
          <cell r="F1529">
            <v>43488</v>
          </cell>
          <cell r="G1529" t="str">
            <v>OK</v>
          </cell>
        </row>
        <row r="1530">
          <cell r="A1530" t="str">
            <v>Y1812-0137</v>
          </cell>
          <cell r="B1530">
            <v>201807</v>
          </cell>
          <cell r="C1530" t="str">
            <v>4600059680</v>
          </cell>
          <cell r="D1530" t="str">
            <v>163246C</v>
          </cell>
          <cell r="E1530">
            <v>252</v>
          </cell>
          <cell r="F1530">
            <v>43488</v>
          </cell>
          <cell r="G1530" t="str">
            <v>OK</v>
          </cell>
        </row>
        <row r="1531">
          <cell r="A1531" t="str">
            <v>Y1812-0138</v>
          </cell>
          <cell r="B1531">
            <v>201807</v>
          </cell>
          <cell r="C1531" t="str">
            <v>4600059681</v>
          </cell>
          <cell r="D1531" t="str">
            <v>163249C</v>
          </cell>
          <cell r="E1531">
            <v>1032</v>
          </cell>
          <cell r="F1531">
            <v>43488</v>
          </cell>
          <cell r="G1531" t="str">
            <v>OK</v>
          </cell>
        </row>
        <row r="1532">
          <cell r="A1532" t="str">
            <v>Y1812-0139</v>
          </cell>
          <cell r="B1532">
            <v>201807</v>
          </cell>
          <cell r="C1532" t="str">
            <v>4600059682</v>
          </cell>
          <cell r="D1532" t="str">
            <v>163249C</v>
          </cell>
          <cell r="E1532">
            <v>252</v>
          </cell>
          <cell r="F1532">
            <v>43488</v>
          </cell>
          <cell r="G1532" t="str">
            <v>OK</v>
          </cell>
        </row>
        <row r="1533">
          <cell r="A1533" t="str">
            <v>Y1812-0145</v>
          </cell>
          <cell r="B1533">
            <v>201807</v>
          </cell>
          <cell r="C1533" t="str">
            <v>4600059691</v>
          </cell>
          <cell r="D1533" t="str">
            <v>563430C</v>
          </cell>
          <cell r="E1533">
            <v>504</v>
          </cell>
          <cell r="F1533">
            <v>43488</v>
          </cell>
          <cell r="G1533" t="str">
            <v>OK</v>
          </cell>
        </row>
        <row r="1534">
          <cell r="A1534" t="str">
            <v>Y1812-0435</v>
          </cell>
          <cell r="B1534">
            <v>201810</v>
          </cell>
          <cell r="C1534" t="str">
            <v>4600064596</v>
          </cell>
          <cell r="D1534" t="str">
            <v>150770C</v>
          </cell>
          <cell r="E1534">
            <v>1812</v>
          </cell>
          <cell r="F1534">
            <v>43469</v>
          </cell>
          <cell r="G1534" t="str">
            <v>OK</v>
          </cell>
        </row>
        <row r="1535">
          <cell r="A1535" t="str">
            <v>Y1812-0436</v>
          </cell>
          <cell r="B1535">
            <v>201810</v>
          </cell>
          <cell r="C1535" t="str">
            <v>4600064602</v>
          </cell>
          <cell r="D1535" t="str">
            <v>150757C</v>
          </cell>
          <cell r="E1535">
            <v>1800</v>
          </cell>
          <cell r="F1535">
            <v>43469</v>
          </cell>
          <cell r="G1535" t="str">
            <v>OK</v>
          </cell>
        </row>
        <row r="1536">
          <cell r="A1536" t="str">
            <v>Y1812-0852</v>
          </cell>
          <cell r="B1536">
            <v>201810</v>
          </cell>
          <cell r="C1536" t="str">
            <v>4600064489</v>
          </cell>
          <cell r="D1536" t="str">
            <v>7J256C</v>
          </cell>
          <cell r="E1536">
            <v>1812</v>
          </cell>
          <cell r="F1536">
            <v>43470</v>
          </cell>
          <cell r="G1536" t="str">
            <v>OK</v>
          </cell>
        </row>
        <row r="1537">
          <cell r="A1537" t="str">
            <v>Y1812-0853</v>
          </cell>
          <cell r="B1537">
            <v>201810</v>
          </cell>
          <cell r="C1537" t="str">
            <v>4600064490</v>
          </cell>
          <cell r="D1537" t="str">
            <v>7J253C</v>
          </cell>
          <cell r="E1537">
            <v>840</v>
          </cell>
          <cell r="F1537">
            <v>43470</v>
          </cell>
          <cell r="G1537" t="str">
            <v>OK</v>
          </cell>
        </row>
        <row r="1538">
          <cell r="A1538" t="str">
            <v>Y1812-0854</v>
          </cell>
          <cell r="B1538">
            <v>201810</v>
          </cell>
          <cell r="C1538" t="str">
            <v>4600064492</v>
          </cell>
          <cell r="D1538" t="str">
            <v>3J253C</v>
          </cell>
          <cell r="E1538">
            <v>576</v>
          </cell>
          <cell r="F1538">
            <v>43470</v>
          </cell>
          <cell r="G1538" t="str">
            <v>OK</v>
          </cell>
        </row>
        <row r="1539">
          <cell r="A1539" t="str">
            <v>Y1812-0855</v>
          </cell>
          <cell r="B1539">
            <v>201810</v>
          </cell>
          <cell r="C1539" t="str">
            <v>4600064494</v>
          </cell>
          <cell r="D1539" t="str">
            <v>M7652C</v>
          </cell>
          <cell r="E1539">
            <v>11184</v>
          </cell>
          <cell r="F1539">
            <v>43470</v>
          </cell>
          <cell r="G1539" t="str">
            <v>OK</v>
          </cell>
        </row>
        <row r="1540">
          <cell r="A1540" t="str">
            <v>Y1812-0856</v>
          </cell>
          <cell r="B1540">
            <v>201810</v>
          </cell>
          <cell r="C1540" t="str">
            <v>4600064495</v>
          </cell>
          <cell r="D1540" t="str">
            <v>3J234C</v>
          </cell>
          <cell r="E1540">
            <v>384</v>
          </cell>
          <cell r="F1540">
            <v>43470</v>
          </cell>
          <cell r="G1540" t="str">
            <v>OK</v>
          </cell>
        </row>
        <row r="1541">
          <cell r="A1541" t="str">
            <v>Y1812-0857</v>
          </cell>
          <cell r="B1541">
            <v>201810</v>
          </cell>
          <cell r="C1541" t="str">
            <v>4600064515</v>
          </cell>
          <cell r="D1541" t="str">
            <v>7J238C</v>
          </cell>
          <cell r="E1541">
            <v>372</v>
          </cell>
          <cell r="F1541">
            <v>43470</v>
          </cell>
          <cell r="G1541" t="str">
            <v>OK</v>
          </cell>
        </row>
        <row r="1542">
          <cell r="A1542" t="str">
            <v>Y1812-0858</v>
          </cell>
          <cell r="B1542">
            <v>201810</v>
          </cell>
          <cell r="C1542" t="str">
            <v>4600064516</v>
          </cell>
          <cell r="D1542" t="str">
            <v>7J232C</v>
          </cell>
          <cell r="E1542">
            <v>384</v>
          </cell>
          <cell r="F1542">
            <v>43470</v>
          </cell>
          <cell r="G1542" t="str">
            <v>OK</v>
          </cell>
        </row>
        <row r="1543">
          <cell r="A1543" t="str">
            <v>Y1812-0859</v>
          </cell>
          <cell r="B1543">
            <v>201810</v>
          </cell>
          <cell r="C1543" t="str">
            <v>4600064517</v>
          </cell>
          <cell r="D1543" t="str">
            <v>3J236C</v>
          </cell>
          <cell r="E1543">
            <v>372</v>
          </cell>
          <cell r="F1543">
            <v>43470</v>
          </cell>
          <cell r="G1543" t="str">
            <v>OK</v>
          </cell>
        </row>
        <row r="1544">
          <cell r="A1544" t="str">
            <v>Y1812-0860</v>
          </cell>
          <cell r="B1544">
            <v>201810</v>
          </cell>
          <cell r="C1544" t="str">
            <v>4600064518</v>
          </cell>
          <cell r="D1544" t="str">
            <v>1J794C</v>
          </cell>
          <cell r="E1544">
            <v>372</v>
          </cell>
          <cell r="F1544">
            <v>43470</v>
          </cell>
          <cell r="G1544" t="str">
            <v>OK</v>
          </cell>
        </row>
        <row r="1545">
          <cell r="A1545" t="str">
            <v>Y1812-0861</v>
          </cell>
          <cell r="B1545">
            <v>201810</v>
          </cell>
          <cell r="C1545" t="str">
            <v>4600064519</v>
          </cell>
          <cell r="D1545" t="str">
            <v>M9696C</v>
          </cell>
          <cell r="E1545">
            <v>1632</v>
          </cell>
          <cell r="F1545">
            <v>43470</v>
          </cell>
          <cell r="G1545" t="str">
            <v>OK</v>
          </cell>
        </row>
        <row r="1546">
          <cell r="A1546" t="str">
            <v>Y1812-0862</v>
          </cell>
          <cell r="B1546">
            <v>201810</v>
          </cell>
          <cell r="C1546" t="str">
            <v>4600064521</v>
          </cell>
          <cell r="D1546" t="str">
            <v>M9621C</v>
          </cell>
          <cell r="E1546">
            <v>1608</v>
          </cell>
          <cell r="F1546">
            <v>43470</v>
          </cell>
          <cell r="G1546" t="str">
            <v>OK</v>
          </cell>
        </row>
        <row r="1547">
          <cell r="A1547" t="str">
            <v>Y1812-0863</v>
          </cell>
          <cell r="B1547">
            <v>201810</v>
          </cell>
          <cell r="C1547" t="str">
            <v>4600064525</v>
          </cell>
          <cell r="D1547" t="str">
            <v>3J256C</v>
          </cell>
          <cell r="E1547">
            <v>1488</v>
          </cell>
          <cell r="F1547">
            <v>43470</v>
          </cell>
          <cell r="G1547" t="str">
            <v>OK</v>
          </cell>
        </row>
        <row r="1548">
          <cell r="A1548" t="str">
            <v>Y1812-0864</v>
          </cell>
          <cell r="B1548">
            <v>201810</v>
          </cell>
          <cell r="C1548" t="str">
            <v>4600064526</v>
          </cell>
          <cell r="D1548" t="str">
            <v>M7650C</v>
          </cell>
          <cell r="E1548">
            <v>1812</v>
          </cell>
          <cell r="F1548">
            <v>43470</v>
          </cell>
          <cell r="G1548" t="str">
            <v>OK</v>
          </cell>
        </row>
        <row r="1549">
          <cell r="A1549" t="str">
            <v>Y1812-0866</v>
          </cell>
          <cell r="B1549">
            <v>201810</v>
          </cell>
          <cell r="C1549" t="str">
            <v>4600064528</v>
          </cell>
          <cell r="D1549" t="str">
            <v>M9697C</v>
          </cell>
          <cell r="E1549">
            <v>492</v>
          </cell>
          <cell r="F1549">
            <v>43470</v>
          </cell>
          <cell r="G1549" t="str">
            <v>OK</v>
          </cell>
        </row>
        <row r="1550">
          <cell r="A1550" t="str">
            <v>Y1812-0443</v>
          </cell>
          <cell r="B1550">
            <v>201810</v>
          </cell>
          <cell r="C1550" t="str">
            <v>4600064593</v>
          </cell>
          <cell r="D1550" t="str">
            <v>150759C</v>
          </cell>
          <cell r="E1550">
            <v>1800</v>
          </cell>
          <cell r="F1550">
            <v>43469</v>
          </cell>
          <cell r="G1550" t="str">
            <v>OK</v>
          </cell>
        </row>
        <row r="1551">
          <cell r="A1551" t="str">
            <v>Y1812-0442</v>
          </cell>
          <cell r="B1551">
            <v>201810</v>
          </cell>
          <cell r="C1551" t="str">
            <v>4600064594</v>
          </cell>
          <cell r="D1551" t="str">
            <v>150764C</v>
          </cell>
          <cell r="E1551">
            <v>2676</v>
          </cell>
          <cell r="F1551">
            <v>43469</v>
          </cell>
          <cell r="G1551" t="str">
            <v>OK</v>
          </cell>
        </row>
        <row r="1552">
          <cell r="A1552" t="str">
            <v>Y1812-0437</v>
          </cell>
          <cell r="B1552">
            <v>201810</v>
          </cell>
          <cell r="C1552" t="str">
            <v>4600064595</v>
          </cell>
          <cell r="D1552" t="str">
            <v>150763C</v>
          </cell>
          <cell r="E1552">
            <v>3168</v>
          </cell>
          <cell r="F1552">
            <v>43469</v>
          </cell>
          <cell r="G1552" t="str">
            <v>OK</v>
          </cell>
        </row>
        <row r="1553">
          <cell r="A1553" t="str">
            <v>Y1812-0440</v>
          </cell>
          <cell r="B1553">
            <v>201810</v>
          </cell>
          <cell r="C1553" t="str">
            <v>4600064597</v>
          </cell>
          <cell r="D1553" t="str">
            <v>150760C</v>
          </cell>
          <cell r="E1553">
            <v>1812</v>
          </cell>
          <cell r="F1553">
            <v>43469</v>
          </cell>
          <cell r="G1553" t="str">
            <v>OK</v>
          </cell>
        </row>
        <row r="1554">
          <cell r="A1554" t="str">
            <v>Y1812-0444</v>
          </cell>
          <cell r="B1554">
            <v>201810</v>
          </cell>
          <cell r="C1554" t="str">
            <v>4600064599</v>
          </cell>
          <cell r="D1554" t="str">
            <v>150768C</v>
          </cell>
          <cell r="E1554">
            <v>2916</v>
          </cell>
          <cell r="F1554">
            <v>43469</v>
          </cell>
          <cell r="G1554" t="str">
            <v>OK</v>
          </cell>
        </row>
        <row r="1555">
          <cell r="A1555" t="str">
            <v>Y1812-0441</v>
          </cell>
          <cell r="B1555">
            <v>201810</v>
          </cell>
          <cell r="C1555" t="str">
            <v>4600064600</v>
          </cell>
          <cell r="D1555" t="str">
            <v>150762C</v>
          </cell>
          <cell r="E1555">
            <v>1836</v>
          </cell>
          <cell r="F1555">
            <v>43469</v>
          </cell>
          <cell r="G1555" t="str">
            <v>OK</v>
          </cell>
        </row>
        <row r="1556">
          <cell r="A1556" t="str">
            <v>Y1812-0439</v>
          </cell>
          <cell r="B1556">
            <v>201810</v>
          </cell>
          <cell r="C1556" t="str">
            <v>4600064601</v>
          </cell>
          <cell r="D1556" t="str">
            <v>150756C</v>
          </cell>
          <cell r="E1556">
            <v>1980</v>
          </cell>
          <cell r="F1556">
            <v>43469</v>
          </cell>
          <cell r="G1556" t="str">
            <v>OK</v>
          </cell>
        </row>
        <row r="1557">
          <cell r="A1557" t="str">
            <v>Y1812-0438</v>
          </cell>
          <cell r="B1557">
            <v>201810</v>
          </cell>
          <cell r="C1557" t="str">
            <v>4600064603</v>
          </cell>
          <cell r="D1557" t="str">
            <v>150767C</v>
          </cell>
          <cell r="E1557">
            <v>2196</v>
          </cell>
          <cell r="F1557">
            <v>43469</v>
          </cell>
          <cell r="G1557" t="str">
            <v>OK</v>
          </cell>
        </row>
        <row r="1558">
          <cell r="A1558" t="str">
            <v>Y1812-0880</v>
          </cell>
          <cell r="B1558">
            <v>201810</v>
          </cell>
          <cell r="C1558" t="str">
            <v>4600064710</v>
          </cell>
          <cell r="D1558" t="str">
            <v>3J234C</v>
          </cell>
          <cell r="E1558">
            <v>372</v>
          </cell>
          <cell r="F1558">
            <v>43470</v>
          </cell>
          <cell r="G1558" t="str">
            <v>OK</v>
          </cell>
        </row>
        <row r="1559">
          <cell r="A1559" t="str">
            <v>Y1812-0881</v>
          </cell>
          <cell r="B1559">
            <v>201810</v>
          </cell>
          <cell r="C1559" t="str">
            <v>4600064711</v>
          </cell>
          <cell r="D1559" t="str">
            <v>3J237C</v>
          </cell>
          <cell r="E1559">
            <v>360</v>
          </cell>
          <cell r="F1559">
            <v>43470</v>
          </cell>
          <cell r="G1559" t="str">
            <v>OK</v>
          </cell>
        </row>
        <row r="1560">
          <cell r="A1560" t="str">
            <v>Y1812-0882</v>
          </cell>
          <cell r="B1560">
            <v>201810</v>
          </cell>
          <cell r="C1560" t="str">
            <v>4600064712</v>
          </cell>
          <cell r="D1560" t="str">
            <v>3J236C</v>
          </cell>
          <cell r="E1560">
            <v>360</v>
          </cell>
          <cell r="F1560">
            <v>43470</v>
          </cell>
          <cell r="G1560" t="str">
            <v>OK</v>
          </cell>
        </row>
        <row r="1561">
          <cell r="A1561" t="str">
            <v>Y1812-0883</v>
          </cell>
          <cell r="B1561">
            <v>201810</v>
          </cell>
          <cell r="C1561" t="str">
            <v>4600064713</v>
          </cell>
          <cell r="D1561" t="str">
            <v>3J256C</v>
          </cell>
          <cell r="E1561">
            <v>360</v>
          </cell>
          <cell r="F1561">
            <v>43470</v>
          </cell>
          <cell r="G1561" t="str">
            <v>OK</v>
          </cell>
        </row>
        <row r="1562">
          <cell r="A1562" t="str">
            <v>Y1812-0884</v>
          </cell>
          <cell r="B1562">
            <v>201810</v>
          </cell>
          <cell r="C1562" t="str">
            <v>4600064714</v>
          </cell>
          <cell r="D1562" t="str">
            <v>M9696C</v>
          </cell>
          <cell r="E1562">
            <v>924</v>
          </cell>
          <cell r="F1562">
            <v>43470</v>
          </cell>
          <cell r="G1562" t="str">
            <v>OK</v>
          </cell>
        </row>
        <row r="1563">
          <cell r="A1563" t="str">
            <v>Y1812-0885</v>
          </cell>
          <cell r="B1563">
            <v>201810</v>
          </cell>
          <cell r="C1563" t="str">
            <v>4600064716</v>
          </cell>
          <cell r="D1563" t="str">
            <v>3J232C</v>
          </cell>
          <cell r="E1563">
            <v>384</v>
          </cell>
          <cell r="F1563">
            <v>43470</v>
          </cell>
          <cell r="G1563" t="str">
            <v>OK</v>
          </cell>
        </row>
        <row r="1564">
          <cell r="A1564" t="str">
            <v>Y1812-0886</v>
          </cell>
          <cell r="B1564">
            <v>201810</v>
          </cell>
          <cell r="C1564" t="str">
            <v>4600064717</v>
          </cell>
          <cell r="D1564" t="str">
            <v>3J238C</v>
          </cell>
          <cell r="E1564">
            <v>372</v>
          </cell>
          <cell r="F1564">
            <v>43470</v>
          </cell>
          <cell r="G1564" t="str">
            <v>OK</v>
          </cell>
        </row>
        <row r="1565">
          <cell r="A1565" t="str">
            <v>Y1812-0887</v>
          </cell>
          <cell r="B1565">
            <v>201810</v>
          </cell>
          <cell r="C1565" t="str">
            <v>4600064718</v>
          </cell>
          <cell r="D1565" t="str">
            <v>M5039C</v>
          </cell>
          <cell r="E1565">
            <v>504</v>
          </cell>
          <cell r="F1565">
            <v>43470</v>
          </cell>
          <cell r="G1565" t="str">
            <v>OK</v>
          </cell>
        </row>
        <row r="1566">
          <cell r="A1566" t="str">
            <v>Y1812-0888</v>
          </cell>
          <cell r="B1566">
            <v>201810</v>
          </cell>
          <cell r="C1566" t="str">
            <v>4600064719</v>
          </cell>
          <cell r="D1566" t="str">
            <v>M7652C</v>
          </cell>
          <cell r="E1566">
            <v>2688</v>
          </cell>
          <cell r="F1566">
            <v>43470</v>
          </cell>
          <cell r="G1566" t="str">
            <v>OK</v>
          </cell>
        </row>
        <row r="1567">
          <cell r="A1567" t="str">
            <v>Y1812-0889</v>
          </cell>
          <cell r="B1567">
            <v>201810</v>
          </cell>
          <cell r="C1567" t="str">
            <v>4600064720</v>
          </cell>
          <cell r="D1567" t="str">
            <v>M9166C</v>
          </cell>
          <cell r="E1567">
            <v>372</v>
          </cell>
          <cell r="F1567">
            <v>43470</v>
          </cell>
          <cell r="G1567" t="str">
            <v>OK</v>
          </cell>
        </row>
        <row r="1568">
          <cell r="A1568" t="str">
            <v>Y1812-0890</v>
          </cell>
          <cell r="B1568">
            <v>201810</v>
          </cell>
          <cell r="C1568" t="str">
            <v>4600064723</v>
          </cell>
          <cell r="D1568" t="str">
            <v>7J234C</v>
          </cell>
          <cell r="E1568">
            <v>384</v>
          </cell>
          <cell r="F1568">
            <v>43470</v>
          </cell>
          <cell r="G1568" t="str">
            <v>OK</v>
          </cell>
        </row>
        <row r="1569">
          <cell r="A1569" t="str">
            <v>Y1812-0891</v>
          </cell>
          <cell r="B1569">
            <v>201810</v>
          </cell>
          <cell r="C1569" t="str">
            <v>4600064724</v>
          </cell>
          <cell r="D1569" t="str">
            <v>7J232C</v>
          </cell>
          <cell r="E1569">
            <v>372</v>
          </cell>
          <cell r="F1569">
            <v>43470</v>
          </cell>
          <cell r="G1569" t="str">
            <v>OK</v>
          </cell>
        </row>
        <row r="1570">
          <cell r="A1570" t="str">
            <v>Y1812-0892</v>
          </cell>
          <cell r="B1570">
            <v>201810</v>
          </cell>
          <cell r="C1570" t="str">
            <v>4600064725</v>
          </cell>
          <cell r="D1570" t="str">
            <v>7J238C</v>
          </cell>
          <cell r="E1570">
            <v>372</v>
          </cell>
          <cell r="F1570">
            <v>43470</v>
          </cell>
          <cell r="G1570" t="str">
            <v>OK</v>
          </cell>
        </row>
        <row r="1571">
          <cell r="A1571" t="str">
            <v>Y1812-0893</v>
          </cell>
          <cell r="B1571">
            <v>201810</v>
          </cell>
          <cell r="C1571" t="str">
            <v>4600064726</v>
          </cell>
          <cell r="D1571" t="str">
            <v>7J256C</v>
          </cell>
          <cell r="E1571">
            <v>372</v>
          </cell>
          <cell r="F1571">
            <v>43470</v>
          </cell>
          <cell r="G1571" t="str">
            <v>OK</v>
          </cell>
        </row>
        <row r="1572">
          <cell r="A1572" t="str">
            <v>Y1812-0030</v>
          </cell>
          <cell r="B1572">
            <v>201807</v>
          </cell>
          <cell r="C1572" t="str">
            <v>4600059453</v>
          </cell>
          <cell r="D1572" t="str">
            <v>163249C</v>
          </cell>
          <cell r="E1572">
            <v>228</v>
          </cell>
          <cell r="F1572">
            <v>43438</v>
          </cell>
          <cell r="G1572" t="str">
            <v>OK</v>
          </cell>
        </row>
        <row r="1573">
          <cell r="A1573" t="str">
            <v>Y1812-0034</v>
          </cell>
          <cell r="B1573">
            <v>201807</v>
          </cell>
          <cell r="C1573" t="str">
            <v>4600059457</v>
          </cell>
          <cell r="D1573" t="str">
            <v>158427C</v>
          </cell>
          <cell r="E1573">
            <v>192</v>
          </cell>
          <cell r="F1573">
            <v>43438</v>
          </cell>
          <cell r="G1573" t="str">
            <v>OK</v>
          </cell>
        </row>
        <row r="1574">
          <cell r="A1574" t="str">
            <v>Y1812-0035</v>
          </cell>
          <cell r="B1574">
            <v>201807</v>
          </cell>
          <cell r="C1574" t="str">
            <v>4600059458</v>
          </cell>
          <cell r="D1574" t="str">
            <v>163246C</v>
          </cell>
          <cell r="E1574">
            <v>228</v>
          </cell>
          <cell r="F1574">
            <v>43438</v>
          </cell>
          <cell r="G1574" t="str">
            <v>OK</v>
          </cell>
        </row>
        <row r="1575">
          <cell r="A1575" t="str">
            <v>Y1812-0036</v>
          </cell>
          <cell r="B1575">
            <v>201807</v>
          </cell>
          <cell r="C1575" t="str">
            <v>4600059459</v>
          </cell>
          <cell r="D1575" t="str">
            <v>563428C</v>
          </cell>
          <cell r="E1575">
            <v>516</v>
          </cell>
          <cell r="F1575">
            <v>43438</v>
          </cell>
          <cell r="G1575" t="str">
            <v>OK</v>
          </cell>
        </row>
        <row r="1576">
          <cell r="A1576" t="str">
            <v>Y1812-0038</v>
          </cell>
          <cell r="B1576">
            <v>201807</v>
          </cell>
          <cell r="C1576" t="str">
            <v>4600059461</v>
          </cell>
          <cell r="D1576" t="str">
            <v>161608C</v>
          </cell>
          <cell r="E1576">
            <v>288</v>
          </cell>
          <cell r="F1576">
            <v>43441</v>
          </cell>
          <cell r="G1576" t="str">
            <v>OK</v>
          </cell>
        </row>
        <row r="1577">
          <cell r="A1577" t="str">
            <v>Y1812-0039</v>
          </cell>
          <cell r="B1577">
            <v>201807</v>
          </cell>
          <cell r="C1577" t="str">
            <v>4600059462</v>
          </cell>
          <cell r="D1577" t="str">
            <v>163247C</v>
          </cell>
          <cell r="E1577">
            <v>132</v>
          </cell>
          <cell r="F1577">
            <v>43438</v>
          </cell>
          <cell r="G1577" t="str">
            <v>OK</v>
          </cell>
        </row>
        <row r="1578">
          <cell r="A1578" t="str">
            <v>Y1812-0040</v>
          </cell>
          <cell r="B1578">
            <v>201807</v>
          </cell>
          <cell r="C1578" t="str">
            <v>4600059463</v>
          </cell>
          <cell r="D1578" t="str">
            <v>563428C</v>
          </cell>
          <cell r="E1578">
            <v>216</v>
          </cell>
          <cell r="F1578">
            <v>43438</v>
          </cell>
          <cell r="G1578" t="str">
            <v>OK</v>
          </cell>
        </row>
        <row r="1579">
          <cell r="A1579" t="str">
            <v>Y1812-0041</v>
          </cell>
          <cell r="B1579">
            <v>201807</v>
          </cell>
          <cell r="C1579" t="str">
            <v>4600059464</v>
          </cell>
          <cell r="D1579" t="str">
            <v>563429C</v>
          </cell>
          <cell r="E1579">
            <v>480</v>
          </cell>
          <cell r="F1579">
            <v>43438</v>
          </cell>
          <cell r="G1579" t="str">
            <v>OK</v>
          </cell>
        </row>
        <row r="1580">
          <cell r="A1580" t="str">
            <v>Y1812-0048</v>
          </cell>
          <cell r="B1580">
            <v>201807</v>
          </cell>
          <cell r="C1580" t="str">
            <v>4600059471</v>
          </cell>
          <cell r="D1580" t="str">
            <v>163193C</v>
          </cell>
          <cell r="E1580">
            <v>180</v>
          </cell>
          <cell r="F1580">
            <v>43438</v>
          </cell>
          <cell r="G1580" t="str">
            <v>OK</v>
          </cell>
        </row>
        <row r="1581">
          <cell r="A1581" t="str">
            <v>Y1812-0053</v>
          </cell>
          <cell r="B1581">
            <v>201807</v>
          </cell>
          <cell r="C1581" t="str">
            <v>4600059476</v>
          </cell>
          <cell r="D1581" t="str">
            <v>163245C</v>
          </cell>
          <cell r="E1581">
            <v>156</v>
          </cell>
          <cell r="F1581">
            <v>43438</v>
          </cell>
          <cell r="G1581" t="str">
            <v>OK</v>
          </cell>
        </row>
        <row r="1582">
          <cell r="A1582" t="str">
            <v>Y1812-0054</v>
          </cell>
          <cell r="B1582">
            <v>201807</v>
          </cell>
          <cell r="C1582" t="str">
            <v>4600059477</v>
          </cell>
          <cell r="D1582" t="str">
            <v>563430C</v>
          </cell>
          <cell r="E1582">
            <v>660</v>
          </cell>
          <cell r="F1582">
            <v>43438</v>
          </cell>
          <cell r="G1582" t="str">
            <v>OK</v>
          </cell>
        </row>
        <row r="1583">
          <cell r="A1583" t="str">
            <v>Y1812-0058</v>
          </cell>
          <cell r="B1583">
            <v>201807</v>
          </cell>
          <cell r="C1583" t="str">
            <v>4600059481</v>
          </cell>
          <cell r="D1583" t="str">
            <v>163247C</v>
          </cell>
          <cell r="E1583">
            <v>144</v>
          </cell>
          <cell r="F1583">
            <v>43438</v>
          </cell>
          <cell r="G1583" t="str">
            <v>OK</v>
          </cell>
        </row>
        <row r="1584">
          <cell r="A1584" t="str">
            <v>Y1812-0059</v>
          </cell>
          <cell r="B1584">
            <v>201807</v>
          </cell>
          <cell r="C1584" t="str">
            <v>4600059482</v>
          </cell>
          <cell r="D1584" t="str">
            <v>563430C</v>
          </cell>
          <cell r="E1584">
            <v>216</v>
          </cell>
          <cell r="F1584">
            <v>43438</v>
          </cell>
          <cell r="G1584" t="str">
            <v>OK</v>
          </cell>
        </row>
        <row r="1585">
          <cell r="A1585" t="str">
            <v>Y1812-0060</v>
          </cell>
          <cell r="B1585">
            <v>201807</v>
          </cell>
          <cell r="C1585" t="str">
            <v>4600059483</v>
          </cell>
          <cell r="D1585" t="str">
            <v>163370C</v>
          </cell>
          <cell r="E1585">
            <v>240</v>
          </cell>
          <cell r="F1585">
            <v>43438</v>
          </cell>
          <cell r="G1585" t="str">
            <v>OK</v>
          </cell>
        </row>
        <row r="1586">
          <cell r="A1586" t="str">
            <v>Y1812-0061</v>
          </cell>
          <cell r="B1586">
            <v>201807</v>
          </cell>
          <cell r="C1586" t="str">
            <v>4600059484</v>
          </cell>
          <cell r="D1586" t="str">
            <v>163368C</v>
          </cell>
          <cell r="E1586">
            <v>240</v>
          </cell>
          <cell r="F1586">
            <v>43438</v>
          </cell>
          <cell r="G1586" t="str">
            <v>OK</v>
          </cell>
        </row>
        <row r="1587">
          <cell r="A1587" t="str">
            <v>Y1812-0062</v>
          </cell>
          <cell r="B1587">
            <v>201807</v>
          </cell>
          <cell r="C1587" t="str">
            <v>4600059485</v>
          </cell>
          <cell r="D1587" t="str">
            <v>163369C</v>
          </cell>
          <cell r="E1587">
            <v>120</v>
          </cell>
          <cell r="F1587">
            <v>43438</v>
          </cell>
          <cell r="G1587" t="str">
            <v>OK</v>
          </cell>
        </row>
        <row r="1588">
          <cell r="A1588" t="str">
            <v>Y1812-0063</v>
          </cell>
          <cell r="B1588">
            <v>201807</v>
          </cell>
          <cell r="C1588" t="str">
            <v>4600059486</v>
          </cell>
          <cell r="D1588" t="str">
            <v>163369C</v>
          </cell>
          <cell r="E1588">
            <v>252</v>
          </cell>
          <cell r="F1588">
            <v>43438</v>
          </cell>
          <cell r="G1588" t="str">
            <v>OK</v>
          </cell>
        </row>
        <row r="1589">
          <cell r="A1589" t="str">
            <v>Y1812-0064</v>
          </cell>
          <cell r="B1589">
            <v>201807</v>
          </cell>
          <cell r="C1589" t="str">
            <v>4600059487</v>
          </cell>
          <cell r="D1589" t="str">
            <v>163370C</v>
          </cell>
          <cell r="E1589">
            <v>120</v>
          </cell>
          <cell r="F1589">
            <v>43438</v>
          </cell>
          <cell r="G1589" t="str">
            <v>OK</v>
          </cell>
        </row>
        <row r="1590">
          <cell r="A1590" t="str">
            <v>Y1812-0070</v>
          </cell>
          <cell r="B1590">
            <v>201807</v>
          </cell>
          <cell r="C1590" t="str">
            <v>4600059493</v>
          </cell>
          <cell r="D1590" t="str">
            <v>158369C</v>
          </cell>
          <cell r="E1590">
            <v>120</v>
          </cell>
          <cell r="F1590">
            <v>43438</v>
          </cell>
          <cell r="G1590" t="str">
            <v>OK</v>
          </cell>
        </row>
        <row r="1591">
          <cell r="A1591" t="str">
            <v>Y1812-0071</v>
          </cell>
          <cell r="B1591">
            <v>201807</v>
          </cell>
          <cell r="C1591" t="str">
            <v>4600059494</v>
          </cell>
          <cell r="D1591" t="str">
            <v>663588C</v>
          </cell>
          <cell r="E1591">
            <v>120</v>
          </cell>
          <cell r="F1591">
            <v>43438</v>
          </cell>
          <cell r="G1591" t="str">
            <v>OK</v>
          </cell>
        </row>
        <row r="1592">
          <cell r="A1592" t="str">
            <v>Y1812-0072</v>
          </cell>
          <cell r="B1592">
            <v>201807</v>
          </cell>
          <cell r="C1592" t="str">
            <v>4600059495</v>
          </cell>
          <cell r="D1592" t="str">
            <v>663589C</v>
          </cell>
          <cell r="E1592">
            <v>120</v>
          </cell>
          <cell r="F1592">
            <v>43438</v>
          </cell>
          <cell r="G1592" t="str">
            <v>OK</v>
          </cell>
        </row>
        <row r="1593">
          <cell r="A1593" t="str">
            <v>Y1812-0075</v>
          </cell>
          <cell r="B1593">
            <v>201807</v>
          </cell>
          <cell r="C1593" t="str">
            <v>4600059500</v>
          </cell>
          <cell r="D1593" t="str">
            <v>163189C</v>
          </cell>
          <cell r="E1593">
            <v>240</v>
          </cell>
          <cell r="F1593">
            <v>43438</v>
          </cell>
          <cell r="G1593" t="str">
            <v>OK</v>
          </cell>
        </row>
        <row r="1594">
          <cell r="A1594" t="str">
            <v>Y1812-0026</v>
          </cell>
          <cell r="B1594">
            <v>201807</v>
          </cell>
          <cell r="C1594" t="str">
            <v>4600059449</v>
          </cell>
          <cell r="D1594" t="str">
            <v>159792C</v>
          </cell>
          <cell r="E1594">
            <v>540</v>
          </cell>
          <cell r="F1594">
            <v>43441</v>
          </cell>
          <cell r="G1594" t="str">
            <v>OK</v>
          </cell>
        </row>
        <row r="1595">
          <cell r="A1595" t="str">
            <v>Y1812-0027</v>
          </cell>
          <cell r="B1595">
            <v>201807</v>
          </cell>
          <cell r="C1595" t="str">
            <v>4600059450</v>
          </cell>
          <cell r="D1595" t="str">
            <v>144150C</v>
          </cell>
          <cell r="E1595">
            <v>144</v>
          </cell>
          <cell r="F1595">
            <v>43441</v>
          </cell>
          <cell r="G1595" t="str">
            <v>OK</v>
          </cell>
        </row>
        <row r="1596">
          <cell r="A1596" t="str">
            <v>Y1812-0028</v>
          </cell>
          <cell r="B1596">
            <v>201807</v>
          </cell>
          <cell r="C1596" t="str">
            <v>4600059451</v>
          </cell>
          <cell r="D1596" t="str">
            <v>144151C</v>
          </cell>
          <cell r="E1596">
            <v>144</v>
          </cell>
          <cell r="F1596">
            <v>43441</v>
          </cell>
          <cell r="G1596" t="str">
            <v>OK</v>
          </cell>
        </row>
        <row r="1597">
          <cell r="A1597" t="str">
            <v>Y1812-0029</v>
          </cell>
          <cell r="B1597">
            <v>201807</v>
          </cell>
          <cell r="C1597" t="str">
            <v>4600059452</v>
          </cell>
          <cell r="D1597" t="str">
            <v>155065C</v>
          </cell>
          <cell r="E1597">
            <v>120</v>
          </cell>
          <cell r="F1597">
            <v>43438</v>
          </cell>
          <cell r="G1597" t="str">
            <v>OK</v>
          </cell>
        </row>
        <row r="1598">
          <cell r="A1598" t="str">
            <v>Y1812-0031</v>
          </cell>
          <cell r="B1598">
            <v>201807</v>
          </cell>
          <cell r="C1598" t="str">
            <v>4600059454</v>
          </cell>
          <cell r="D1598" t="str">
            <v>162580C</v>
          </cell>
          <cell r="E1598">
            <v>144</v>
          </cell>
          <cell r="F1598">
            <v>43438</v>
          </cell>
          <cell r="G1598" t="str">
            <v>OK</v>
          </cell>
        </row>
        <row r="1599">
          <cell r="A1599" t="str">
            <v>Y1812-0032</v>
          </cell>
          <cell r="B1599">
            <v>201807</v>
          </cell>
          <cell r="C1599" t="str">
            <v>4600059455</v>
          </cell>
          <cell r="D1599" t="str">
            <v>161602C</v>
          </cell>
          <cell r="E1599">
            <v>372</v>
          </cell>
          <cell r="F1599">
            <v>43438</v>
          </cell>
          <cell r="G1599" t="str">
            <v>OK</v>
          </cell>
        </row>
        <row r="1600">
          <cell r="A1600" t="str">
            <v>Y1812-0033</v>
          </cell>
          <cell r="B1600">
            <v>201807</v>
          </cell>
          <cell r="C1600" t="str">
            <v>4600059456</v>
          </cell>
          <cell r="D1600" t="str">
            <v>161603C</v>
          </cell>
          <cell r="E1600">
            <v>444</v>
          </cell>
          <cell r="F1600">
            <v>43438</v>
          </cell>
          <cell r="G1600" t="str">
            <v>OK</v>
          </cell>
        </row>
        <row r="1601">
          <cell r="A1601" t="str">
            <v>Y1812-0037</v>
          </cell>
          <cell r="B1601">
            <v>201807</v>
          </cell>
          <cell r="C1601" t="str">
            <v>4600059460</v>
          </cell>
          <cell r="D1601" t="str">
            <v>159786C</v>
          </cell>
          <cell r="E1601">
            <v>144</v>
          </cell>
          <cell r="F1601">
            <v>43441</v>
          </cell>
          <cell r="G1601" t="str">
            <v>OK</v>
          </cell>
        </row>
        <row r="1602">
          <cell r="A1602" t="str">
            <v>Y1812-0042</v>
          </cell>
          <cell r="B1602">
            <v>201807</v>
          </cell>
          <cell r="C1602" t="str">
            <v>4600059465</v>
          </cell>
          <cell r="D1602" t="str">
            <v>563432C</v>
          </cell>
          <cell r="E1602">
            <v>120</v>
          </cell>
          <cell r="F1602">
            <v>43438</v>
          </cell>
          <cell r="G1602" t="str">
            <v>OK</v>
          </cell>
        </row>
        <row r="1603">
          <cell r="A1603" t="str">
            <v>Y1812-0043</v>
          </cell>
          <cell r="B1603">
            <v>201807</v>
          </cell>
          <cell r="C1603" t="str">
            <v>4600059466</v>
          </cell>
          <cell r="D1603" t="str">
            <v>563433C</v>
          </cell>
          <cell r="E1603">
            <v>276</v>
          </cell>
          <cell r="F1603">
            <v>43438</v>
          </cell>
          <cell r="G1603" t="str">
            <v>OK</v>
          </cell>
        </row>
        <row r="1604">
          <cell r="A1604" t="str">
            <v>Y1812-0044</v>
          </cell>
          <cell r="B1604">
            <v>201807</v>
          </cell>
          <cell r="C1604" t="str">
            <v>4600059467</v>
          </cell>
          <cell r="D1604" t="str">
            <v>563433C</v>
          </cell>
          <cell r="E1604">
            <v>120</v>
          </cell>
          <cell r="F1604">
            <v>43438</v>
          </cell>
          <cell r="G1604" t="str">
            <v>OK</v>
          </cell>
        </row>
        <row r="1605">
          <cell r="A1605" t="str">
            <v>Y1812-0045</v>
          </cell>
          <cell r="B1605">
            <v>201807</v>
          </cell>
          <cell r="C1605" t="str">
            <v>4600059468</v>
          </cell>
          <cell r="D1605" t="str">
            <v>162580C</v>
          </cell>
          <cell r="E1605">
            <v>288</v>
          </cell>
          <cell r="F1605">
            <v>43438</v>
          </cell>
          <cell r="G1605" t="str">
            <v>OK</v>
          </cell>
        </row>
        <row r="1606">
          <cell r="A1606" t="str">
            <v>Y1812-0046</v>
          </cell>
          <cell r="B1606">
            <v>201807</v>
          </cell>
          <cell r="C1606" t="str">
            <v>4600059469</v>
          </cell>
          <cell r="D1606" t="str">
            <v>163186C</v>
          </cell>
          <cell r="E1606">
            <v>444</v>
          </cell>
          <cell r="F1606">
            <v>43438</v>
          </cell>
          <cell r="G1606" t="str">
            <v>OK</v>
          </cell>
        </row>
        <row r="1607">
          <cell r="A1607" t="str">
            <v>Y1812-0047</v>
          </cell>
          <cell r="B1607">
            <v>201807</v>
          </cell>
          <cell r="C1607" t="str">
            <v>4600059470</v>
          </cell>
          <cell r="D1607" t="str">
            <v>163187C</v>
          </cell>
          <cell r="E1607">
            <v>444</v>
          </cell>
          <cell r="F1607">
            <v>43438</v>
          </cell>
          <cell r="G1607" t="str">
            <v>OK</v>
          </cell>
        </row>
        <row r="1608">
          <cell r="A1608" t="str">
            <v>Y1812-0049</v>
          </cell>
          <cell r="B1608">
            <v>201807</v>
          </cell>
          <cell r="C1608" t="str">
            <v>4600059472</v>
          </cell>
          <cell r="D1608" t="str">
            <v>163201C</v>
          </cell>
          <cell r="E1608">
            <v>264</v>
          </cell>
          <cell r="F1608">
            <v>43438</v>
          </cell>
          <cell r="G1608" t="str">
            <v>OK</v>
          </cell>
        </row>
        <row r="1609">
          <cell r="A1609" t="str">
            <v>Y1812-0050</v>
          </cell>
          <cell r="B1609">
            <v>201807</v>
          </cell>
          <cell r="C1609" t="str">
            <v>4600059473</v>
          </cell>
          <cell r="D1609" t="str">
            <v>163202C</v>
          </cell>
          <cell r="E1609">
            <v>540</v>
          </cell>
          <cell r="F1609">
            <v>43438</v>
          </cell>
          <cell r="G1609" t="str">
            <v>OK</v>
          </cell>
        </row>
        <row r="1610">
          <cell r="A1610" t="str">
            <v>Y1812-0051</v>
          </cell>
          <cell r="B1610">
            <v>201807</v>
          </cell>
          <cell r="C1610" t="str">
            <v>4600059474</v>
          </cell>
          <cell r="D1610" t="str">
            <v>163203C</v>
          </cell>
          <cell r="E1610">
            <v>600</v>
          </cell>
          <cell r="F1610">
            <v>43438</v>
          </cell>
          <cell r="G1610" t="str">
            <v>OK</v>
          </cell>
        </row>
        <row r="1611">
          <cell r="A1611" t="str">
            <v>Y1812-0052</v>
          </cell>
          <cell r="B1611">
            <v>201807</v>
          </cell>
          <cell r="C1611" t="str">
            <v>4600059475</v>
          </cell>
          <cell r="D1611" t="str">
            <v>155310C</v>
          </cell>
          <cell r="E1611">
            <v>360</v>
          </cell>
          <cell r="F1611">
            <v>43438</v>
          </cell>
          <cell r="G1611" t="str">
            <v>OK</v>
          </cell>
        </row>
        <row r="1612">
          <cell r="A1612" t="str">
            <v>Y1812-0055</v>
          </cell>
          <cell r="B1612">
            <v>201807</v>
          </cell>
          <cell r="C1612" t="str">
            <v>4600059478</v>
          </cell>
          <cell r="D1612" t="str">
            <v>162579C</v>
          </cell>
          <cell r="E1612">
            <v>264</v>
          </cell>
          <cell r="F1612">
            <v>43438</v>
          </cell>
          <cell r="G1612" t="str">
            <v>OK</v>
          </cell>
        </row>
        <row r="1613">
          <cell r="A1613" t="str">
            <v>Y1812-0056</v>
          </cell>
          <cell r="B1613">
            <v>201807</v>
          </cell>
          <cell r="C1613" t="str">
            <v>4600059479</v>
          </cell>
          <cell r="D1613" t="str">
            <v>163187C</v>
          </cell>
          <cell r="E1613">
            <v>468</v>
          </cell>
          <cell r="F1613">
            <v>43438</v>
          </cell>
          <cell r="G1613" t="str">
            <v>OK</v>
          </cell>
        </row>
        <row r="1614">
          <cell r="A1614" t="str">
            <v>Y1812-0057</v>
          </cell>
          <cell r="B1614">
            <v>201807</v>
          </cell>
          <cell r="C1614" t="str">
            <v>4600059480</v>
          </cell>
          <cell r="D1614" t="str">
            <v>163186C</v>
          </cell>
          <cell r="E1614">
            <v>432</v>
          </cell>
          <cell r="F1614">
            <v>43438</v>
          </cell>
          <cell r="G1614" t="str">
            <v>OK</v>
          </cell>
        </row>
        <row r="1615">
          <cell r="A1615" t="str">
            <v>Y1812-0065</v>
          </cell>
          <cell r="B1615">
            <v>201807</v>
          </cell>
          <cell r="C1615" t="str">
            <v>4600059488</v>
          </cell>
          <cell r="D1615" t="str">
            <v>363710C</v>
          </cell>
          <cell r="E1615">
            <v>120</v>
          </cell>
          <cell r="F1615">
            <v>43438</v>
          </cell>
          <cell r="G1615" t="str">
            <v>OK</v>
          </cell>
        </row>
        <row r="1616">
          <cell r="A1616" t="str">
            <v>Y1812-0066</v>
          </cell>
          <cell r="B1616">
            <v>201807</v>
          </cell>
          <cell r="C1616" t="str">
            <v>4600059489</v>
          </cell>
          <cell r="D1616" t="str">
            <v>363711C</v>
          </cell>
          <cell r="E1616">
            <v>144</v>
          </cell>
          <cell r="F1616">
            <v>43438</v>
          </cell>
          <cell r="G1616" t="str">
            <v>OK</v>
          </cell>
        </row>
        <row r="1617">
          <cell r="A1617" t="str">
            <v>Y1812-0067</v>
          </cell>
          <cell r="B1617">
            <v>201807</v>
          </cell>
          <cell r="C1617" t="str">
            <v>4600059490</v>
          </cell>
          <cell r="D1617" t="str">
            <v>144145C</v>
          </cell>
          <cell r="E1617">
            <v>144</v>
          </cell>
          <cell r="F1617">
            <v>43441</v>
          </cell>
          <cell r="G1617" t="str">
            <v>OK</v>
          </cell>
        </row>
        <row r="1618">
          <cell r="A1618" t="str">
            <v>Y1812-0068</v>
          </cell>
          <cell r="B1618">
            <v>201807</v>
          </cell>
          <cell r="C1618" t="str">
            <v>4600059491</v>
          </cell>
          <cell r="D1618" t="str">
            <v>155065C</v>
          </cell>
          <cell r="E1618">
            <v>504</v>
          </cell>
          <cell r="F1618">
            <v>43438</v>
          </cell>
          <cell r="G1618" t="str">
            <v>OK</v>
          </cell>
        </row>
        <row r="1619">
          <cell r="A1619" t="str">
            <v>Y1812-0069</v>
          </cell>
          <cell r="B1619">
            <v>201807</v>
          </cell>
          <cell r="C1619" t="str">
            <v>4600059492</v>
          </cell>
          <cell r="D1619" t="str">
            <v>155310C</v>
          </cell>
          <cell r="E1619">
            <v>120</v>
          </cell>
          <cell r="F1619">
            <v>43438</v>
          </cell>
          <cell r="G1619" t="str">
            <v>OK</v>
          </cell>
        </row>
        <row r="1620">
          <cell r="A1620" t="str">
            <v>Y1812-0073</v>
          </cell>
          <cell r="B1620">
            <v>201807</v>
          </cell>
          <cell r="C1620" t="str">
            <v>4600059496</v>
          </cell>
          <cell r="D1620" t="str">
            <v>159786C</v>
          </cell>
          <cell r="E1620">
            <v>240</v>
          </cell>
          <cell r="F1620">
            <v>43439</v>
          </cell>
          <cell r="G1620" t="str">
            <v>OK</v>
          </cell>
        </row>
        <row r="1621">
          <cell r="A1621" t="str">
            <v>Y1812-0074</v>
          </cell>
          <cell r="B1621">
            <v>201807</v>
          </cell>
          <cell r="C1621" t="str">
            <v>4600059497</v>
          </cell>
          <cell r="D1621" t="str">
            <v>563431C</v>
          </cell>
          <cell r="E1621">
            <v>156</v>
          </cell>
          <cell r="F1621">
            <v>43438</v>
          </cell>
          <cell r="G1621" t="str">
            <v>OK</v>
          </cell>
        </row>
        <row r="1622">
          <cell r="A1622" t="str">
            <v>Y1812-0076</v>
          </cell>
          <cell r="B1622">
            <v>201807</v>
          </cell>
          <cell r="C1622" t="str">
            <v>4600059501</v>
          </cell>
          <cell r="D1622" t="str">
            <v>163199C</v>
          </cell>
          <cell r="E1622">
            <v>480</v>
          </cell>
          <cell r="F1622">
            <v>43438</v>
          </cell>
          <cell r="G1622" t="str">
            <v>OK</v>
          </cell>
        </row>
        <row r="1623">
          <cell r="A1623" t="str">
            <v>Y1812-0077</v>
          </cell>
          <cell r="B1623">
            <v>201807</v>
          </cell>
          <cell r="C1623" t="str">
            <v>4600059502</v>
          </cell>
          <cell r="D1623" t="str">
            <v>563432C</v>
          </cell>
          <cell r="E1623">
            <v>264</v>
          </cell>
          <cell r="F1623">
            <v>43438</v>
          </cell>
          <cell r="G1623" t="str">
            <v>OK</v>
          </cell>
        </row>
        <row r="1624">
          <cell r="A1624" t="str">
            <v>Y1812-0078</v>
          </cell>
          <cell r="B1624">
            <v>201807</v>
          </cell>
          <cell r="C1624" t="str">
            <v>4600059503</v>
          </cell>
          <cell r="D1624" t="str">
            <v>161602C</v>
          </cell>
          <cell r="E1624">
            <v>444</v>
          </cell>
          <cell r="F1624">
            <v>43438</v>
          </cell>
          <cell r="G1624" t="str">
            <v>OK</v>
          </cell>
        </row>
        <row r="1625">
          <cell r="A1625" t="str">
            <v>Y1812-0079</v>
          </cell>
          <cell r="B1625">
            <v>201807</v>
          </cell>
          <cell r="C1625" t="str">
            <v>4600059504</v>
          </cell>
          <cell r="D1625" t="str">
            <v>161603C</v>
          </cell>
          <cell r="E1625">
            <v>396</v>
          </cell>
          <cell r="F1625">
            <v>43438</v>
          </cell>
          <cell r="G1625" t="str">
            <v>OK</v>
          </cell>
        </row>
        <row r="1626">
          <cell r="A1626" t="str">
            <v>Y1812-0080</v>
          </cell>
          <cell r="B1626">
            <v>201807</v>
          </cell>
          <cell r="C1626" t="str">
            <v>4600059505</v>
          </cell>
          <cell r="D1626" t="str">
            <v>161603C</v>
          </cell>
          <cell r="E1626">
            <v>120</v>
          </cell>
          <cell r="F1626">
            <v>43438</v>
          </cell>
          <cell r="G1626" t="str">
            <v>OK</v>
          </cell>
        </row>
        <row r="1627">
          <cell r="A1627" t="str">
            <v>Y1812-0081</v>
          </cell>
          <cell r="B1627">
            <v>201807</v>
          </cell>
          <cell r="C1627" t="str">
            <v>4600059506</v>
          </cell>
          <cell r="D1627" t="str">
            <v>159792C</v>
          </cell>
          <cell r="E1627">
            <v>132</v>
          </cell>
          <cell r="F1627">
            <v>43441</v>
          </cell>
          <cell r="G1627" t="str">
            <v>OK</v>
          </cell>
        </row>
        <row r="1628">
          <cell r="A1628" t="str">
            <v>Y1812-0082</v>
          </cell>
          <cell r="B1628">
            <v>201807</v>
          </cell>
          <cell r="C1628" t="str">
            <v>4600059507</v>
          </cell>
          <cell r="D1628" t="str">
            <v>163204C</v>
          </cell>
          <cell r="E1628">
            <v>228</v>
          </cell>
          <cell r="F1628">
            <v>43438</v>
          </cell>
          <cell r="G1628" t="str">
            <v>OK</v>
          </cell>
        </row>
        <row r="1629">
          <cell r="A1629" t="str">
            <v>YL1901-0017A</v>
          </cell>
          <cell r="B1629">
            <v>201812</v>
          </cell>
          <cell r="C1629" t="str">
            <v>0100181870</v>
          </cell>
          <cell r="D1629" t="str">
            <v>M9160</v>
          </cell>
          <cell r="E1629">
            <v>19116</v>
          </cell>
          <cell r="F1629">
            <v>43475</v>
          </cell>
          <cell r="G1629" t="str">
            <v>12/28</v>
          </cell>
        </row>
        <row r="1630">
          <cell r="A1630" t="str">
            <v>YL1901-0018B</v>
          </cell>
          <cell r="B1630">
            <v>201812</v>
          </cell>
          <cell r="C1630" t="str">
            <v>0100181871</v>
          </cell>
          <cell r="D1630" t="str">
            <v>M9166</v>
          </cell>
          <cell r="E1630">
            <v>10152</v>
          </cell>
          <cell r="F1630">
            <v>43475</v>
          </cell>
          <cell r="G1630" t="str">
            <v>12/28</v>
          </cell>
        </row>
        <row r="1631">
          <cell r="A1631" t="str">
            <v>YL1901-0014</v>
          </cell>
          <cell r="B1631">
            <v>201812</v>
          </cell>
          <cell r="C1631" t="str">
            <v>0100181872</v>
          </cell>
          <cell r="D1631" t="str">
            <v>3J235</v>
          </cell>
          <cell r="E1631">
            <v>10200</v>
          </cell>
          <cell r="F1631">
            <v>43475</v>
          </cell>
          <cell r="G1631" t="str">
            <v>12/28</v>
          </cell>
        </row>
        <row r="1632">
          <cell r="A1632" t="str">
            <v>YL1901-0015A</v>
          </cell>
          <cell r="B1632">
            <v>201812</v>
          </cell>
          <cell r="C1632" t="str">
            <v>0100181873</v>
          </cell>
          <cell r="D1632" t="str">
            <v>7J231</v>
          </cell>
          <cell r="E1632">
            <v>1800</v>
          </cell>
          <cell r="F1632">
            <v>43475</v>
          </cell>
          <cell r="G1632" t="str">
            <v>12/28</v>
          </cell>
        </row>
        <row r="1633">
          <cell r="A1633" t="str">
            <v>YL1901-0016</v>
          </cell>
          <cell r="B1633">
            <v>201812</v>
          </cell>
          <cell r="C1633" t="str">
            <v>0100181874</v>
          </cell>
          <cell r="D1633" t="str">
            <v>7J235</v>
          </cell>
          <cell r="E1633">
            <v>5004</v>
          </cell>
          <cell r="F1633">
            <v>43475</v>
          </cell>
          <cell r="G1633" t="str">
            <v>12/28</v>
          </cell>
        </row>
        <row r="1634">
          <cell r="A1634" t="str">
            <v>YL1901-0018A</v>
          </cell>
          <cell r="B1634">
            <v>201812</v>
          </cell>
          <cell r="C1634" t="str">
            <v>0100181875</v>
          </cell>
          <cell r="D1634" t="str">
            <v>M9166</v>
          </cell>
          <cell r="E1634">
            <v>9984</v>
          </cell>
          <cell r="F1634">
            <v>43475</v>
          </cell>
          <cell r="G1634" t="str">
            <v>12/28</v>
          </cell>
        </row>
        <row r="1635">
          <cell r="A1635" t="str">
            <v>Y1812-0094</v>
          </cell>
          <cell r="B1635">
            <v>201807</v>
          </cell>
          <cell r="C1635" t="str">
            <v>4600059634</v>
          </cell>
          <cell r="D1635" t="str">
            <v>163203C</v>
          </cell>
          <cell r="E1635">
            <v>504</v>
          </cell>
          <cell r="F1635">
            <v>43518</v>
          </cell>
          <cell r="G1635" t="str">
            <v>OK</v>
          </cell>
        </row>
        <row r="1636">
          <cell r="A1636" t="str">
            <v>Y1901-0542</v>
          </cell>
          <cell r="B1636">
            <v>201810</v>
          </cell>
          <cell r="C1636" t="str">
            <v>4600064618</v>
          </cell>
          <cell r="D1636" t="str">
            <v>161603C</v>
          </cell>
          <cell r="E1636">
            <v>2400</v>
          </cell>
          <cell r="F1636">
            <v>43518</v>
          </cell>
          <cell r="G1636" t="str">
            <v>OK</v>
          </cell>
        </row>
        <row r="1637">
          <cell r="A1637" t="str">
            <v>Y1901-0543</v>
          </cell>
          <cell r="B1637">
            <v>201810</v>
          </cell>
          <cell r="C1637" t="str">
            <v>4600064619</v>
          </cell>
          <cell r="D1637" t="str">
            <v>161599C</v>
          </cell>
          <cell r="E1637">
            <v>1224</v>
          </cell>
          <cell r="F1637">
            <v>43518</v>
          </cell>
          <cell r="G1637" t="str">
            <v>OK</v>
          </cell>
        </row>
        <row r="1638">
          <cell r="A1638" t="str">
            <v>YL1902-0001</v>
          </cell>
          <cell r="B1638">
            <v>201812</v>
          </cell>
          <cell r="C1638" t="str">
            <v>0100181901</v>
          </cell>
          <cell r="D1638" t="str">
            <v>1J793C</v>
          </cell>
          <cell r="E1638">
            <v>4308</v>
          </cell>
          <cell r="F1638">
            <v>43508</v>
          </cell>
          <cell r="G1638" t="str">
            <v>12/28</v>
          </cell>
        </row>
        <row r="1639">
          <cell r="A1639" t="str">
            <v>YL1902-0002</v>
          </cell>
          <cell r="B1639">
            <v>201812</v>
          </cell>
          <cell r="C1639" t="str">
            <v>0100181902</v>
          </cell>
          <cell r="D1639" t="str">
            <v>1J794C</v>
          </cell>
          <cell r="E1639">
            <v>1812</v>
          </cell>
          <cell r="F1639">
            <v>43508</v>
          </cell>
          <cell r="G1639" t="str">
            <v>12/28</v>
          </cell>
        </row>
        <row r="1640">
          <cell r="A1640" t="str">
            <v>YL-1902-0003</v>
          </cell>
          <cell r="B1640">
            <v>201812</v>
          </cell>
          <cell r="C1640" t="str">
            <v>0100181903</v>
          </cell>
          <cell r="D1640" t="str">
            <v>M3310C</v>
          </cell>
          <cell r="E1640">
            <v>12156</v>
          </cell>
          <cell r="F1640">
            <v>43508</v>
          </cell>
          <cell r="G1640" t="str">
            <v>12/28</v>
          </cell>
        </row>
        <row r="1641">
          <cell r="A1641" t="str">
            <v>YL1902-0004</v>
          </cell>
          <cell r="B1641">
            <v>201812</v>
          </cell>
          <cell r="C1641" t="str">
            <v>0100181904</v>
          </cell>
          <cell r="D1641" t="str">
            <v>M5039C</v>
          </cell>
          <cell r="E1641">
            <v>14832</v>
          </cell>
          <cell r="F1641">
            <v>43508</v>
          </cell>
          <cell r="G1641" t="str">
            <v>12/28</v>
          </cell>
        </row>
        <row r="1642">
          <cell r="A1642" t="str">
            <v>YL1902-0005</v>
          </cell>
          <cell r="B1642">
            <v>201812</v>
          </cell>
          <cell r="C1642" t="str">
            <v>0100181905</v>
          </cell>
          <cell r="D1642" t="str">
            <v>M7650C</v>
          </cell>
          <cell r="E1642">
            <v>16728</v>
          </cell>
          <cell r="F1642">
            <v>43508</v>
          </cell>
          <cell r="G1642" t="str">
            <v>12/28</v>
          </cell>
        </row>
        <row r="1643">
          <cell r="A1643" t="str">
            <v>YL1902-0006A</v>
          </cell>
          <cell r="B1643">
            <v>201812</v>
          </cell>
          <cell r="C1643" t="str">
            <v>0100181906</v>
          </cell>
          <cell r="D1643" t="str">
            <v>M7652C</v>
          </cell>
          <cell r="E1643">
            <v>17148</v>
          </cell>
          <cell r="F1643">
            <v>43508</v>
          </cell>
          <cell r="G1643" t="str">
            <v>12/28</v>
          </cell>
        </row>
        <row r="1644">
          <cell r="A1644" t="str">
            <v>YL1902-0007A</v>
          </cell>
          <cell r="B1644">
            <v>201812</v>
          </cell>
          <cell r="C1644" t="str">
            <v>0100181907</v>
          </cell>
          <cell r="D1644" t="str">
            <v>M9160C</v>
          </cell>
          <cell r="E1644">
            <v>19584</v>
          </cell>
          <cell r="F1644">
            <v>43508</v>
          </cell>
          <cell r="G1644" t="str">
            <v>12/28</v>
          </cell>
        </row>
        <row r="1645">
          <cell r="A1645" t="str">
            <v>YL1902-0008A</v>
          </cell>
          <cell r="B1645">
            <v>201812</v>
          </cell>
          <cell r="C1645" t="str">
            <v>0100181908</v>
          </cell>
          <cell r="D1645" t="str">
            <v>M9166C</v>
          </cell>
          <cell r="E1645">
            <v>15432</v>
          </cell>
          <cell r="F1645">
            <v>43508</v>
          </cell>
          <cell r="G1645" t="str">
            <v>12/28</v>
          </cell>
        </row>
        <row r="1646">
          <cell r="A1646" t="str">
            <v>YL1902-0009</v>
          </cell>
          <cell r="B1646">
            <v>201812</v>
          </cell>
          <cell r="C1646" t="str">
            <v>0100181909</v>
          </cell>
          <cell r="D1646" t="str">
            <v>M9622C</v>
          </cell>
          <cell r="E1646">
            <v>6684</v>
          </cell>
          <cell r="F1646">
            <v>43508</v>
          </cell>
          <cell r="G1646" t="str">
            <v>12/28</v>
          </cell>
        </row>
        <row r="1647">
          <cell r="A1647" t="str">
            <v>YL1902-0010</v>
          </cell>
          <cell r="B1647">
            <v>201812</v>
          </cell>
          <cell r="C1647" t="str">
            <v>0100181910</v>
          </cell>
          <cell r="D1647" t="str">
            <v>M9697C</v>
          </cell>
          <cell r="E1647">
            <v>18564</v>
          </cell>
          <cell r="F1647">
            <v>43508</v>
          </cell>
          <cell r="G1647" t="str">
            <v>12/28</v>
          </cell>
        </row>
        <row r="1648">
          <cell r="A1648" t="str">
            <v>YL1902-0006B</v>
          </cell>
          <cell r="B1648">
            <v>201812</v>
          </cell>
          <cell r="C1648" t="str">
            <v>0100181911</v>
          </cell>
          <cell r="D1648" t="str">
            <v>M7652C</v>
          </cell>
          <cell r="E1648">
            <v>8904</v>
          </cell>
          <cell r="F1648">
            <v>43508</v>
          </cell>
          <cell r="G1648" t="str">
            <v>12/28</v>
          </cell>
        </row>
        <row r="1649">
          <cell r="A1649" t="str">
            <v>YL1902-0006C</v>
          </cell>
          <cell r="B1649">
            <v>201812</v>
          </cell>
          <cell r="C1649" t="str">
            <v>0100181912</v>
          </cell>
          <cell r="D1649" t="str">
            <v>M7652C</v>
          </cell>
          <cell r="E1649">
            <v>16452</v>
          </cell>
          <cell r="F1649">
            <v>43508</v>
          </cell>
          <cell r="G1649" t="str">
            <v>12/28</v>
          </cell>
        </row>
        <row r="1650">
          <cell r="A1650" t="str">
            <v>YL1902-0006D</v>
          </cell>
          <cell r="B1650">
            <v>201812</v>
          </cell>
          <cell r="C1650" t="str">
            <v>0100181913</v>
          </cell>
          <cell r="D1650" t="str">
            <v>M7652C</v>
          </cell>
          <cell r="E1650">
            <v>13560</v>
          </cell>
          <cell r="F1650">
            <v>43508</v>
          </cell>
          <cell r="G1650" t="str">
            <v>12/28</v>
          </cell>
        </row>
        <row r="1651">
          <cell r="A1651" t="str">
            <v>YL1902-0006E</v>
          </cell>
          <cell r="B1651">
            <v>201812</v>
          </cell>
          <cell r="C1651" t="str">
            <v>0100181914</v>
          </cell>
          <cell r="D1651" t="str">
            <v>M7652C</v>
          </cell>
          <cell r="E1651">
            <v>13560</v>
          </cell>
          <cell r="F1651">
            <v>43508</v>
          </cell>
          <cell r="G1651" t="str">
            <v>12/28</v>
          </cell>
        </row>
        <row r="1652">
          <cell r="A1652" t="str">
            <v>YL1902-0006F</v>
          </cell>
          <cell r="B1652">
            <v>201812</v>
          </cell>
          <cell r="C1652" t="str">
            <v>0100181915</v>
          </cell>
          <cell r="D1652" t="str">
            <v>M7652C</v>
          </cell>
          <cell r="E1652">
            <v>10116</v>
          </cell>
          <cell r="F1652">
            <v>43508</v>
          </cell>
          <cell r="G1652" t="str">
            <v>12/28</v>
          </cell>
        </row>
        <row r="1653">
          <cell r="A1653" t="str">
            <v>YL1902-0006G</v>
          </cell>
          <cell r="B1653">
            <v>201812</v>
          </cell>
          <cell r="C1653" t="str">
            <v>0100181916</v>
          </cell>
          <cell r="D1653" t="str">
            <v>M7652C</v>
          </cell>
          <cell r="E1653">
            <v>19710</v>
          </cell>
          <cell r="F1653">
            <v>43508</v>
          </cell>
          <cell r="G1653" t="str">
            <v>12/28</v>
          </cell>
        </row>
        <row r="1654">
          <cell r="A1654" t="str">
            <v>YL1902-0006H</v>
          </cell>
          <cell r="B1654">
            <v>201812</v>
          </cell>
          <cell r="C1654" t="str">
            <v>0100181917</v>
          </cell>
          <cell r="D1654" t="str">
            <v>M7652C</v>
          </cell>
          <cell r="E1654">
            <v>19710</v>
          </cell>
          <cell r="F1654">
            <v>43508</v>
          </cell>
          <cell r="G1654" t="str">
            <v>12/28</v>
          </cell>
        </row>
        <row r="1655">
          <cell r="A1655" t="str">
            <v>YL1902-0006I</v>
          </cell>
          <cell r="B1655">
            <v>201812</v>
          </cell>
          <cell r="C1655" t="str">
            <v>0100181918</v>
          </cell>
          <cell r="D1655" t="str">
            <v>M7652C</v>
          </cell>
          <cell r="E1655">
            <v>16260</v>
          </cell>
          <cell r="F1655">
            <v>43508</v>
          </cell>
          <cell r="G1655" t="str">
            <v>12/28</v>
          </cell>
        </row>
        <row r="1656">
          <cell r="A1656" t="str">
            <v>YL1902-0007B</v>
          </cell>
          <cell r="B1656">
            <v>201812</v>
          </cell>
          <cell r="C1656" t="str">
            <v>0100181919</v>
          </cell>
          <cell r="D1656" t="str">
            <v>M9160C</v>
          </cell>
          <cell r="E1656">
            <v>14100</v>
          </cell>
          <cell r="F1656">
            <v>43508</v>
          </cell>
          <cell r="G1656" t="str">
            <v>12/28</v>
          </cell>
        </row>
        <row r="1657">
          <cell r="A1657" t="str">
            <v>YL1902-0008B</v>
          </cell>
          <cell r="B1657">
            <v>201812</v>
          </cell>
          <cell r="C1657" t="str">
            <v>0100181920</v>
          </cell>
          <cell r="D1657" t="str">
            <v>M9166C</v>
          </cell>
          <cell r="E1657">
            <v>19404</v>
          </cell>
          <cell r="F1657">
            <v>43508</v>
          </cell>
          <cell r="G1657" t="str">
            <v>12/28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6~2018"/>
      <sheetName val="2018-11-16"/>
      <sheetName val="Sheet1"/>
    </sheetNames>
    <sheetDataSet>
      <sheetData sheetId="0"/>
      <sheetData sheetId="1">
        <row r="1">
          <cell r="A1" t="str">
            <v>ARTICLE</v>
          </cell>
          <cell r="B1" t="str">
            <v>DaoMH
LY</v>
          </cell>
          <cell r="C1" t="str">
            <v>XieMing</v>
          </cell>
          <cell r="D1" t="str">
            <v>材料</v>
          </cell>
        </row>
        <row r="2">
          <cell r="A2">
            <v>81229</v>
          </cell>
          <cell r="B2" t="str">
            <v>LY-66001</v>
          </cell>
          <cell r="C2" t="str">
            <v>FIRST STAR HI</v>
          </cell>
          <cell r="D2" t="str">
            <v>BB鞋</v>
          </cell>
        </row>
        <row r="3">
          <cell r="A3">
            <v>86421</v>
          </cell>
          <cell r="B3" t="str">
            <v>LY-66001</v>
          </cell>
          <cell r="C3" t="str">
            <v>FIRST STAR HI</v>
          </cell>
          <cell r="D3" t="str">
            <v>BB鞋</v>
          </cell>
        </row>
        <row r="4">
          <cell r="A4">
            <v>88865</v>
          </cell>
          <cell r="B4" t="str">
            <v>LY-66001</v>
          </cell>
          <cell r="C4" t="str">
            <v>FIRST STAR HI</v>
          </cell>
          <cell r="D4" t="str">
            <v>BB鞋</v>
          </cell>
        </row>
        <row r="5">
          <cell r="A5">
            <v>88871</v>
          </cell>
          <cell r="B5" t="str">
            <v>LY-66001</v>
          </cell>
          <cell r="C5" t="str">
            <v>FIRST STAR HI</v>
          </cell>
          <cell r="D5" t="str">
            <v>BB鞋</v>
          </cell>
        </row>
        <row r="6">
          <cell r="A6">
            <v>88875</v>
          </cell>
          <cell r="B6" t="str">
            <v>LY-66001</v>
          </cell>
          <cell r="C6" t="str">
            <v>FIRST STAR HI</v>
          </cell>
          <cell r="D6" t="str">
            <v>BB鞋</v>
          </cell>
        </row>
        <row r="7">
          <cell r="A7">
            <v>88877</v>
          </cell>
          <cell r="B7" t="str">
            <v>LY-66001</v>
          </cell>
          <cell r="C7" t="str">
            <v>FIRST STAR</v>
          </cell>
          <cell r="D7" t="str">
            <v>BB鞋</v>
          </cell>
        </row>
        <row r="8">
          <cell r="A8">
            <v>121176</v>
          </cell>
          <cell r="B8" t="str">
            <v>LY-CT AS OX CR-XXX</v>
          </cell>
          <cell r="C8" t="str">
            <v>CT AS SPECIALTY OX</v>
          </cell>
          <cell r="D8" t="str">
            <v>布</v>
          </cell>
        </row>
        <row r="9">
          <cell r="A9">
            <v>121177</v>
          </cell>
          <cell r="B9" t="str">
            <v>LY-CT AS OX CR-XXX</v>
          </cell>
          <cell r="C9" t="str">
            <v>CT SPEC OX</v>
          </cell>
          <cell r="D9" t="str">
            <v>布</v>
          </cell>
        </row>
        <row r="10">
          <cell r="A10">
            <v>121178</v>
          </cell>
          <cell r="B10" t="str">
            <v>LY-CT AS OX CR-XXX</v>
          </cell>
          <cell r="C10" t="str">
            <v>CT SPEC OX</v>
          </cell>
          <cell r="D10" t="str">
            <v>布</v>
          </cell>
        </row>
        <row r="11">
          <cell r="A11">
            <v>121184</v>
          </cell>
          <cell r="B11" t="str">
            <v>LY-CT AS HI CR-XXX</v>
          </cell>
          <cell r="C11" t="str">
            <v>CT SPEC HI</v>
          </cell>
          <cell r="D11" t="str">
            <v>布</v>
          </cell>
        </row>
        <row r="12">
          <cell r="A12">
            <v>121185</v>
          </cell>
          <cell r="B12" t="str">
            <v>LY-CT AS HI CR-XXX</v>
          </cell>
          <cell r="C12" t="str">
            <v>CT SPEC HI</v>
          </cell>
          <cell r="D12" t="str">
            <v>布</v>
          </cell>
        </row>
        <row r="13">
          <cell r="A13">
            <v>315467</v>
          </cell>
          <cell r="B13" t="str">
            <v>LY-KD686A-1</v>
          </cell>
          <cell r="C13" t="str">
            <v>STAR PLYR 3V OX</v>
          </cell>
          <cell r="D13" t="str">
            <v>布+星星月亮</v>
          </cell>
        </row>
        <row r="14">
          <cell r="A14">
            <v>315660</v>
          </cell>
          <cell r="B14" t="str">
            <v>LY-KD686A-1</v>
          </cell>
          <cell r="C14" t="str">
            <v>STAR PLYR 3V OX</v>
          </cell>
          <cell r="D14" t="str">
            <v>布+星星月亮</v>
          </cell>
        </row>
        <row r="15">
          <cell r="A15">
            <v>702677</v>
          </cell>
          <cell r="B15" t="str">
            <v>LY-497B-17</v>
          </cell>
          <cell r="C15" t="str">
            <v>CT ZIPPER HI</v>
          </cell>
          <cell r="D15" t="str">
            <v>布</v>
          </cell>
        </row>
        <row r="16">
          <cell r="A16">
            <v>704656</v>
          </cell>
          <cell r="B16" t="str">
            <v>LY-497B-17</v>
          </cell>
          <cell r="C16" t="str">
            <v>CT ZIPPER HI</v>
          </cell>
          <cell r="D16" t="str">
            <v>布</v>
          </cell>
        </row>
        <row r="17">
          <cell r="A17">
            <v>715467</v>
          </cell>
          <cell r="B17" t="str">
            <v>LY-KD251B-1</v>
          </cell>
          <cell r="C17" t="str">
            <v>STAR PLYR 3V OX</v>
          </cell>
          <cell r="D17" t="str">
            <v>布</v>
          </cell>
        </row>
        <row r="18">
          <cell r="A18">
            <v>715660</v>
          </cell>
          <cell r="B18" t="str">
            <v>LY-KD251B-1</v>
          </cell>
          <cell r="C18" t="str">
            <v>STAR PLYR 3V OX</v>
          </cell>
          <cell r="D18" t="str">
            <v>布</v>
          </cell>
        </row>
        <row r="19">
          <cell r="A19" t="str">
            <v>103053F/A03053F</v>
          </cell>
          <cell r="B19" t="str">
            <v>LY-CT AS OX CR-XXX-13</v>
          </cell>
          <cell r="C19" t="str">
            <v>CT DBL TNG OX</v>
          </cell>
          <cell r="D19" t="str">
            <v>布</v>
          </cell>
        </row>
        <row r="20">
          <cell r="A20" t="str">
            <v>107469F</v>
          </cell>
          <cell r="B20" t="str">
            <v>LY-CT AS OX CR-XXX-13</v>
          </cell>
          <cell r="C20" t="str">
            <v>CT DBL TNG FOIL OX</v>
          </cell>
          <cell r="D20" t="str">
            <v>布</v>
          </cell>
        </row>
        <row r="21">
          <cell r="A21" t="str">
            <v>121186/A21186</v>
          </cell>
          <cell r="B21" t="str">
            <v>LY-CT AS HI CR-XXX</v>
          </cell>
          <cell r="C21" t="str">
            <v>CT SPEC HI</v>
          </cell>
          <cell r="D21" t="str">
            <v>布</v>
          </cell>
        </row>
        <row r="22">
          <cell r="A22" t="str">
            <v>126196C</v>
          </cell>
          <cell r="B22" t="str">
            <v>LY-CT AS OX CR-XXX</v>
          </cell>
          <cell r="C22" t="str">
            <v>CT AS SPEC OX</v>
          </cell>
          <cell r="D22" t="str">
            <v>布</v>
          </cell>
        </row>
        <row r="23">
          <cell r="A23" t="str">
            <v>127440C</v>
          </cell>
          <cell r="B23" t="str">
            <v>LY-CT AS HI CR-XXX</v>
          </cell>
          <cell r="C23" t="str">
            <v>CT HI</v>
          </cell>
          <cell r="D23" t="str">
            <v>布</v>
          </cell>
        </row>
        <row r="24">
          <cell r="A24" t="str">
            <v>127441C</v>
          </cell>
          <cell r="B24" t="str">
            <v>LY-CT AS HI CR-XXX</v>
          </cell>
          <cell r="C24" t="str">
            <v>CT HI</v>
          </cell>
          <cell r="D24" t="str">
            <v>布</v>
          </cell>
        </row>
        <row r="25">
          <cell r="A25" t="str">
            <v>127442C</v>
          </cell>
          <cell r="B25" t="str">
            <v>LY-CT AS OX CR-XXX</v>
          </cell>
          <cell r="C25" t="str">
            <v>CT OX</v>
          </cell>
          <cell r="D25" t="str">
            <v>布</v>
          </cell>
        </row>
        <row r="26">
          <cell r="A26" t="str">
            <v>135251V</v>
          </cell>
          <cell r="B26" t="str">
            <v>LY-CT AS HI CR-XXX-1D-3B</v>
          </cell>
          <cell r="C26" t="str">
            <v>CT AS HI</v>
          </cell>
          <cell r="D26" t="str">
            <v>皮</v>
          </cell>
        </row>
        <row r="27">
          <cell r="A27" t="str">
            <v>135253V</v>
          </cell>
          <cell r="B27" t="str">
            <v>LY-CT AS OX CR-XXX-1F-4B</v>
          </cell>
          <cell r="C27" t="str">
            <v>CT AS OX</v>
          </cell>
          <cell r="D27" t="str">
            <v>皮</v>
          </cell>
        </row>
        <row r="28">
          <cell r="A28" t="str">
            <v>136750C</v>
          </cell>
          <cell r="B28" t="str">
            <v>LY-SK031U-B-1</v>
          </cell>
          <cell r="C28" t="str">
            <v>GATES MID</v>
          </cell>
          <cell r="D28" t="str">
            <v>皮+星星月亮</v>
          </cell>
        </row>
        <row r="29">
          <cell r="A29" t="str">
            <v>136991C</v>
          </cell>
          <cell r="B29" t="str">
            <v>LY-SA224-B</v>
          </cell>
          <cell r="C29" t="str">
            <v>STAR PLAYER EV OX</v>
          </cell>
          <cell r="D29" t="str">
            <v>皮+星星月亮</v>
          </cell>
        </row>
        <row r="30">
          <cell r="A30" t="str">
            <v>136992C</v>
          </cell>
          <cell r="B30" t="str">
            <v>LY-SA224-B</v>
          </cell>
          <cell r="C30" t="str">
            <v>STAR PLAYER EV OX</v>
          </cell>
          <cell r="D30" t="str">
            <v>皮+星星月亮</v>
          </cell>
        </row>
        <row r="31">
          <cell r="A31" t="str">
            <v>139638F</v>
          </cell>
          <cell r="B31" t="str">
            <v>LY-CT239U-1T</v>
          </cell>
          <cell r="C31" t="str">
            <v>CT PC2 MID</v>
          </cell>
          <cell r="D31" t="str">
            <v>布</v>
          </cell>
        </row>
        <row r="32">
          <cell r="A32" t="str">
            <v>139639F</v>
          </cell>
          <cell r="B32" t="str">
            <v>LY-CT239U-1T</v>
          </cell>
          <cell r="C32" t="str">
            <v>CT PC2 MID</v>
          </cell>
          <cell r="D32" t="str">
            <v>布</v>
          </cell>
        </row>
        <row r="33">
          <cell r="A33" t="str">
            <v>143021C</v>
          </cell>
          <cell r="B33" t="str">
            <v>LY-SA224-A-1</v>
          </cell>
          <cell r="C33" t="str">
            <v>STAR PLAYER OX</v>
          </cell>
          <cell r="D33" t="str">
            <v>布+星星月亮</v>
          </cell>
        </row>
        <row r="34">
          <cell r="A34" t="str">
            <v>143022C</v>
          </cell>
          <cell r="B34" t="str">
            <v>LY-SA224-A-1</v>
          </cell>
          <cell r="C34" t="str">
            <v>STAR PLAYER OX</v>
          </cell>
          <cell r="D34" t="str">
            <v>布+星星月亮</v>
          </cell>
        </row>
        <row r="35">
          <cell r="A35" t="str">
            <v>143165C</v>
          </cell>
          <cell r="B35" t="str">
            <v>LY-SA224-A-2</v>
          </cell>
          <cell r="C35" t="str">
            <v>STAR PLAYER OX</v>
          </cell>
          <cell r="D35" t="str">
            <v>布+星星月亮</v>
          </cell>
        </row>
        <row r="36">
          <cell r="A36" t="str">
            <v>144128C</v>
          </cell>
          <cell r="B36" t="str">
            <v>LY-SA224-B</v>
          </cell>
          <cell r="C36" t="str">
            <v>STAR PLYR EV OX</v>
          </cell>
          <cell r="D36" t="str">
            <v>皮+星星月亮</v>
          </cell>
        </row>
        <row r="37">
          <cell r="A37" t="str">
            <v>144144C</v>
          </cell>
          <cell r="B37" t="str">
            <v>LY-SA224-A</v>
          </cell>
          <cell r="C37" t="str">
            <v>STAR PLAYER OX</v>
          </cell>
          <cell r="D37" t="str">
            <v>布+星星月亮</v>
          </cell>
        </row>
        <row r="38">
          <cell r="A38" t="str">
            <v>144145C</v>
          </cell>
          <cell r="B38" t="str">
            <v>LY-SA224-A</v>
          </cell>
          <cell r="C38" t="str">
            <v>STAR PLAYER OX</v>
          </cell>
          <cell r="D38" t="str">
            <v>布+星星月亮</v>
          </cell>
        </row>
        <row r="39">
          <cell r="A39" t="str">
            <v>144146C</v>
          </cell>
          <cell r="B39" t="str">
            <v>LY-SA224-A</v>
          </cell>
          <cell r="C39" t="str">
            <v>STAR PLYR OX</v>
          </cell>
          <cell r="D39" t="str">
            <v>布+星星月亮</v>
          </cell>
        </row>
        <row r="40">
          <cell r="A40" t="str">
            <v>144147C</v>
          </cell>
          <cell r="B40" t="str">
            <v>LY-SA224-A</v>
          </cell>
          <cell r="C40" t="str">
            <v>STAR PLYR OX</v>
          </cell>
          <cell r="D40" t="str">
            <v>布+星星月亮</v>
          </cell>
        </row>
        <row r="41">
          <cell r="A41" t="str">
            <v>144148C</v>
          </cell>
          <cell r="B41" t="str">
            <v>LY-SA224-A</v>
          </cell>
          <cell r="C41" t="str">
            <v>STAR PLAYER OX</v>
          </cell>
          <cell r="D41" t="str">
            <v>布+星星月亮</v>
          </cell>
        </row>
        <row r="42">
          <cell r="A42" t="str">
            <v>144150C</v>
          </cell>
          <cell r="B42" t="str">
            <v>LY-SA224-A</v>
          </cell>
          <cell r="C42" t="str">
            <v>STAR PLAYER OX</v>
          </cell>
          <cell r="D42" t="str">
            <v>布+星星月亮</v>
          </cell>
        </row>
        <row r="43">
          <cell r="A43" t="str">
            <v>144151C</v>
          </cell>
          <cell r="B43" t="str">
            <v>LY-SA224-A</v>
          </cell>
          <cell r="C43" t="str">
            <v>STAR PLAYER OX</v>
          </cell>
          <cell r="D43" t="str">
            <v>布+星星月亮</v>
          </cell>
        </row>
        <row r="44">
          <cell r="A44" t="str">
            <v>144152C</v>
          </cell>
          <cell r="B44" t="str">
            <v>LY-SA224-A</v>
          </cell>
          <cell r="C44" t="str">
            <v>STAR PLYR OX</v>
          </cell>
          <cell r="D44" t="str">
            <v>布+星星月亮</v>
          </cell>
        </row>
        <row r="45">
          <cell r="A45" t="str">
            <v>144272C</v>
          </cell>
          <cell r="B45" t="str">
            <v>LY-CT AS OX CR-XXX-2A</v>
          </cell>
          <cell r="C45" t="str">
            <v>CT OX</v>
          </cell>
          <cell r="D45" t="str">
            <v>布</v>
          </cell>
        </row>
        <row r="46">
          <cell r="A46" t="str">
            <v>144662C</v>
          </cell>
          <cell r="B46" t="str">
            <v>LY-CT574U-3A</v>
          </cell>
          <cell r="C46" t="str">
            <v>CT GUARD HI</v>
          </cell>
          <cell r="D46" t="str">
            <v>布</v>
          </cell>
        </row>
        <row r="47">
          <cell r="A47" t="str">
            <v>144785C</v>
          </cell>
          <cell r="B47" t="str">
            <v>LY-CT AS OX CR-XXX</v>
          </cell>
          <cell r="C47" t="str">
            <v>CT OX</v>
          </cell>
          <cell r="D47" t="str">
            <v>布</v>
          </cell>
        </row>
        <row r="48">
          <cell r="A48" t="str">
            <v>145331C</v>
          </cell>
          <cell r="B48" t="str">
            <v>LY-SA224-B</v>
          </cell>
          <cell r="C48" t="str">
            <v>STAR PLAYER EV OX</v>
          </cell>
          <cell r="D48" t="str">
            <v>皮+星星月亮</v>
          </cell>
        </row>
        <row r="49">
          <cell r="A49" t="str">
            <v>145342C</v>
          </cell>
          <cell r="B49" t="str">
            <v>LY-CT574U-3A</v>
          </cell>
          <cell r="C49" t="str">
            <v>CT GUARD HI</v>
          </cell>
          <cell r="D49" t="str">
            <v>布</v>
          </cell>
        </row>
        <row r="50">
          <cell r="A50" t="str">
            <v>146465C</v>
          </cell>
          <cell r="B50" t="str">
            <v>LY-CT664A</v>
          </cell>
          <cell r="C50" t="str">
            <v>CT FURIOUS MID</v>
          </cell>
          <cell r="D50" t="str">
            <v>布</v>
          </cell>
        </row>
        <row r="51">
          <cell r="A51" t="str">
            <v>146794C</v>
          </cell>
          <cell r="B51" t="str">
            <v>LY-CT664A</v>
          </cell>
          <cell r="C51" t="str">
            <v>CT FURIOUS MID</v>
          </cell>
          <cell r="D51" t="str">
            <v>布</v>
          </cell>
        </row>
        <row r="52">
          <cell r="A52" t="str">
            <v>146991C</v>
          </cell>
          <cell r="B52" t="str">
            <v>LY-CT574U-A</v>
          </cell>
          <cell r="C52" t="str">
            <v>CT GUARD HI</v>
          </cell>
          <cell r="D52" t="str">
            <v>布</v>
          </cell>
        </row>
        <row r="53">
          <cell r="A53" t="str">
            <v>146991F</v>
          </cell>
          <cell r="B53" t="str">
            <v>LY-CT574U-A</v>
          </cell>
          <cell r="C53" t="str">
            <v>CT GUARD HI</v>
          </cell>
          <cell r="D53" t="str">
            <v>布</v>
          </cell>
        </row>
        <row r="54">
          <cell r="A54" t="str">
            <v>147017C</v>
          </cell>
          <cell r="B54" t="str">
            <v>LY-CT100U-4</v>
          </cell>
          <cell r="C54" t="str">
            <v>CT OX</v>
          </cell>
          <cell r="D54" t="str">
            <v>水洗</v>
          </cell>
        </row>
        <row r="55">
          <cell r="A55" t="str">
            <v>147018C</v>
          </cell>
          <cell r="B55" t="str">
            <v>LY-CT100U-4</v>
          </cell>
          <cell r="C55" t="str">
            <v>CT OX</v>
          </cell>
          <cell r="D55" t="str">
            <v>水洗</v>
          </cell>
        </row>
        <row r="56">
          <cell r="A56" t="str">
            <v>147391C</v>
          </cell>
          <cell r="B56" t="str">
            <v>LY-SA224-5A-1</v>
          </cell>
          <cell r="C56" t="str">
            <v>STAR PLAYER OX</v>
          </cell>
          <cell r="D56" t="str">
            <v>布+星星月亮</v>
          </cell>
        </row>
        <row r="57">
          <cell r="A57" t="str">
            <v>147484C</v>
          </cell>
          <cell r="B57" t="str">
            <v>LY-SA224-A</v>
          </cell>
          <cell r="C57" t="str">
            <v>STAR PLAYER OX</v>
          </cell>
          <cell r="D57" t="str">
            <v>布+星星月亮</v>
          </cell>
        </row>
        <row r="58">
          <cell r="A58" t="str">
            <v>147486C</v>
          </cell>
          <cell r="B58" t="str">
            <v>LY-SA224-A</v>
          </cell>
          <cell r="C58" t="str">
            <v>STAR PLAYER OX</v>
          </cell>
          <cell r="D58" t="str">
            <v>布+星星月亮</v>
          </cell>
        </row>
        <row r="59">
          <cell r="A59" t="str">
            <v>148513C</v>
          </cell>
          <cell r="B59" t="str">
            <v>LY-SA223-4A</v>
          </cell>
          <cell r="C59" t="str">
            <v>STAR PLAYER HI</v>
          </cell>
          <cell r="D59" t="str">
            <v>布+星星月亮</v>
          </cell>
        </row>
        <row r="60">
          <cell r="A60" t="str">
            <v>149381C</v>
          </cell>
          <cell r="B60" t="str">
            <v>LY-CT754U-A</v>
          </cell>
          <cell r="C60" t="str">
            <v>CT STREET HIKER HI</v>
          </cell>
          <cell r="D60" t="str">
            <v>布</v>
          </cell>
        </row>
        <row r="61">
          <cell r="A61" t="str">
            <v>149490V</v>
          </cell>
          <cell r="B61" t="str">
            <v>LY-CT AS HI CR-XXX-1D-3B</v>
          </cell>
          <cell r="C61" t="str">
            <v>CT AS HI</v>
          </cell>
          <cell r="D61" t="str">
            <v>皮</v>
          </cell>
        </row>
        <row r="62">
          <cell r="A62" t="str">
            <v>149491V</v>
          </cell>
          <cell r="B62" t="str">
            <v>LY-CT AS HI CR-XXX-1D-3B</v>
          </cell>
          <cell r="C62" t="str">
            <v>CT AS HI</v>
          </cell>
          <cell r="D62" t="str">
            <v>皮</v>
          </cell>
        </row>
        <row r="63">
          <cell r="A63" t="str">
            <v>149493V</v>
          </cell>
          <cell r="B63" t="str">
            <v>LY-CT AS OX CR-XXX-1F-4</v>
          </cell>
          <cell r="C63" t="str">
            <v>CT AS OX</v>
          </cell>
          <cell r="D63" t="str">
            <v>皮</v>
          </cell>
        </row>
        <row r="64">
          <cell r="A64" t="str">
            <v>149494V</v>
          </cell>
          <cell r="B64" t="str">
            <v>LY-CT AS OX CR-XXX-1F-4</v>
          </cell>
          <cell r="C64" t="str">
            <v>CT AS OX</v>
          </cell>
          <cell r="D64" t="str">
            <v>皮</v>
          </cell>
        </row>
        <row r="65">
          <cell r="A65" t="str">
            <v>149495V</v>
          </cell>
          <cell r="B65" t="str">
            <v>LY-CT AS OX CR-XXX-1F-4</v>
          </cell>
          <cell r="C65" t="str">
            <v>CT AS OX</v>
          </cell>
          <cell r="D65" t="str">
            <v>皮</v>
          </cell>
        </row>
        <row r="66">
          <cell r="A66" t="str">
            <v>149501C</v>
          </cell>
          <cell r="B66" t="str">
            <v>LY-CT AS HI CR-XXX-A</v>
          </cell>
          <cell r="C66" t="str">
            <v>CT HI</v>
          </cell>
          <cell r="D66" t="str">
            <v>布</v>
          </cell>
        </row>
        <row r="67">
          <cell r="A67" t="str">
            <v>149502C</v>
          </cell>
          <cell r="B67" t="str">
            <v>LY-CT AS HI CR-XXX-A</v>
          </cell>
          <cell r="C67" t="str">
            <v>CT HI</v>
          </cell>
          <cell r="D67" t="str">
            <v>布</v>
          </cell>
        </row>
        <row r="68">
          <cell r="A68" t="str">
            <v>149502F</v>
          </cell>
          <cell r="B68" t="str">
            <v>LY-CT AS HI CR-XXX-A</v>
          </cell>
          <cell r="C68" t="str">
            <v>CT HI</v>
          </cell>
          <cell r="D68" t="str">
            <v>布</v>
          </cell>
        </row>
        <row r="69">
          <cell r="A69" t="str">
            <v>149506C</v>
          </cell>
          <cell r="B69" t="str">
            <v>LY-CT AS OX CR-XXX-A</v>
          </cell>
          <cell r="C69" t="str">
            <v>CT OX</v>
          </cell>
          <cell r="D69" t="str">
            <v>布</v>
          </cell>
        </row>
        <row r="70">
          <cell r="A70" t="str">
            <v>149506F</v>
          </cell>
          <cell r="B70" t="str">
            <v>LY-CT AS OX CR-XXX-A</v>
          </cell>
          <cell r="C70" t="str">
            <v>CT OX</v>
          </cell>
          <cell r="D70" t="str">
            <v>布</v>
          </cell>
        </row>
        <row r="71">
          <cell r="A71" t="str">
            <v>149507C</v>
          </cell>
          <cell r="B71" t="str">
            <v>LY-CT AS OX CR-XXX-A</v>
          </cell>
          <cell r="C71" t="str">
            <v>CT OX</v>
          </cell>
          <cell r="D71" t="str">
            <v>布</v>
          </cell>
        </row>
        <row r="72">
          <cell r="A72" t="str">
            <v>149747C</v>
          </cell>
          <cell r="B72" t="str">
            <v>LY-SA177B-3</v>
          </cell>
          <cell r="C72" t="str">
            <v>PRO BLAZ PLUS MID</v>
          </cell>
          <cell r="D72" t="str">
            <v>皮+星星月亮</v>
          </cell>
        </row>
        <row r="73">
          <cell r="A73" t="str">
            <v>149748C</v>
          </cell>
          <cell r="B73" t="str">
            <v>LY-SA177B-3</v>
          </cell>
          <cell r="C73" t="str">
            <v>PRO BLAZ PLUS MID</v>
          </cell>
          <cell r="D73" t="str">
            <v>皮+星星月亮</v>
          </cell>
        </row>
        <row r="74">
          <cell r="A74" t="str">
            <v>149776C</v>
          </cell>
          <cell r="B74" t="str">
            <v>LY-SA224-A-2B</v>
          </cell>
          <cell r="C74" t="str">
            <v>STAR PLAYER OX</v>
          </cell>
          <cell r="D74" t="str">
            <v>布+星星月亮</v>
          </cell>
        </row>
        <row r="75">
          <cell r="A75" t="str">
            <v>149777C</v>
          </cell>
          <cell r="B75" t="str">
            <v>LY-SA224-A-2B</v>
          </cell>
          <cell r="C75" t="str">
            <v>STAR PLAYER OX</v>
          </cell>
          <cell r="D75" t="str">
            <v>布+星星月亮</v>
          </cell>
        </row>
        <row r="76">
          <cell r="A76" t="str">
            <v>149779C</v>
          </cell>
          <cell r="B76" t="str">
            <v>LY-SA224-A-2B</v>
          </cell>
          <cell r="C76" t="str">
            <v>STAR PLAYER OX</v>
          </cell>
          <cell r="D76" t="str">
            <v>布+星星月亮</v>
          </cell>
        </row>
        <row r="77">
          <cell r="A77" t="str">
            <v>149821C</v>
          </cell>
          <cell r="B77" t="str">
            <v>LY-SA177B-3D</v>
          </cell>
          <cell r="C77" t="str">
            <v>PRO BLAZE PLUS MID</v>
          </cell>
          <cell r="D77" t="str">
            <v>皮+星星月亮</v>
          </cell>
        </row>
        <row r="78">
          <cell r="A78" t="str">
            <v>149822C</v>
          </cell>
          <cell r="B78" t="str">
            <v>LY-SA177B-3D</v>
          </cell>
          <cell r="C78" t="str">
            <v>PRO BLAZE PLUS MID</v>
          </cell>
          <cell r="D78" t="str">
            <v>皮+星星月亮</v>
          </cell>
        </row>
        <row r="79">
          <cell r="A79" t="str">
            <v>149882C</v>
          </cell>
          <cell r="B79" t="str">
            <v>LY-SK116U-A</v>
          </cell>
          <cell r="C79" t="str">
            <v>CONS SUMNER OX</v>
          </cell>
          <cell r="D79" t="str">
            <v>皮</v>
          </cell>
        </row>
        <row r="80">
          <cell r="A80" t="str">
            <v>150143C</v>
          </cell>
          <cell r="B80" t="str">
            <v>LY-CT725U-A</v>
          </cell>
          <cell r="C80" t="str">
            <v>CT II HI</v>
          </cell>
          <cell r="D80" t="str">
            <v>布</v>
          </cell>
        </row>
        <row r="81">
          <cell r="A81" t="str">
            <v>150143V</v>
          </cell>
          <cell r="B81" t="str">
            <v>LY-CT725U-A</v>
          </cell>
          <cell r="C81" t="str">
            <v>CT II HI</v>
          </cell>
          <cell r="D81" t="str">
            <v>布</v>
          </cell>
        </row>
        <row r="82">
          <cell r="A82" t="str">
            <v>150144C</v>
          </cell>
          <cell r="B82" t="str">
            <v>LY-CT725U-A</v>
          </cell>
          <cell r="C82" t="str">
            <v>CT II HI</v>
          </cell>
          <cell r="D82" t="str">
            <v>布</v>
          </cell>
        </row>
        <row r="83">
          <cell r="A83" t="str">
            <v>150144V</v>
          </cell>
          <cell r="B83" t="str">
            <v>LY-CT725U-A</v>
          </cell>
          <cell r="C83" t="str">
            <v>CT AS II HI</v>
          </cell>
          <cell r="D83" t="str">
            <v>布</v>
          </cell>
        </row>
        <row r="84">
          <cell r="A84" t="str">
            <v>150145C</v>
          </cell>
          <cell r="B84" t="str">
            <v>LY-CT725U-A</v>
          </cell>
          <cell r="C84" t="str">
            <v>CT II HI</v>
          </cell>
          <cell r="D84" t="str">
            <v>布</v>
          </cell>
        </row>
        <row r="85">
          <cell r="A85" t="str">
            <v>150145V</v>
          </cell>
          <cell r="B85" t="str">
            <v>LY-CT725U-A</v>
          </cell>
          <cell r="C85" t="str">
            <v>CT AS II HI</v>
          </cell>
          <cell r="D85" t="str">
            <v>布</v>
          </cell>
        </row>
        <row r="86">
          <cell r="A86" t="str">
            <v>150146C</v>
          </cell>
          <cell r="B86" t="str">
            <v>LY-CT725U-A</v>
          </cell>
          <cell r="C86" t="str">
            <v>CT II HI</v>
          </cell>
          <cell r="D86" t="str">
            <v>布</v>
          </cell>
        </row>
        <row r="87">
          <cell r="A87" t="str">
            <v>150146V</v>
          </cell>
          <cell r="B87" t="str">
            <v>LY-CT725U-A</v>
          </cell>
          <cell r="C87" t="str">
            <v>CT II HI</v>
          </cell>
          <cell r="D87" t="str">
            <v>布</v>
          </cell>
        </row>
        <row r="88">
          <cell r="A88" t="str">
            <v>150147C</v>
          </cell>
          <cell r="B88" t="str">
            <v>LY-CT725U-A</v>
          </cell>
          <cell r="C88" t="str">
            <v>CT II HI</v>
          </cell>
          <cell r="D88" t="str">
            <v>布</v>
          </cell>
        </row>
        <row r="89">
          <cell r="A89" t="str">
            <v>150147V</v>
          </cell>
          <cell r="B89" t="str">
            <v>LY-CT725U-A</v>
          </cell>
          <cell r="C89" t="str">
            <v>CT AS II HI</v>
          </cell>
          <cell r="D89" t="str">
            <v>布</v>
          </cell>
        </row>
        <row r="90">
          <cell r="A90" t="str">
            <v>150148C</v>
          </cell>
          <cell r="B90" t="str">
            <v>LY-CT725U-A</v>
          </cell>
          <cell r="C90" t="str">
            <v>CT II HI</v>
          </cell>
          <cell r="D90" t="str">
            <v>布</v>
          </cell>
        </row>
        <row r="91">
          <cell r="A91" t="str">
            <v>150148V</v>
          </cell>
          <cell r="B91" t="str">
            <v>LY-CT725U-A</v>
          </cell>
          <cell r="C91" t="str">
            <v>CT II HI</v>
          </cell>
          <cell r="D91" t="str">
            <v>布</v>
          </cell>
        </row>
        <row r="92">
          <cell r="A92" t="str">
            <v>150149C</v>
          </cell>
          <cell r="B92" t="str">
            <v>LY-CT726U-A</v>
          </cell>
          <cell r="C92" t="str">
            <v>CT II OX</v>
          </cell>
          <cell r="D92" t="str">
            <v>布</v>
          </cell>
        </row>
        <row r="93">
          <cell r="A93" t="str">
            <v>150149V</v>
          </cell>
          <cell r="B93" t="str">
            <v>LY-CT726U-A</v>
          </cell>
          <cell r="C93" t="str">
            <v>CT II OX</v>
          </cell>
          <cell r="D93" t="str">
            <v>布</v>
          </cell>
        </row>
        <row r="94">
          <cell r="A94" t="str">
            <v>150150C</v>
          </cell>
          <cell r="B94" t="str">
            <v>LY-CT726U-A</v>
          </cell>
          <cell r="C94" t="str">
            <v>CT II OX</v>
          </cell>
          <cell r="D94" t="str">
            <v>布</v>
          </cell>
        </row>
        <row r="95">
          <cell r="A95" t="str">
            <v>150150V</v>
          </cell>
          <cell r="B95" t="str">
            <v>LY-CT726U-A</v>
          </cell>
          <cell r="C95" t="str">
            <v>CHUCK TAYLOR ALL STAR II OX</v>
          </cell>
          <cell r="D95" t="str">
            <v>布</v>
          </cell>
        </row>
        <row r="96">
          <cell r="A96" t="str">
            <v>150151C</v>
          </cell>
          <cell r="B96" t="str">
            <v>LY-CT726U-A</v>
          </cell>
          <cell r="C96" t="str">
            <v>CT II OX</v>
          </cell>
          <cell r="D96" t="str">
            <v>布</v>
          </cell>
        </row>
        <row r="97">
          <cell r="A97" t="str">
            <v>150151V</v>
          </cell>
          <cell r="B97" t="str">
            <v>LY-CT726U-A</v>
          </cell>
          <cell r="C97" t="str">
            <v>CT II OX</v>
          </cell>
          <cell r="D97" t="str">
            <v>布</v>
          </cell>
        </row>
        <row r="98">
          <cell r="A98" t="str">
            <v>150152C</v>
          </cell>
          <cell r="B98" t="str">
            <v>LY-CT726U-A</v>
          </cell>
          <cell r="C98" t="str">
            <v>CT II OX</v>
          </cell>
          <cell r="D98" t="str">
            <v>布</v>
          </cell>
        </row>
        <row r="99">
          <cell r="A99" t="str">
            <v>150152V</v>
          </cell>
          <cell r="B99" t="str">
            <v>LY-CT726U-A</v>
          </cell>
          <cell r="C99" t="str">
            <v>CT II OX</v>
          </cell>
          <cell r="D99" t="str">
            <v>布</v>
          </cell>
        </row>
        <row r="100">
          <cell r="A100" t="str">
            <v>150153C</v>
          </cell>
          <cell r="B100" t="str">
            <v>LY-CT726U-A</v>
          </cell>
          <cell r="C100" t="str">
            <v>CT II OX</v>
          </cell>
          <cell r="D100" t="str">
            <v>布</v>
          </cell>
        </row>
        <row r="101">
          <cell r="A101" t="str">
            <v>150153V</v>
          </cell>
          <cell r="B101" t="str">
            <v>LY-CT726U-A</v>
          </cell>
          <cell r="C101" t="str">
            <v>CHUCK TAYLOR ALL STAR II</v>
          </cell>
          <cell r="D101" t="str">
            <v>布</v>
          </cell>
        </row>
        <row r="102">
          <cell r="A102" t="str">
            <v>150154C</v>
          </cell>
          <cell r="B102" t="str">
            <v>LY-CT726U-A</v>
          </cell>
          <cell r="C102" t="str">
            <v>CT II OX</v>
          </cell>
          <cell r="D102" t="str">
            <v>布</v>
          </cell>
        </row>
        <row r="103">
          <cell r="A103" t="str">
            <v>150154V</v>
          </cell>
          <cell r="B103" t="str">
            <v>LY-CT726U-A</v>
          </cell>
          <cell r="C103" t="str">
            <v>CT II OX</v>
          </cell>
          <cell r="D103" t="str">
            <v>布</v>
          </cell>
        </row>
        <row r="104">
          <cell r="A104" t="str">
            <v>150157C</v>
          </cell>
          <cell r="B104" t="str">
            <v>LY-CT725U-1A</v>
          </cell>
          <cell r="C104" t="str">
            <v>CT II HI</v>
          </cell>
          <cell r="D104" t="str">
            <v>布</v>
          </cell>
        </row>
        <row r="105">
          <cell r="A105" t="str">
            <v>150160C</v>
          </cell>
          <cell r="B105" t="str">
            <v>LY-CT726U-1A</v>
          </cell>
          <cell r="C105" t="str">
            <v>CT II OX</v>
          </cell>
          <cell r="D105" t="str">
            <v>布</v>
          </cell>
        </row>
        <row r="106">
          <cell r="A106" t="str">
            <v>150254C</v>
          </cell>
          <cell r="B106" t="str">
            <v>LY-SA223-A-1</v>
          </cell>
          <cell r="C106" t="str">
            <v>STAR PLYR HI</v>
          </cell>
          <cell r="D106" t="str">
            <v>布+星星月亮</v>
          </cell>
        </row>
        <row r="107">
          <cell r="A107" t="str">
            <v>150256C</v>
          </cell>
          <cell r="B107" t="str">
            <v>LY-SA224-A-1</v>
          </cell>
          <cell r="C107" t="str">
            <v>STAR PLYR OX</v>
          </cell>
          <cell r="D107" t="str">
            <v>布+星星月亮</v>
          </cell>
        </row>
        <row r="108">
          <cell r="A108" t="str">
            <v>150258C</v>
          </cell>
          <cell r="B108" t="str">
            <v>LY-SA224-A-1</v>
          </cell>
          <cell r="C108" t="str">
            <v>STAR PLYR OX</v>
          </cell>
          <cell r="D108" t="str">
            <v>布+星星月亮</v>
          </cell>
        </row>
        <row r="109">
          <cell r="A109" t="str">
            <v>150662C</v>
          </cell>
          <cell r="B109" t="str">
            <v>LY-SA223-3B-3</v>
          </cell>
          <cell r="C109" t="str">
            <v>STAR PLAYER HI</v>
          </cell>
          <cell r="D109" t="str">
            <v>皮+星星月亮</v>
          </cell>
        </row>
        <row r="110">
          <cell r="A110" t="str">
            <v>150756C</v>
          </cell>
          <cell r="B110" t="str">
            <v>LY-CTAS HI CR-XXX</v>
          </cell>
          <cell r="C110" t="str">
            <v>CT AS HI</v>
          </cell>
          <cell r="D110" t="str">
            <v>布</v>
          </cell>
        </row>
        <row r="111">
          <cell r="A111" t="str">
            <v>150757C</v>
          </cell>
          <cell r="B111" t="str">
            <v>LY-CTAS HI CR-XXX</v>
          </cell>
          <cell r="C111" t="str">
            <v>CT AS HI</v>
          </cell>
          <cell r="D111" t="str">
            <v>布</v>
          </cell>
        </row>
        <row r="112">
          <cell r="A112" t="str">
            <v>150759C</v>
          </cell>
          <cell r="B112" t="str">
            <v>LY-CTAS HI CR-XXX</v>
          </cell>
          <cell r="C112" t="str">
            <v>CT AS HI</v>
          </cell>
          <cell r="D112" t="str">
            <v>布</v>
          </cell>
        </row>
        <row r="113">
          <cell r="A113" t="str">
            <v>150760C</v>
          </cell>
          <cell r="B113" t="str">
            <v>LY-CTAS HI CR-XXX</v>
          </cell>
          <cell r="C113" t="str">
            <v>CT AS HI</v>
          </cell>
          <cell r="D113" t="str">
            <v>布</v>
          </cell>
        </row>
        <row r="114">
          <cell r="A114" t="str">
            <v>150762C</v>
          </cell>
          <cell r="B114" t="str">
            <v>LY-CTAS HI CR-XXX</v>
          </cell>
          <cell r="C114" t="str">
            <v>CT AS HI</v>
          </cell>
          <cell r="D114" t="str">
            <v>布</v>
          </cell>
        </row>
        <row r="115">
          <cell r="A115" t="str">
            <v>150763C</v>
          </cell>
          <cell r="B115" t="str">
            <v>LY-CTAS OX CR-XXX</v>
          </cell>
          <cell r="C115" t="str">
            <v>CT AS OX</v>
          </cell>
          <cell r="D115" t="str">
            <v>布</v>
          </cell>
        </row>
        <row r="116">
          <cell r="A116" t="str">
            <v>150764C</v>
          </cell>
          <cell r="B116" t="str">
            <v>LY-CTAS OX CR-XXX</v>
          </cell>
          <cell r="C116" t="str">
            <v>CT AS OX</v>
          </cell>
          <cell r="D116" t="str">
            <v>布</v>
          </cell>
        </row>
        <row r="117">
          <cell r="A117" t="str">
            <v>150765C</v>
          </cell>
          <cell r="B117" t="str">
            <v>LY-CTAS OX CR-XXX</v>
          </cell>
          <cell r="C117" t="str">
            <v>CT AS OX</v>
          </cell>
          <cell r="D117" t="str">
            <v>布</v>
          </cell>
        </row>
        <row r="118">
          <cell r="A118" t="str">
            <v>150767C</v>
          </cell>
          <cell r="B118" t="str">
            <v>LY-CTAS OX CR-XXX</v>
          </cell>
          <cell r="C118" t="str">
            <v>CT AS OX</v>
          </cell>
          <cell r="D118" t="str">
            <v>布</v>
          </cell>
        </row>
        <row r="119">
          <cell r="A119" t="str">
            <v>150768C</v>
          </cell>
          <cell r="B119" t="str">
            <v>LY-CTAS OX CR-XXX</v>
          </cell>
          <cell r="C119" t="str">
            <v>CT AS OX</v>
          </cell>
          <cell r="D119" t="str">
            <v>布</v>
          </cell>
        </row>
        <row r="120">
          <cell r="A120" t="str">
            <v>150770C</v>
          </cell>
          <cell r="B120" t="str">
            <v>LY-CTAS OX CR-XXX</v>
          </cell>
          <cell r="C120" t="str">
            <v>CT AS OX</v>
          </cell>
          <cell r="D120" t="str">
            <v>布</v>
          </cell>
        </row>
        <row r="121">
          <cell r="A121" t="str">
            <v>150818C</v>
          </cell>
          <cell r="B121" t="str">
            <v>LY-CT602B-1</v>
          </cell>
          <cell r="C121" t="str">
            <v>CT FRESH HI</v>
          </cell>
          <cell r="D121" t="str">
            <v>皮</v>
          </cell>
        </row>
        <row r="122">
          <cell r="A122" t="str">
            <v>151085C</v>
          </cell>
          <cell r="B122" t="str">
            <v>LY-CT725U-2A</v>
          </cell>
          <cell r="C122" t="str">
            <v>CTAS II HI</v>
          </cell>
          <cell r="D122" t="str">
            <v>布</v>
          </cell>
        </row>
        <row r="123">
          <cell r="A123" t="str">
            <v>151086C</v>
          </cell>
          <cell r="B123" t="str">
            <v>LY-CT725U-2A</v>
          </cell>
          <cell r="C123" t="str">
            <v>CTAS II HI</v>
          </cell>
          <cell r="D123" t="str">
            <v>布</v>
          </cell>
        </row>
        <row r="124">
          <cell r="A124" t="str">
            <v>151087C</v>
          </cell>
          <cell r="B124" t="str">
            <v>LY-CT725U-2A</v>
          </cell>
          <cell r="C124" t="str">
            <v>CTAS II HI</v>
          </cell>
          <cell r="D124" t="str">
            <v>布</v>
          </cell>
        </row>
        <row r="125">
          <cell r="A125" t="str">
            <v>151088C</v>
          </cell>
          <cell r="B125" t="str">
            <v>LY-CT725U-2A</v>
          </cell>
          <cell r="C125" t="str">
            <v>CTAS II HI</v>
          </cell>
          <cell r="D125" t="str">
            <v>布</v>
          </cell>
        </row>
        <row r="126">
          <cell r="A126" t="str">
            <v>151088V</v>
          </cell>
          <cell r="B126" t="str">
            <v>LY-CT725U-2A</v>
          </cell>
          <cell r="C126" t="str">
            <v>CT AS II HI</v>
          </cell>
          <cell r="D126" t="str">
            <v>布</v>
          </cell>
        </row>
        <row r="127">
          <cell r="A127" t="str">
            <v>151089C</v>
          </cell>
          <cell r="B127" t="str">
            <v>LY-CT726U-2A</v>
          </cell>
          <cell r="C127" t="str">
            <v>CTAS II OX</v>
          </cell>
          <cell r="D127" t="str">
            <v>布</v>
          </cell>
        </row>
        <row r="128">
          <cell r="A128" t="str">
            <v>151090C</v>
          </cell>
          <cell r="B128" t="str">
            <v>LY-CT726U-2A</v>
          </cell>
          <cell r="C128" t="str">
            <v>CTAS II OX</v>
          </cell>
          <cell r="D128" t="str">
            <v>布</v>
          </cell>
        </row>
        <row r="129">
          <cell r="A129" t="str">
            <v>151091C</v>
          </cell>
          <cell r="B129" t="str">
            <v>LY-CT726U-2A</v>
          </cell>
          <cell r="C129" t="str">
            <v>CTAS II OX</v>
          </cell>
          <cell r="D129" t="str">
            <v>布</v>
          </cell>
        </row>
        <row r="130">
          <cell r="A130" t="str">
            <v>151092C</v>
          </cell>
          <cell r="B130" t="str">
            <v>LY-CT726U-2A</v>
          </cell>
          <cell r="C130" t="str">
            <v>CTAS II OX</v>
          </cell>
          <cell r="D130" t="str">
            <v>布</v>
          </cell>
        </row>
        <row r="131">
          <cell r="A131" t="str">
            <v>151116C</v>
          </cell>
          <cell r="B131" t="str">
            <v>LY-CT725U-1A</v>
          </cell>
          <cell r="C131" t="str">
            <v>CTAS II HI</v>
          </cell>
          <cell r="D131" t="str">
            <v>布</v>
          </cell>
        </row>
        <row r="132">
          <cell r="A132" t="str">
            <v>151118C</v>
          </cell>
          <cell r="B132" t="str">
            <v>LY-CT725U-1A</v>
          </cell>
          <cell r="C132" t="str">
            <v>CTAS II HI</v>
          </cell>
          <cell r="D132" t="str">
            <v>布</v>
          </cell>
        </row>
        <row r="133">
          <cell r="A133" t="str">
            <v>151119C</v>
          </cell>
          <cell r="B133" t="str">
            <v>LY-CT725U-1A</v>
          </cell>
          <cell r="C133" t="str">
            <v>CTAS II HI</v>
          </cell>
          <cell r="D133" t="str">
            <v>布</v>
          </cell>
        </row>
        <row r="134">
          <cell r="A134" t="str">
            <v>151120C</v>
          </cell>
          <cell r="B134" t="str">
            <v>LY-CT726U-1A</v>
          </cell>
          <cell r="C134" t="str">
            <v>CTAS II OX</v>
          </cell>
          <cell r="D134" t="str">
            <v>布</v>
          </cell>
        </row>
        <row r="135">
          <cell r="A135" t="str">
            <v>151122C</v>
          </cell>
          <cell r="B135" t="str">
            <v>LY-CT726U-1A</v>
          </cell>
          <cell r="C135" t="str">
            <v>CTAS II OX</v>
          </cell>
          <cell r="D135" t="str">
            <v>布</v>
          </cell>
        </row>
        <row r="136">
          <cell r="A136" t="str">
            <v>151123C</v>
          </cell>
          <cell r="B136" t="str">
            <v>LY-CT726U-1A</v>
          </cell>
          <cell r="C136" t="str">
            <v>CTAS II OX</v>
          </cell>
          <cell r="D136" t="str">
            <v>布</v>
          </cell>
        </row>
        <row r="137">
          <cell r="A137" t="str">
            <v>151157C</v>
          </cell>
          <cell r="B137" t="str">
            <v>LY-CT725U-3A</v>
          </cell>
          <cell r="C137" t="str">
            <v>CTAS II HI</v>
          </cell>
          <cell r="D137" t="str">
            <v>布</v>
          </cell>
        </row>
        <row r="138">
          <cell r="A138" t="str">
            <v>151158C</v>
          </cell>
          <cell r="B138" t="str">
            <v>LY-CT725U-3A</v>
          </cell>
          <cell r="C138" t="str">
            <v>CTAS II HI</v>
          </cell>
          <cell r="D138" t="str">
            <v>布</v>
          </cell>
        </row>
        <row r="139">
          <cell r="A139" t="str">
            <v>151159C</v>
          </cell>
          <cell r="B139" t="str">
            <v>LY-CT725U-3A</v>
          </cell>
          <cell r="C139" t="str">
            <v>CTAS II HI</v>
          </cell>
          <cell r="D139" t="str">
            <v>布</v>
          </cell>
        </row>
        <row r="140">
          <cell r="A140" t="str">
            <v>151160C</v>
          </cell>
          <cell r="B140" t="str">
            <v>LY-CT726U-3</v>
          </cell>
          <cell r="C140" t="str">
            <v>CTAS II OX</v>
          </cell>
          <cell r="D140" t="str">
            <v>布</v>
          </cell>
        </row>
        <row r="141">
          <cell r="A141" t="str">
            <v>151161C</v>
          </cell>
          <cell r="B141" t="str">
            <v>LY-CT726U-3</v>
          </cell>
          <cell r="C141" t="str">
            <v>CTAS II OX</v>
          </cell>
          <cell r="D141" t="str">
            <v>布</v>
          </cell>
        </row>
        <row r="142">
          <cell r="A142" t="str">
            <v>151162C</v>
          </cell>
          <cell r="B142" t="str">
            <v>LY-CT726U-3</v>
          </cell>
          <cell r="C142" t="str">
            <v>CTAS II OX</v>
          </cell>
          <cell r="D142" t="str">
            <v>布</v>
          </cell>
        </row>
        <row r="143">
          <cell r="A143" t="str">
            <v>151168V</v>
          </cell>
          <cell r="B143" t="str">
            <v>LY-CT AS HI CR-XXX</v>
          </cell>
          <cell r="C143" t="str">
            <v>CT AS HI</v>
          </cell>
          <cell r="D143" t="str">
            <v>布</v>
          </cell>
        </row>
        <row r="144">
          <cell r="A144" t="str">
            <v>151171V</v>
          </cell>
          <cell r="B144" t="str">
            <v>LY-CT AS HI CR-XXX</v>
          </cell>
          <cell r="C144" t="str">
            <v>CT AS HI</v>
          </cell>
          <cell r="D144" t="str">
            <v>布</v>
          </cell>
        </row>
        <row r="145">
          <cell r="A145" t="str">
            <v>151172V</v>
          </cell>
          <cell r="B145" t="str">
            <v>LY-CT AS HI CR-XXX</v>
          </cell>
          <cell r="C145" t="str">
            <v>CT AS HI</v>
          </cell>
          <cell r="D145" t="str">
            <v>布</v>
          </cell>
        </row>
        <row r="146">
          <cell r="A146" t="str">
            <v>151175V</v>
          </cell>
          <cell r="B146" t="str">
            <v>LY-CT AS HI CR-XXX</v>
          </cell>
          <cell r="C146" t="str">
            <v>CT AS HI</v>
          </cell>
          <cell r="D146" t="str">
            <v>布</v>
          </cell>
        </row>
        <row r="147">
          <cell r="A147" t="str">
            <v>151176V</v>
          </cell>
          <cell r="B147" t="str">
            <v>LY-CT AS HI CR-XXX</v>
          </cell>
          <cell r="C147" t="str">
            <v>CT AS HI</v>
          </cell>
          <cell r="D147" t="str">
            <v>布</v>
          </cell>
        </row>
        <row r="148">
          <cell r="A148" t="str">
            <v>151177V</v>
          </cell>
          <cell r="B148" t="str">
            <v>LY-CT AS OX CR-XXX</v>
          </cell>
          <cell r="C148" t="str">
            <v>CT AS OX</v>
          </cell>
          <cell r="D148" t="str">
            <v>布</v>
          </cell>
        </row>
        <row r="149">
          <cell r="A149" t="str">
            <v>151180V</v>
          </cell>
          <cell r="B149" t="str">
            <v>LY-CT AS OX CR-XXX</v>
          </cell>
          <cell r="C149" t="str">
            <v>CT AS OX</v>
          </cell>
          <cell r="D149" t="str">
            <v>布</v>
          </cell>
        </row>
        <row r="150">
          <cell r="A150" t="str">
            <v>151181V</v>
          </cell>
          <cell r="B150" t="str">
            <v>LY-CT AS OX CR-XXX</v>
          </cell>
          <cell r="C150" t="str">
            <v>CT AS OX</v>
          </cell>
          <cell r="D150" t="str">
            <v>布</v>
          </cell>
        </row>
        <row r="151">
          <cell r="A151" t="str">
            <v>151184V</v>
          </cell>
          <cell r="B151" t="str">
            <v>LY-CT AS OX CR-XXX</v>
          </cell>
          <cell r="C151" t="str">
            <v>CT AS OX</v>
          </cell>
          <cell r="D151" t="str">
            <v>布</v>
          </cell>
        </row>
        <row r="152">
          <cell r="A152" t="str">
            <v>151185V</v>
          </cell>
          <cell r="B152" t="str">
            <v>LY-CT AS OX CR-XXX</v>
          </cell>
          <cell r="C152" t="str">
            <v>CT AS OX</v>
          </cell>
          <cell r="D152" t="str">
            <v>布</v>
          </cell>
        </row>
        <row r="153">
          <cell r="A153" t="str">
            <v>151201C</v>
          </cell>
          <cell r="B153" t="str">
            <v>LY-CT AS HI CR-XXX-A</v>
          </cell>
          <cell r="C153" t="str">
            <v>CTAS HI</v>
          </cell>
          <cell r="D153" t="str">
            <v>布</v>
          </cell>
        </row>
        <row r="154">
          <cell r="A154" t="str">
            <v>151202C</v>
          </cell>
          <cell r="B154" t="str">
            <v>LY-CT AS OX CR-XXX-A</v>
          </cell>
          <cell r="C154" t="str">
            <v>CTAS OX</v>
          </cell>
          <cell r="D154" t="str">
            <v>布</v>
          </cell>
        </row>
        <row r="155">
          <cell r="A155" t="str">
            <v>151203C</v>
          </cell>
          <cell r="B155" t="str">
            <v>LY-CT AS OX CR-XXX-A</v>
          </cell>
          <cell r="C155" t="str">
            <v>CTAS OX</v>
          </cell>
          <cell r="D155" t="str">
            <v>布</v>
          </cell>
        </row>
        <row r="156">
          <cell r="A156" t="str">
            <v>151206C</v>
          </cell>
          <cell r="B156" t="str">
            <v>LY-CT AS HI CR-XXX</v>
          </cell>
          <cell r="C156" t="str">
            <v>CTAS HI</v>
          </cell>
          <cell r="D156" t="str">
            <v>水洗</v>
          </cell>
        </row>
        <row r="157">
          <cell r="A157" t="str">
            <v>151207C</v>
          </cell>
          <cell r="B157" t="str">
            <v>LY-CT AS HI CR-XXX</v>
          </cell>
          <cell r="C157" t="str">
            <v>CTAS HI</v>
          </cell>
          <cell r="D157" t="str">
            <v>水洗</v>
          </cell>
        </row>
        <row r="158">
          <cell r="A158" t="str">
            <v>151208C</v>
          </cell>
          <cell r="B158" t="str">
            <v>LY-CT AS HI CR-XXX</v>
          </cell>
          <cell r="C158" t="str">
            <v>CTAS HI</v>
          </cell>
          <cell r="D158" t="str">
            <v>水洗</v>
          </cell>
        </row>
        <row r="159">
          <cell r="A159" t="str">
            <v>151209C</v>
          </cell>
          <cell r="B159" t="str">
            <v>LY-CT AS OX CR-XXX</v>
          </cell>
          <cell r="C159" t="str">
            <v>CTAS OX</v>
          </cell>
          <cell r="D159" t="str">
            <v>水洗</v>
          </cell>
        </row>
        <row r="160">
          <cell r="A160" t="str">
            <v>151210C</v>
          </cell>
          <cell r="B160" t="str">
            <v>LY-CT AS OX CR-XXX</v>
          </cell>
          <cell r="C160" t="str">
            <v>CTAS OX</v>
          </cell>
          <cell r="D160" t="str">
            <v>水洗</v>
          </cell>
        </row>
        <row r="161">
          <cell r="A161" t="str">
            <v>151211C</v>
          </cell>
          <cell r="B161" t="str">
            <v>LY-CT AS OX CR-XXX</v>
          </cell>
          <cell r="C161" t="str">
            <v>CTAS OX</v>
          </cell>
          <cell r="D161" t="str">
            <v>水洗</v>
          </cell>
        </row>
        <row r="162">
          <cell r="A162" t="str">
            <v>151212C</v>
          </cell>
          <cell r="B162" t="str">
            <v>LY-CT005U-A</v>
          </cell>
          <cell r="C162" t="str">
            <v>CTAS SLIP</v>
          </cell>
          <cell r="D162" t="str">
            <v>水洗</v>
          </cell>
        </row>
        <row r="163">
          <cell r="A163" t="str">
            <v>151213C</v>
          </cell>
          <cell r="B163" t="str">
            <v>LY-CT005U-A</v>
          </cell>
          <cell r="C163" t="str">
            <v>CTAS SLIP</v>
          </cell>
          <cell r="D163" t="str">
            <v>水洗</v>
          </cell>
        </row>
        <row r="164">
          <cell r="A164" t="str">
            <v>151214C</v>
          </cell>
          <cell r="B164" t="str">
            <v>LY-CT005U-A</v>
          </cell>
          <cell r="C164" t="str">
            <v>CTAS SLIP</v>
          </cell>
          <cell r="D164" t="str">
            <v>水洗</v>
          </cell>
        </row>
        <row r="165">
          <cell r="A165" t="str">
            <v>151221C</v>
          </cell>
          <cell r="B165" t="str">
            <v>LY-CT725U-A</v>
          </cell>
          <cell r="C165" t="str">
            <v>CTAS II HI</v>
          </cell>
          <cell r="D165" t="str">
            <v>布</v>
          </cell>
        </row>
        <row r="166">
          <cell r="A166" t="str">
            <v>151222C</v>
          </cell>
          <cell r="B166" t="str">
            <v>LY-CT725U-A</v>
          </cell>
          <cell r="C166" t="str">
            <v>CTAS II HI</v>
          </cell>
          <cell r="D166" t="str">
            <v>布</v>
          </cell>
        </row>
        <row r="167">
          <cell r="A167" t="str">
            <v>151223C</v>
          </cell>
          <cell r="B167" t="str">
            <v>LY-CT726U-A</v>
          </cell>
          <cell r="C167" t="str">
            <v>CTAS II OX</v>
          </cell>
          <cell r="D167" t="str">
            <v>布</v>
          </cell>
        </row>
        <row r="168">
          <cell r="A168" t="str">
            <v>151224C</v>
          </cell>
          <cell r="B168" t="str">
            <v>LY-CT726U-A</v>
          </cell>
          <cell r="C168" t="str">
            <v>CTAS II OX</v>
          </cell>
          <cell r="D168" t="str">
            <v>布</v>
          </cell>
        </row>
        <row r="169">
          <cell r="A169" t="str">
            <v>151263C</v>
          </cell>
          <cell r="B169" t="str">
            <v>LY-CT AS HI CR-XXX</v>
          </cell>
          <cell r="C169" t="str">
            <v>CTAS HI</v>
          </cell>
          <cell r="D169" t="str">
            <v>水洗</v>
          </cell>
        </row>
        <row r="170">
          <cell r="A170" t="str">
            <v>151264C</v>
          </cell>
          <cell r="B170" t="str">
            <v>LY-CT AS HI CR-XXX</v>
          </cell>
          <cell r="C170" t="str">
            <v>CTAS HI</v>
          </cell>
          <cell r="D170" t="str">
            <v>水洗</v>
          </cell>
        </row>
        <row r="171">
          <cell r="A171" t="str">
            <v>151265C</v>
          </cell>
          <cell r="B171" t="str">
            <v>LY-CT AS OX CR-XXX</v>
          </cell>
          <cell r="C171" t="str">
            <v>CTAS OX</v>
          </cell>
          <cell r="D171" t="str">
            <v>水洗</v>
          </cell>
        </row>
        <row r="172">
          <cell r="A172" t="str">
            <v>151266C</v>
          </cell>
          <cell r="B172" t="str">
            <v>LY-CT AS OX CR-XXX</v>
          </cell>
          <cell r="C172" t="str">
            <v>CTAS OX</v>
          </cell>
          <cell r="D172" t="str">
            <v>水洗</v>
          </cell>
        </row>
        <row r="173">
          <cell r="A173" t="str">
            <v>151267C</v>
          </cell>
          <cell r="B173" t="str">
            <v>LY-CT AS OX CR-XXX</v>
          </cell>
          <cell r="C173" t="str">
            <v>CTAS OX</v>
          </cell>
          <cell r="D173" t="str">
            <v>水洗</v>
          </cell>
        </row>
        <row r="174">
          <cell r="A174" t="str">
            <v>151267F</v>
          </cell>
          <cell r="B174" t="str">
            <v>LY-CT AS OX CR-XXX</v>
          </cell>
          <cell r="C174" t="str">
            <v>CTAS OX</v>
          </cell>
          <cell r="D174" t="str">
            <v>水洗</v>
          </cell>
        </row>
        <row r="175">
          <cell r="A175" t="str">
            <v>151268C</v>
          </cell>
          <cell r="B175" t="str">
            <v>LY-CT AS OX CR-XXX</v>
          </cell>
          <cell r="C175" t="str">
            <v>CTAS OX</v>
          </cell>
          <cell r="D175" t="str">
            <v>水洗</v>
          </cell>
        </row>
        <row r="176">
          <cell r="A176" t="str">
            <v>151268F</v>
          </cell>
          <cell r="B176" t="str">
            <v>LY-CT AS OX CR-XXX</v>
          </cell>
          <cell r="C176" t="str">
            <v>CT AS OX</v>
          </cell>
          <cell r="D176" t="str">
            <v>水洗</v>
          </cell>
        </row>
        <row r="177">
          <cell r="A177" t="str">
            <v>151269C</v>
          </cell>
          <cell r="B177" t="str">
            <v>LY-CT AS OX CR-XXX</v>
          </cell>
          <cell r="C177" t="str">
            <v>CTAS OX</v>
          </cell>
          <cell r="D177" t="str">
            <v>水洗</v>
          </cell>
        </row>
        <row r="178">
          <cell r="A178" t="str">
            <v>151269F</v>
          </cell>
          <cell r="B178" t="str">
            <v>LY-CT AS OX CR-XXX</v>
          </cell>
          <cell r="C178" t="str">
            <v>CTAS OX</v>
          </cell>
          <cell r="D178" t="str">
            <v>水洗</v>
          </cell>
        </row>
        <row r="179">
          <cell r="A179" t="str">
            <v>151302C</v>
          </cell>
          <cell r="B179" t="str">
            <v>LY-SA224-6A-1</v>
          </cell>
          <cell r="C179" t="str">
            <v>STAR PLAYER OX</v>
          </cell>
          <cell r="D179" t="str">
            <v>布+星星月亮</v>
          </cell>
        </row>
        <row r="180">
          <cell r="A180" t="str">
            <v>151303C</v>
          </cell>
          <cell r="B180" t="str">
            <v>LY-SA224-6A-1A</v>
          </cell>
          <cell r="C180" t="str">
            <v>STAR PLAYER OX</v>
          </cell>
          <cell r="D180" t="str">
            <v>布+星星月亮</v>
          </cell>
        </row>
        <row r="181">
          <cell r="A181" t="str">
            <v>151304C</v>
          </cell>
          <cell r="B181" t="str">
            <v>LY-SA224-6A-1A</v>
          </cell>
          <cell r="C181" t="str">
            <v>STAR PLAYER OX</v>
          </cell>
          <cell r="D181" t="str">
            <v>布+星星月亮</v>
          </cell>
        </row>
        <row r="182">
          <cell r="A182" t="str">
            <v>151305C</v>
          </cell>
          <cell r="B182" t="str">
            <v>LY-SA177B-5</v>
          </cell>
          <cell r="C182" t="str">
            <v>PRO BLAZE PLUS MID</v>
          </cell>
          <cell r="D182" t="str">
            <v>布+星星月亮</v>
          </cell>
        </row>
        <row r="183">
          <cell r="A183" t="str">
            <v>151308C</v>
          </cell>
          <cell r="B183" t="str">
            <v>LY-SA224-4A</v>
          </cell>
          <cell r="C183" t="str">
            <v>STAR PLAYER OX</v>
          </cell>
          <cell r="D183" t="str">
            <v>布+星星月亮</v>
          </cell>
        </row>
        <row r="184">
          <cell r="A184" t="str">
            <v>151309C</v>
          </cell>
          <cell r="B184" t="str">
            <v>LY-SA224-4A</v>
          </cell>
          <cell r="C184" t="str">
            <v>STAR PLAYER OX</v>
          </cell>
          <cell r="D184" t="str">
            <v>布+星星月亮</v>
          </cell>
        </row>
        <row r="185">
          <cell r="A185" t="str">
            <v>151310C</v>
          </cell>
          <cell r="B185" t="str">
            <v>LY-SA224-4A</v>
          </cell>
          <cell r="C185" t="str">
            <v>STAR PLAYER OX</v>
          </cell>
          <cell r="D185" t="str">
            <v>布+星星月亮</v>
          </cell>
        </row>
        <row r="186">
          <cell r="A186" t="str">
            <v>151311C</v>
          </cell>
          <cell r="B186" t="str">
            <v>LY-SA223-A</v>
          </cell>
          <cell r="C186" t="str">
            <v>STAR PLAYER HI</v>
          </cell>
          <cell r="D186" t="str">
            <v>布+星星月亮</v>
          </cell>
        </row>
        <row r="187">
          <cell r="A187" t="str">
            <v>151315C</v>
          </cell>
          <cell r="B187" t="str">
            <v>LY-SA287U-A</v>
          </cell>
          <cell r="C187" t="str">
            <v>CONS ZAKIM OX</v>
          </cell>
          <cell r="D187" t="str">
            <v>布+星星月亮</v>
          </cell>
        </row>
        <row r="188">
          <cell r="A188" t="str">
            <v>151316C</v>
          </cell>
          <cell r="B188" t="str">
            <v>LY-SA287U-A</v>
          </cell>
          <cell r="C188" t="str">
            <v>CONS ZAKIM OX</v>
          </cell>
          <cell r="D188" t="str">
            <v>布+星星月亮</v>
          </cell>
        </row>
        <row r="189">
          <cell r="A189" t="str">
            <v>151317C</v>
          </cell>
          <cell r="B189" t="str">
            <v>LY-SA287U-A</v>
          </cell>
          <cell r="C189" t="str">
            <v>CONS ZAKIM OX</v>
          </cell>
          <cell r="D189" t="str">
            <v>布+星星月亮</v>
          </cell>
        </row>
        <row r="190">
          <cell r="A190" t="str">
            <v>151318C</v>
          </cell>
          <cell r="B190" t="str">
            <v>LY-SA287U-1A</v>
          </cell>
          <cell r="C190" t="str">
            <v>CONS ZAKIM OX</v>
          </cell>
          <cell r="D190" t="str">
            <v>布+星星月亮</v>
          </cell>
        </row>
        <row r="191">
          <cell r="A191" t="str">
            <v>151319C</v>
          </cell>
          <cell r="B191" t="str">
            <v>LY-SA265U-A</v>
          </cell>
          <cell r="C191" t="str">
            <v>DECONS OX</v>
          </cell>
          <cell r="D191" t="str">
            <v>布+星星月亮</v>
          </cell>
        </row>
        <row r="192">
          <cell r="A192" t="str">
            <v>151320C</v>
          </cell>
          <cell r="B192" t="str">
            <v>LY-SA265U-A</v>
          </cell>
          <cell r="C192" t="str">
            <v>DECONS OX</v>
          </cell>
          <cell r="D192" t="str">
            <v>布+星星月亮</v>
          </cell>
        </row>
        <row r="193">
          <cell r="A193" t="str">
            <v>151321C</v>
          </cell>
          <cell r="B193" t="str">
            <v>LY-SA265U-A</v>
          </cell>
          <cell r="C193" t="str">
            <v>DECONS OX</v>
          </cell>
          <cell r="D193" t="str">
            <v>布+星星月亮</v>
          </cell>
        </row>
        <row r="194">
          <cell r="A194" t="str">
            <v>151325C</v>
          </cell>
          <cell r="B194" t="str">
            <v>LY-SA224-A</v>
          </cell>
          <cell r="C194" t="str">
            <v>STAR PLAYER OX</v>
          </cell>
          <cell r="D194" t="str">
            <v>布+星星月亮</v>
          </cell>
        </row>
        <row r="195">
          <cell r="A195" t="str">
            <v>151326C</v>
          </cell>
          <cell r="B195" t="str">
            <v>LY-SA224-A</v>
          </cell>
          <cell r="C195" t="str">
            <v>STAR PLAYER OX</v>
          </cell>
          <cell r="D195" t="str">
            <v>布+星星月亮</v>
          </cell>
        </row>
        <row r="196">
          <cell r="A196" t="str">
            <v>151327C</v>
          </cell>
          <cell r="B196" t="str">
            <v>LY-SA224-A</v>
          </cell>
          <cell r="C196" t="str">
            <v>STAR PLAYER OX</v>
          </cell>
          <cell r="D196" t="str">
            <v>布+星星月亮</v>
          </cell>
        </row>
        <row r="197">
          <cell r="A197" t="str">
            <v>151328C</v>
          </cell>
          <cell r="B197" t="str">
            <v>LY-043L-A-1B</v>
          </cell>
          <cell r="C197" t="str">
            <v>STAR PLAYER LP OX</v>
          </cell>
          <cell r="D197" t="str">
            <v>布+星星月亮</v>
          </cell>
        </row>
        <row r="198">
          <cell r="A198" t="str">
            <v>151329C</v>
          </cell>
          <cell r="B198" t="str">
            <v>LY-043L-A-1B</v>
          </cell>
          <cell r="C198" t="str">
            <v>STAR PLAYER LP OX</v>
          </cell>
          <cell r="D198" t="str">
            <v>布+星星月亮</v>
          </cell>
        </row>
        <row r="199">
          <cell r="A199" t="str">
            <v>151330C</v>
          </cell>
          <cell r="B199" t="str">
            <v>LY-043L-A-1B</v>
          </cell>
          <cell r="C199" t="str">
            <v>STAR PLAYER LP OX</v>
          </cell>
          <cell r="D199" t="str">
            <v>布+星星月亮</v>
          </cell>
        </row>
        <row r="200">
          <cell r="A200" t="str">
            <v>151331C</v>
          </cell>
          <cell r="B200" t="str">
            <v>LY-SA177B-3E</v>
          </cell>
          <cell r="C200" t="str">
            <v>PRO BLAZE PLUS MID</v>
          </cell>
          <cell r="D200" t="str">
            <v>皮+星星月亮</v>
          </cell>
        </row>
        <row r="201">
          <cell r="A201" t="str">
            <v>151332C</v>
          </cell>
          <cell r="B201" t="str">
            <v>LY-SA177B-3E</v>
          </cell>
          <cell r="C201" t="str">
            <v>PRO BLAZE PLUS MID</v>
          </cell>
          <cell r="D201" t="str">
            <v>皮+星星月亮</v>
          </cell>
        </row>
        <row r="202">
          <cell r="A202" t="str">
            <v>151333C</v>
          </cell>
          <cell r="B202" t="str">
            <v>LY-SA224-B</v>
          </cell>
          <cell r="C202" t="str">
            <v>STAR PLAYER OX</v>
          </cell>
          <cell r="D202" t="str">
            <v>皮+星星月亮</v>
          </cell>
        </row>
        <row r="203">
          <cell r="A203" t="str">
            <v>151334C</v>
          </cell>
          <cell r="B203" t="str">
            <v>LY-SA224-B</v>
          </cell>
          <cell r="C203" t="str">
            <v>STAR PLAYER OX</v>
          </cell>
          <cell r="D203" t="str">
            <v>皮+星星月亮</v>
          </cell>
        </row>
        <row r="204">
          <cell r="A204" t="str">
            <v>151335C</v>
          </cell>
          <cell r="B204" t="str">
            <v>LY-SA224-B</v>
          </cell>
          <cell r="C204" t="str">
            <v>STAR PLAYER OX</v>
          </cell>
          <cell r="D204" t="str">
            <v>皮+星星月亮</v>
          </cell>
        </row>
        <row r="205">
          <cell r="A205" t="str">
            <v>151341C</v>
          </cell>
          <cell r="B205" t="str">
            <v>LY-SA224-1A</v>
          </cell>
          <cell r="C205" t="str">
            <v>STAR PLAYER OX</v>
          </cell>
          <cell r="D205" t="str">
            <v>布+星星月亮</v>
          </cell>
        </row>
        <row r="206">
          <cell r="A206" t="str">
            <v>151342C</v>
          </cell>
          <cell r="B206" t="str">
            <v>LY-SA224-2A</v>
          </cell>
          <cell r="C206" t="str">
            <v>STAR PLAYER OX</v>
          </cell>
          <cell r="D206" t="str">
            <v>布+星星月亮</v>
          </cell>
        </row>
        <row r="207">
          <cell r="A207" t="str">
            <v>151343C</v>
          </cell>
          <cell r="B207" t="str">
            <v>LY-SA224-2A</v>
          </cell>
          <cell r="C207" t="str">
            <v>STAR PLAYER OX</v>
          </cell>
          <cell r="D207" t="str">
            <v>布+星星月亮</v>
          </cell>
        </row>
        <row r="208">
          <cell r="A208" t="str">
            <v>151344C</v>
          </cell>
          <cell r="B208" t="str">
            <v>LY-SA287U-B</v>
          </cell>
          <cell r="C208" t="str">
            <v>CONS ZAKIM OX</v>
          </cell>
          <cell r="D208" t="str">
            <v>皮+星星月亮</v>
          </cell>
        </row>
        <row r="209">
          <cell r="A209" t="str">
            <v>151345C</v>
          </cell>
          <cell r="B209" t="str">
            <v>LY-SA287U-B</v>
          </cell>
          <cell r="C209" t="str">
            <v>CONS ZAKIM OX</v>
          </cell>
          <cell r="D209" t="str">
            <v>皮+星星月亮</v>
          </cell>
        </row>
        <row r="210">
          <cell r="A210" t="str">
            <v>151346C</v>
          </cell>
          <cell r="B210" t="str">
            <v>LY-SA287U-B</v>
          </cell>
          <cell r="C210" t="str">
            <v>CONS ZAKIM OX</v>
          </cell>
          <cell r="D210" t="str">
            <v>皮+星星月亮</v>
          </cell>
        </row>
        <row r="211">
          <cell r="A211" t="str">
            <v>151347C</v>
          </cell>
          <cell r="B211" t="str">
            <v>LY-SA224-2B</v>
          </cell>
          <cell r="C211" t="str">
            <v>STAR PLAYER OX</v>
          </cell>
          <cell r="D211" t="str">
            <v>皮+星星月亮</v>
          </cell>
        </row>
        <row r="212">
          <cell r="A212" t="str">
            <v>151349C</v>
          </cell>
          <cell r="B212" t="str">
            <v>LY-SA224-2B</v>
          </cell>
          <cell r="C212" t="str">
            <v>STAR PLAYER OX</v>
          </cell>
          <cell r="D212" t="str">
            <v>皮+星星月亮</v>
          </cell>
        </row>
        <row r="213">
          <cell r="A213" t="str">
            <v>151355C</v>
          </cell>
          <cell r="B213" t="str">
            <v>LY-SA224-1B-1</v>
          </cell>
          <cell r="C213" t="str">
            <v>STAR PLAYER OX</v>
          </cell>
          <cell r="D213" t="str">
            <v>皮+星星月亮</v>
          </cell>
        </row>
        <row r="214">
          <cell r="A214" t="str">
            <v>151356C</v>
          </cell>
          <cell r="B214" t="str">
            <v>LY-SA224-1B</v>
          </cell>
          <cell r="C214" t="str">
            <v>STAR PLAYER OX</v>
          </cell>
          <cell r="D214" t="str">
            <v>皮+星星月亮</v>
          </cell>
        </row>
        <row r="215">
          <cell r="A215" t="str">
            <v>151364C</v>
          </cell>
          <cell r="B215" t="str">
            <v>LY-SA287U-2A</v>
          </cell>
          <cell r="C215" t="str">
            <v>CONS ZAKIM OX</v>
          </cell>
          <cell r="D215" t="str">
            <v>布+星星月亮</v>
          </cell>
        </row>
        <row r="216">
          <cell r="A216" t="str">
            <v>151365C</v>
          </cell>
          <cell r="B216" t="str">
            <v>LY-SA287U-2A</v>
          </cell>
          <cell r="C216" t="str">
            <v>CONS ZAKIM OX</v>
          </cell>
          <cell r="D216" t="str">
            <v>布+星星月亮</v>
          </cell>
        </row>
        <row r="217">
          <cell r="A217" t="str">
            <v>151366C</v>
          </cell>
          <cell r="B217" t="str">
            <v>LY-SA287U-2A</v>
          </cell>
          <cell r="C217" t="str">
            <v>CONS ZAKIM OX</v>
          </cell>
          <cell r="D217" t="str">
            <v>布+星星月亮</v>
          </cell>
        </row>
        <row r="218">
          <cell r="A218" t="str">
            <v>151367C</v>
          </cell>
          <cell r="B218" t="str">
            <v>LY-SA287U-2A</v>
          </cell>
          <cell r="C218" t="str">
            <v>CONS ZAKIM OX</v>
          </cell>
          <cell r="D218" t="str">
            <v>布+星星月亮</v>
          </cell>
        </row>
        <row r="219">
          <cell r="A219" t="str">
            <v>151368C</v>
          </cell>
          <cell r="B219" t="str">
            <v>LY-SA224-6A-2</v>
          </cell>
          <cell r="C219" t="str">
            <v>STAR PLAYER OX</v>
          </cell>
          <cell r="D219" t="str">
            <v>皮+星星月亮</v>
          </cell>
        </row>
        <row r="220">
          <cell r="A220" t="str">
            <v>151369C</v>
          </cell>
          <cell r="B220" t="str">
            <v>LY-SA224-6A-2</v>
          </cell>
          <cell r="C220" t="str">
            <v>STAR PLAYER OX</v>
          </cell>
          <cell r="D220" t="str">
            <v>皮+星星月亮</v>
          </cell>
        </row>
        <row r="221">
          <cell r="A221" t="str">
            <v>151374C</v>
          </cell>
          <cell r="B221" t="str">
            <v>LY-SA224-5A</v>
          </cell>
          <cell r="C221" t="str">
            <v>STAR PLAYER OX</v>
          </cell>
          <cell r="D221" t="str">
            <v>布+星星月亮</v>
          </cell>
        </row>
        <row r="222">
          <cell r="A222" t="str">
            <v>151375C</v>
          </cell>
          <cell r="B222" t="str">
            <v>LY-SA224-5A</v>
          </cell>
          <cell r="C222" t="str">
            <v>STAR PLAYER OX</v>
          </cell>
          <cell r="D222" t="str">
            <v>布+星星月亮</v>
          </cell>
        </row>
        <row r="223">
          <cell r="A223" t="str">
            <v>151376C</v>
          </cell>
          <cell r="B223" t="str">
            <v>LY-SA224-5A</v>
          </cell>
          <cell r="C223" t="str">
            <v>STAR PLAYER OX</v>
          </cell>
          <cell r="D223" t="str">
            <v>布+星星月亮</v>
          </cell>
        </row>
        <row r="224">
          <cell r="A224" t="str">
            <v>151379C</v>
          </cell>
          <cell r="B224" t="str">
            <v>LY-043L-A-4A</v>
          </cell>
          <cell r="C224" t="str">
            <v>STAR PLAYER LP OX</v>
          </cell>
          <cell r="D224" t="str">
            <v>布+星星月亮</v>
          </cell>
        </row>
        <row r="225">
          <cell r="A225" t="str">
            <v>151380C</v>
          </cell>
          <cell r="B225" t="str">
            <v>LY-043L-A-4A</v>
          </cell>
          <cell r="C225" t="str">
            <v>STAR PLAYER LP OX</v>
          </cell>
          <cell r="D225" t="str">
            <v>布+星星月亮</v>
          </cell>
        </row>
        <row r="226">
          <cell r="A226" t="str">
            <v>151381C</v>
          </cell>
          <cell r="B226" t="str">
            <v>LY-043L-A-4A</v>
          </cell>
          <cell r="C226" t="str">
            <v>STAR PLAYER LP OX</v>
          </cell>
          <cell r="D226" t="str">
            <v>布+星星月亮</v>
          </cell>
        </row>
        <row r="227">
          <cell r="A227" t="str">
            <v>151398C</v>
          </cell>
          <cell r="B227" t="str">
            <v>LY-SK116U-1A</v>
          </cell>
          <cell r="C227" t="str">
            <v>CONS SUMMER OX</v>
          </cell>
          <cell r="D227" t="str">
            <v>布</v>
          </cell>
        </row>
        <row r="228">
          <cell r="A228" t="str">
            <v>151399C</v>
          </cell>
          <cell r="B228" t="str">
            <v>LY-SK116U-1A</v>
          </cell>
          <cell r="C228" t="str">
            <v>CONS SUMNER OX</v>
          </cell>
          <cell r="D228" t="str">
            <v>布</v>
          </cell>
        </row>
        <row r="229">
          <cell r="A229" t="str">
            <v>151409C</v>
          </cell>
          <cell r="B229" t="str">
            <v>LY-SK116U-2B</v>
          </cell>
          <cell r="C229" t="str">
            <v>CONS SUMMER OX</v>
          </cell>
          <cell r="D229" t="str">
            <v>皮</v>
          </cell>
        </row>
        <row r="230">
          <cell r="A230" t="str">
            <v>151428C</v>
          </cell>
          <cell r="B230" t="str">
            <v>LY-SK116U-1B-1</v>
          </cell>
          <cell r="C230" t="str">
            <v>CONS SUMNER OX</v>
          </cell>
          <cell r="D230" t="str">
            <v>皮</v>
          </cell>
        </row>
        <row r="231">
          <cell r="A231" t="str">
            <v>151429C</v>
          </cell>
          <cell r="B231" t="str">
            <v>LY-SK116U-2B</v>
          </cell>
          <cell r="C231" t="str">
            <v>CONS SUMNER OX</v>
          </cell>
          <cell r="D231" t="str">
            <v>皮</v>
          </cell>
        </row>
        <row r="232">
          <cell r="A232" t="str">
            <v>151434C</v>
          </cell>
          <cell r="B232" t="str">
            <v>LY-SK116U-1B</v>
          </cell>
          <cell r="C232" t="str">
            <v>CONS SUMNER OX</v>
          </cell>
          <cell r="D232" t="str">
            <v>皮</v>
          </cell>
        </row>
        <row r="233">
          <cell r="A233" t="str">
            <v>151920C</v>
          </cell>
          <cell r="B233" t="str">
            <v>LY-CT602B-2</v>
          </cell>
          <cell r="C233" t="str">
            <v>CTAS FRESH HI</v>
          </cell>
          <cell r="D233" t="str">
            <v>皮</v>
          </cell>
        </row>
        <row r="234">
          <cell r="A234" t="str">
            <v>151977C</v>
          </cell>
          <cell r="B234" t="str">
            <v>LY-043L-B-1</v>
          </cell>
          <cell r="C234" t="str">
            <v>STAR PLAYER LP OX</v>
          </cell>
          <cell r="D234" t="str">
            <v>皮+星星月亮</v>
          </cell>
        </row>
        <row r="235">
          <cell r="A235" t="str">
            <v>151978C</v>
          </cell>
          <cell r="B235" t="str">
            <v>LY-043L-B-1</v>
          </cell>
          <cell r="C235" t="str">
            <v>STAR PLAYER LP OX</v>
          </cell>
          <cell r="D235" t="str">
            <v>皮+星星月亮</v>
          </cell>
        </row>
        <row r="236">
          <cell r="A236" t="str">
            <v>151984C</v>
          </cell>
          <cell r="B236" t="str">
            <v>LY-SA224-A-1</v>
          </cell>
          <cell r="C236" t="str">
            <v>STAR PLAYER OX</v>
          </cell>
          <cell r="D236" t="str">
            <v>布+星星月亮</v>
          </cell>
        </row>
        <row r="237">
          <cell r="A237" t="str">
            <v>152658C</v>
          </cell>
          <cell r="B237" t="str">
            <v>LY-CT602B-1</v>
          </cell>
          <cell r="C237" t="str">
            <v>CTAS FRESH HI</v>
          </cell>
          <cell r="D237" t="str">
            <v>皮</v>
          </cell>
        </row>
        <row r="238">
          <cell r="A238" t="str">
            <v>152659C</v>
          </cell>
          <cell r="B238" t="str">
            <v>LY-CT602B-3</v>
          </cell>
          <cell r="C238" t="str">
            <v>CTAS FRESH HI</v>
          </cell>
          <cell r="D238" t="str">
            <v>PU</v>
          </cell>
        </row>
        <row r="239">
          <cell r="A239" t="str">
            <v>152812C</v>
          </cell>
          <cell r="B239" t="str">
            <v>LY-CT725U-B</v>
          </cell>
          <cell r="C239" t="str">
            <v>CTAS II HI</v>
          </cell>
          <cell r="D239" t="str">
            <v>皮</v>
          </cell>
        </row>
        <row r="240">
          <cell r="A240" t="str">
            <v>152813C</v>
          </cell>
          <cell r="B240" t="str">
            <v>LY-CT725U-B</v>
          </cell>
          <cell r="C240" t="str">
            <v>CTAS II HI</v>
          </cell>
          <cell r="D240" t="str">
            <v>皮</v>
          </cell>
        </row>
        <row r="241">
          <cell r="A241" t="str">
            <v>152814C</v>
          </cell>
          <cell r="B241" t="str">
            <v>LY-CT725U-B</v>
          </cell>
          <cell r="C241" t="str">
            <v>CTAS II HI</v>
          </cell>
          <cell r="D241" t="str">
            <v>皮</v>
          </cell>
        </row>
        <row r="242">
          <cell r="A242" t="str">
            <v>152820C</v>
          </cell>
          <cell r="B242" t="str">
            <v>LY-CT602B-1</v>
          </cell>
          <cell r="C242" t="str">
            <v>CTAS FRESH HI</v>
          </cell>
          <cell r="D242" t="str">
            <v>皮</v>
          </cell>
        </row>
        <row r="243">
          <cell r="A243" t="str">
            <v>152821C</v>
          </cell>
          <cell r="B243" t="str">
            <v>LY-CT602B-1</v>
          </cell>
          <cell r="C243" t="str">
            <v>CTAS FRESH HI</v>
          </cell>
          <cell r="D243" t="str">
            <v>皮</v>
          </cell>
        </row>
        <row r="244">
          <cell r="A244" t="str">
            <v>152951C</v>
          </cell>
          <cell r="B244" t="str">
            <v>LY-SA224-A-1A</v>
          </cell>
          <cell r="C244" t="str">
            <v>STAR PLAYER OX</v>
          </cell>
          <cell r="D244" t="str">
            <v>布+星星月亮</v>
          </cell>
        </row>
        <row r="245">
          <cell r="A245" t="str">
            <v>152952C</v>
          </cell>
          <cell r="B245" t="str">
            <v>LY-SA224-A-1A</v>
          </cell>
          <cell r="C245" t="str">
            <v>STAR PLAYER OX</v>
          </cell>
          <cell r="D245" t="str">
            <v>布+星星月亮</v>
          </cell>
        </row>
        <row r="246">
          <cell r="A246" t="str">
            <v>153022C</v>
          </cell>
          <cell r="B246" t="str">
            <v>LY-CT725U-1B</v>
          </cell>
          <cell r="C246" t="str">
            <v>CTAS II HI</v>
          </cell>
          <cell r="D246" t="str">
            <v>布+CCS大车料</v>
          </cell>
        </row>
        <row r="247">
          <cell r="A247" t="str">
            <v>153023C</v>
          </cell>
          <cell r="B247" t="str">
            <v>LY-CT726U-1B</v>
          </cell>
          <cell r="C247" t="str">
            <v>CTAS II OX</v>
          </cell>
          <cell r="D247" t="str">
            <v>布+CCS大车料</v>
          </cell>
        </row>
        <row r="248">
          <cell r="A248" t="str">
            <v>153026C</v>
          </cell>
          <cell r="B248" t="str">
            <v>LY-CT725U-6A</v>
          </cell>
          <cell r="C248" t="str">
            <v>CTAS II HI</v>
          </cell>
          <cell r="D248" t="str">
            <v>布</v>
          </cell>
        </row>
        <row r="249">
          <cell r="A249" t="str">
            <v>153029C</v>
          </cell>
          <cell r="B249" t="str">
            <v>LY-CT726U-6A</v>
          </cell>
          <cell r="C249" t="str">
            <v>CTAS II OX</v>
          </cell>
          <cell r="D249" t="str">
            <v>布</v>
          </cell>
        </row>
        <row r="250">
          <cell r="A250" t="str">
            <v>153049B</v>
          </cell>
          <cell r="B250" t="str">
            <v>LY-CT725U-A</v>
          </cell>
          <cell r="C250" t="str">
            <v>CTAS II HI</v>
          </cell>
          <cell r="D250" t="str">
            <v>布</v>
          </cell>
        </row>
        <row r="251">
          <cell r="A251" t="str">
            <v>153050B</v>
          </cell>
          <cell r="B251" t="str">
            <v>LY-CT725U-A</v>
          </cell>
          <cell r="C251" t="str">
            <v>CTAS II HI</v>
          </cell>
          <cell r="D251" t="str">
            <v>布</v>
          </cell>
        </row>
        <row r="252">
          <cell r="A252" t="str">
            <v>153051B</v>
          </cell>
          <cell r="B252" t="str">
            <v>LY-CT725U-A</v>
          </cell>
          <cell r="C252" t="str">
            <v>CTAS II HI</v>
          </cell>
          <cell r="D252" t="str">
            <v>布</v>
          </cell>
        </row>
        <row r="253">
          <cell r="A253" t="str">
            <v>153052B</v>
          </cell>
          <cell r="B253" t="str">
            <v>LY-CT725U-A</v>
          </cell>
          <cell r="C253" t="str">
            <v>CTAS II HI</v>
          </cell>
          <cell r="D253" t="str">
            <v>布</v>
          </cell>
        </row>
        <row r="254">
          <cell r="A254" t="str">
            <v>153053B</v>
          </cell>
          <cell r="B254" t="str">
            <v>LY-CT726U-A</v>
          </cell>
          <cell r="C254" t="str">
            <v>CTAS II OX</v>
          </cell>
          <cell r="D254" t="str">
            <v>布</v>
          </cell>
        </row>
        <row r="255">
          <cell r="A255" t="str">
            <v>153054B</v>
          </cell>
          <cell r="B255" t="str">
            <v>LY-CT726U-A</v>
          </cell>
          <cell r="C255" t="str">
            <v>CTAS II OX</v>
          </cell>
          <cell r="D255" t="str">
            <v>布</v>
          </cell>
        </row>
        <row r="256">
          <cell r="A256" t="str">
            <v>153055B</v>
          </cell>
          <cell r="B256" t="str">
            <v>LY-CT726U-A</v>
          </cell>
          <cell r="C256" t="str">
            <v>CTAS II OX</v>
          </cell>
          <cell r="D256" t="str">
            <v>布</v>
          </cell>
        </row>
        <row r="257">
          <cell r="A257" t="str">
            <v>153056B</v>
          </cell>
          <cell r="B257" t="str">
            <v>LY-CT726U-A</v>
          </cell>
          <cell r="C257" t="str">
            <v>CTAS II OX</v>
          </cell>
          <cell r="D257" t="str">
            <v>布</v>
          </cell>
        </row>
        <row r="258">
          <cell r="A258" t="str">
            <v>153110C</v>
          </cell>
          <cell r="B258" t="str">
            <v>LY-CT818U-1B</v>
          </cell>
          <cell r="C258" t="str">
            <v>CTAS ALPHA HI</v>
          </cell>
          <cell r="D258" t="str">
            <v>皮</v>
          </cell>
        </row>
        <row r="259">
          <cell r="A259" t="str">
            <v>153111C</v>
          </cell>
          <cell r="B259" t="str">
            <v>LY-CT818U-1B</v>
          </cell>
          <cell r="C259" t="str">
            <v>CTAS ALPHA HI</v>
          </cell>
          <cell r="D259" t="str">
            <v>皮</v>
          </cell>
        </row>
        <row r="260">
          <cell r="A260" t="str">
            <v>153112C</v>
          </cell>
          <cell r="B260" t="str">
            <v>LY-CT602B-4</v>
          </cell>
          <cell r="C260" t="str">
            <v>CTAS FRESH HI</v>
          </cell>
          <cell r="D260" t="str">
            <v>皮</v>
          </cell>
        </row>
        <row r="261">
          <cell r="A261" t="str">
            <v>153113C</v>
          </cell>
          <cell r="B261" t="str">
            <v>LY-CT818U-B</v>
          </cell>
          <cell r="C261" t="str">
            <v>CT AS ALPHA HI</v>
          </cell>
          <cell r="D261" t="str">
            <v>皮</v>
          </cell>
        </row>
        <row r="262">
          <cell r="A262" t="str">
            <v>153114C</v>
          </cell>
          <cell r="B262" t="str">
            <v>LY-CT819U-B</v>
          </cell>
          <cell r="C262" t="str">
            <v>CTAS ALPHA MID</v>
          </cell>
          <cell r="D262" t="str">
            <v>皮</v>
          </cell>
        </row>
        <row r="263">
          <cell r="A263" t="str">
            <v>153115C</v>
          </cell>
          <cell r="B263" t="str">
            <v>LY-CT AS HI CR-XXX-4D</v>
          </cell>
          <cell r="C263" t="str">
            <v>CT AS HI</v>
          </cell>
          <cell r="D263" t="str">
            <v>皮</v>
          </cell>
        </row>
        <row r="264">
          <cell r="A264" t="str">
            <v>153116C</v>
          </cell>
          <cell r="B264" t="str">
            <v>LY-CT AS OX CR-XXX-3F</v>
          </cell>
          <cell r="C264" t="str">
            <v>CT AS OX</v>
          </cell>
          <cell r="D264" t="str">
            <v>皮</v>
          </cell>
        </row>
        <row r="265">
          <cell r="A265" t="str">
            <v>153135C</v>
          </cell>
          <cell r="B265" t="str">
            <v>LY-CT725U-4A</v>
          </cell>
          <cell r="C265" t="str">
            <v>CTAS II HI</v>
          </cell>
          <cell r="D265" t="str">
            <v>布</v>
          </cell>
        </row>
        <row r="266">
          <cell r="A266" t="str">
            <v>153136C</v>
          </cell>
          <cell r="B266" t="str">
            <v>LY-CT725U-4A</v>
          </cell>
          <cell r="C266" t="str">
            <v>CTAS II HI</v>
          </cell>
          <cell r="D266" t="str">
            <v>布</v>
          </cell>
        </row>
        <row r="267">
          <cell r="A267" t="str">
            <v>153464C</v>
          </cell>
          <cell r="B267" t="str">
            <v>LY-SK122U-A</v>
          </cell>
          <cell r="C267" t="str">
            <v>CRIMSON CANVAS OX</v>
          </cell>
          <cell r="D267" t="str">
            <v>布</v>
          </cell>
        </row>
        <row r="268">
          <cell r="A268" t="str">
            <v>153465C</v>
          </cell>
          <cell r="B268" t="str">
            <v>LY-SK122U-A</v>
          </cell>
          <cell r="C268" t="str">
            <v>CRIMSON CANVAS OX</v>
          </cell>
          <cell r="D268" t="str">
            <v>布</v>
          </cell>
        </row>
        <row r="269">
          <cell r="A269" t="str">
            <v>153466C</v>
          </cell>
          <cell r="B269" t="str">
            <v>LY-SK122U-A</v>
          </cell>
          <cell r="C269" t="str">
            <v>CRIMSON CANVAS OX</v>
          </cell>
          <cell r="D269" t="str">
            <v>布</v>
          </cell>
        </row>
        <row r="270">
          <cell r="A270" t="str">
            <v>153467C</v>
          </cell>
          <cell r="B270" t="str">
            <v>LY-SK122U-1A</v>
          </cell>
          <cell r="C270" t="str">
            <v>CRIMSON HEAVY CANVAS OX</v>
          </cell>
          <cell r="D270" t="str">
            <v>布</v>
          </cell>
        </row>
        <row r="271">
          <cell r="A271" t="str">
            <v>153468C</v>
          </cell>
          <cell r="B271" t="str">
            <v>LY-SK122U-1A</v>
          </cell>
          <cell r="C271" t="str">
            <v>CRIMSON HEAVY CANVAS OX</v>
          </cell>
          <cell r="D271" t="str">
            <v>布</v>
          </cell>
        </row>
        <row r="272">
          <cell r="A272" t="str">
            <v>153469C</v>
          </cell>
          <cell r="B272" t="str">
            <v>LY-SK122U-B</v>
          </cell>
          <cell r="C272" t="str">
            <v>CRIMSON SUEDE OX</v>
          </cell>
          <cell r="D272" t="str">
            <v>皮</v>
          </cell>
        </row>
        <row r="273">
          <cell r="A273" t="str">
            <v>153470C</v>
          </cell>
          <cell r="B273" t="str">
            <v>LY-SK122U-B</v>
          </cell>
          <cell r="C273" t="str">
            <v>CRIMSON SUEDE OX</v>
          </cell>
          <cell r="D273" t="str">
            <v>皮</v>
          </cell>
        </row>
        <row r="274">
          <cell r="A274" t="str">
            <v>153471C</v>
          </cell>
          <cell r="B274" t="str">
            <v>LY-SK122U-B</v>
          </cell>
          <cell r="C274" t="str">
            <v>CRIMSON SUEDE OX</v>
          </cell>
          <cell r="D274" t="str">
            <v>皮</v>
          </cell>
        </row>
        <row r="275">
          <cell r="A275" t="str">
            <v>153496C</v>
          </cell>
          <cell r="B275" t="str">
            <v>LY-SK116U-1B-2</v>
          </cell>
          <cell r="C275" t="str">
            <v>CONS SUMNER OX</v>
          </cell>
          <cell r="D275" t="str">
            <v>皮</v>
          </cell>
        </row>
        <row r="276">
          <cell r="A276" t="str">
            <v>153497C</v>
          </cell>
          <cell r="B276" t="str">
            <v>LY-SK116U-1B-2</v>
          </cell>
          <cell r="C276" t="str">
            <v>CONS SUMNER OX</v>
          </cell>
          <cell r="D276" t="str">
            <v>皮</v>
          </cell>
        </row>
        <row r="277">
          <cell r="A277" t="str">
            <v>153498C</v>
          </cell>
          <cell r="B277" t="str">
            <v>LY-SK116U-2B</v>
          </cell>
          <cell r="C277" t="str">
            <v>CONS SUMNER OX</v>
          </cell>
          <cell r="D277" t="str">
            <v>皮</v>
          </cell>
        </row>
        <row r="278">
          <cell r="A278" t="str">
            <v>153499C</v>
          </cell>
          <cell r="B278" t="str">
            <v>LY-SK116U-1A</v>
          </cell>
          <cell r="C278" t="str">
            <v>CONS SUMNER HEAVY CANVAS OX</v>
          </cell>
          <cell r="D278" t="str">
            <v>布</v>
          </cell>
        </row>
        <row r="279">
          <cell r="A279" t="str">
            <v>153500C</v>
          </cell>
          <cell r="B279" t="str">
            <v>LY-SK116U-1A</v>
          </cell>
          <cell r="C279" t="str">
            <v>CONS SUMNER HEAVY CANVAS OX</v>
          </cell>
          <cell r="D279" t="str">
            <v>布</v>
          </cell>
        </row>
        <row r="280">
          <cell r="A280" t="str">
            <v>153522C</v>
          </cell>
          <cell r="B280" t="str">
            <v>LY-CT099U-5</v>
          </cell>
          <cell r="C280" t="str">
            <v>CTAS ARASHI WASH HI</v>
          </cell>
          <cell r="D280" t="str">
            <v>水洗</v>
          </cell>
        </row>
        <row r="281">
          <cell r="A281" t="str">
            <v>153523C</v>
          </cell>
          <cell r="B281" t="str">
            <v>LY-CT099U-5</v>
          </cell>
          <cell r="C281" t="str">
            <v>CTAS ARASHI WASH HI</v>
          </cell>
          <cell r="D281" t="str">
            <v>水洗</v>
          </cell>
        </row>
        <row r="282">
          <cell r="A282" t="str">
            <v>153525C</v>
          </cell>
          <cell r="B282" t="str">
            <v>LY-CT AS OX CR-XXX</v>
          </cell>
          <cell r="C282" t="str">
            <v>CTAS ARASHI WASH OX</v>
          </cell>
          <cell r="D282" t="str">
            <v>水洗</v>
          </cell>
        </row>
        <row r="283">
          <cell r="A283" t="str">
            <v>153526C</v>
          </cell>
          <cell r="B283" t="str">
            <v>LY-CT AS OX CR-XXX</v>
          </cell>
          <cell r="C283" t="str">
            <v>CTAS ARASHI WASH OX</v>
          </cell>
          <cell r="D283" t="str">
            <v>水洗</v>
          </cell>
        </row>
        <row r="284">
          <cell r="A284" t="str">
            <v>153527C</v>
          </cell>
          <cell r="B284" t="str">
            <v>LY-CT AS OX CR-XXX</v>
          </cell>
          <cell r="C284" t="str">
            <v>CTAS ARASHI WASH OX</v>
          </cell>
          <cell r="D284" t="str">
            <v>水洗</v>
          </cell>
        </row>
        <row r="285">
          <cell r="A285" t="str">
            <v>153531C</v>
          </cell>
          <cell r="B285" t="str">
            <v>LY-CT725U-5A-1</v>
          </cell>
          <cell r="C285" t="str">
            <v>CTAS II HI</v>
          </cell>
          <cell r="D285" t="str">
            <v>布</v>
          </cell>
        </row>
        <row r="286">
          <cell r="A286" t="str">
            <v>153531V</v>
          </cell>
          <cell r="B286" t="str">
            <v>LY-CT725U-5A-1</v>
          </cell>
          <cell r="C286" t="str">
            <v>CT AS II HI</v>
          </cell>
          <cell r="D286" t="str">
            <v>布</v>
          </cell>
        </row>
        <row r="287">
          <cell r="A287" t="str">
            <v>153532C</v>
          </cell>
          <cell r="B287" t="str">
            <v>LY-CT725U-5A-1</v>
          </cell>
          <cell r="C287" t="str">
            <v>CTAS II HI</v>
          </cell>
          <cell r="D287" t="str">
            <v>布</v>
          </cell>
        </row>
        <row r="288">
          <cell r="A288" t="str">
            <v>153532V</v>
          </cell>
          <cell r="B288" t="str">
            <v>LY-CT725U-5A-1</v>
          </cell>
          <cell r="C288" t="str">
            <v>CT AS II HI</v>
          </cell>
          <cell r="D288" t="str">
            <v>布</v>
          </cell>
        </row>
        <row r="289">
          <cell r="A289" t="str">
            <v>153533C</v>
          </cell>
          <cell r="B289" t="str">
            <v>LY-CT725U-5A-1</v>
          </cell>
          <cell r="C289" t="str">
            <v>CTAS II HI</v>
          </cell>
          <cell r="D289" t="str">
            <v>布</v>
          </cell>
        </row>
        <row r="290">
          <cell r="A290" t="str">
            <v>153533V</v>
          </cell>
          <cell r="B290" t="str">
            <v>LY-CT725U-5A-1</v>
          </cell>
          <cell r="C290" t="str">
            <v>CT AS II HI</v>
          </cell>
          <cell r="D290" t="str">
            <v>布</v>
          </cell>
        </row>
        <row r="291">
          <cell r="A291" t="str">
            <v>153534C</v>
          </cell>
          <cell r="B291" t="str">
            <v>LY-CT725U-5A-1</v>
          </cell>
          <cell r="C291" t="str">
            <v>CTAS II HI</v>
          </cell>
          <cell r="D291" t="str">
            <v>布</v>
          </cell>
        </row>
        <row r="292">
          <cell r="A292" t="str">
            <v>153534V</v>
          </cell>
          <cell r="B292" t="str">
            <v>LY-CT725U-5A-1</v>
          </cell>
          <cell r="C292" t="str">
            <v>CT AS II HI</v>
          </cell>
          <cell r="D292" t="str">
            <v>布</v>
          </cell>
        </row>
        <row r="293">
          <cell r="A293" t="str">
            <v>153535C</v>
          </cell>
          <cell r="B293" t="str">
            <v>LY-CT725U-5A-1</v>
          </cell>
          <cell r="C293" t="str">
            <v>CTAS II HI</v>
          </cell>
          <cell r="D293" t="str">
            <v>布</v>
          </cell>
        </row>
        <row r="294">
          <cell r="A294" t="str">
            <v>153535V</v>
          </cell>
          <cell r="B294" t="str">
            <v>LY-CT725U-5A-1</v>
          </cell>
          <cell r="C294" t="str">
            <v>CT AS II HI</v>
          </cell>
          <cell r="D294" t="str">
            <v>布</v>
          </cell>
        </row>
        <row r="295">
          <cell r="A295" t="str">
            <v>153536C</v>
          </cell>
          <cell r="B295" t="str">
            <v>LY-CT725U-5A-1</v>
          </cell>
          <cell r="C295" t="str">
            <v>CTAS II HI</v>
          </cell>
          <cell r="D295" t="str">
            <v>布</v>
          </cell>
        </row>
        <row r="296">
          <cell r="A296" t="str">
            <v>153537C</v>
          </cell>
          <cell r="B296" t="str">
            <v>LY-CT726U-5A-1</v>
          </cell>
          <cell r="C296" t="str">
            <v>CTAS II OX</v>
          </cell>
          <cell r="D296" t="str">
            <v>布</v>
          </cell>
        </row>
        <row r="297">
          <cell r="A297" t="str">
            <v>153537V</v>
          </cell>
          <cell r="B297" t="str">
            <v>LY-CT726U-5A-1</v>
          </cell>
          <cell r="C297" t="str">
            <v>CT AS II OX</v>
          </cell>
          <cell r="D297" t="str">
            <v>布</v>
          </cell>
        </row>
        <row r="298">
          <cell r="A298" t="str">
            <v>153538C</v>
          </cell>
          <cell r="B298" t="str">
            <v>LY-CT726U-5A-1</v>
          </cell>
          <cell r="C298" t="str">
            <v>CTAS II OX</v>
          </cell>
          <cell r="D298" t="str">
            <v>布</v>
          </cell>
        </row>
        <row r="299">
          <cell r="A299" t="str">
            <v>153538V</v>
          </cell>
          <cell r="B299" t="str">
            <v>LY-CT726U-5A-1</v>
          </cell>
          <cell r="C299" t="str">
            <v>CT AS II OX</v>
          </cell>
          <cell r="D299" t="str">
            <v>布</v>
          </cell>
        </row>
        <row r="300">
          <cell r="A300" t="str">
            <v>153539C</v>
          </cell>
          <cell r="B300" t="str">
            <v>LY-CT726U-5A-1</v>
          </cell>
          <cell r="C300" t="str">
            <v>CTAS II OX</v>
          </cell>
          <cell r="D300" t="str">
            <v>布</v>
          </cell>
        </row>
        <row r="301">
          <cell r="A301" t="str">
            <v>153539V</v>
          </cell>
          <cell r="B301" t="str">
            <v>LY-CT726U-5A-1</v>
          </cell>
          <cell r="C301" t="str">
            <v>CT AS II OX</v>
          </cell>
          <cell r="D301" t="str">
            <v>布</v>
          </cell>
        </row>
        <row r="302">
          <cell r="A302" t="str">
            <v>153540C</v>
          </cell>
          <cell r="B302" t="str">
            <v>LY-CT726U-5A-1</v>
          </cell>
          <cell r="C302" t="str">
            <v>CTAS II OX</v>
          </cell>
          <cell r="D302" t="str">
            <v>布</v>
          </cell>
        </row>
        <row r="303">
          <cell r="A303" t="str">
            <v>153540V</v>
          </cell>
          <cell r="B303" t="str">
            <v>LY-CT726U-5A-1</v>
          </cell>
          <cell r="C303" t="str">
            <v>CT AS II OX</v>
          </cell>
          <cell r="D303" t="str">
            <v>布</v>
          </cell>
        </row>
        <row r="304">
          <cell r="A304" t="str">
            <v>153541C</v>
          </cell>
          <cell r="B304" t="str">
            <v>LY-CT726U-5A-1</v>
          </cell>
          <cell r="C304" t="str">
            <v>CTAS II OX</v>
          </cell>
          <cell r="D304" t="str">
            <v>布</v>
          </cell>
        </row>
        <row r="305">
          <cell r="A305" t="str">
            <v>153541V</v>
          </cell>
          <cell r="B305" t="str">
            <v>LY-CT726U-5A-1</v>
          </cell>
          <cell r="C305" t="str">
            <v>CT AS II OX</v>
          </cell>
          <cell r="D305" t="str">
            <v>布</v>
          </cell>
        </row>
        <row r="306">
          <cell r="A306" t="str">
            <v>153542C</v>
          </cell>
          <cell r="B306" t="str">
            <v>LY-CT726U-5A-1</v>
          </cell>
          <cell r="C306" t="str">
            <v>CTAS II OX</v>
          </cell>
          <cell r="D306" t="str">
            <v>布</v>
          </cell>
        </row>
        <row r="307">
          <cell r="A307" t="str">
            <v>153543C</v>
          </cell>
          <cell r="B307" t="str">
            <v>LY-CT725U-7A-1</v>
          </cell>
          <cell r="C307" t="str">
            <v>CTAS II HI</v>
          </cell>
          <cell r="D307" t="str">
            <v>布</v>
          </cell>
        </row>
        <row r="308">
          <cell r="A308" t="str">
            <v>153544C</v>
          </cell>
          <cell r="B308" t="str">
            <v>LY-CT725U-7A-1</v>
          </cell>
          <cell r="C308" t="str">
            <v>CTAS II HI</v>
          </cell>
          <cell r="D308" t="str">
            <v>布</v>
          </cell>
        </row>
        <row r="309">
          <cell r="A309" t="str">
            <v>153545C</v>
          </cell>
          <cell r="B309" t="str">
            <v>LY-CT725U-7A-1</v>
          </cell>
          <cell r="C309" t="str">
            <v>CTAS II HI</v>
          </cell>
          <cell r="D309" t="str">
            <v>布</v>
          </cell>
        </row>
        <row r="310">
          <cell r="A310" t="str">
            <v>153546C</v>
          </cell>
          <cell r="B310" t="str">
            <v>LY-CT726U-8A</v>
          </cell>
          <cell r="C310" t="str">
            <v>CTAS II OX</v>
          </cell>
          <cell r="D310" t="str">
            <v>布</v>
          </cell>
        </row>
        <row r="311">
          <cell r="A311" t="str">
            <v>153547C</v>
          </cell>
          <cell r="B311" t="str">
            <v>LY-CT726U-8A</v>
          </cell>
          <cell r="C311" t="str">
            <v>CT AS II OX</v>
          </cell>
          <cell r="D311" t="str">
            <v>布</v>
          </cell>
        </row>
        <row r="312">
          <cell r="A312" t="str">
            <v>153548C</v>
          </cell>
          <cell r="B312" t="str">
            <v>LY-CT726U-8A</v>
          </cell>
          <cell r="C312" t="str">
            <v>CTAS II OX</v>
          </cell>
          <cell r="D312" t="str">
            <v>布</v>
          </cell>
        </row>
        <row r="313">
          <cell r="A313" t="str">
            <v>153549C</v>
          </cell>
          <cell r="B313" t="str">
            <v>LY-CT726U-8A</v>
          </cell>
          <cell r="C313" t="str">
            <v>CTAS II OX</v>
          </cell>
          <cell r="D313" t="str">
            <v>布</v>
          </cell>
        </row>
        <row r="314">
          <cell r="A314" t="str">
            <v>153550C</v>
          </cell>
          <cell r="B314" t="str">
            <v>LY-CT725U-4A-1</v>
          </cell>
          <cell r="C314" t="str">
            <v>CTAS II HI</v>
          </cell>
          <cell r="D314" t="str">
            <v>布</v>
          </cell>
        </row>
        <row r="315">
          <cell r="A315" t="str">
            <v>153550V</v>
          </cell>
          <cell r="B315" t="str">
            <v>LY-CT725U-4A-1</v>
          </cell>
          <cell r="C315" t="str">
            <v>CT AS II HI</v>
          </cell>
          <cell r="D315" t="str">
            <v>布</v>
          </cell>
        </row>
        <row r="316">
          <cell r="A316" t="str">
            <v>153551C</v>
          </cell>
          <cell r="B316" t="str">
            <v>LY-CT725U-4A-1</v>
          </cell>
          <cell r="C316" t="str">
            <v>CTAS II HI</v>
          </cell>
          <cell r="D316" t="str">
            <v>布</v>
          </cell>
        </row>
        <row r="317">
          <cell r="A317" t="str">
            <v>153551V</v>
          </cell>
          <cell r="B317" t="str">
            <v>LY-CT725U-4A-1</v>
          </cell>
          <cell r="C317" t="str">
            <v>CT AS II HI</v>
          </cell>
          <cell r="D317" t="str">
            <v>布</v>
          </cell>
        </row>
        <row r="318">
          <cell r="A318" t="str">
            <v>153552C</v>
          </cell>
          <cell r="B318" t="str">
            <v>LY-CT725U-4A-1</v>
          </cell>
          <cell r="C318" t="str">
            <v>CTAS II HI</v>
          </cell>
          <cell r="D318" t="str">
            <v>布</v>
          </cell>
        </row>
        <row r="319">
          <cell r="A319" t="str">
            <v>153553C</v>
          </cell>
          <cell r="B319" t="str">
            <v>LY-CT725U-2B</v>
          </cell>
          <cell r="C319" t="str">
            <v>CTAS II HI</v>
          </cell>
          <cell r="D319" t="str">
            <v>皮</v>
          </cell>
        </row>
        <row r="320">
          <cell r="A320" t="str">
            <v>153553V</v>
          </cell>
          <cell r="B320" t="str">
            <v>LY-CT725U-2B</v>
          </cell>
          <cell r="C320" t="str">
            <v>CT AS II HI</v>
          </cell>
          <cell r="D320" t="str">
            <v>皮</v>
          </cell>
        </row>
        <row r="321">
          <cell r="A321" t="str">
            <v>153554C</v>
          </cell>
          <cell r="B321" t="str">
            <v>LY-CT725U-2B</v>
          </cell>
          <cell r="C321" t="str">
            <v>CTAS II HI</v>
          </cell>
          <cell r="D321" t="str">
            <v>皮</v>
          </cell>
        </row>
        <row r="322">
          <cell r="A322" t="str">
            <v>153554V</v>
          </cell>
          <cell r="B322" t="str">
            <v>LY-CT725U-2B</v>
          </cell>
          <cell r="C322" t="str">
            <v>CTAS II HI</v>
          </cell>
          <cell r="D322" t="str">
            <v>皮</v>
          </cell>
        </row>
        <row r="323">
          <cell r="A323" t="str">
            <v>153555C</v>
          </cell>
          <cell r="B323" t="str">
            <v>LY-CT725U-2B</v>
          </cell>
          <cell r="C323" t="str">
            <v>CTAS II HI</v>
          </cell>
          <cell r="D323" t="str">
            <v>皮</v>
          </cell>
        </row>
        <row r="324">
          <cell r="A324" t="str">
            <v>153555V</v>
          </cell>
          <cell r="B324" t="str">
            <v>LY-CT725U-2B</v>
          </cell>
          <cell r="C324" t="str">
            <v>CTAS II HI</v>
          </cell>
          <cell r="D324" t="str">
            <v>皮</v>
          </cell>
        </row>
        <row r="325">
          <cell r="A325" t="str">
            <v>153556C</v>
          </cell>
          <cell r="B325" t="str">
            <v>LY-CT726U-B</v>
          </cell>
          <cell r="C325" t="str">
            <v>CTAS II OX</v>
          </cell>
          <cell r="D325" t="str">
            <v>皮</v>
          </cell>
        </row>
        <row r="326">
          <cell r="A326" t="str">
            <v>153556V</v>
          </cell>
          <cell r="B326" t="str">
            <v>LY-CT726U-B</v>
          </cell>
          <cell r="C326" t="str">
            <v>CT AS II OX</v>
          </cell>
          <cell r="D326" t="str">
            <v>皮</v>
          </cell>
        </row>
        <row r="327">
          <cell r="A327" t="str">
            <v>153557C</v>
          </cell>
          <cell r="B327" t="str">
            <v>LY-CT726U-B</v>
          </cell>
          <cell r="C327" t="str">
            <v>CTAS II OX</v>
          </cell>
          <cell r="D327" t="str">
            <v>皮</v>
          </cell>
        </row>
        <row r="328">
          <cell r="A328" t="str">
            <v>153557V</v>
          </cell>
          <cell r="B328" t="str">
            <v>LY-CT726U-B</v>
          </cell>
          <cell r="C328" t="str">
            <v>CT AS II OX</v>
          </cell>
          <cell r="D328" t="str">
            <v>皮</v>
          </cell>
        </row>
        <row r="329">
          <cell r="A329" t="str">
            <v>153558C</v>
          </cell>
          <cell r="B329" t="str">
            <v>LY-CT726U-B</v>
          </cell>
          <cell r="C329" t="str">
            <v>CTAS II OX</v>
          </cell>
          <cell r="D329" t="str">
            <v>皮</v>
          </cell>
        </row>
        <row r="330">
          <cell r="A330" t="str">
            <v>153558V</v>
          </cell>
          <cell r="B330" t="str">
            <v>LY-CT726U-B</v>
          </cell>
          <cell r="C330" t="str">
            <v>CT AS II OX</v>
          </cell>
          <cell r="D330" t="str">
            <v>皮</v>
          </cell>
        </row>
        <row r="331">
          <cell r="A331" t="str">
            <v>153559C</v>
          </cell>
          <cell r="B331" t="str">
            <v>LY-CT725U-5B</v>
          </cell>
          <cell r="C331" t="str">
            <v>CTAS II HI</v>
          </cell>
          <cell r="D331" t="str">
            <v>布</v>
          </cell>
        </row>
        <row r="332">
          <cell r="A332" t="str">
            <v>153559V</v>
          </cell>
          <cell r="B332" t="str">
            <v>LY-CT725U-5B</v>
          </cell>
          <cell r="C332" t="str">
            <v>CT AS II HI</v>
          </cell>
          <cell r="D332" t="str">
            <v>布</v>
          </cell>
        </row>
        <row r="333">
          <cell r="A333" t="str">
            <v>153560C</v>
          </cell>
          <cell r="B333" t="str">
            <v>LY-CT725U-5B</v>
          </cell>
          <cell r="C333" t="str">
            <v>CTAS II HI</v>
          </cell>
          <cell r="D333" t="str">
            <v>布</v>
          </cell>
        </row>
        <row r="334">
          <cell r="A334" t="str">
            <v>153560V</v>
          </cell>
          <cell r="B334" t="str">
            <v>LY-CT725U-5B</v>
          </cell>
          <cell r="C334" t="str">
            <v>CT AS II HI</v>
          </cell>
          <cell r="D334" t="str">
            <v>布</v>
          </cell>
        </row>
        <row r="335">
          <cell r="A335" t="str">
            <v>153561C</v>
          </cell>
          <cell r="B335" t="str">
            <v>LY-CT725U-5B</v>
          </cell>
          <cell r="C335" t="str">
            <v>CTAS II HI</v>
          </cell>
          <cell r="D335" t="str">
            <v>布</v>
          </cell>
        </row>
        <row r="336">
          <cell r="A336" t="str">
            <v>153561V</v>
          </cell>
          <cell r="B336" t="str">
            <v>LY-CT725U-5B</v>
          </cell>
          <cell r="C336" t="str">
            <v>CTAS II HI</v>
          </cell>
          <cell r="D336" t="str">
            <v>布</v>
          </cell>
        </row>
        <row r="337">
          <cell r="A337" t="str">
            <v>153562C</v>
          </cell>
          <cell r="B337" t="str">
            <v>LY-CT725U-5B</v>
          </cell>
          <cell r="C337" t="str">
            <v>CTAS II HI</v>
          </cell>
          <cell r="D337" t="str">
            <v>布</v>
          </cell>
        </row>
        <row r="338">
          <cell r="A338" t="str">
            <v>153562V</v>
          </cell>
          <cell r="B338" t="str">
            <v>LY-CT725U-5B</v>
          </cell>
          <cell r="C338" t="str">
            <v>CTAS II HI</v>
          </cell>
          <cell r="D338" t="str">
            <v>布</v>
          </cell>
        </row>
        <row r="339">
          <cell r="A339" t="str">
            <v>153567C</v>
          </cell>
          <cell r="B339" t="str">
            <v>LY-CT840U-A</v>
          </cell>
          <cell r="C339" t="str">
            <v>CTAS II BOOT HI</v>
          </cell>
          <cell r="D339" t="str">
            <v>布</v>
          </cell>
        </row>
        <row r="340">
          <cell r="A340" t="str">
            <v>153568C</v>
          </cell>
          <cell r="B340" t="str">
            <v>LY-CT840U-A</v>
          </cell>
          <cell r="C340" t="str">
            <v>CTAS II BOOT HI</v>
          </cell>
          <cell r="D340" t="str">
            <v>布</v>
          </cell>
        </row>
        <row r="341">
          <cell r="A341" t="str">
            <v>153569C</v>
          </cell>
          <cell r="B341" t="str">
            <v>LY-CT840U-A</v>
          </cell>
          <cell r="C341" t="str">
            <v>CTAS II BOOT HI</v>
          </cell>
          <cell r="D341" t="str">
            <v>布</v>
          </cell>
        </row>
        <row r="342">
          <cell r="A342" t="str">
            <v>153569V</v>
          </cell>
          <cell r="B342" t="str">
            <v>LY-CT840U-A</v>
          </cell>
          <cell r="C342" t="str">
            <v>CT AS II BOOT</v>
          </cell>
          <cell r="D342" t="str">
            <v>布</v>
          </cell>
        </row>
        <row r="343">
          <cell r="A343" t="str">
            <v>153570C</v>
          </cell>
          <cell r="B343" t="str">
            <v>LY-CT840U-A</v>
          </cell>
          <cell r="C343" t="str">
            <v>CTAS II BOOT HI</v>
          </cell>
          <cell r="D343" t="str">
            <v>布</v>
          </cell>
        </row>
        <row r="344">
          <cell r="A344" t="str">
            <v>153570V</v>
          </cell>
          <cell r="B344" t="str">
            <v>LY-CT840U-A</v>
          </cell>
          <cell r="C344" t="str">
            <v>CT AS II SNEAKERBOOT HI</v>
          </cell>
          <cell r="D344" t="str">
            <v>布</v>
          </cell>
        </row>
        <row r="345">
          <cell r="A345" t="str">
            <v>153571C</v>
          </cell>
          <cell r="B345" t="str">
            <v>LY-CT840U-B</v>
          </cell>
          <cell r="C345" t="str">
            <v>CTAS II BOOT HI</v>
          </cell>
          <cell r="D345" t="str">
            <v>皮</v>
          </cell>
        </row>
        <row r="346">
          <cell r="A346" t="str">
            <v>153572C</v>
          </cell>
          <cell r="B346" t="str">
            <v>LY-CT840U-B</v>
          </cell>
          <cell r="C346" t="str">
            <v>CTAS II BOOT HI</v>
          </cell>
          <cell r="D346" t="str">
            <v>皮</v>
          </cell>
        </row>
        <row r="347">
          <cell r="A347" t="str">
            <v>153573C</v>
          </cell>
          <cell r="B347" t="str">
            <v>LY-CT840U-B</v>
          </cell>
          <cell r="C347" t="str">
            <v>CTAS II BOOT HI</v>
          </cell>
          <cell r="D347" t="str">
            <v>皮</v>
          </cell>
        </row>
        <row r="348">
          <cell r="A348" t="str">
            <v>153574C</v>
          </cell>
          <cell r="B348" t="str">
            <v>LY-CT840U-B</v>
          </cell>
          <cell r="C348" t="str">
            <v>CTAS II BOOT HI</v>
          </cell>
          <cell r="D348" t="str">
            <v>皮</v>
          </cell>
        </row>
        <row r="349">
          <cell r="A349" t="str">
            <v>153577C</v>
          </cell>
          <cell r="B349" t="str">
            <v>LY-CT838U-B</v>
          </cell>
          <cell r="C349" t="str">
            <v>CTAS TEKOA X-HI</v>
          </cell>
          <cell r="D349" t="str">
            <v>皮</v>
          </cell>
        </row>
        <row r="350">
          <cell r="A350" t="str">
            <v>153657C</v>
          </cell>
          <cell r="B350" t="str">
            <v>LY-CT756U-2B</v>
          </cell>
          <cell r="C350" t="str">
            <v>CTAS TEKOA HI</v>
          </cell>
          <cell r="D350" t="str">
            <v>皮</v>
          </cell>
        </row>
        <row r="351">
          <cell r="A351" t="str">
            <v>153658C</v>
          </cell>
          <cell r="B351" t="str">
            <v>LY-CT756U-2B</v>
          </cell>
          <cell r="C351" t="str">
            <v>CTAS TEKOA HI</v>
          </cell>
          <cell r="D351" t="str">
            <v>皮</v>
          </cell>
        </row>
        <row r="352">
          <cell r="A352" t="str">
            <v>153659C</v>
          </cell>
          <cell r="B352" t="str">
            <v>LY-CT756U-2B</v>
          </cell>
          <cell r="C352" t="str">
            <v>CTAS TEKOA HI</v>
          </cell>
          <cell r="D352" t="str">
            <v>皮</v>
          </cell>
        </row>
        <row r="353">
          <cell r="A353" t="str">
            <v>153660C</v>
          </cell>
          <cell r="B353" t="str">
            <v>LY-CT756U-2B</v>
          </cell>
          <cell r="C353" t="str">
            <v>CTAS TEKOA HI</v>
          </cell>
          <cell r="D353" t="str">
            <v>皮</v>
          </cell>
        </row>
        <row r="354">
          <cell r="A354" t="str">
            <v>153661C</v>
          </cell>
          <cell r="B354" t="str">
            <v>LY-CT756U-B</v>
          </cell>
          <cell r="C354" t="str">
            <v>CTAS TEKOA HI</v>
          </cell>
          <cell r="D354" t="str">
            <v>PU</v>
          </cell>
        </row>
        <row r="355">
          <cell r="A355" t="str">
            <v>153662C</v>
          </cell>
          <cell r="B355" t="str">
            <v>LY-CT754U-3B</v>
          </cell>
          <cell r="C355" t="str">
            <v>CT AS STREET HIKER HI</v>
          </cell>
          <cell r="D355" t="str">
            <v>皮</v>
          </cell>
        </row>
        <row r="356">
          <cell r="A356" t="str">
            <v>153663C</v>
          </cell>
          <cell r="B356" t="str">
            <v>LY-CT754U-3B</v>
          </cell>
          <cell r="C356" t="str">
            <v>CTAS STREET HIKER HI</v>
          </cell>
          <cell r="D356" t="str">
            <v>皮</v>
          </cell>
        </row>
        <row r="357">
          <cell r="A357" t="str">
            <v>153664C</v>
          </cell>
          <cell r="B357" t="str">
            <v>LY-CT754U-1B</v>
          </cell>
          <cell r="C357" t="str">
            <v>CT AS STREET HIKER HI</v>
          </cell>
          <cell r="D357" t="str">
            <v>布</v>
          </cell>
        </row>
        <row r="358">
          <cell r="A358" t="str">
            <v>153665C</v>
          </cell>
          <cell r="B358" t="str">
            <v>LY-CT754U-1B</v>
          </cell>
          <cell r="C358" t="str">
            <v>CTAS STREET HIKER HI</v>
          </cell>
          <cell r="D358" t="str">
            <v>布</v>
          </cell>
        </row>
        <row r="359">
          <cell r="A359" t="str">
            <v>153666C</v>
          </cell>
          <cell r="B359" t="str">
            <v>LY-CT754U-2B</v>
          </cell>
          <cell r="C359" t="str">
            <v>CTAS STREET HIKER HI</v>
          </cell>
          <cell r="D359" t="str">
            <v>皮</v>
          </cell>
        </row>
        <row r="360">
          <cell r="A360" t="str">
            <v>153667C</v>
          </cell>
          <cell r="B360" t="str">
            <v>LY-CT754U-2B</v>
          </cell>
          <cell r="C360" t="str">
            <v>CTAS STREET HIKER HI</v>
          </cell>
          <cell r="D360" t="str">
            <v>皮</v>
          </cell>
        </row>
        <row r="361">
          <cell r="A361" t="str">
            <v>153684C</v>
          </cell>
          <cell r="B361" t="str">
            <v>LY-CT846U-1B</v>
          </cell>
          <cell r="C361" t="str">
            <v>CT AS DESCENT OX</v>
          </cell>
          <cell r="D361" t="str">
            <v>皮</v>
          </cell>
        </row>
        <row r="362">
          <cell r="A362" t="str">
            <v>153685C</v>
          </cell>
          <cell r="B362" t="str">
            <v>LY-CT846U-1B</v>
          </cell>
          <cell r="C362" t="str">
            <v>CT AS DESCENT OX</v>
          </cell>
          <cell r="D362" t="str">
            <v>皮</v>
          </cell>
        </row>
        <row r="363">
          <cell r="A363" t="str">
            <v>153686C</v>
          </cell>
          <cell r="B363" t="str">
            <v>LY-CT846U-1B</v>
          </cell>
          <cell r="C363" t="str">
            <v>CT AS DESCENT OX</v>
          </cell>
          <cell r="D363" t="str">
            <v>皮</v>
          </cell>
        </row>
        <row r="364">
          <cell r="A364" t="str">
            <v>153692C</v>
          </cell>
          <cell r="B364" t="str">
            <v>LY-CT846U-B</v>
          </cell>
          <cell r="C364" t="str">
            <v>CTAS DESCENT OX</v>
          </cell>
          <cell r="D364" t="str">
            <v>皮</v>
          </cell>
        </row>
        <row r="365">
          <cell r="A365" t="str">
            <v>153693C</v>
          </cell>
          <cell r="B365" t="str">
            <v>LY-CT846U-B</v>
          </cell>
          <cell r="C365" t="str">
            <v>CTAS DESCENT OX</v>
          </cell>
          <cell r="D365" t="str">
            <v>皮</v>
          </cell>
        </row>
        <row r="366">
          <cell r="A366" t="str">
            <v>153694C</v>
          </cell>
          <cell r="B366" t="str">
            <v>LY-CT846U-B</v>
          </cell>
          <cell r="C366" t="str">
            <v>CTAS DESCENT OX</v>
          </cell>
          <cell r="D366" t="str">
            <v>皮</v>
          </cell>
        </row>
        <row r="367">
          <cell r="A367" t="str">
            <v>153720C</v>
          </cell>
          <cell r="B367" t="str">
            <v>LY-SA287U-5A</v>
          </cell>
          <cell r="C367" t="str">
            <v>CONS ZAKIM CANVAS OX</v>
          </cell>
          <cell r="D367" t="str">
            <v>布+星星月亮</v>
          </cell>
        </row>
        <row r="368">
          <cell r="A368" t="str">
            <v>153721C</v>
          </cell>
          <cell r="B368" t="str">
            <v>LY-SA287U-5A</v>
          </cell>
          <cell r="C368" t="str">
            <v>CONS ZAKIM CANVAS OX</v>
          </cell>
          <cell r="D368" t="str">
            <v>布+星星月亮</v>
          </cell>
        </row>
        <row r="369">
          <cell r="A369" t="str">
            <v>153722C</v>
          </cell>
          <cell r="B369" t="str">
            <v>LY-SA287U-5A</v>
          </cell>
          <cell r="C369" t="str">
            <v>CONS ZAKIM CANVAS OX</v>
          </cell>
          <cell r="D369" t="str">
            <v>布+星星月亮</v>
          </cell>
        </row>
        <row r="370">
          <cell r="A370" t="str">
            <v>153723C</v>
          </cell>
          <cell r="B370" t="str">
            <v>LY-SA287U-1B</v>
          </cell>
          <cell r="C370" t="str">
            <v>CONS ZAKIM SUEDE OX</v>
          </cell>
          <cell r="D370" t="str">
            <v>皮+星星月亮</v>
          </cell>
        </row>
        <row r="371">
          <cell r="A371" t="str">
            <v>153724C</v>
          </cell>
          <cell r="B371" t="str">
            <v>LY-SA287U-1B</v>
          </cell>
          <cell r="C371" t="str">
            <v>CONS ZAKIM SUEDE OX</v>
          </cell>
          <cell r="D371" t="str">
            <v>皮+星星月亮</v>
          </cell>
        </row>
        <row r="372">
          <cell r="A372" t="str">
            <v>153725C</v>
          </cell>
          <cell r="B372" t="str">
            <v>LY-SA287U-1B</v>
          </cell>
          <cell r="C372" t="str">
            <v>CONS ZAKIM SUEDE OX</v>
          </cell>
          <cell r="D372" t="str">
            <v>皮+星星月亮</v>
          </cell>
        </row>
        <row r="373">
          <cell r="A373" t="str">
            <v>153726C</v>
          </cell>
          <cell r="B373" t="str">
            <v>LY-SA287U-4A</v>
          </cell>
          <cell r="C373" t="str">
            <v>CONS ZAKIM SUEDE OX</v>
          </cell>
          <cell r="D373" t="str">
            <v>布</v>
          </cell>
        </row>
        <row r="374">
          <cell r="A374" t="str">
            <v>153727C</v>
          </cell>
          <cell r="B374" t="str">
            <v>LY-SA287U-4A</v>
          </cell>
          <cell r="C374" t="str">
            <v>CONS ZAKIM SUEDE OX</v>
          </cell>
          <cell r="D374" t="str">
            <v>布</v>
          </cell>
        </row>
        <row r="375">
          <cell r="A375" t="str">
            <v>153728C</v>
          </cell>
          <cell r="B375" t="str">
            <v>LY-SA287U-4A</v>
          </cell>
          <cell r="C375" t="str">
            <v>CONS ZAKIM SUEDE OX</v>
          </cell>
          <cell r="D375" t="str">
            <v>布</v>
          </cell>
        </row>
        <row r="376">
          <cell r="A376" t="str">
            <v>153729C</v>
          </cell>
          <cell r="B376" t="str">
            <v>LY-SA287U-6A</v>
          </cell>
          <cell r="C376" t="str">
            <v>CONS ZAKIM SHIELD CANVAS OX</v>
          </cell>
          <cell r="D376" t="str">
            <v>布+星星月亮</v>
          </cell>
        </row>
        <row r="377">
          <cell r="A377" t="str">
            <v>153730C</v>
          </cell>
          <cell r="B377" t="str">
            <v>LY-SA287U-7A</v>
          </cell>
          <cell r="C377" t="str">
            <v>CONS ZAKIM SHIELD CANVAS OX</v>
          </cell>
          <cell r="D377" t="str">
            <v>布+星星月亮</v>
          </cell>
        </row>
        <row r="378">
          <cell r="A378" t="str">
            <v>153731C</v>
          </cell>
          <cell r="B378" t="str">
            <v>LY-SA287U-6A</v>
          </cell>
          <cell r="C378" t="str">
            <v>CONS ZAKIM SHIELD CANVAS OX</v>
          </cell>
          <cell r="D378" t="str">
            <v>布+星星月亮</v>
          </cell>
        </row>
        <row r="379">
          <cell r="A379" t="str">
            <v>153732C</v>
          </cell>
          <cell r="B379" t="str">
            <v>LY-SA287U-8A</v>
          </cell>
          <cell r="C379" t="str">
            <v>CONS ZAKIM CANVAS OX</v>
          </cell>
          <cell r="D379" t="str">
            <v>布+星星月亮</v>
          </cell>
        </row>
        <row r="380">
          <cell r="A380" t="str">
            <v>153733C</v>
          </cell>
          <cell r="B380" t="str">
            <v>LY-SA287U-8A</v>
          </cell>
          <cell r="C380" t="str">
            <v>CONS ZAKIM CANVAS OX</v>
          </cell>
          <cell r="D380" t="str">
            <v>布+星星月亮</v>
          </cell>
        </row>
        <row r="381">
          <cell r="A381" t="str">
            <v>153734C</v>
          </cell>
          <cell r="B381" t="str">
            <v>LY-SA287U-8A</v>
          </cell>
          <cell r="C381" t="str">
            <v>CONS ZAKIM CANVAS OX</v>
          </cell>
          <cell r="D381" t="str">
            <v>布+星星月亮</v>
          </cell>
        </row>
        <row r="382">
          <cell r="A382" t="str">
            <v>153735C</v>
          </cell>
          <cell r="B382" t="str">
            <v>LY-SA177B-3A-1B</v>
          </cell>
          <cell r="C382" t="str">
            <v>PRO BLAZE PLUS SUEDE HI</v>
          </cell>
          <cell r="D382" t="str">
            <v>皮+星星月亮</v>
          </cell>
        </row>
        <row r="383">
          <cell r="A383" t="str">
            <v>153736C</v>
          </cell>
          <cell r="B383" t="str">
            <v>LY-SA177B-3A-1B</v>
          </cell>
          <cell r="C383" t="str">
            <v>PRO BLAZE PLUS SUEDE HI</v>
          </cell>
          <cell r="D383" t="str">
            <v>皮+星星月亮</v>
          </cell>
        </row>
        <row r="384">
          <cell r="A384" t="str">
            <v>153740C</v>
          </cell>
          <cell r="B384" t="str">
            <v>LY-SA224-4B</v>
          </cell>
          <cell r="C384" t="str">
            <v>STAR PLAYER SUEDE OX</v>
          </cell>
          <cell r="D384" t="str">
            <v>皮+星星月亮</v>
          </cell>
        </row>
        <row r="385">
          <cell r="A385" t="str">
            <v>153741C</v>
          </cell>
          <cell r="B385" t="str">
            <v>LY-SA224-4B</v>
          </cell>
          <cell r="C385" t="str">
            <v>STAR PLAYER SUEDE OX</v>
          </cell>
          <cell r="D385" t="str">
            <v>皮+星星月亮</v>
          </cell>
        </row>
        <row r="386">
          <cell r="A386" t="str">
            <v>153746C</v>
          </cell>
          <cell r="B386" t="str">
            <v>LY-SA224-7A</v>
          </cell>
          <cell r="C386" t="str">
            <v>STAR PLAYER KNIT OX</v>
          </cell>
          <cell r="D386" t="str">
            <v>布+星星月亮</v>
          </cell>
        </row>
        <row r="387">
          <cell r="A387" t="str">
            <v>153747C</v>
          </cell>
          <cell r="B387" t="str">
            <v>LY-SA224-7A</v>
          </cell>
          <cell r="C387" t="str">
            <v>STAR PLAYER KNIT OX</v>
          </cell>
          <cell r="D387" t="str">
            <v>布+星星月亮</v>
          </cell>
        </row>
        <row r="388">
          <cell r="A388" t="str">
            <v>153748C</v>
          </cell>
          <cell r="B388" t="str">
            <v>LY-SA224-7A</v>
          </cell>
          <cell r="C388" t="str">
            <v>STAR PLAYER KNIT OX</v>
          </cell>
          <cell r="D388" t="str">
            <v>布+星星月亮</v>
          </cell>
        </row>
        <row r="389">
          <cell r="A389" t="str">
            <v>153751C</v>
          </cell>
          <cell r="B389" t="str">
            <v>LY-SA224-4A-1A</v>
          </cell>
          <cell r="C389" t="str">
            <v>STAR PLAYER SHIELD CANVAS OX</v>
          </cell>
          <cell r="D389" t="str">
            <v>布+星星月亮</v>
          </cell>
        </row>
        <row r="390">
          <cell r="A390" t="str">
            <v>153752C</v>
          </cell>
          <cell r="B390" t="str">
            <v>LY-SA224-4A-1A</v>
          </cell>
          <cell r="C390" t="str">
            <v>STAR PLAYER SHIELD CANVAS OX</v>
          </cell>
          <cell r="D390" t="str">
            <v>布+星星月亮</v>
          </cell>
        </row>
        <row r="391">
          <cell r="A391" t="str">
            <v>153754C</v>
          </cell>
          <cell r="B391" t="str">
            <v>LY-SA224-B-1</v>
          </cell>
          <cell r="C391" t="str">
            <v>STAR PLAYER SUEDE OX</v>
          </cell>
          <cell r="D391" t="str">
            <v>皮+星星月亮</v>
          </cell>
        </row>
        <row r="392">
          <cell r="A392" t="str">
            <v>153755C</v>
          </cell>
          <cell r="B392" t="str">
            <v>LY-SA224-B-1</v>
          </cell>
          <cell r="C392" t="str">
            <v>STAR PLAYER SUEDE OX</v>
          </cell>
          <cell r="D392" t="str">
            <v>皮+星星月亮</v>
          </cell>
        </row>
        <row r="393">
          <cell r="A393" t="str">
            <v>153756C</v>
          </cell>
          <cell r="B393" t="str">
            <v>LY-SA224-B-1</v>
          </cell>
          <cell r="C393" t="str">
            <v>STAR PLAYER SUEDE OX</v>
          </cell>
          <cell r="D393" t="str">
            <v>皮+星星月亮</v>
          </cell>
        </row>
        <row r="394">
          <cell r="A394" t="str">
            <v>153757C</v>
          </cell>
          <cell r="B394" t="str">
            <v>LY-SA224-4A-1</v>
          </cell>
          <cell r="C394" t="str">
            <v>STAR PLAYER CANVAS OX</v>
          </cell>
          <cell r="D394" t="str">
            <v>皮+星星月亮</v>
          </cell>
        </row>
        <row r="395">
          <cell r="A395" t="str">
            <v>153758C</v>
          </cell>
          <cell r="B395" t="str">
            <v>LY-SA224-4A-1</v>
          </cell>
          <cell r="C395" t="str">
            <v>STAR PLAYER CANVAS OX</v>
          </cell>
          <cell r="D395" t="str">
            <v>皮+星星月亮</v>
          </cell>
        </row>
        <row r="396">
          <cell r="A396" t="str">
            <v>153759C</v>
          </cell>
          <cell r="B396" t="str">
            <v>LY-SA224-4A-1</v>
          </cell>
          <cell r="C396" t="str">
            <v>STAR PLAYER CANVAS OX</v>
          </cell>
          <cell r="D396" t="str">
            <v>皮+星星月亮</v>
          </cell>
        </row>
        <row r="397">
          <cell r="A397" t="str">
            <v>153762C</v>
          </cell>
          <cell r="B397" t="str">
            <v>LY-SA224-B-1</v>
          </cell>
          <cell r="C397" t="str">
            <v>STAR PLAYER LEATHER OX</v>
          </cell>
          <cell r="D397" t="str">
            <v>皮+星星月亮</v>
          </cell>
        </row>
        <row r="398">
          <cell r="A398" t="str">
            <v>153763C</v>
          </cell>
          <cell r="B398" t="str">
            <v>LY-SA224-B-1</v>
          </cell>
          <cell r="C398" t="str">
            <v>STAR PLAYER LEATHER OX</v>
          </cell>
          <cell r="D398" t="str">
            <v>皮+星星月亮</v>
          </cell>
        </row>
        <row r="399">
          <cell r="A399" t="str">
            <v>153763V</v>
          </cell>
          <cell r="B399" t="str">
            <v>LY-SA224-B-1</v>
          </cell>
          <cell r="C399" t="str">
            <v>STAR PLAYER OX</v>
          </cell>
          <cell r="D399" t="str">
            <v>皮+星星月亮</v>
          </cell>
        </row>
        <row r="400">
          <cell r="A400" t="str">
            <v>153764C</v>
          </cell>
          <cell r="B400" t="str">
            <v>LY-SA224-B-1</v>
          </cell>
          <cell r="C400" t="str">
            <v>STAR PLAYER LEATHER OX</v>
          </cell>
          <cell r="D400" t="str">
            <v>皮+星星月亮</v>
          </cell>
        </row>
        <row r="401">
          <cell r="A401" t="str">
            <v>153775C</v>
          </cell>
          <cell r="B401" t="str">
            <v>LY-SA224-4B-1</v>
          </cell>
          <cell r="C401" t="str">
            <v>STAR PLAYER LEATHER OX</v>
          </cell>
          <cell r="D401" t="str">
            <v>皮+星星月亮</v>
          </cell>
        </row>
        <row r="402">
          <cell r="A402" t="str">
            <v>153776C</v>
          </cell>
          <cell r="B402" t="str">
            <v>LY-SA224-4B-1</v>
          </cell>
          <cell r="C402" t="str">
            <v>STAR PLAYER LEATHER OX</v>
          </cell>
          <cell r="D402" t="str">
            <v>皮+星星月亮</v>
          </cell>
        </row>
        <row r="403">
          <cell r="A403" t="str">
            <v>153779C</v>
          </cell>
          <cell r="B403" t="str">
            <v>LY-SA223-3B</v>
          </cell>
          <cell r="C403" t="str">
            <v>STAR PLAYER LEATHER HI</v>
          </cell>
          <cell r="D403" t="str">
            <v>皮+星星月亮</v>
          </cell>
        </row>
        <row r="404">
          <cell r="A404" t="str">
            <v>153833C</v>
          </cell>
          <cell r="B404" t="str">
            <v>LY-CT754U-1A</v>
          </cell>
          <cell r="C404" t="str">
            <v>CTAS STREET HIKER HI</v>
          </cell>
          <cell r="D404" t="str">
            <v>布</v>
          </cell>
        </row>
        <row r="405">
          <cell r="A405" t="str">
            <v>153881C</v>
          </cell>
          <cell r="B405" t="str">
            <v>LY-SA223-5A</v>
          </cell>
          <cell r="C405" t="str">
            <v>STAR PLAYER WOOLRICH HI</v>
          </cell>
          <cell r="D405" t="str">
            <v>布+星星月亮</v>
          </cell>
        </row>
        <row r="406">
          <cell r="A406" t="str">
            <v>153886C</v>
          </cell>
          <cell r="B406" t="str">
            <v>LY-CT725U-7A-2</v>
          </cell>
          <cell r="C406" t="str">
            <v>CTAS II HI</v>
          </cell>
          <cell r="D406" t="str">
            <v>皮</v>
          </cell>
        </row>
        <row r="407">
          <cell r="A407" t="str">
            <v>153887C</v>
          </cell>
          <cell r="B407" t="str">
            <v>LY-CT725U-7A-2</v>
          </cell>
          <cell r="C407" t="str">
            <v>CTAS II HI</v>
          </cell>
          <cell r="D407" t="str">
            <v>皮</v>
          </cell>
        </row>
        <row r="408">
          <cell r="A408" t="str">
            <v>153888C</v>
          </cell>
          <cell r="B408" t="str">
            <v>LY-CT725U-2B-1</v>
          </cell>
          <cell r="C408" t="str">
            <v>CTAS II HI</v>
          </cell>
          <cell r="D408" t="str">
            <v>皮</v>
          </cell>
        </row>
        <row r="409">
          <cell r="A409" t="str">
            <v>153888V</v>
          </cell>
          <cell r="B409" t="str">
            <v>LY-CT725U-2B-1</v>
          </cell>
          <cell r="C409" t="str">
            <v>CTAS II</v>
          </cell>
          <cell r="D409" t="str">
            <v>皮</v>
          </cell>
        </row>
        <row r="410">
          <cell r="A410" t="str">
            <v>153889C</v>
          </cell>
          <cell r="B410" t="str">
            <v>LY-CT725U-2B-1</v>
          </cell>
          <cell r="C410" t="str">
            <v>CTAS II HI</v>
          </cell>
          <cell r="D410" t="str">
            <v>皮</v>
          </cell>
        </row>
        <row r="411">
          <cell r="A411" t="str">
            <v>153890C</v>
          </cell>
          <cell r="B411" t="str">
            <v>LY-CT725U-2B-1</v>
          </cell>
          <cell r="C411" t="str">
            <v>CTAS II HI</v>
          </cell>
          <cell r="D411" t="str">
            <v>皮</v>
          </cell>
        </row>
        <row r="412">
          <cell r="A412" t="str">
            <v>153890V</v>
          </cell>
          <cell r="B412" t="str">
            <v>LY-CT725U-2B-1</v>
          </cell>
          <cell r="C412" t="str">
            <v>CTAS II</v>
          </cell>
          <cell r="D412" t="str">
            <v>皮</v>
          </cell>
        </row>
        <row r="413">
          <cell r="A413" t="str">
            <v>153891C</v>
          </cell>
          <cell r="B413" t="str">
            <v>LY-CT725U-7A-3</v>
          </cell>
          <cell r="C413" t="str">
            <v>CTAS II HI</v>
          </cell>
          <cell r="D413" t="str">
            <v>布</v>
          </cell>
        </row>
        <row r="414">
          <cell r="A414" t="str">
            <v>153892C</v>
          </cell>
          <cell r="B414" t="str">
            <v>LY-CT725U-7A-3</v>
          </cell>
          <cell r="C414" t="str">
            <v>CT AS II HI</v>
          </cell>
          <cell r="D414" t="str">
            <v>布</v>
          </cell>
        </row>
        <row r="415">
          <cell r="A415" t="str">
            <v>153895C</v>
          </cell>
          <cell r="B415" t="str">
            <v>LY-CT726U-2B</v>
          </cell>
          <cell r="C415" t="str">
            <v>CTAS II OX</v>
          </cell>
          <cell r="D415" t="str">
            <v>皮</v>
          </cell>
        </row>
        <row r="416">
          <cell r="A416" t="str">
            <v>153895V</v>
          </cell>
          <cell r="B416" t="str">
            <v>LY-CT726U-2B</v>
          </cell>
          <cell r="C416" t="str">
            <v>CT AS II</v>
          </cell>
          <cell r="D416" t="str">
            <v>皮</v>
          </cell>
        </row>
        <row r="417">
          <cell r="A417" t="str">
            <v>153896C</v>
          </cell>
          <cell r="B417" t="str">
            <v>LY-CT726U-2B</v>
          </cell>
          <cell r="C417" t="str">
            <v>CTAS II OX</v>
          </cell>
          <cell r="D417" t="str">
            <v>皮</v>
          </cell>
        </row>
        <row r="418">
          <cell r="A418" t="str">
            <v>153897C</v>
          </cell>
          <cell r="B418" t="str">
            <v>LY-CT726U-2B</v>
          </cell>
          <cell r="C418" t="str">
            <v>CTAS II OX</v>
          </cell>
          <cell r="D418" t="str">
            <v>皮</v>
          </cell>
        </row>
        <row r="419">
          <cell r="A419" t="str">
            <v>153897V</v>
          </cell>
          <cell r="B419" t="str">
            <v>LY-CT726U-2B</v>
          </cell>
          <cell r="C419" t="str">
            <v>CT AS II</v>
          </cell>
          <cell r="D419" t="str">
            <v>皮</v>
          </cell>
        </row>
        <row r="420">
          <cell r="A420" t="str">
            <v>153898C</v>
          </cell>
          <cell r="B420" t="str">
            <v>LY-CT726U-9A</v>
          </cell>
          <cell r="C420" t="str">
            <v>CT AS II OX</v>
          </cell>
          <cell r="D420" t="str">
            <v>布</v>
          </cell>
        </row>
        <row r="421">
          <cell r="A421" t="str">
            <v>153899C</v>
          </cell>
          <cell r="B421" t="str">
            <v>LY-CT726U-9A</v>
          </cell>
          <cell r="C421" t="str">
            <v>CT AS II OX</v>
          </cell>
          <cell r="D421" t="str">
            <v>布</v>
          </cell>
        </row>
        <row r="422">
          <cell r="A422" t="str">
            <v>153907C</v>
          </cell>
          <cell r="B422" t="str">
            <v>LY-SK116U-2A</v>
          </cell>
          <cell r="C422" t="str">
            <v>CONS SUMNER AARON HERRINGTON OX</v>
          </cell>
          <cell r="D422" t="str">
            <v>皮</v>
          </cell>
        </row>
        <row r="423">
          <cell r="A423" t="str">
            <v>153945C</v>
          </cell>
          <cell r="B423" t="str">
            <v>LY-SA177B-3A-1A</v>
          </cell>
          <cell r="C423" t="str">
            <v>PRO BLAZE PLUS LEATHER HI</v>
          </cell>
          <cell r="D423" t="str">
            <v>皮+星星月亮</v>
          </cell>
        </row>
        <row r="424">
          <cell r="A424" t="str">
            <v>153946C</v>
          </cell>
          <cell r="B424" t="str">
            <v>LY-SA177B-3A-1A</v>
          </cell>
          <cell r="C424" t="str">
            <v>PRO BLAZE PLUS LEATHER HI</v>
          </cell>
          <cell r="D424" t="str">
            <v>皮+星星月亮</v>
          </cell>
        </row>
        <row r="425">
          <cell r="A425" t="str">
            <v>153947C</v>
          </cell>
          <cell r="B425" t="str">
            <v>LY-SA224-1B</v>
          </cell>
          <cell r="C425" t="str">
            <v>STAR PLAYER PREMIUM SUEDE OX</v>
          </cell>
          <cell r="D425" t="str">
            <v>皮</v>
          </cell>
        </row>
        <row r="426">
          <cell r="A426" t="str">
            <v>153948C</v>
          </cell>
          <cell r="B426" t="str">
            <v>LY-SA224-1B</v>
          </cell>
          <cell r="C426" t="str">
            <v>STAR PLAYER PREMIUM SUEDE OX</v>
          </cell>
          <cell r="D426" t="str">
            <v>皮</v>
          </cell>
        </row>
        <row r="427">
          <cell r="A427" t="str">
            <v>153949C</v>
          </cell>
          <cell r="B427" t="str">
            <v>LY-SA224-1B</v>
          </cell>
          <cell r="C427" t="str">
            <v>STAR PLAYER PREMIUM SUEDE OX</v>
          </cell>
          <cell r="D427" t="str">
            <v>皮</v>
          </cell>
        </row>
        <row r="428">
          <cell r="A428" t="str">
            <v>153951C</v>
          </cell>
          <cell r="B428" t="str">
            <v>LY-043L-B-1</v>
          </cell>
          <cell r="C428" t="str">
            <v>STAR PLAYER LP LEATHER OX</v>
          </cell>
          <cell r="D428" t="str">
            <v>皮+星星月亮</v>
          </cell>
        </row>
        <row r="429">
          <cell r="A429" t="str">
            <v>153951V</v>
          </cell>
          <cell r="B429" t="str">
            <v>LY-043L-B-1</v>
          </cell>
          <cell r="C429" t="str">
            <v>STAR PLAYER LP OX</v>
          </cell>
          <cell r="D429" t="str">
            <v>皮+星星月亮</v>
          </cell>
        </row>
        <row r="430">
          <cell r="A430" t="str">
            <v>153953C</v>
          </cell>
          <cell r="B430" t="str">
            <v>LY-043L-B-1</v>
          </cell>
          <cell r="C430" t="str">
            <v>STAR PLAYER LP LEATHER OX</v>
          </cell>
          <cell r="D430" t="str">
            <v>皮+星星月亮</v>
          </cell>
        </row>
        <row r="431">
          <cell r="A431" t="str">
            <v>153954C</v>
          </cell>
          <cell r="B431" t="str">
            <v>LY-SA223-1B</v>
          </cell>
          <cell r="C431" t="str">
            <v>STAR PLAYER SUEDE HI</v>
          </cell>
          <cell r="D431" t="str">
            <v>皮+星星月亮</v>
          </cell>
        </row>
        <row r="432">
          <cell r="A432" t="str">
            <v>153955C</v>
          </cell>
          <cell r="B432" t="str">
            <v>LY-SA223-1B</v>
          </cell>
          <cell r="C432" t="str">
            <v>STAR PLAYER SUEDE HI</v>
          </cell>
          <cell r="D432" t="str">
            <v>皮+星星月亮</v>
          </cell>
        </row>
        <row r="433">
          <cell r="A433" t="str">
            <v>153956C</v>
          </cell>
          <cell r="B433" t="str">
            <v>LY-SA224-6A-1B</v>
          </cell>
          <cell r="C433" t="str">
            <v>STAR PLAYER DENIM OX</v>
          </cell>
          <cell r="D433" t="str">
            <v>布+星星月亮</v>
          </cell>
        </row>
        <row r="434">
          <cell r="A434" t="str">
            <v>153957C</v>
          </cell>
          <cell r="B434" t="str">
            <v>LY-SA224-6A-1B</v>
          </cell>
          <cell r="C434" t="str">
            <v>STAR PLAYER DENIM OX</v>
          </cell>
          <cell r="D434" t="str">
            <v>布+星星月亮</v>
          </cell>
        </row>
        <row r="435">
          <cell r="A435" t="str">
            <v>153977C</v>
          </cell>
          <cell r="B435" t="str">
            <v>LY-SA287U-9A</v>
          </cell>
          <cell r="C435" t="str">
            <v>CONS ZAKIM SHIELD CANVAS OX</v>
          </cell>
          <cell r="D435" t="str">
            <v>布+星星月亮</v>
          </cell>
        </row>
        <row r="436">
          <cell r="A436" t="str">
            <v>153978C</v>
          </cell>
          <cell r="B436" t="str">
            <v>LY-SA287U-9A</v>
          </cell>
          <cell r="C436" t="str">
            <v>CONS ZAKIM SHIELD CANVAS OX</v>
          </cell>
          <cell r="D436" t="str">
            <v>布+星星月亮</v>
          </cell>
        </row>
        <row r="437">
          <cell r="A437" t="str">
            <v>154012C</v>
          </cell>
          <cell r="B437" t="str">
            <v>LY-CT725U-5A-1</v>
          </cell>
          <cell r="C437" t="str">
            <v>CTAS II HI</v>
          </cell>
          <cell r="D437" t="str">
            <v>布</v>
          </cell>
        </row>
        <row r="438">
          <cell r="A438" t="str">
            <v>154013C</v>
          </cell>
          <cell r="B438" t="str">
            <v>LY-CT725U-5A-1</v>
          </cell>
          <cell r="C438" t="str">
            <v>CTAS II HI</v>
          </cell>
          <cell r="D438" t="str">
            <v>布</v>
          </cell>
        </row>
        <row r="439">
          <cell r="A439" t="str">
            <v>154013V</v>
          </cell>
          <cell r="B439" t="str">
            <v>LY-CT725U-5A-1</v>
          </cell>
          <cell r="C439" t="str">
            <v>CTAS II HI</v>
          </cell>
          <cell r="D439" t="str">
            <v>布</v>
          </cell>
        </row>
        <row r="440">
          <cell r="A440" t="str">
            <v>154014C</v>
          </cell>
          <cell r="B440" t="str">
            <v>LY-CT725U-5A-1</v>
          </cell>
          <cell r="C440" t="str">
            <v>CTAS II HI</v>
          </cell>
          <cell r="D440" t="str">
            <v>布</v>
          </cell>
        </row>
        <row r="441">
          <cell r="A441" t="str">
            <v>154015C</v>
          </cell>
          <cell r="B441" t="str">
            <v>LY-CT726U-5A-1</v>
          </cell>
          <cell r="C441" t="str">
            <v>CTAS II OX</v>
          </cell>
          <cell r="D441" t="str">
            <v>布</v>
          </cell>
        </row>
        <row r="442">
          <cell r="A442" t="str">
            <v>154016C</v>
          </cell>
          <cell r="B442" t="str">
            <v>LY-CT726U-5A-1</v>
          </cell>
          <cell r="C442" t="str">
            <v>CTAS II OX</v>
          </cell>
          <cell r="D442" t="str">
            <v>布</v>
          </cell>
        </row>
        <row r="443">
          <cell r="A443" t="str">
            <v>154017C</v>
          </cell>
          <cell r="B443" t="str">
            <v>LY-CT726U-5A-1</v>
          </cell>
          <cell r="C443" t="str">
            <v>CTAS II OX</v>
          </cell>
          <cell r="D443" t="str">
            <v>布</v>
          </cell>
        </row>
        <row r="444">
          <cell r="A444" t="str">
            <v>154017V</v>
          </cell>
          <cell r="B444" t="str">
            <v>LY-CT726U-5A-1</v>
          </cell>
          <cell r="C444" t="str">
            <v>CT AS II</v>
          </cell>
          <cell r="D444" t="str">
            <v>布</v>
          </cell>
        </row>
        <row r="445">
          <cell r="A445" t="str">
            <v>154018C</v>
          </cell>
          <cell r="B445" t="str">
            <v>LY-CT725U-2A-1</v>
          </cell>
          <cell r="C445" t="str">
            <v>CTAS II HI</v>
          </cell>
          <cell r="D445" t="str">
            <v>布</v>
          </cell>
        </row>
        <row r="446">
          <cell r="A446" t="str">
            <v>154018V</v>
          </cell>
          <cell r="B446" t="str">
            <v>LY-CT725U-2A-1</v>
          </cell>
          <cell r="C446" t="str">
            <v>CT AS II</v>
          </cell>
          <cell r="D446" t="str">
            <v>布</v>
          </cell>
        </row>
        <row r="447">
          <cell r="A447" t="str">
            <v>154019C</v>
          </cell>
          <cell r="B447" t="str">
            <v>LY-CT725U-2A-1</v>
          </cell>
          <cell r="C447" t="str">
            <v>CTAS II HI</v>
          </cell>
          <cell r="D447" t="str">
            <v>布</v>
          </cell>
        </row>
        <row r="448">
          <cell r="A448" t="str">
            <v>154019V</v>
          </cell>
          <cell r="B448" t="str">
            <v>LY-CT725U-2A-1</v>
          </cell>
          <cell r="C448" t="str">
            <v>CTAS II HI</v>
          </cell>
          <cell r="D448" t="str">
            <v>布</v>
          </cell>
        </row>
        <row r="449">
          <cell r="A449" t="str">
            <v>154020C</v>
          </cell>
          <cell r="B449" t="str">
            <v>LY-CT725U-2A-1A</v>
          </cell>
          <cell r="C449" t="str">
            <v>CTAS II HI</v>
          </cell>
          <cell r="D449" t="str">
            <v>布</v>
          </cell>
        </row>
        <row r="450">
          <cell r="A450" t="str">
            <v>154021C</v>
          </cell>
          <cell r="B450" t="str">
            <v>LY-CT725U-2A-1</v>
          </cell>
          <cell r="C450" t="str">
            <v>CTAS II HI</v>
          </cell>
          <cell r="D450" t="str">
            <v>布</v>
          </cell>
        </row>
        <row r="451">
          <cell r="A451" t="str">
            <v>154021V</v>
          </cell>
          <cell r="B451" t="str">
            <v>LY-CT725U-2A-1</v>
          </cell>
          <cell r="C451" t="str">
            <v>CT AS II</v>
          </cell>
          <cell r="D451" t="str">
            <v>布</v>
          </cell>
        </row>
        <row r="452">
          <cell r="A452" t="str">
            <v>154022C</v>
          </cell>
          <cell r="B452" t="str">
            <v>LY-CT726U-4A</v>
          </cell>
          <cell r="C452" t="str">
            <v>CTAS II OX</v>
          </cell>
          <cell r="D452" t="str">
            <v>布</v>
          </cell>
        </row>
        <row r="453">
          <cell r="A453" t="str">
            <v>154022V</v>
          </cell>
          <cell r="B453" t="str">
            <v>LY-CT726U-4A</v>
          </cell>
          <cell r="C453" t="str">
            <v>CT AS II</v>
          </cell>
          <cell r="D453" t="str">
            <v>布</v>
          </cell>
        </row>
        <row r="454">
          <cell r="A454" t="str">
            <v>154023C</v>
          </cell>
          <cell r="B454" t="str">
            <v>LY-CT726U-4A</v>
          </cell>
          <cell r="C454" t="str">
            <v>CTAS II OX</v>
          </cell>
          <cell r="D454" t="str">
            <v>布</v>
          </cell>
        </row>
        <row r="455">
          <cell r="A455" t="str">
            <v>154023V</v>
          </cell>
          <cell r="B455" t="str">
            <v>LY-CT726U-4A</v>
          </cell>
          <cell r="C455" t="str">
            <v>CT AS II</v>
          </cell>
          <cell r="D455" t="str">
            <v>布</v>
          </cell>
        </row>
        <row r="456">
          <cell r="A456" t="str">
            <v>154024C</v>
          </cell>
          <cell r="B456" t="str">
            <v>LY-CT726U-4A-1</v>
          </cell>
          <cell r="C456" t="str">
            <v>CTAS II OX</v>
          </cell>
          <cell r="D456" t="str">
            <v>布</v>
          </cell>
        </row>
        <row r="457">
          <cell r="A457" t="str">
            <v>154025C</v>
          </cell>
          <cell r="B457" t="str">
            <v>LY-CT726U-4A</v>
          </cell>
          <cell r="C457" t="str">
            <v>CTAS II OX</v>
          </cell>
          <cell r="D457" t="str">
            <v>布</v>
          </cell>
        </row>
        <row r="458">
          <cell r="A458" t="str">
            <v>154026C</v>
          </cell>
          <cell r="B458" t="str">
            <v>LY-CT725U-B-1</v>
          </cell>
          <cell r="C458" t="str">
            <v>CTAS II HI</v>
          </cell>
          <cell r="D458" t="str">
            <v>皮</v>
          </cell>
        </row>
        <row r="459">
          <cell r="A459" t="str">
            <v>154026V</v>
          </cell>
          <cell r="B459" t="str">
            <v>LY-CT725U-B-1</v>
          </cell>
          <cell r="C459" t="str">
            <v>CT AS II HI</v>
          </cell>
          <cell r="D459" t="str">
            <v>皮</v>
          </cell>
        </row>
        <row r="460">
          <cell r="A460" t="str">
            <v>154027C</v>
          </cell>
          <cell r="B460" t="str">
            <v>LY-CT725U-B-1</v>
          </cell>
          <cell r="C460" t="str">
            <v>CTAS II HI</v>
          </cell>
          <cell r="D460" t="str">
            <v>皮</v>
          </cell>
        </row>
        <row r="461">
          <cell r="A461" t="str">
            <v>154027V</v>
          </cell>
          <cell r="B461" t="str">
            <v>LY-CT725U-B-1</v>
          </cell>
          <cell r="C461" t="str">
            <v>CT AS II HI</v>
          </cell>
          <cell r="D461" t="str">
            <v>皮</v>
          </cell>
        </row>
        <row r="462">
          <cell r="A462" t="str">
            <v>154028C</v>
          </cell>
          <cell r="B462" t="str">
            <v>LY-CT725U-B-1</v>
          </cell>
          <cell r="C462" t="str">
            <v>CTAS II HI</v>
          </cell>
          <cell r="D462" t="str">
            <v>皮</v>
          </cell>
        </row>
        <row r="463">
          <cell r="A463" t="str">
            <v>154028V</v>
          </cell>
          <cell r="B463" t="str">
            <v>LY-CT725U-B-1</v>
          </cell>
          <cell r="C463" t="str">
            <v>CT AS II HI</v>
          </cell>
          <cell r="D463" t="str">
            <v>皮</v>
          </cell>
        </row>
        <row r="464">
          <cell r="A464" t="str">
            <v>154029C</v>
          </cell>
          <cell r="B464" t="str">
            <v>LY-CT725U-B-1</v>
          </cell>
          <cell r="C464" t="str">
            <v>CTAS II HI</v>
          </cell>
          <cell r="D464" t="str">
            <v>皮</v>
          </cell>
        </row>
        <row r="465">
          <cell r="A465" t="str">
            <v>154029V</v>
          </cell>
          <cell r="B465" t="str">
            <v>LY-CT725U-B-1</v>
          </cell>
          <cell r="C465" t="str">
            <v>CT AS II HI</v>
          </cell>
          <cell r="D465" t="str">
            <v>皮</v>
          </cell>
        </row>
        <row r="466">
          <cell r="A466" t="str">
            <v>154030C</v>
          </cell>
          <cell r="B466" t="str">
            <v>LY-CT726U-3B</v>
          </cell>
          <cell r="C466" t="str">
            <v>CTAS II OX</v>
          </cell>
          <cell r="D466" t="str">
            <v>皮</v>
          </cell>
        </row>
        <row r="467">
          <cell r="A467" t="str">
            <v>154031C</v>
          </cell>
          <cell r="B467" t="str">
            <v>LY-CT726U-3B</v>
          </cell>
          <cell r="C467" t="str">
            <v>CTAS II OX</v>
          </cell>
          <cell r="D467" t="str">
            <v>皮</v>
          </cell>
        </row>
        <row r="468">
          <cell r="A468" t="str">
            <v>154032C</v>
          </cell>
          <cell r="B468" t="str">
            <v>LY-CT726U-3B</v>
          </cell>
          <cell r="C468" t="str">
            <v>CTAS II OX</v>
          </cell>
          <cell r="D468" t="str">
            <v>皮</v>
          </cell>
        </row>
        <row r="469">
          <cell r="A469" t="str">
            <v>154033C</v>
          </cell>
          <cell r="B469" t="str">
            <v>LY-CT726U-3B</v>
          </cell>
          <cell r="C469" t="str">
            <v>CTAS II OX</v>
          </cell>
          <cell r="D469" t="str">
            <v>皮</v>
          </cell>
        </row>
        <row r="470">
          <cell r="A470" t="str">
            <v>154159C</v>
          </cell>
          <cell r="B470" t="str">
            <v>LY-SA177B-3A-1C</v>
          </cell>
          <cell r="C470" t="str">
            <v>PRO BLAZE PLUS HI</v>
          </cell>
          <cell r="D470" t="str">
            <v>皮+星星月亮</v>
          </cell>
        </row>
        <row r="471">
          <cell r="A471" t="str">
            <v>154160C</v>
          </cell>
          <cell r="B471" t="str">
            <v>LY-SA177B-3A-1C</v>
          </cell>
          <cell r="C471" t="str">
            <v>PRO BLAZE PLUS HI</v>
          </cell>
          <cell r="D471" t="str">
            <v>皮+星星月亮</v>
          </cell>
        </row>
        <row r="472">
          <cell r="A472" t="str">
            <v>154161C</v>
          </cell>
          <cell r="B472" t="str">
            <v>LY-SA224-B</v>
          </cell>
          <cell r="C472" t="str">
            <v>STAR PLAYER OX</v>
          </cell>
          <cell r="D472" t="str">
            <v>皮+星星月亮</v>
          </cell>
        </row>
        <row r="473">
          <cell r="A473" t="str">
            <v>154162C</v>
          </cell>
          <cell r="B473" t="str">
            <v>LY-SA224-B</v>
          </cell>
          <cell r="C473" t="str">
            <v>STAR PLAYER OX</v>
          </cell>
          <cell r="D473" t="str">
            <v>皮+星星月亮</v>
          </cell>
        </row>
        <row r="474">
          <cell r="A474" t="str">
            <v>154163C</v>
          </cell>
          <cell r="B474" t="str">
            <v>LY-SA224-A</v>
          </cell>
          <cell r="C474" t="str">
            <v>STAR PLAYER OX</v>
          </cell>
          <cell r="D474" t="str">
            <v>布+星星月亮</v>
          </cell>
        </row>
        <row r="475">
          <cell r="A475" t="str">
            <v>154164C</v>
          </cell>
          <cell r="B475" t="str">
            <v>LY-SA224-A</v>
          </cell>
          <cell r="C475" t="str">
            <v>STAR PLAYER OX</v>
          </cell>
          <cell r="D475" t="str">
            <v>布+星星月亮</v>
          </cell>
        </row>
        <row r="476">
          <cell r="A476" t="str">
            <v>154165C</v>
          </cell>
          <cell r="B476" t="str">
            <v>LY-SA224-A</v>
          </cell>
          <cell r="C476" t="str">
            <v>STAR PLAYER OX</v>
          </cell>
          <cell r="D476" t="str">
            <v>布+星星月亮</v>
          </cell>
        </row>
        <row r="477">
          <cell r="A477" t="str">
            <v>154172C</v>
          </cell>
          <cell r="B477" t="str">
            <v>LY-SA177B-5A</v>
          </cell>
          <cell r="C477" t="str">
            <v>PRO BLAZE PLUS HI</v>
          </cell>
          <cell r="D477" t="str">
            <v>布+星星月亮(CCS)</v>
          </cell>
        </row>
        <row r="478">
          <cell r="A478" t="str">
            <v>154177C</v>
          </cell>
          <cell r="B478" t="str">
            <v>LY-SA177B-3A-1D</v>
          </cell>
          <cell r="C478" t="str">
            <v>PRO BLAZE PLUS HI</v>
          </cell>
          <cell r="D478" t="str">
            <v>皮+星星月亮</v>
          </cell>
        </row>
        <row r="479">
          <cell r="A479" t="str">
            <v>154180C</v>
          </cell>
          <cell r="B479" t="str">
            <v>LY-SA177B-3A-1E</v>
          </cell>
          <cell r="C479" t="str">
            <v>PRO BLAZE PLUS HI</v>
          </cell>
          <cell r="D479" t="str">
            <v>皮+星星月亮</v>
          </cell>
        </row>
        <row r="480">
          <cell r="A480" t="str">
            <v>154181C</v>
          </cell>
          <cell r="B480" t="str">
            <v>LY-SA177B-3A-1E</v>
          </cell>
          <cell r="C480" t="str">
            <v>PRO BLAZE PLUS HI</v>
          </cell>
          <cell r="D480" t="str">
            <v>皮+星星月亮</v>
          </cell>
        </row>
        <row r="481">
          <cell r="A481" t="str">
            <v>154182C</v>
          </cell>
          <cell r="B481" t="str">
            <v>LY-SA177B-3A-1E</v>
          </cell>
          <cell r="C481" t="str">
            <v>PRO BLAZE PLUS HI</v>
          </cell>
          <cell r="D481" t="str">
            <v>皮+星星月亮</v>
          </cell>
        </row>
        <row r="482">
          <cell r="A482" t="str">
            <v>154417C</v>
          </cell>
          <cell r="B482" t="str">
            <v>LY-CT818U-B</v>
          </cell>
          <cell r="C482" t="str">
            <v>CT AS ALPHA HI</v>
          </cell>
          <cell r="D482" t="str">
            <v>皮</v>
          </cell>
        </row>
        <row r="483">
          <cell r="A483" t="str">
            <v>154493C</v>
          </cell>
          <cell r="B483" t="str">
            <v>LY-CT725U-7A</v>
          </cell>
          <cell r="C483" t="str">
            <v>CTAS II HI</v>
          </cell>
          <cell r="D483" t="str">
            <v>PU</v>
          </cell>
        </row>
        <row r="484">
          <cell r="A484" t="str">
            <v>154494C</v>
          </cell>
          <cell r="B484" t="str">
            <v>LY-CT726U-7A</v>
          </cell>
          <cell r="C484" t="str">
            <v>CTAS II OX</v>
          </cell>
          <cell r="D484" t="str">
            <v>PU</v>
          </cell>
        </row>
        <row r="485">
          <cell r="A485" t="str">
            <v>154795C</v>
          </cell>
          <cell r="B485" t="str">
            <v>LY-CT084U-4A</v>
          </cell>
          <cell r="C485" t="str">
            <v>CTAS TRI PANEL OX</v>
          </cell>
          <cell r="D485" t="str">
            <v>布</v>
          </cell>
        </row>
        <row r="486">
          <cell r="A486" t="str">
            <v>154796C</v>
          </cell>
          <cell r="B486" t="str">
            <v>LY-CT084U-4A</v>
          </cell>
          <cell r="C486" t="str">
            <v>CTAS TRI PANEL OX</v>
          </cell>
          <cell r="D486" t="str">
            <v>布</v>
          </cell>
        </row>
        <row r="487">
          <cell r="A487" t="str">
            <v>154798C</v>
          </cell>
          <cell r="B487" t="str">
            <v>LY-CT084U-4A</v>
          </cell>
          <cell r="C487" t="str">
            <v>CTAS TRI PANEL OX</v>
          </cell>
          <cell r="D487" t="str">
            <v>布</v>
          </cell>
        </row>
        <row r="488">
          <cell r="A488" t="str">
            <v>154861C</v>
          </cell>
          <cell r="B488" t="str">
            <v>LY-CT725U-2</v>
          </cell>
          <cell r="C488" t="str">
            <v>CTAS II HI</v>
          </cell>
          <cell r="D488" t="str">
            <v>布</v>
          </cell>
        </row>
        <row r="489">
          <cell r="A489" t="str">
            <v>154862C</v>
          </cell>
          <cell r="B489" t="str">
            <v>LY-CT726U-2</v>
          </cell>
          <cell r="C489" t="str">
            <v>CTAS II OX</v>
          </cell>
          <cell r="D489" t="str">
            <v>布</v>
          </cell>
        </row>
        <row r="490">
          <cell r="A490" t="str">
            <v>154873C</v>
          </cell>
          <cell r="B490" t="str">
            <v>LY-CT819U-1B</v>
          </cell>
          <cell r="C490" t="str">
            <v>CTAS ALPHA MID</v>
          </cell>
          <cell r="D490" t="str">
            <v>皮</v>
          </cell>
        </row>
        <row r="491">
          <cell r="A491" t="str">
            <v>154874C</v>
          </cell>
          <cell r="B491" t="str">
            <v>LY-CT819U-1B</v>
          </cell>
          <cell r="C491" t="str">
            <v>CTAS ALPHA MID</v>
          </cell>
          <cell r="D491" t="str">
            <v>皮</v>
          </cell>
        </row>
        <row r="492">
          <cell r="A492" t="str">
            <v>154889C</v>
          </cell>
          <cell r="B492" t="str">
            <v>LY-CT725U-7A-1</v>
          </cell>
          <cell r="C492" t="str">
            <v>CTAS II HI</v>
          </cell>
          <cell r="D492" t="str">
            <v>布</v>
          </cell>
        </row>
        <row r="493">
          <cell r="A493" t="str">
            <v>154890C</v>
          </cell>
          <cell r="B493" t="str">
            <v>LY-CT726U-8A</v>
          </cell>
          <cell r="C493" t="str">
            <v>CTAS II OX</v>
          </cell>
          <cell r="D493" t="str">
            <v>布</v>
          </cell>
        </row>
        <row r="494">
          <cell r="A494" t="str">
            <v>154894C</v>
          </cell>
          <cell r="B494" t="str">
            <v>LY-HT250B-2</v>
          </cell>
          <cell r="C494" t="str">
            <v>SKIDGRIP OX</v>
          </cell>
          <cell r="D494" t="str">
            <v>布</v>
          </cell>
        </row>
        <row r="495">
          <cell r="A495" t="str">
            <v>154895C</v>
          </cell>
          <cell r="B495" t="str">
            <v>LY-HT250B-2</v>
          </cell>
          <cell r="C495" t="str">
            <v>SKIDGRIP OX</v>
          </cell>
          <cell r="D495" t="str">
            <v>布</v>
          </cell>
        </row>
        <row r="496">
          <cell r="A496" t="str">
            <v>154896C</v>
          </cell>
          <cell r="B496" t="str">
            <v>LY-HT250B-2</v>
          </cell>
          <cell r="C496" t="str">
            <v>SKIDGRIP OX</v>
          </cell>
          <cell r="D496" t="str">
            <v>布</v>
          </cell>
        </row>
        <row r="497">
          <cell r="A497" t="str">
            <v>154897C</v>
          </cell>
          <cell r="B497" t="str">
            <v>LY-HT250B-2</v>
          </cell>
          <cell r="C497" t="str">
            <v>SKIDGRIP OX</v>
          </cell>
          <cell r="D497" t="str">
            <v>布</v>
          </cell>
        </row>
        <row r="498">
          <cell r="A498" t="str">
            <v>155064C</v>
          </cell>
          <cell r="B498" t="str">
            <v>LY-SK032U-A</v>
          </cell>
          <cell r="C498" t="str">
            <v>CONVERS EL DISTRITO OX</v>
          </cell>
          <cell r="D498" t="str">
            <v>布+星星月亮</v>
          </cell>
        </row>
        <row r="499">
          <cell r="A499" t="str">
            <v>155065C</v>
          </cell>
          <cell r="B499" t="str">
            <v>LY-SK032U-A</v>
          </cell>
          <cell r="C499" t="str">
            <v>CONVERSE EL DISTRITO OX</v>
          </cell>
          <cell r="D499" t="str">
            <v>布+星星月亮</v>
          </cell>
        </row>
        <row r="500">
          <cell r="A500" t="str">
            <v>155066C</v>
          </cell>
          <cell r="B500" t="str">
            <v>LY-SK032U-A</v>
          </cell>
          <cell r="C500" t="str">
            <v>CONVERS EL DISTRITO OX</v>
          </cell>
          <cell r="D500" t="str">
            <v>布+星星月亮</v>
          </cell>
        </row>
        <row r="501">
          <cell r="A501" t="str">
            <v>155067C</v>
          </cell>
          <cell r="B501" t="str">
            <v>LY-HT250B-2</v>
          </cell>
          <cell r="C501" t="str">
            <v>CONS EL VALLE OX</v>
          </cell>
          <cell r="D501" t="str">
            <v>布</v>
          </cell>
        </row>
        <row r="502">
          <cell r="A502" t="str">
            <v>155068C</v>
          </cell>
          <cell r="B502" t="str">
            <v>LY-HT250B-2</v>
          </cell>
          <cell r="C502" t="str">
            <v>CONS EL VALLE OX</v>
          </cell>
          <cell r="D502" t="str">
            <v>布</v>
          </cell>
        </row>
        <row r="503">
          <cell r="A503" t="str">
            <v>155075C</v>
          </cell>
          <cell r="B503" t="str">
            <v>LY-CT725U-2A-3</v>
          </cell>
          <cell r="C503" t="str">
            <v>CTAS II HI</v>
          </cell>
          <cell r="D503" t="str">
            <v>布</v>
          </cell>
        </row>
        <row r="504">
          <cell r="A504" t="str">
            <v>155076C</v>
          </cell>
          <cell r="B504" t="str">
            <v>LY-CT725U-2A-3</v>
          </cell>
          <cell r="C504" t="str">
            <v>CTAS II HI</v>
          </cell>
          <cell r="D504" t="str">
            <v>布</v>
          </cell>
        </row>
        <row r="505">
          <cell r="A505" t="str">
            <v>155078C</v>
          </cell>
          <cell r="B505" t="str">
            <v>LY-SA177B-1A</v>
          </cell>
          <cell r="C505" t="str">
            <v>PRO BLAZE HI</v>
          </cell>
          <cell r="D505" t="str">
            <v>皮+星星月亮</v>
          </cell>
        </row>
        <row r="506">
          <cell r="A506" t="str">
            <v>155079C</v>
          </cell>
          <cell r="B506" t="str">
            <v>LY-SA177B-1A</v>
          </cell>
          <cell r="C506" t="str">
            <v>PRO BLAZE HI</v>
          </cell>
          <cell r="D506" t="str">
            <v>皮+星星月亮</v>
          </cell>
        </row>
        <row r="507">
          <cell r="A507" t="str">
            <v>155081C</v>
          </cell>
          <cell r="B507" t="str">
            <v>LY-SA177B-1A</v>
          </cell>
          <cell r="C507" t="str">
            <v>PRO BLAZE HI</v>
          </cell>
          <cell r="D507" t="str">
            <v>皮+星星月亮</v>
          </cell>
        </row>
        <row r="508">
          <cell r="A508" t="str">
            <v>155108C</v>
          </cell>
          <cell r="B508" t="str">
            <v>LY-CT AS HI CR-XXX</v>
          </cell>
          <cell r="C508" t="str">
            <v>CTAS HI</v>
          </cell>
          <cell r="D508" t="str">
            <v>布</v>
          </cell>
        </row>
        <row r="509">
          <cell r="A509" t="str">
            <v>155109C</v>
          </cell>
          <cell r="B509" t="str">
            <v>LY-CT AS HI CR-XXX</v>
          </cell>
          <cell r="C509" t="str">
            <v>CTAS HI</v>
          </cell>
          <cell r="D509" t="str">
            <v>布</v>
          </cell>
        </row>
        <row r="510">
          <cell r="A510" t="str">
            <v>155135C</v>
          </cell>
          <cell r="B510" t="str">
            <v>LY-SA223-3B-1</v>
          </cell>
          <cell r="C510" t="str">
            <v>STAR PLAYER HI</v>
          </cell>
          <cell r="D510" t="str">
            <v>皮+星星月亮</v>
          </cell>
        </row>
        <row r="511">
          <cell r="A511" t="str">
            <v>155136C</v>
          </cell>
          <cell r="B511" t="str">
            <v>LY-SA223-3B-1</v>
          </cell>
          <cell r="C511" t="str">
            <v>STAR PLAYER HI</v>
          </cell>
          <cell r="D511" t="str">
            <v>皮+星星月亮</v>
          </cell>
        </row>
        <row r="512">
          <cell r="A512" t="str">
            <v>155138C</v>
          </cell>
          <cell r="B512" t="str">
            <v>LY-SA223-3B-2</v>
          </cell>
          <cell r="C512" t="str">
            <v>STAR PLAYER HI</v>
          </cell>
          <cell r="D512" t="str">
            <v>皮+星星月亮</v>
          </cell>
        </row>
        <row r="513">
          <cell r="A513" t="str">
            <v>155139C</v>
          </cell>
          <cell r="B513" t="str">
            <v>LY-SA223-3B-2</v>
          </cell>
          <cell r="C513" t="str">
            <v>STAR PLAYER HI</v>
          </cell>
          <cell r="D513" t="str">
            <v>皮+星星月亮</v>
          </cell>
        </row>
        <row r="514">
          <cell r="A514" t="str">
            <v>155184C</v>
          </cell>
          <cell r="B514" t="str">
            <v>LY-CT AS HI CR-XXX-B</v>
          </cell>
          <cell r="C514" t="str">
            <v>CTAS HI</v>
          </cell>
          <cell r="D514" t="str">
            <v>皮</v>
          </cell>
        </row>
        <row r="515">
          <cell r="A515" t="str">
            <v>155185C</v>
          </cell>
          <cell r="B515" t="str">
            <v>LY-CT AS OX CR-XXX-B</v>
          </cell>
          <cell r="C515" t="str">
            <v>CTAS OX</v>
          </cell>
          <cell r="D515" t="str">
            <v>皮</v>
          </cell>
        </row>
        <row r="516">
          <cell r="A516" t="str">
            <v>155247B</v>
          </cell>
          <cell r="B516" t="str">
            <v>LY-CT725U-A</v>
          </cell>
          <cell r="C516" t="str">
            <v>CTAS II HI</v>
          </cell>
          <cell r="D516" t="str">
            <v>布</v>
          </cell>
        </row>
        <row r="517">
          <cell r="A517" t="str">
            <v>155248B</v>
          </cell>
          <cell r="B517" t="str">
            <v>LY-CT726U-A</v>
          </cell>
          <cell r="C517" t="str">
            <v>CTAS II OX</v>
          </cell>
          <cell r="D517" t="str">
            <v>布</v>
          </cell>
        </row>
        <row r="518">
          <cell r="A518" t="str">
            <v>155252C</v>
          </cell>
          <cell r="B518" t="str">
            <v>LY-CT725U-7A-1A</v>
          </cell>
          <cell r="C518" t="str">
            <v>CTAS II HI</v>
          </cell>
          <cell r="D518" t="str">
            <v>布</v>
          </cell>
        </row>
        <row r="519">
          <cell r="A519" t="str">
            <v>155253C</v>
          </cell>
          <cell r="B519" t="str">
            <v>LY-CT726U-7A-1A</v>
          </cell>
          <cell r="C519" t="str">
            <v>CTAS II OX</v>
          </cell>
          <cell r="D519" t="str">
            <v>布</v>
          </cell>
        </row>
        <row r="520">
          <cell r="A520" t="str">
            <v>155263C</v>
          </cell>
          <cell r="B520" t="str">
            <v>LY-CT875U-B</v>
          </cell>
          <cell r="C520" t="str">
            <v>CTAS II THERMO-BOOT HI</v>
          </cell>
          <cell r="D520" t="str">
            <v>布CCS</v>
          </cell>
        </row>
        <row r="521">
          <cell r="A521" t="str">
            <v>155267C</v>
          </cell>
          <cell r="B521" t="str">
            <v>LY-CT AS HI CR-XXX-1B</v>
          </cell>
          <cell r="C521" t="str">
            <v>CT AS HI</v>
          </cell>
          <cell r="D521" t="str">
            <v>PU</v>
          </cell>
        </row>
        <row r="522">
          <cell r="A522" t="str">
            <v>155268C</v>
          </cell>
          <cell r="B522" t="str">
            <v>LY-CT AS HI CR-XXX-1B</v>
          </cell>
          <cell r="C522" t="str">
            <v>CT AS HI</v>
          </cell>
          <cell r="D522" t="str">
            <v>PU</v>
          </cell>
        </row>
        <row r="523">
          <cell r="A523" t="str">
            <v>155269C</v>
          </cell>
          <cell r="B523" t="str">
            <v>LY-CT AS HI CR-XXX-1B</v>
          </cell>
          <cell r="C523" t="str">
            <v>CT AS HI</v>
          </cell>
          <cell r="D523" t="str">
            <v>PU</v>
          </cell>
        </row>
        <row r="524">
          <cell r="A524" t="str">
            <v>155270C</v>
          </cell>
          <cell r="B524" t="str">
            <v>LY-CT818U-2B</v>
          </cell>
          <cell r="C524" t="str">
            <v>CTAS ALPHA HI</v>
          </cell>
          <cell r="D524" t="str">
            <v>PU</v>
          </cell>
        </row>
        <row r="525">
          <cell r="A525" t="str">
            <v>155271C</v>
          </cell>
          <cell r="B525" t="str">
            <v>LY-CT818U-2B</v>
          </cell>
          <cell r="C525" t="str">
            <v>CTAS ALPHA HI</v>
          </cell>
          <cell r="D525" t="str">
            <v>PU</v>
          </cell>
        </row>
        <row r="526">
          <cell r="A526" t="str">
            <v>155309C</v>
          </cell>
          <cell r="B526" t="str">
            <v>LY-SK032U-A</v>
          </cell>
          <cell r="C526" t="str">
            <v>CONS EL DISTRITO OX</v>
          </cell>
          <cell r="D526" t="str">
            <v>布+星星月亮</v>
          </cell>
        </row>
        <row r="527">
          <cell r="A527" t="str">
            <v>155310C</v>
          </cell>
          <cell r="B527" t="str">
            <v>LY-SK032U-A</v>
          </cell>
          <cell r="C527" t="str">
            <v>CONVERSE EL DISTRITO OX</v>
          </cell>
          <cell r="D527" t="str">
            <v>布+星星月亮</v>
          </cell>
        </row>
        <row r="528">
          <cell r="A528" t="str">
            <v>155313B</v>
          </cell>
          <cell r="B528" t="str">
            <v>LY-CT725U-A</v>
          </cell>
          <cell r="C528" t="str">
            <v>CTAS II HI</v>
          </cell>
          <cell r="D528" t="str">
            <v>布</v>
          </cell>
        </row>
        <row r="529">
          <cell r="A529" t="str">
            <v>155314B</v>
          </cell>
          <cell r="B529" t="str">
            <v>LY-CT726U-A</v>
          </cell>
          <cell r="C529" t="str">
            <v>CTAS II OX</v>
          </cell>
          <cell r="D529" t="str">
            <v>布</v>
          </cell>
        </row>
        <row r="530">
          <cell r="A530" t="str">
            <v>155316C</v>
          </cell>
          <cell r="B530" t="str">
            <v>LY-CT840U-1B</v>
          </cell>
          <cell r="C530" t="str">
            <v>CTAS II BOOT HI</v>
          </cell>
          <cell r="D530" t="str">
            <v>皮</v>
          </cell>
        </row>
        <row r="531">
          <cell r="A531" t="str">
            <v>155317C</v>
          </cell>
          <cell r="B531" t="str">
            <v>LY-CT840U-1B</v>
          </cell>
          <cell r="C531" t="str">
            <v>CTAS II BOOT HI</v>
          </cell>
          <cell r="D531" t="str">
            <v>皮</v>
          </cell>
        </row>
        <row r="532">
          <cell r="A532" t="str">
            <v>155331C</v>
          </cell>
          <cell r="B532" t="str">
            <v>LY-CT875U-B</v>
          </cell>
          <cell r="C532" t="str">
            <v>CTAS II THERMO-BOOT HI</v>
          </cell>
          <cell r="D532" t="str">
            <v>布CCS</v>
          </cell>
        </row>
        <row r="533">
          <cell r="A533" t="str">
            <v>155357C</v>
          </cell>
          <cell r="B533" t="str">
            <v>LY-CT725U-7A-4</v>
          </cell>
          <cell r="C533" t="str">
            <v>CTAS II HI</v>
          </cell>
          <cell r="D533" t="str">
            <v>布</v>
          </cell>
        </row>
        <row r="534">
          <cell r="A534" t="str">
            <v>155360C</v>
          </cell>
          <cell r="B534" t="str">
            <v>LY-CT725U-2A-2</v>
          </cell>
          <cell r="C534" t="str">
            <v>CTAS II HI</v>
          </cell>
          <cell r="D534" t="str">
            <v>布</v>
          </cell>
        </row>
        <row r="535">
          <cell r="A535" t="str">
            <v>155361C</v>
          </cell>
          <cell r="B535" t="str">
            <v>LY-CT725U-2A-2</v>
          </cell>
          <cell r="C535" t="str">
            <v>CTAS II HI</v>
          </cell>
          <cell r="D535" t="str">
            <v>布</v>
          </cell>
        </row>
        <row r="536">
          <cell r="A536" t="str">
            <v>155362C</v>
          </cell>
          <cell r="B536" t="str">
            <v>LY-CT726U-2A-2</v>
          </cell>
          <cell r="C536" t="str">
            <v>CTAS II OX</v>
          </cell>
          <cell r="D536" t="str">
            <v>布</v>
          </cell>
        </row>
        <row r="537">
          <cell r="A537" t="str">
            <v>155363C</v>
          </cell>
          <cell r="B537" t="str">
            <v>LY-CT726U-2A-2</v>
          </cell>
          <cell r="C537" t="str">
            <v>CTAS II OX</v>
          </cell>
          <cell r="D537" t="str">
            <v>布</v>
          </cell>
        </row>
        <row r="538">
          <cell r="A538" t="str">
            <v>155368C</v>
          </cell>
          <cell r="B538" t="str">
            <v>LY-CT725U-5A-4A</v>
          </cell>
          <cell r="C538" t="str">
            <v>CTAS II HI</v>
          </cell>
          <cell r="D538" t="str">
            <v>布CCS</v>
          </cell>
        </row>
        <row r="539">
          <cell r="A539" t="str">
            <v>155369C</v>
          </cell>
          <cell r="B539" t="str">
            <v>LY-CT725U-5A-4A</v>
          </cell>
          <cell r="C539" t="str">
            <v>CTAS II HI</v>
          </cell>
          <cell r="D539" t="str">
            <v>布CCS</v>
          </cell>
        </row>
        <row r="540">
          <cell r="A540" t="str">
            <v>155387C</v>
          </cell>
          <cell r="B540" t="str">
            <v>LY-CT099U-6</v>
          </cell>
          <cell r="C540" t="str">
            <v>CTAS HI</v>
          </cell>
          <cell r="D540" t="str">
            <v>水洗</v>
          </cell>
        </row>
        <row r="541">
          <cell r="A541" t="str">
            <v>155388C</v>
          </cell>
          <cell r="B541" t="str">
            <v>LY-CT099U-6</v>
          </cell>
          <cell r="C541" t="str">
            <v>CTAS HI</v>
          </cell>
          <cell r="D541" t="str">
            <v>水洗</v>
          </cell>
        </row>
        <row r="542">
          <cell r="A542" t="str">
            <v>155389C</v>
          </cell>
          <cell r="B542" t="str">
            <v>LY-CT AS OX CR-XXX</v>
          </cell>
          <cell r="C542" t="str">
            <v>CTAS OX</v>
          </cell>
          <cell r="D542" t="str">
            <v>水洗</v>
          </cell>
        </row>
        <row r="543">
          <cell r="A543" t="str">
            <v>155390C</v>
          </cell>
          <cell r="B543" t="str">
            <v>LY-CT AS OX CR-XXX</v>
          </cell>
          <cell r="C543" t="str">
            <v>CTAS OX</v>
          </cell>
          <cell r="D543" t="str">
            <v>水洗</v>
          </cell>
        </row>
        <row r="544">
          <cell r="A544" t="str">
            <v>155391C</v>
          </cell>
          <cell r="B544" t="str">
            <v>LY-CT AS OX CR-XXX</v>
          </cell>
          <cell r="C544" t="str">
            <v>CTAS OX</v>
          </cell>
          <cell r="D544" t="str">
            <v>水洗</v>
          </cell>
        </row>
        <row r="545">
          <cell r="A545" t="str">
            <v>155392C</v>
          </cell>
          <cell r="B545" t="str">
            <v>LY-CT AS OX CR-XXX</v>
          </cell>
          <cell r="C545" t="str">
            <v>CTAS OX</v>
          </cell>
          <cell r="D545" t="str">
            <v>水洗</v>
          </cell>
        </row>
        <row r="546">
          <cell r="A546" t="str">
            <v>155417C</v>
          </cell>
          <cell r="B546" t="str">
            <v>LY-CT725U-4A-2</v>
          </cell>
          <cell r="C546" t="str">
            <v>CTAS II HI</v>
          </cell>
          <cell r="D546" t="str">
            <v>布</v>
          </cell>
        </row>
        <row r="547">
          <cell r="A547" t="str">
            <v>155417V</v>
          </cell>
          <cell r="B547" t="str">
            <v>LY-CT725U-4A-2</v>
          </cell>
          <cell r="C547" t="str">
            <v>CT AS II</v>
          </cell>
          <cell r="D547" t="str">
            <v>布</v>
          </cell>
        </row>
        <row r="548">
          <cell r="A548" t="str">
            <v>155418C</v>
          </cell>
          <cell r="B548" t="str">
            <v>LY-CT725U-4A-2</v>
          </cell>
          <cell r="C548" t="str">
            <v>CTAS II HI</v>
          </cell>
          <cell r="D548" t="str">
            <v>布</v>
          </cell>
        </row>
        <row r="549">
          <cell r="A549" t="str">
            <v>155418V</v>
          </cell>
          <cell r="B549" t="str">
            <v>LY-CT725U-4A-2</v>
          </cell>
          <cell r="C549" t="str">
            <v>CT AS II</v>
          </cell>
          <cell r="D549" t="str">
            <v>布</v>
          </cell>
        </row>
        <row r="550">
          <cell r="A550" t="str">
            <v>155422C</v>
          </cell>
          <cell r="B550" t="str">
            <v>LY-SK122U-2A-1</v>
          </cell>
          <cell r="C550" t="str">
            <v>CRIMSON OX</v>
          </cell>
          <cell r="D550" t="str">
            <v>布</v>
          </cell>
        </row>
        <row r="551">
          <cell r="A551" t="str">
            <v>155423C</v>
          </cell>
          <cell r="B551" t="str">
            <v>LY-SK122U-2A-1</v>
          </cell>
          <cell r="C551" t="str">
            <v>CRIMSON OX</v>
          </cell>
          <cell r="D551" t="str">
            <v>布</v>
          </cell>
        </row>
        <row r="552">
          <cell r="A552" t="str">
            <v>155424C</v>
          </cell>
          <cell r="B552" t="str">
            <v>LY-SK122U-2A-1</v>
          </cell>
          <cell r="C552" t="str">
            <v>CRIMSON OX</v>
          </cell>
          <cell r="D552" t="str">
            <v>布</v>
          </cell>
        </row>
        <row r="553">
          <cell r="A553" t="str">
            <v>155425C</v>
          </cell>
          <cell r="B553" t="str">
            <v>LY-SK122U-2A-1</v>
          </cell>
          <cell r="C553" t="str">
            <v>CRIMSON OX</v>
          </cell>
          <cell r="D553" t="str">
            <v>布</v>
          </cell>
        </row>
        <row r="554">
          <cell r="A554" t="str">
            <v>155426C</v>
          </cell>
          <cell r="B554" t="str">
            <v>LY-SK122U-2A-1</v>
          </cell>
          <cell r="C554" t="str">
            <v>CRIMSON OX</v>
          </cell>
          <cell r="D554" t="str">
            <v>布</v>
          </cell>
        </row>
        <row r="555">
          <cell r="A555" t="str">
            <v>155427C</v>
          </cell>
          <cell r="B555" t="str">
            <v>LY-CT725U-2A-7</v>
          </cell>
          <cell r="C555" t="str">
            <v>CTAS II HI</v>
          </cell>
          <cell r="D555" t="str">
            <v>布Nilon</v>
          </cell>
        </row>
        <row r="556">
          <cell r="A556" t="str">
            <v>155427V</v>
          </cell>
          <cell r="B556" t="str">
            <v>LY-CT725U-2A-7</v>
          </cell>
          <cell r="C556" t="str">
            <v>CT AS II HI</v>
          </cell>
          <cell r="D556" t="str">
            <v>布Nilon</v>
          </cell>
        </row>
        <row r="557">
          <cell r="A557" t="str">
            <v>155428C</v>
          </cell>
          <cell r="B557" t="str">
            <v>LY-CT725U-2A-7</v>
          </cell>
          <cell r="C557" t="str">
            <v>CTAS II HI</v>
          </cell>
          <cell r="D557" t="str">
            <v>布Nilon</v>
          </cell>
        </row>
        <row r="558">
          <cell r="A558" t="str">
            <v>155429C</v>
          </cell>
          <cell r="B558" t="str">
            <v>LY-SK122U-2A</v>
          </cell>
          <cell r="C558" t="str">
            <v>CRIMSON OX</v>
          </cell>
          <cell r="D558" t="str">
            <v>布</v>
          </cell>
        </row>
        <row r="559">
          <cell r="A559" t="str">
            <v>155430C</v>
          </cell>
          <cell r="B559" t="str">
            <v>LY-SK122U-2A</v>
          </cell>
          <cell r="C559" t="str">
            <v>CRIMSON OX</v>
          </cell>
          <cell r="D559" t="str">
            <v>布</v>
          </cell>
        </row>
        <row r="560">
          <cell r="A560" t="str">
            <v>155431C</v>
          </cell>
          <cell r="B560" t="str">
            <v>LY-CT726U-2A-8</v>
          </cell>
          <cell r="C560" t="str">
            <v>CTAS II OX</v>
          </cell>
          <cell r="D560" t="str">
            <v>布Nilon</v>
          </cell>
        </row>
        <row r="561">
          <cell r="A561" t="str">
            <v>155431V</v>
          </cell>
          <cell r="B561" t="str">
            <v>LY-CT726U-2A-8</v>
          </cell>
          <cell r="C561" t="str">
            <v>CTAS II OX</v>
          </cell>
          <cell r="D561" t="str">
            <v>布Nilon</v>
          </cell>
        </row>
        <row r="562">
          <cell r="A562" t="str">
            <v>155432C</v>
          </cell>
          <cell r="B562" t="str">
            <v>LY-CT726U-2A-8</v>
          </cell>
          <cell r="C562" t="str">
            <v>CTAS II OX</v>
          </cell>
          <cell r="D562" t="str">
            <v>布Nilon</v>
          </cell>
        </row>
        <row r="563">
          <cell r="A563" t="str">
            <v>155433C</v>
          </cell>
          <cell r="B563" t="str">
            <v>LY-CT726U-2A-8</v>
          </cell>
          <cell r="C563" t="str">
            <v>CTAS II OX</v>
          </cell>
          <cell r="D563" t="str">
            <v>布Nilon</v>
          </cell>
        </row>
        <row r="564">
          <cell r="A564" t="str">
            <v>155457C</v>
          </cell>
          <cell r="B564" t="str">
            <v>LY-CT725U-2A-5</v>
          </cell>
          <cell r="C564" t="str">
            <v>CTAS II HI</v>
          </cell>
          <cell r="D564" t="str">
            <v>布</v>
          </cell>
        </row>
        <row r="565">
          <cell r="A565" t="str">
            <v>155457V</v>
          </cell>
          <cell r="B565" t="str">
            <v>LY-CT725U-2A-5</v>
          </cell>
          <cell r="C565" t="str">
            <v>CT AS II HI</v>
          </cell>
          <cell r="D565" t="str">
            <v>布</v>
          </cell>
        </row>
        <row r="566">
          <cell r="A566" t="str">
            <v>155458C</v>
          </cell>
          <cell r="B566" t="str">
            <v>LY-CT725U-2A-5A</v>
          </cell>
          <cell r="C566" t="str">
            <v>CTAS II HI</v>
          </cell>
          <cell r="D566" t="str">
            <v>布</v>
          </cell>
        </row>
        <row r="567">
          <cell r="A567" t="str">
            <v>155461C</v>
          </cell>
          <cell r="B567" t="str">
            <v>LY-CT726U-3A-2</v>
          </cell>
          <cell r="C567" t="str">
            <v>CTAS II OX</v>
          </cell>
          <cell r="D567" t="str">
            <v>布</v>
          </cell>
        </row>
        <row r="568">
          <cell r="A568" t="str">
            <v>155461V</v>
          </cell>
          <cell r="B568" t="str">
            <v>LY-CT726U-3A-2</v>
          </cell>
          <cell r="C568" t="str">
            <v>CTAS II OX</v>
          </cell>
          <cell r="D568" t="str">
            <v>布</v>
          </cell>
        </row>
        <row r="569">
          <cell r="A569" t="str">
            <v>155462C</v>
          </cell>
          <cell r="B569" t="str">
            <v>LY-CT726U-3A-2</v>
          </cell>
          <cell r="C569" t="str">
            <v>CTAS II OX</v>
          </cell>
          <cell r="D569" t="str">
            <v>布</v>
          </cell>
        </row>
        <row r="570">
          <cell r="A570" t="str">
            <v>155462V</v>
          </cell>
          <cell r="B570" t="str">
            <v>LY-CT726U-3A-2</v>
          </cell>
          <cell r="C570" t="str">
            <v>CT AS II OX</v>
          </cell>
          <cell r="D570" t="str">
            <v>布</v>
          </cell>
        </row>
        <row r="571">
          <cell r="A571" t="str">
            <v>155463C</v>
          </cell>
          <cell r="B571" t="str">
            <v>LY-CT726U-3A-3</v>
          </cell>
          <cell r="C571" t="str">
            <v>CTAS II OX</v>
          </cell>
          <cell r="D571" t="str">
            <v>布</v>
          </cell>
        </row>
        <row r="572">
          <cell r="A572" t="str">
            <v>155492C</v>
          </cell>
          <cell r="B572" t="str">
            <v>LY-CT725U-2A-4A</v>
          </cell>
          <cell r="C572" t="str">
            <v>CTAS II HI</v>
          </cell>
          <cell r="D572" t="str">
            <v>布</v>
          </cell>
        </row>
        <row r="573">
          <cell r="A573" t="str">
            <v>155493C</v>
          </cell>
          <cell r="B573" t="str">
            <v>LY-CT725U-2A-4A</v>
          </cell>
          <cell r="C573" t="str">
            <v>CTAS II HI</v>
          </cell>
          <cell r="D573" t="str">
            <v>布</v>
          </cell>
        </row>
        <row r="574">
          <cell r="A574" t="str">
            <v>155493V</v>
          </cell>
          <cell r="B574" t="str">
            <v>LY-CT725U-2A-4A</v>
          </cell>
          <cell r="C574" t="str">
            <v>CTAS II HI</v>
          </cell>
          <cell r="D574" t="str">
            <v>布</v>
          </cell>
        </row>
        <row r="575">
          <cell r="A575" t="str">
            <v>155495C</v>
          </cell>
          <cell r="B575" t="str">
            <v>LY-CT726U-2A-6</v>
          </cell>
          <cell r="C575" t="str">
            <v>CTAS II OX</v>
          </cell>
          <cell r="D575" t="str">
            <v>布</v>
          </cell>
        </row>
        <row r="576">
          <cell r="A576" t="str">
            <v>155496C</v>
          </cell>
          <cell r="B576" t="str">
            <v>LY-CT725U-A</v>
          </cell>
          <cell r="C576" t="str">
            <v>CTAS II HI</v>
          </cell>
          <cell r="D576" t="str">
            <v>布</v>
          </cell>
        </row>
        <row r="577">
          <cell r="A577" t="str">
            <v>155496V</v>
          </cell>
          <cell r="B577" t="str">
            <v>LY-CT725U-A</v>
          </cell>
          <cell r="C577" t="str">
            <v>CTAS II HI</v>
          </cell>
          <cell r="D577" t="str">
            <v>布</v>
          </cell>
        </row>
        <row r="578">
          <cell r="A578" t="str">
            <v>155497C</v>
          </cell>
          <cell r="B578" t="str">
            <v>LY-CT725U-A</v>
          </cell>
          <cell r="C578" t="str">
            <v>CTAS II HI</v>
          </cell>
          <cell r="D578" t="str">
            <v>布</v>
          </cell>
        </row>
        <row r="579">
          <cell r="A579" t="str">
            <v>155498C</v>
          </cell>
          <cell r="B579" t="str">
            <v>LY-CT725U-A</v>
          </cell>
          <cell r="C579" t="str">
            <v>CTAS II HI</v>
          </cell>
          <cell r="D579" t="str">
            <v>布</v>
          </cell>
        </row>
        <row r="580">
          <cell r="A580" t="str">
            <v>155498V</v>
          </cell>
          <cell r="B580" t="str">
            <v>LY-CT725U-A</v>
          </cell>
          <cell r="C580" t="str">
            <v>CTAS II HI</v>
          </cell>
          <cell r="D580" t="str">
            <v>布</v>
          </cell>
        </row>
        <row r="581">
          <cell r="A581" t="str">
            <v>155499C</v>
          </cell>
          <cell r="B581" t="str">
            <v>LY-CT726U-A</v>
          </cell>
          <cell r="C581" t="str">
            <v>CTAS II OX</v>
          </cell>
          <cell r="D581" t="str">
            <v>布</v>
          </cell>
        </row>
        <row r="582">
          <cell r="A582" t="str">
            <v>155500C</v>
          </cell>
          <cell r="B582" t="str">
            <v>LY-CT726U-A</v>
          </cell>
          <cell r="C582" t="str">
            <v>CTAS II OX</v>
          </cell>
          <cell r="D582" t="str">
            <v>布</v>
          </cell>
        </row>
        <row r="583">
          <cell r="A583" t="str">
            <v>155500V</v>
          </cell>
          <cell r="B583" t="str">
            <v>LY-CT726U-A</v>
          </cell>
          <cell r="C583" t="str">
            <v>CTAS II OX</v>
          </cell>
          <cell r="D583" t="str">
            <v>布</v>
          </cell>
        </row>
        <row r="584">
          <cell r="A584" t="str">
            <v>155501C</v>
          </cell>
          <cell r="B584" t="str">
            <v>LY-CT726U-A</v>
          </cell>
          <cell r="C584" t="str">
            <v>CTAS II OX</v>
          </cell>
          <cell r="D584" t="str">
            <v>布</v>
          </cell>
        </row>
        <row r="585">
          <cell r="A585" t="str">
            <v>155501V</v>
          </cell>
          <cell r="B585" t="str">
            <v>LY-CT726U-A</v>
          </cell>
          <cell r="C585" t="str">
            <v>CTAS II OX</v>
          </cell>
          <cell r="D585" t="str">
            <v>布</v>
          </cell>
        </row>
        <row r="586">
          <cell r="A586" t="str">
            <v>155502C</v>
          </cell>
          <cell r="B586" t="str">
            <v>LY-CT726U-A</v>
          </cell>
          <cell r="C586" t="str">
            <v>CTAS II OX</v>
          </cell>
          <cell r="D586" t="str">
            <v>布</v>
          </cell>
        </row>
        <row r="587">
          <cell r="A587" t="str">
            <v>155503C</v>
          </cell>
          <cell r="B587" t="str">
            <v>LY-CT725U-5A-4</v>
          </cell>
          <cell r="C587" t="str">
            <v>CTAS II HI</v>
          </cell>
          <cell r="D587" t="str">
            <v>布</v>
          </cell>
        </row>
        <row r="588">
          <cell r="A588" t="str">
            <v>155504C</v>
          </cell>
          <cell r="B588" t="str">
            <v>LY-CT725U-5A-4</v>
          </cell>
          <cell r="C588" t="str">
            <v>CTAS II HI</v>
          </cell>
          <cell r="D588" t="str">
            <v>布</v>
          </cell>
        </row>
        <row r="589">
          <cell r="A589" t="str">
            <v>155505C</v>
          </cell>
          <cell r="B589" t="str">
            <v>LY-CT725U-5A-3</v>
          </cell>
          <cell r="C589" t="str">
            <v>CTAS II HI</v>
          </cell>
          <cell r="D589" t="str">
            <v>布</v>
          </cell>
        </row>
        <row r="590">
          <cell r="A590" t="str">
            <v>155506C</v>
          </cell>
          <cell r="B590" t="str">
            <v>LY-CT725U-5A-3</v>
          </cell>
          <cell r="C590" t="str">
            <v>CTAS II HI</v>
          </cell>
          <cell r="D590" t="str">
            <v>布</v>
          </cell>
        </row>
        <row r="591">
          <cell r="A591" t="str">
            <v>155507C</v>
          </cell>
          <cell r="B591" t="str">
            <v>LY-CT726U-5A-3</v>
          </cell>
          <cell r="C591" t="str">
            <v>CTAS II OX</v>
          </cell>
          <cell r="D591" t="str">
            <v>布</v>
          </cell>
        </row>
        <row r="592">
          <cell r="A592" t="str">
            <v>155508C</v>
          </cell>
          <cell r="B592" t="str">
            <v>LY-CT726U-5A-3</v>
          </cell>
          <cell r="C592" t="str">
            <v>CTAS II OX</v>
          </cell>
          <cell r="D592" t="str">
            <v>布</v>
          </cell>
        </row>
        <row r="593">
          <cell r="A593" t="str">
            <v>155529C</v>
          </cell>
          <cell r="B593" t="str">
            <v>LY-CT725U-4A-2</v>
          </cell>
          <cell r="C593" t="str">
            <v>CTAS II HI</v>
          </cell>
          <cell r="D593" t="str">
            <v>布</v>
          </cell>
        </row>
        <row r="594">
          <cell r="A594" t="str">
            <v>155529V</v>
          </cell>
          <cell r="B594" t="str">
            <v>LY-CT725U-4A-2</v>
          </cell>
          <cell r="C594" t="str">
            <v>CT AS II HI</v>
          </cell>
          <cell r="D594" t="str">
            <v>布</v>
          </cell>
        </row>
        <row r="595">
          <cell r="A595" t="str">
            <v>155530C</v>
          </cell>
          <cell r="B595" t="str">
            <v>LY-CT725U-4A-2</v>
          </cell>
          <cell r="C595" t="str">
            <v>CTAS II HI</v>
          </cell>
          <cell r="D595" t="str">
            <v>布</v>
          </cell>
        </row>
        <row r="596">
          <cell r="A596" t="str">
            <v>155530V</v>
          </cell>
          <cell r="B596" t="str">
            <v>LY-CT725U-4A-2</v>
          </cell>
          <cell r="C596" t="str">
            <v>CT AS II HI</v>
          </cell>
          <cell r="D596" t="str">
            <v>布</v>
          </cell>
        </row>
        <row r="597">
          <cell r="A597" t="str">
            <v>155531C</v>
          </cell>
          <cell r="B597" t="str">
            <v>LY-CT725U-7A-5</v>
          </cell>
          <cell r="C597" t="str">
            <v>CTAS II HI</v>
          </cell>
          <cell r="D597" t="str">
            <v>布</v>
          </cell>
        </row>
        <row r="598">
          <cell r="A598" t="str">
            <v>155532C</v>
          </cell>
          <cell r="B598" t="str">
            <v>LY-CT725U-7A-5</v>
          </cell>
          <cell r="C598" t="str">
            <v>CTAS II HI</v>
          </cell>
          <cell r="D598" t="str">
            <v>布</v>
          </cell>
        </row>
        <row r="599">
          <cell r="A599" t="str">
            <v>155533C</v>
          </cell>
          <cell r="B599" t="str">
            <v>LY-CT725U-7A-5</v>
          </cell>
          <cell r="C599" t="str">
            <v>CTAS II HI</v>
          </cell>
          <cell r="D599" t="str">
            <v>布</v>
          </cell>
        </row>
        <row r="600">
          <cell r="A600" t="str">
            <v>155534C</v>
          </cell>
          <cell r="B600" t="str">
            <v>LY-CT725U-2A-6</v>
          </cell>
          <cell r="C600" t="str">
            <v>CTAS II HI</v>
          </cell>
          <cell r="D600" t="str">
            <v>布</v>
          </cell>
        </row>
        <row r="601">
          <cell r="A601" t="str">
            <v>155535C</v>
          </cell>
          <cell r="B601" t="str">
            <v>LY-CT725U-2A-6</v>
          </cell>
          <cell r="C601" t="str">
            <v>CTAS II HI</v>
          </cell>
          <cell r="D601" t="str">
            <v>布</v>
          </cell>
        </row>
        <row r="602">
          <cell r="A602" t="str">
            <v>155535V</v>
          </cell>
          <cell r="B602" t="str">
            <v>LY-CT725U-2A-6</v>
          </cell>
          <cell r="C602" t="str">
            <v>CT AS II HI</v>
          </cell>
          <cell r="D602" t="str">
            <v>布</v>
          </cell>
        </row>
        <row r="603">
          <cell r="A603" t="str">
            <v>155536C</v>
          </cell>
          <cell r="B603" t="str">
            <v>LY-CT725U-2A-6</v>
          </cell>
          <cell r="C603" t="str">
            <v>CTAS II HI</v>
          </cell>
          <cell r="D603" t="str">
            <v>布</v>
          </cell>
        </row>
        <row r="604">
          <cell r="A604" t="str">
            <v>155536V</v>
          </cell>
          <cell r="B604" t="str">
            <v>LY-CT725U-2A-6</v>
          </cell>
          <cell r="C604" t="str">
            <v>CTAS II HI</v>
          </cell>
          <cell r="D604" t="str">
            <v>布</v>
          </cell>
        </row>
        <row r="605">
          <cell r="A605" t="str">
            <v>155537C</v>
          </cell>
          <cell r="B605" t="str">
            <v>LY-CT726U-3A</v>
          </cell>
          <cell r="C605" t="str">
            <v>CTAS II OX</v>
          </cell>
          <cell r="D605" t="str">
            <v>布</v>
          </cell>
        </row>
        <row r="606">
          <cell r="A606" t="str">
            <v>155537V</v>
          </cell>
          <cell r="B606" t="str">
            <v>LY-CT726U-3A</v>
          </cell>
          <cell r="C606" t="str">
            <v>CT AS II OX</v>
          </cell>
          <cell r="D606" t="str">
            <v>布</v>
          </cell>
        </row>
        <row r="607">
          <cell r="A607" t="str">
            <v>155539C</v>
          </cell>
          <cell r="B607" t="str">
            <v>LY-CT726U-3A</v>
          </cell>
          <cell r="C607" t="str">
            <v>CTAS II OX</v>
          </cell>
          <cell r="D607" t="str">
            <v>布</v>
          </cell>
        </row>
        <row r="608">
          <cell r="A608" t="str">
            <v>155594C</v>
          </cell>
          <cell r="B608" t="str">
            <v>LY-SK122U-2A</v>
          </cell>
          <cell r="C608" t="str">
            <v>CRIMSON OX</v>
          </cell>
          <cell r="D608" t="str">
            <v>布</v>
          </cell>
        </row>
        <row r="609">
          <cell r="A609" t="str">
            <v>155747C</v>
          </cell>
          <cell r="B609" t="str">
            <v>LY-CT725U-2A-3A</v>
          </cell>
          <cell r="C609" t="str">
            <v>CTAS II ENGINEERED MESH HI</v>
          </cell>
          <cell r="D609" t="str">
            <v>布</v>
          </cell>
        </row>
        <row r="610">
          <cell r="A610" t="str">
            <v>155748C</v>
          </cell>
          <cell r="B610" t="str">
            <v>LY-CT725U-2A-3A</v>
          </cell>
          <cell r="C610" t="str">
            <v>CTAS II ENGINEERED MESH HI</v>
          </cell>
          <cell r="D610" t="str">
            <v>布</v>
          </cell>
        </row>
        <row r="611">
          <cell r="A611" t="str">
            <v>155749C</v>
          </cell>
          <cell r="B611" t="str">
            <v>LY-CT726U-2A-7</v>
          </cell>
          <cell r="C611" t="str">
            <v>CTAS II OX</v>
          </cell>
          <cell r="D611" t="str">
            <v>布</v>
          </cell>
        </row>
        <row r="612">
          <cell r="A612" t="str">
            <v>155749V</v>
          </cell>
          <cell r="B612" t="str">
            <v>LY-CT726U-2A-7</v>
          </cell>
          <cell r="C612" t="str">
            <v>CT AS II ENGINEERED OX</v>
          </cell>
          <cell r="D612" t="str">
            <v>布</v>
          </cell>
        </row>
        <row r="613">
          <cell r="A613" t="str">
            <v>155750C</v>
          </cell>
          <cell r="B613" t="str">
            <v>LY-CT726U-2A-7</v>
          </cell>
          <cell r="C613" t="str">
            <v>CTAS II OX</v>
          </cell>
          <cell r="D613" t="str">
            <v>布</v>
          </cell>
        </row>
        <row r="614">
          <cell r="A614" t="str">
            <v>155752C</v>
          </cell>
          <cell r="B614" t="str">
            <v>LY-SA287U-8A</v>
          </cell>
          <cell r="C614" t="str">
            <v>ZAKIM OX</v>
          </cell>
          <cell r="D614" t="str">
            <v>布+星星月亮</v>
          </cell>
        </row>
        <row r="615">
          <cell r="A615" t="str">
            <v>155753C</v>
          </cell>
          <cell r="B615" t="str">
            <v>LY-SA287U-8A</v>
          </cell>
          <cell r="C615" t="str">
            <v>ZAKIM OX</v>
          </cell>
          <cell r="D615" t="str">
            <v>布+星星月亮</v>
          </cell>
        </row>
        <row r="616">
          <cell r="A616" t="str">
            <v>155754C</v>
          </cell>
          <cell r="B616" t="str">
            <v>LY-SA287U-8A</v>
          </cell>
          <cell r="C616" t="str">
            <v>ZAKIM OX</v>
          </cell>
          <cell r="D616" t="str">
            <v>布+星星月亮</v>
          </cell>
        </row>
        <row r="617">
          <cell r="A617" t="str">
            <v>155762C</v>
          </cell>
          <cell r="B617" t="str">
            <v>LY-CT725U-2B</v>
          </cell>
          <cell r="C617" t="str">
            <v>CTAS II HI</v>
          </cell>
          <cell r="D617" t="str">
            <v>皮</v>
          </cell>
        </row>
        <row r="618">
          <cell r="A618" t="str">
            <v>155762V</v>
          </cell>
          <cell r="B618" t="str">
            <v>LY-CT725U-2B</v>
          </cell>
          <cell r="C618" t="str">
            <v>CT AS II HI</v>
          </cell>
          <cell r="D618" t="str">
            <v>皮</v>
          </cell>
        </row>
        <row r="619">
          <cell r="A619" t="str">
            <v>155763C</v>
          </cell>
          <cell r="B619" t="str">
            <v>LY-CT725U-2B</v>
          </cell>
          <cell r="C619" t="str">
            <v>CTAS II HI</v>
          </cell>
          <cell r="D619" t="str">
            <v>皮</v>
          </cell>
        </row>
        <row r="620">
          <cell r="A620" t="str">
            <v>155763V</v>
          </cell>
          <cell r="B620" t="str">
            <v>LY-CT725U-2B</v>
          </cell>
          <cell r="C620" t="str">
            <v>CT AS II HI</v>
          </cell>
          <cell r="D620" t="str">
            <v>皮</v>
          </cell>
        </row>
        <row r="621">
          <cell r="A621" t="str">
            <v>155764C</v>
          </cell>
          <cell r="B621" t="str">
            <v>LY-CT725U-2B</v>
          </cell>
          <cell r="C621" t="str">
            <v>CTAS II HI</v>
          </cell>
          <cell r="D621" t="str">
            <v>皮</v>
          </cell>
        </row>
        <row r="622">
          <cell r="A622" t="str">
            <v>155764V</v>
          </cell>
          <cell r="B622" t="str">
            <v>LY-CT725U-2B</v>
          </cell>
          <cell r="C622" t="str">
            <v>CT AS II HI</v>
          </cell>
          <cell r="D622" t="str">
            <v>皮</v>
          </cell>
        </row>
        <row r="623">
          <cell r="A623" t="str">
            <v>155765C</v>
          </cell>
          <cell r="B623" t="str">
            <v>LY-CT726U-2B-2</v>
          </cell>
          <cell r="C623" t="str">
            <v>CTAS II OX</v>
          </cell>
          <cell r="D623" t="str">
            <v>皮</v>
          </cell>
        </row>
        <row r="624">
          <cell r="A624" t="str">
            <v>155765V</v>
          </cell>
          <cell r="B624" t="str">
            <v>LY-CT726U-2B-2</v>
          </cell>
          <cell r="C624" t="str">
            <v>CT AS II OX</v>
          </cell>
          <cell r="D624" t="str">
            <v>皮</v>
          </cell>
        </row>
        <row r="625">
          <cell r="A625" t="str">
            <v>155766C</v>
          </cell>
          <cell r="B625" t="str">
            <v>LY-CT726U-2B-2</v>
          </cell>
          <cell r="C625" t="str">
            <v>CTAS II OX</v>
          </cell>
          <cell r="D625" t="str">
            <v>皮</v>
          </cell>
        </row>
        <row r="626">
          <cell r="A626" t="str">
            <v>155767C</v>
          </cell>
          <cell r="B626" t="str">
            <v>LY-CT726U-2B-2</v>
          </cell>
          <cell r="C626" t="str">
            <v>CTAS II OX</v>
          </cell>
          <cell r="D626" t="str">
            <v>皮</v>
          </cell>
        </row>
        <row r="627">
          <cell r="A627" t="str">
            <v>155767V</v>
          </cell>
          <cell r="B627" t="str">
            <v>LY-CT726U-2B-2</v>
          </cell>
          <cell r="C627" t="str">
            <v>CT AS II OX</v>
          </cell>
          <cell r="D627" t="str">
            <v>皮</v>
          </cell>
        </row>
        <row r="628">
          <cell r="A628" t="str">
            <v>155769C</v>
          </cell>
          <cell r="B628" t="str">
            <v>LY-CT726U-3A-4</v>
          </cell>
          <cell r="C628" t="str">
            <v>CT AS II OX</v>
          </cell>
          <cell r="D628" t="str">
            <v>布</v>
          </cell>
        </row>
        <row r="629">
          <cell r="A629" t="str">
            <v>155770C</v>
          </cell>
          <cell r="B629" t="str">
            <v>LY-CT725U-7A-1B</v>
          </cell>
          <cell r="C629" t="str">
            <v>CTAS II HI</v>
          </cell>
          <cell r="D629" t="str">
            <v>布</v>
          </cell>
        </row>
        <row r="630">
          <cell r="A630" t="str">
            <v>155771C</v>
          </cell>
          <cell r="B630" t="str">
            <v>LY-CT725U-7A-1B</v>
          </cell>
          <cell r="C630" t="str">
            <v>CTAS II HI</v>
          </cell>
          <cell r="D630" t="str">
            <v>布</v>
          </cell>
        </row>
        <row r="631">
          <cell r="A631" t="str">
            <v>155772C</v>
          </cell>
          <cell r="B631" t="str">
            <v>LY-CT725U-7A-1B</v>
          </cell>
          <cell r="C631" t="str">
            <v>CTAS II HI</v>
          </cell>
          <cell r="D631" t="str">
            <v>布</v>
          </cell>
        </row>
        <row r="632">
          <cell r="A632" t="str">
            <v>155773C</v>
          </cell>
          <cell r="B632" t="str">
            <v>LY-CT726U-7A-2</v>
          </cell>
          <cell r="C632" t="str">
            <v>CTAS II OX</v>
          </cell>
          <cell r="D632" t="str">
            <v>布</v>
          </cell>
        </row>
        <row r="633">
          <cell r="A633" t="str">
            <v>155774C</v>
          </cell>
          <cell r="B633" t="str">
            <v>LY-CT726U-7A-2</v>
          </cell>
          <cell r="C633" t="str">
            <v>CTAS II OX</v>
          </cell>
          <cell r="D633" t="str">
            <v>布</v>
          </cell>
        </row>
        <row r="634">
          <cell r="A634" t="str">
            <v>156396C</v>
          </cell>
          <cell r="B634" t="str">
            <v>LY-CT725U-7A-3A</v>
          </cell>
          <cell r="C634" t="str">
            <v>CTAS II HI</v>
          </cell>
          <cell r="D634" t="str">
            <v>布</v>
          </cell>
        </row>
        <row r="635">
          <cell r="A635" t="str">
            <v>156397C</v>
          </cell>
          <cell r="B635" t="str">
            <v>LY-CT726U-7A-3</v>
          </cell>
          <cell r="C635" t="str">
            <v>CT AS II OX</v>
          </cell>
          <cell r="D635" t="str">
            <v>布</v>
          </cell>
        </row>
        <row r="636">
          <cell r="A636" t="str">
            <v>156601F</v>
          </cell>
          <cell r="B636" t="str">
            <v>LY-CT AS OX CR-XXX</v>
          </cell>
          <cell r="C636" t="str">
            <v>CTAS OX</v>
          </cell>
          <cell r="D636" t="str">
            <v>布</v>
          </cell>
        </row>
        <row r="637">
          <cell r="A637" t="str">
            <v>156619C</v>
          </cell>
          <cell r="B637" t="str">
            <v>LY-SA224-A</v>
          </cell>
          <cell r="C637" t="str">
            <v>STAR PLAYER OX</v>
          </cell>
          <cell r="D637" t="str">
            <v>布+星星月亮</v>
          </cell>
        </row>
        <row r="638">
          <cell r="A638" t="str">
            <v>156620C</v>
          </cell>
          <cell r="B638" t="str">
            <v>LY-SA224-A</v>
          </cell>
          <cell r="C638" t="str">
            <v>STAR PLAYER OX</v>
          </cell>
          <cell r="D638" t="str">
            <v>布+星星月亮</v>
          </cell>
        </row>
        <row r="639">
          <cell r="A639" t="str">
            <v>156622C</v>
          </cell>
          <cell r="B639" t="str">
            <v>LY-SA224-A</v>
          </cell>
          <cell r="C639" t="str">
            <v>STAR PLAYER OX</v>
          </cell>
          <cell r="D639" t="str">
            <v>布+星星月亮</v>
          </cell>
        </row>
        <row r="640">
          <cell r="A640" t="str">
            <v>156627C</v>
          </cell>
          <cell r="B640" t="str">
            <v>LY-SA224-5A-3</v>
          </cell>
          <cell r="C640" t="str">
            <v>STAR PLAYER OX</v>
          </cell>
          <cell r="D640" t="str">
            <v>布+星星月亮</v>
          </cell>
        </row>
        <row r="641">
          <cell r="A641" t="str">
            <v>156628C</v>
          </cell>
          <cell r="B641" t="str">
            <v>LY-SA224-5A-3</v>
          </cell>
          <cell r="C641" t="str">
            <v>STAR PLAYER OX</v>
          </cell>
          <cell r="D641" t="str">
            <v>布+星星月亮</v>
          </cell>
        </row>
        <row r="642">
          <cell r="A642" t="str">
            <v>156671C</v>
          </cell>
          <cell r="B642" t="str">
            <v>LY-SA224-8A</v>
          </cell>
          <cell r="C642" t="str">
            <v>STAR PLAYER OX</v>
          </cell>
          <cell r="D642" t="str">
            <v>布+星星月亮</v>
          </cell>
        </row>
        <row r="643">
          <cell r="A643" t="str">
            <v>156672C</v>
          </cell>
          <cell r="B643" t="str">
            <v>LY-SA224-8A</v>
          </cell>
          <cell r="C643" t="str">
            <v>STAR PLAYER OX</v>
          </cell>
          <cell r="D643" t="str">
            <v>布+星星月亮</v>
          </cell>
        </row>
        <row r="644">
          <cell r="A644" t="str">
            <v>156673C</v>
          </cell>
          <cell r="B644" t="str">
            <v>LY-SA224-8A</v>
          </cell>
          <cell r="C644" t="str">
            <v>STAR PLAYER OX</v>
          </cell>
          <cell r="D644" t="str">
            <v>布+星星月亮</v>
          </cell>
        </row>
        <row r="645">
          <cell r="A645" t="str">
            <v>156716C</v>
          </cell>
          <cell r="B645" t="str">
            <v>LY-CT726U-5B</v>
          </cell>
          <cell r="C645" t="str">
            <v>CTAS II OX</v>
          </cell>
          <cell r="D645" t="str">
            <v>布</v>
          </cell>
        </row>
        <row r="646">
          <cell r="A646" t="str">
            <v>156717C</v>
          </cell>
          <cell r="B646" t="str">
            <v>LY-CT726U-5B</v>
          </cell>
          <cell r="C646" t="str">
            <v>CTAS II OX</v>
          </cell>
          <cell r="D646" t="str">
            <v>皮</v>
          </cell>
        </row>
        <row r="647">
          <cell r="A647" t="str">
            <v>156718C</v>
          </cell>
          <cell r="B647" t="str">
            <v>LY-CT726U-9A-1</v>
          </cell>
          <cell r="C647" t="str">
            <v>CTAS II OX</v>
          </cell>
          <cell r="D647" t="str">
            <v>皮</v>
          </cell>
        </row>
        <row r="648">
          <cell r="A648" t="str">
            <v>156720C</v>
          </cell>
          <cell r="B648" t="str">
            <v>LY-CT725U-2A-8</v>
          </cell>
          <cell r="C648" t="str">
            <v>CTAS II HI</v>
          </cell>
          <cell r="D648" t="str">
            <v>皮</v>
          </cell>
        </row>
        <row r="649">
          <cell r="A649" t="str">
            <v>156730C</v>
          </cell>
          <cell r="B649" t="str">
            <v>LY-CT725U-7A-3C</v>
          </cell>
          <cell r="C649" t="str">
            <v>CTAS II HI</v>
          </cell>
          <cell r="D649" t="str">
            <v>布</v>
          </cell>
        </row>
        <row r="650">
          <cell r="A650" t="str">
            <v>156731C</v>
          </cell>
          <cell r="B650" t="str">
            <v>LY-CT726U-9A-3</v>
          </cell>
          <cell r="C650" t="str">
            <v>CTAS II OX</v>
          </cell>
          <cell r="D650" t="str">
            <v>布</v>
          </cell>
        </row>
        <row r="651">
          <cell r="A651" t="str">
            <v>156732C</v>
          </cell>
          <cell r="B651" t="str">
            <v>LY-CT895U-A</v>
          </cell>
          <cell r="C651" t="str">
            <v>CTAS FLYKNIT HI</v>
          </cell>
          <cell r="D651" t="str">
            <v>布 （鞋面TW）</v>
          </cell>
        </row>
        <row r="652">
          <cell r="A652" t="str">
            <v>156733C</v>
          </cell>
          <cell r="B652" t="str">
            <v>LY-CT895U-A</v>
          </cell>
          <cell r="C652" t="str">
            <v>CTAS FLYKNIT HI</v>
          </cell>
          <cell r="D652" t="str">
            <v>布 （鞋面TW）</v>
          </cell>
        </row>
        <row r="653">
          <cell r="A653" t="str">
            <v>156734C</v>
          </cell>
          <cell r="B653" t="str">
            <v>LY-CT895U-A</v>
          </cell>
          <cell r="C653" t="str">
            <v>CTAS FLYKNIT HI</v>
          </cell>
          <cell r="D653" t="str">
            <v>布 （鞋面TW）</v>
          </cell>
        </row>
        <row r="654">
          <cell r="A654" t="str">
            <v>156735C</v>
          </cell>
          <cell r="B654" t="str">
            <v>LY-CT895U-A</v>
          </cell>
          <cell r="C654" t="str">
            <v>CTAS FLYKNIT HI</v>
          </cell>
          <cell r="D654" t="str">
            <v>布 （鞋面TW）</v>
          </cell>
        </row>
        <row r="655">
          <cell r="A655" t="str">
            <v>156736C</v>
          </cell>
          <cell r="B655" t="str">
            <v>LY-CT895U-A</v>
          </cell>
          <cell r="C655" t="str">
            <v>CTAS FLYKNIT HI</v>
          </cell>
          <cell r="D655" t="str">
            <v>布 （鞋面TW）</v>
          </cell>
        </row>
        <row r="656">
          <cell r="A656" t="str">
            <v>156737C</v>
          </cell>
          <cell r="B656" t="str">
            <v>LY-CT895U-A</v>
          </cell>
          <cell r="C656" t="str">
            <v>CTAS FLYKNIT HI</v>
          </cell>
          <cell r="D656" t="str">
            <v>布 （鞋面TW）</v>
          </cell>
        </row>
        <row r="657">
          <cell r="A657" t="str">
            <v>156763C</v>
          </cell>
          <cell r="B657" t="str">
            <v>LY-CT AS HI CR-XXX</v>
          </cell>
          <cell r="C657" t="str">
            <v>CTAS HI</v>
          </cell>
          <cell r="D657" t="str">
            <v>布</v>
          </cell>
        </row>
        <row r="658">
          <cell r="A658" t="str">
            <v>156764C</v>
          </cell>
          <cell r="B658" t="str">
            <v>LY-CT AS HI CR-XXX</v>
          </cell>
          <cell r="C658" t="str">
            <v>CTAS HI</v>
          </cell>
          <cell r="D658" t="str">
            <v>布</v>
          </cell>
        </row>
        <row r="659">
          <cell r="A659" t="str">
            <v>156765C</v>
          </cell>
          <cell r="B659" t="str">
            <v>LY-CT AS HI CR-XXX</v>
          </cell>
          <cell r="C659" t="str">
            <v>CTAS HI</v>
          </cell>
          <cell r="D659" t="str">
            <v>布</v>
          </cell>
        </row>
        <row r="660">
          <cell r="A660" t="str">
            <v>156766C</v>
          </cell>
          <cell r="B660" t="str">
            <v>LY-CT AS HI CR-XXX</v>
          </cell>
          <cell r="C660" t="str">
            <v>CTAS HI</v>
          </cell>
          <cell r="D660" t="str">
            <v>布</v>
          </cell>
        </row>
        <row r="661">
          <cell r="A661" t="str">
            <v>156767C</v>
          </cell>
          <cell r="B661" t="str">
            <v>LY-CT AS HI CR-XXX</v>
          </cell>
          <cell r="C661" t="str">
            <v>CTAS HI</v>
          </cell>
          <cell r="D661" t="str">
            <v>布</v>
          </cell>
        </row>
        <row r="662">
          <cell r="A662" t="str">
            <v>156768C</v>
          </cell>
          <cell r="B662" t="str">
            <v>LY-CT AS HI CR-XXX</v>
          </cell>
          <cell r="C662" t="str">
            <v>CTAS HI</v>
          </cell>
          <cell r="D662" t="str">
            <v>布</v>
          </cell>
        </row>
        <row r="663">
          <cell r="A663" t="str">
            <v>156769C</v>
          </cell>
          <cell r="B663" t="str">
            <v>LY-CT AS HI CR-XXX</v>
          </cell>
          <cell r="C663" t="str">
            <v>CTAS HI</v>
          </cell>
          <cell r="D663" t="str">
            <v>布</v>
          </cell>
        </row>
        <row r="664">
          <cell r="A664" t="str">
            <v>156774C</v>
          </cell>
          <cell r="B664" t="str">
            <v>LY-CT AS OX CR-XXX</v>
          </cell>
          <cell r="C664" t="str">
            <v>CTAS OX</v>
          </cell>
          <cell r="D664" t="str">
            <v>布</v>
          </cell>
        </row>
        <row r="665">
          <cell r="A665" t="str">
            <v>156776C</v>
          </cell>
          <cell r="B665" t="str">
            <v>LY-CT AS OX CR-XXX</v>
          </cell>
          <cell r="C665" t="str">
            <v>CTAS OX</v>
          </cell>
          <cell r="D665" t="str">
            <v>布</v>
          </cell>
        </row>
        <row r="666">
          <cell r="A666" t="str">
            <v>156777C</v>
          </cell>
          <cell r="B666" t="str">
            <v>LY-CT AS OX CR-XXX</v>
          </cell>
          <cell r="C666" t="str">
            <v>CT AS OX</v>
          </cell>
          <cell r="D666" t="str">
            <v>布</v>
          </cell>
        </row>
        <row r="667">
          <cell r="A667" t="str">
            <v>156939C</v>
          </cell>
          <cell r="B667" t="str">
            <v>LY-CT725U-B-1B</v>
          </cell>
          <cell r="C667" t="str">
            <v>CTAS II HI</v>
          </cell>
          <cell r="D667" t="str">
            <v>皮</v>
          </cell>
        </row>
        <row r="668">
          <cell r="A668" t="str">
            <v>156939V</v>
          </cell>
          <cell r="B668" t="str">
            <v>LY-CT725U-B-1B</v>
          </cell>
          <cell r="C668" t="str">
            <v>CTAS II HI</v>
          </cell>
          <cell r="D668" t="str">
            <v>皮</v>
          </cell>
        </row>
        <row r="669">
          <cell r="A669" t="str">
            <v>156940C</v>
          </cell>
          <cell r="B669" t="str">
            <v>LY-CT725U-B-1B</v>
          </cell>
          <cell r="C669" t="str">
            <v>CTAS II HI</v>
          </cell>
          <cell r="D669" t="str">
            <v>皮</v>
          </cell>
        </row>
        <row r="670">
          <cell r="A670" t="str">
            <v>156940V</v>
          </cell>
          <cell r="B670" t="str">
            <v>LY-CT725U-B-1B</v>
          </cell>
          <cell r="C670" t="str">
            <v>CTAS II HI</v>
          </cell>
          <cell r="D670" t="str">
            <v>皮</v>
          </cell>
        </row>
        <row r="671">
          <cell r="A671" t="str">
            <v>156947C</v>
          </cell>
          <cell r="B671" t="str">
            <v>LY-CT726U-3B-1</v>
          </cell>
          <cell r="C671" t="str">
            <v>CTAS II OX</v>
          </cell>
          <cell r="D671" t="str">
            <v>皮</v>
          </cell>
        </row>
        <row r="672">
          <cell r="A672" t="str">
            <v>156947V</v>
          </cell>
          <cell r="B672" t="str">
            <v>LY-CT726U-3B-1</v>
          </cell>
          <cell r="C672" t="str">
            <v>CTAS II OX</v>
          </cell>
          <cell r="D672" t="str">
            <v>皮</v>
          </cell>
        </row>
        <row r="673">
          <cell r="A673" t="str">
            <v>156948C</v>
          </cell>
          <cell r="B673" t="str">
            <v>LY-CT726U-3B-1</v>
          </cell>
          <cell r="C673" t="str">
            <v>CTAS II OX</v>
          </cell>
          <cell r="D673" t="str">
            <v>皮</v>
          </cell>
        </row>
        <row r="674">
          <cell r="A674" t="str">
            <v>156948V</v>
          </cell>
          <cell r="B674" t="str">
            <v>LY-CT726U-3B-1</v>
          </cell>
          <cell r="C674" t="str">
            <v>CTAS II OX</v>
          </cell>
          <cell r="D674" t="str">
            <v>皮</v>
          </cell>
        </row>
        <row r="675">
          <cell r="A675" t="str">
            <v>156981C</v>
          </cell>
          <cell r="B675" t="str">
            <v>LY-CT725U-2B-1B</v>
          </cell>
          <cell r="C675" t="str">
            <v>CTAS II HI</v>
          </cell>
          <cell r="D675" t="str">
            <v>皮</v>
          </cell>
        </row>
        <row r="676">
          <cell r="A676" t="str">
            <v>156982C</v>
          </cell>
          <cell r="B676" t="str">
            <v>LY-CT726U-B-1</v>
          </cell>
          <cell r="C676" t="str">
            <v>CTAS II OX</v>
          </cell>
          <cell r="D676" t="str">
            <v>皮</v>
          </cell>
        </row>
        <row r="677">
          <cell r="A677" t="str">
            <v>157211C</v>
          </cell>
          <cell r="B677" t="str">
            <v>LY-SK032U-1A</v>
          </cell>
          <cell r="C677" t="str">
            <v>CONS EL DISTRITO OX</v>
          </cell>
          <cell r="D677" t="str">
            <v>布+星星月亮</v>
          </cell>
        </row>
        <row r="678">
          <cell r="A678" t="str">
            <v>157212C</v>
          </cell>
          <cell r="B678" t="str">
            <v>LY-SK032U-1A</v>
          </cell>
          <cell r="C678" t="str">
            <v>CONS EL DISTRITO OX</v>
          </cell>
          <cell r="D678" t="str">
            <v>布+星星月亮</v>
          </cell>
        </row>
        <row r="679">
          <cell r="A679" t="str">
            <v>157213C</v>
          </cell>
          <cell r="B679" t="str">
            <v>LY-SK032U-1A</v>
          </cell>
          <cell r="C679" t="str">
            <v>CONS EL DISTRITO OX</v>
          </cell>
          <cell r="D679" t="str">
            <v>布+星星月亮</v>
          </cell>
        </row>
        <row r="680">
          <cell r="A680" t="str">
            <v>157214C</v>
          </cell>
          <cell r="B680" t="str">
            <v>LY-HT250B-5</v>
          </cell>
          <cell r="C680" t="str">
            <v>CONS EL VALLE OX</v>
          </cell>
          <cell r="D680" t="str">
            <v>布</v>
          </cell>
        </row>
        <row r="681">
          <cell r="A681" t="str">
            <v>157215C</v>
          </cell>
          <cell r="B681" t="str">
            <v>LY-HT250B-5</v>
          </cell>
          <cell r="C681" t="str">
            <v>CONS EL VALLE OX</v>
          </cell>
          <cell r="D681" t="str">
            <v>布</v>
          </cell>
        </row>
        <row r="682">
          <cell r="A682" t="str">
            <v>157216C</v>
          </cell>
          <cell r="B682" t="str">
            <v>LY-HT250B-5</v>
          </cell>
          <cell r="C682" t="str">
            <v>CONS EL VALLE OX</v>
          </cell>
          <cell r="D682" t="str">
            <v>布</v>
          </cell>
        </row>
        <row r="683">
          <cell r="A683" t="str">
            <v>157324C</v>
          </cell>
          <cell r="B683" t="str">
            <v>LY-SK032U-A-1</v>
          </cell>
          <cell r="C683" t="str">
            <v>CONS EL DISTRITO OX</v>
          </cell>
          <cell r="D683" t="str">
            <v>布+星星月亮</v>
          </cell>
        </row>
        <row r="684">
          <cell r="A684" t="str">
            <v>157325C</v>
          </cell>
          <cell r="B684" t="str">
            <v>LY-SK032U-A-1</v>
          </cell>
          <cell r="C684" t="str">
            <v>CONS EL DISTRITO OX</v>
          </cell>
          <cell r="D684" t="str">
            <v>布+星星月亮</v>
          </cell>
        </row>
        <row r="685">
          <cell r="A685" t="str">
            <v>157326C</v>
          </cell>
          <cell r="B685" t="str">
            <v>LY-SK032U-A-1</v>
          </cell>
          <cell r="C685" t="str">
            <v>CONS EL DISTRITO OX</v>
          </cell>
          <cell r="D685" t="str">
            <v>布+星星月亮</v>
          </cell>
        </row>
        <row r="686">
          <cell r="A686" t="str">
            <v>157329C</v>
          </cell>
          <cell r="B686" t="str">
            <v>LY-SA287U-8A-1</v>
          </cell>
          <cell r="C686" t="str">
            <v>ZAKIM OX</v>
          </cell>
          <cell r="D686" t="str">
            <v>布+星星月亮</v>
          </cell>
        </row>
        <row r="687">
          <cell r="A687" t="str">
            <v>157330C</v>
          </cell>
          <cell r="B687" t="str">
            <v>LY-SA287U-8A-1</v>
          </cell>
          <cell r="C687" t="str">
            <v>ZAKIM OX</v>
          </cell>
          <cell r="D687" t="str">
            <v>布+星星月亮</v>
          </cell>
        </row>
        <row r="688">
          <cell r="A688" t="str">
            <v>157444F</v>
          </cell>
          <cell r="B688" t="str">
            <v>LY-CT AS HI CR-XXX-2A</v>
          </cell>
          <cell r="C688" t="str">
            <v>CT AS HI</v>
          </cell>
          <cell r="D688" t="str">
            <v>布</v>
          </cell>
        </row>
        <row r="689">
          <cell r="A689" t="str">
            <v>157456C</v>
          </cell>
          <cell r="B689" t="str">
            <v>LY-CT725U-2B-4</v>
          </cell>
          <cell r="C689" t="str">
            <v>CTAS II HI</v>
          </cell>
          <cell r="D689" t="str">
            <v>皮</v>
          </cell>
        </row>
        <row r="690">
          <cell r="A690" t="str">
            <v>157457C</v>
          </cell>
          <cell r="B690" t="str">
            <v>LY-CT725U-2B-4</v>
          </cell>
          <cell r="C690" t="str">
            <v>CTAS II HI</v>
          </cell>
          <cell r="D690" t="str">
            <v>皮</v>
          </cell>
        </row>
        <row r="691">
          <cell r="A691" t="str">
            <v>157458C</v>
          </cell>
          <cell r="B691" t="str">
            <v>LY-CT840U-B-1</v>
          </cell>
          <cell r="C691" t="str">
            <v>CTAS WP BOOT HI</v>
          </cell>
          <cell r="D691" t="str">
            <v>皮</v>
          </cell>
        </row>
        <row r="692">
          <cell r="A692" t="str">
            <v>157459C</v>
          </cell>
          <cell r="B692" t="str">
            <v>LY-CT840U-B-1</v>
          </cell>
          <cell r="C692" t="str">
            <v>CTAS WP BOOT HI</v>
          </cell>
          <cell r="D692" t="str">
            <v>皮</v>
          </cell>
        </row>
        <row r="693">
          <cell r="A693" t="str">
            <v>157460C</v>
          </cell>
          <cell r="B693" t="str">
            <v>LY-CT840U-B-1</v>
          </cell>
          <cell r="C693" t="str">
            <v>CTAS WP BOOT HI</v>
          </cell>
          <cell r="D693" t="str">
            <v>皮</v>
          </cell>
        </row>
        <row r="694">
          <cell r="A694" t="str">
            <v>157461C</v>
          </cell>
          <cell r="B694" t="str">
            <v>LY-CT840U-B-1</v>
          </cell>
          <cell r="C694" t="str">
            <v>CTAS WP BOOT HI</v>
          </cell>
          <cell r="D694" t="str">
            <v>皮</v>
          </cell>
        </row>
        <row r="695">
          <cell r="A695" t="str">
            <v>157473C</v>
          </cell>
          <cell r="B695" t="str">
            <v>LY-CT916U-A</v>
          </cell>
          <cell r="C695" t="str">
            <v>CTAS STREET BOOT HI</v>
          </cell>
          <cell r="D695" t="str">
            <v>皮</v>
          </cell>
        </row>
        <row r="696">
          <cell r="A696" t="str">
            <v>157474C</v>
          </cell>
          <cell r="B696" t="str">
            <v>LY-CT916U-A</v>
          </cell>
          <cell r="C696" t="str">
            <v>CTAS STREET BOOT HI</v>
          </cell>
          <cell r="D696" t="str">
            <v>布</v>
          </cell>
        </row>
        <row r="697">
          <cell r="A697" t="str">
            <v>157475C</v>
          </cell>
          <cell r="B697" t="str">
            <v>LY-CT916U-A</v>
          </cell>
          <cell r="C697" t="str">
            <v>CTAS STREET BOOT HI</v>
          </cell>
          <cell r="D697" t="str">
            <v>布</v>
          </cell>
        </row>
        <row r="698">
          <cell r="A698" t="str">
            <v>157479C</v>
          </cell>
          <cell r="B698" t="str">
            <v>LY-CT AS HI CR-XXX-3A</v>
          </cell>
          <cell r="C698" t="str">
            <v>CTAS HI</v>
          </cell>
          <cell r="D698" t="str">
            <v>布</v>
          </cell>
        </row>
        <row r="699">
          <cell r="A699" t="str">
            <v>157479F</v>
          </cell>
          <cell r="B699" t="str">
            <v>LY-CT AS HI CR-XXX-3A</v>
          </cell>
          <cell r="C699" t="str">
            <v>CTAS HI</v>
          </cell>
          <cell r="D699" t="str">
            <v>布</v>
          </cell>
        </row>
        <row r="700">
          <cell r="A700" t="str">
            <v>157480C</v>
          </cell>
          <cell r="B700" t="str">
            <v>LY-CT AS HI CR-XXX-3A</v>
          </cell>
          <cell r="C700" t="str">
            <v>CTAS HI</v>
          </cell>
          <cell r="D700" t="str">
            <v>布</v>
          </cell>
        </row>
        <row r="701">
          <cell r="A701" t="str">
            <v>157480F</v>
          </cell>
          <cell r="B701" t="str">
            <v>LY-CT AS HI CR-XXX-3A</v>
          </cell>
          <cell r="C701" t="str">
            <v>CTAS HI</v>
          </cell>
          <cell r="D701" t="str">
            <v>布</v>
          </cell>
        </row>
        <row r="702">
          <cell r="A702" t="str">
            <v>157490C</v>
          </cell>
          <cell r="B702" t="str">
            <v>LY-CT840U-2B</v>
          </cell>
          <cell r="C702" t="str">
            <v>CTAS WP BOOT HI</v>
          </cell>
          <cell r="D702" t="str">
            <v>皮</v>
          </cell>
        </row>
        <row r="703">
          <cell r="A703" t="str">
            <v>157491C</v>
          </cell>
          <cell r="B703" t="str">
            <v>LY-CT840U-2B</v>
          </cell>
          <cell r="C703" t="str">
            <v>CTAS WP BOOT HI</v>
          </cell>
          <cell r="D703" t="str">
            <v>皮</v>
          </cell>
        </row>
        <row r="704">
          <cell r="A704" t="str">
            <v>157492C</v>
          </cell>
          <cell r="B704" t="str">
            <v>LY-CT840U-2B</v>
          </cell>
          <cell r="C704" t="str">
            <v>CTAS WP BOOT HI</v>
          </cell>
          <cell r="D704" t="str">
            <v>皮</v>
          </cell>
        </row>
        <row r="705">
          <cell r="A705" t="str">
            <v>157493C</v>
          </cell>
          <cell r="B705" t="str">
            <v>LY-CT840U-2B</v>
          </cell>
          <cell r="C705" t="str">
            <v>CTAS WP BOOT HI</v>
          </cell>
          <cell r="D705" t="str">
            <v>皮</v>
          </cell>
        </row>
        <row r="706">
          <cell r="A706" t="str">
            <v>157503C</v>
          </cell>
          <cell r="B706" t="str">
            <v>LY-CT916U-B</v>
          </cell>
          <cell r="C706" t="str">
            <v>CTAS STREET BOOT HI</v>
          </cell>
          <cell r="D706" t="str">
            <v>PU</v>
          </cell>
        </row>
        <row r="707">
          <cell r="A707" t="str">
            <v>157504C</v>
          </cell>
          <cell r="B707" t="str">
            <v>LY-CT916U-B</v>
          </cell>
          <cell r="C707" t="str">
            <v>CTAS STREET BOOT HI</v>
          </cell>
          <cell r="D707" t="str">
            <v>PU</v>
          </cell>
        </row>
        <row r="708">
          <cell r="A708" t="str">
            <v>157506C</v>
          </cell>
          <cell r="B708" t="str">
            <v>LY-CT916U-B</v>
          </cell>
          <cell r="C708" t="str">
            <v>CTAS STREET BOOT HI</v>
          </cell>
          <cell r="D708" t="str">
            <v>PU</v>
          </cell>
        </row>
        <row r="709">
          <cell r="A709" t="str">
            <v>157507C</v>
          </cell>
          <cell r="B709" t="str">
            <v>LY-CT895U-A</v>
          </cell>
          <cell r="C709" t="str">
            <v>CTAS HI</v>
          </cell>
          <cell r="D709" t="str">
            <v>布</v>
          </cell>
        </row>
        <row r="710">
          <cell r="A710" t="str">
            <v>157508C</v>
          </cell>
          <cell r="B710" t="str">
            <v>LY-CT895U-A</v>
          </cell>
          <cell r="C710" t="str">
            <v>CTAS HI</v>
          </cell>
          <cell r="D710" t="str">
            <v>布</v>
          </cell>
        </row>
        <row r="711">
          <cell r="A711" t="str">
            <v>157509C</v>
          </cell>
          <cell r="B711" t="str">
            <v>LY-CT895U-A</v>
          </cell>
          <cell r="C711" t="str">
            <v>CTAS HI</v>
          </cell>
          <cell r="D711" t="str">
            <v>布</v>
          </cell>
        </row>
        <row r="712">
          <cell r="A712" t="str">
            <v>157509V</v>
          </cell>
          <cell r="B712" t="str">
            <v>LY-CT895U-A</v>
          </cell>
          <cell r="C712" t="str">
            <v>CTAS HI</v>
          </cell>
          <cell r="D712" t="str">
            <v>布 （鞋面TW）</v>
          </cell>
        </row>
        <row r="713">
          <cell r="A713" t="str">
            <v>157510C</v>
          </cell>
          <cell r="B713" t="str">
            <v>LY-CT895U-A</v>
          </cell>
          <cell r="C713" t="str">
            <v>CTAS HI</v>
          </cell>
          <cell r="D713" t="str">
            <v>布</v>
          </cell>
        </row>
        <row r="714">
          <cell r="A714" t="str">
            <v>157510V</v>
          </cell>
          <cell r="B714" t="str">
            <v>LY-CT895U-A</v>
          </cell>
          <cell r="C714" t="str">
            <v>CTAS HI</v>
          </cell>
          <cell r="D714" t="str">
            <v>布 （鞋面TW）</v>
          </cell>
        </row>
        <row r="715">
          <cell r="A715" t="str">
            <v>157511C</v>
          </cell>
          <cell r="B715" t="str">
            <v>LY-CT725U-B-2B</v>
          </cell>
          <cell r="C715" t="str">
            <v>CTAS II HI</v>
          </cell>
          <cell r="D715" t="str">
            <v>皮</v>
          </cell>
        </row>
        <row r="716">
          <cell r="A716" t="str">
            <v>157511V</v>
          </cell>
          <cell r="B716" t="str">
            <v>LY-CT725U-B-2B</v>
          </cell>
          <cell r="C716" t="str">
            <v>CTAS II</v>
          </cell>
          <cell r="D716" t="str">
            <v>皮</v>
          </cell>
        </row>
        <row r="717">
          <cell r="A717" t="str">
            <v>157512C</v>
          </cell>
          <cell r="B717" t="str">
            <v>LY-CT725U-B-2B</v>
          </cell>
          <cell r="C717" t="str">
            <v>CTAS II HI</v>
          </cell>
          <cell r="D717" t="str">
            <v>皮</v>
          </cell>
        </row>
        <row r="718">
          <cell r="A718" t="str">
            <v>157512V</v>
          </cell>
          <cell r="B718" t="str">
            <v>LY-CT725U-B-2B</v>
          </cell>
          <cell r="C718" t="str">
            <v>CTAS II</v>
          </cell>
          <cell r="D718" t="str">
            <v>皮</v>
          </cell>
        </row>
        <row r="719">
          <cell r="A719" t="str">
            <v>157547C</v>
          </cell>
          <cell r="B719" t="str">
            <v>LY-CT726U-2A-9</v>
          </cell>
          <cell r="C719" t="str">
            <v>CTAS II OX</v>
          </cell>
          <cell r="D719" t="str">
            <v>布</v>
          </cell>
        </row>
        <row r="720">
          <cell r="A720" t="str">
            <v>157575C</v>
          </cell>
          <cell r="B720" t="str">
            <v>LY-CT AS OX CR-XXX-5A</v>
          </cell>
          <cell r="C720" t="str">
            <v>CTAS OX</v>
          </cell>
          <cell r="D720" t="str">
            <v xml:space="preserve">布 </v>
          </cell>
        </row>
        <row r="721">
          <cell r="A721" t="str">
            <v>157575F</v>
          </cell>
          <cell r="B721" t="str">
            <v>LY-CT AS OX CR-XXX-5A</v>
          </cell>
          <cell r="C721" t="str">
            <v>CTAS OX</v>
          </cell>
          <cell r="D721" t="str">
            <v xml:space="preserve">布 </v>
          </cell>
        </row>
        <row r="722">
          <cell r="A722" t="str">
            <v>157582V</v>
          </cell>
          <cell r="B722" t="str">
            <v>LY-CT726U-2B-5</v>
          </cell>
          <cell r="C722" t="str">
            <v>CT AS II</v>
          </cell>
          <cell r="D722" t="str">
            <v>皮</v>
          </cell>
        </row>
        <row r="723">
          <cell r="A723" t="str">
            <v>157591C</v>
          </cell>
          <cell r="B723" t="str">
            <v>LY-CT935U-A</v>
          </cell>
          <cell r="C723" t="str">
            <v>CTAS X NIKE FLYKNIT OX</v>
          </cell>
          <cell r="D723" t="str">
            <v>布 （鞋面TW）</v>
          </cell>
        </row>
        <row r="724">
          <cell r="A724" t="str">
            <v>157591V</v>
          </cell>
          <cell r="B724" t="str">
            <v>LY-CT935U-A</v>
          </cell>
          <cell r="C724" t="str">
            <v>CTAS X NIKE FLYKNIT OX</v>
          </cell>
          <cell r="D724" t="str">
            <v>布 （鞋面TW）</v>
          </cell>
        </row>
        <row r="725">
          <cell r="A725" t="str">
            <v>157592C</v>
          </cell>
          <cell r="B725" t="str">
            <v>LY-CT935U-A</v>
          </cell>
          <cell r="C725" t="str">
            <v>CTAS X NIKE FLYKNIT OX</v>
          </cell>
          <cell r="D725" t="str">
            <v>布 （鞋面TW）</v>
          </cell>
        </row>
        <row r="726">
          <cell r="A726" t="str">
            <v>157592V</v>
          </cell>
          <cell r="B726" t="str">
            <v>LY-CT935U-A</v>
          </cell>
          <cell r="C726" t="str">
            <v>CTAS X NIKE FLYKNIT OX</v>
          </cell>
          <cell r="D726" t="str">
            <v>布 （鞋面TW）</v>
          </cell>
        </row>
        <row r="727">
          <cell r="A727" t="str">
            <v>157593C</v>
          </cell>
          <cell r="B727" t="str">
            <v>LY-CT935U-A</v>
          </cell>
          <cell r="C727" t="str">
            <v>CTAS X NIKE FLYKNIT OX</v>
          </cell>
          <cell r="D727" t="str">
            <v>布 （鞋面TW）</v>
          </cell>
        </row>
        <row r="728">
          <cell r="A728" t="str">
            <v>157593V</v>
          </cell>
          <cell r="B728" t="str">
            <v>LY-CT935U-A</v>
          </cell>
          <cell r="C728" t="str">
            <v>CTAS X NIKE FLYKNIT OX</v>
          </cell>
          <cell r="D728" t="str">
            <v>布 （鞋面TW）</v>
          </cell>
        </row>
        <row r="729">
          <cell r="A729" t="str">
            <v>157594C</v>
          </cell>
          <cell r="B729" t="str">
            <v>LY-CT935U-A</v>
          </cell>
          <cell r="C729" t="str">
            <v>CTAS X NIKE FLYKNIT OX</v>
          </cell>
          <cell r="D729" t="str">
            <v>布 （鞋面TW）</v>
          </cell>
        </row>
        <row r="730">
          <cell r="A730" t="str">
            <v>157594V</v>
          </cell>
          <cell r="B730" t="str">
            <v>LY-CT935U-A</v>
          </cell>
          <cell r="C730" t="str">
            <v>CTAS X NIKE FLYKNIT OX</v>
          </cell>
          <cell r="D730" t="str">
            <v>布 （鞋面TW）</v>
          </cell>
        </row>
        <row r="731">
          <cell r="A731" t="str">
            <v>157607C</v>
          </cell>
          <cell r="B731" t="str">
            <v>LY-CT AS HI CR-XXX-5A</v>
          </cell>
          <cell r="C731" t="str">
            <v>CTAS HI</v>
          </cell>
          <cell r="D731" t="str">
            <v>水洗</v>
          </cell>
        </row>
        <row r="732">
          <cell r="A732" t="str">
            <v>157608C</v>
          </cell>
          <cell r="B732" t="str">
            <v>LY-CT AS HI CR-XXX-4A</v>
          </cell>
          <cell r="C732" t="str">
            <v>CTAS HI</v>
          </cell>
          <cell r="D732" t="str">
            <v>水洗</v>
          </cell>
        </row>
        <row r="733">
          <cell r="A733" t="str">
            <v>157636C</v>
          </cell>
          <cell r="B733" t="str">
            <v>LY-CT AS HI CR-XXX-6A</v>
          </cell>
          <cell r="C733" t="str">
            <v>CTAS HI</v>
          </cell>
          <cell r="D733" t="str">
            <v>布</v>
          </cell>
        </row>
        <row r="734">
          <cell r="A734" t="str">
            <v>157637C</v>
          </cell>
          <cell r="B734" t="str">
            <v>LY-CT AS HI CR-XXX-6A</v>
          </cell>
          <cell r="C734" t="str">
            <v>CTAS HI</v>
          </cell>
          <cell r="D734" t="str">
            <v>布</v>
          </cell>
        </row>
        <row r="735">
          <cell r="A735" t="str">
            <v>157638C</v>
          </cell>
          <cell r="B735" t="str">
            <v>LY-CT AS HI CR-XXX-6A</v>
          </cell>
          <cell r="C735" t="str">
            <v>CTAS HI</v>
          </cell>
          <cell r="D735" t="str">
            <v>布</v>
          </cell>
        </row>
        <row r="736">
          <cell r="A736" t="str">
            <v>157639C</v>
          </cell>
          <cell r="B736" t="str">
            <v>LY-CT AS OX CR-XXX-8A</v>
          </cell>
          <cell r="C736" t="str">
            <v>CTAS OX</v>
          </cell>
          <cell r="D736" t="str">
            <v>水洗</v>
          </cell>
        </row>
        <row r="737">
          <cell r="A737" t="str">
            <v>157639F</v>
          </cell>
          <cell r="B737" t="str">
            <v>LY-CT AS OX CR-XXX-8A</v>
          </cell>
          <cell r="C737" t="str">
            <v>CTAS OX</v>
          </cell>
          <cell r="D737" t="str">
            <v>水洗</v>
          </cell>
        </row>
        <row r="738">
          <cell r="A738" t="str">
            <v>157640C</v>
          </cell>
          <cell r="B738" t="str">
            <v>LY-CT AS OX CR-XXX-6A</v>
          </cell>
          <cell r="C738" t="str">
            <v>CTAS OX</v>
          </cell>
          <cell r="D738" t="str">
            <v>水洗</v>
          </cell>
        </row>
        <row r="739">
          <cell r="A739" t="str">
            <v>157640F</v>
          </cell>
          <cell r="B739" t="str">
            <v>LY-CT AS OX CR-XXX-6A</v>
          </cell>
          <cell r="C739" t="str">
            <v>CTAS OX</v>
          </cell>
          <cell r="D739" t="str">
            <v>水洗</v>
          </cell>
        </row>
        <row r="740">
          <cell r="A740" t="str">
            <v>157641C</v>
          </cell>
          <cell r="B740" t="str">
            <v>LY-CT AS OX CR-XXX-8A</v>
          </cell>
          <cell r="C740" t="str">
            <v>CTAS OX</v>
          </cell>
          <cell r="D740" t="str">
            <v>水洗</v>
          </cell>
        </row>
        <row r="741">
          <cell r="A741" t="str">
            <v>157641F</v>
          </cell>
          <cell r="B741" t="str">
            <v>LY-CT AS OX CR-XXX-8A</v>
          </cell>
          <cell r="C741" t="str">
            <v>CTAS OX</v>
          </cell>
          <cell r="D741" t="str">
            <v>水洗</v>
          </cell>
        </row>
        <row r="742">
          <cell r="A742" t="str">
            <v>157642C</v>
          </cell>
          <cell r="B742" t="str">
            <v>LY-CT AS OX CR-XXX-8A</v>
          </cell>
          <cell r="C742" t="str">
            <v>CTAS OX</v>
          </cell>
          <cell r="D742" t="str">
            <v>水洗</v>
          </cell>
        </row>
        <row r="743">
          <cell r="A743" t="str">
            <v>157642F</v>
          </cell>
          <cell r="B743" t="str">
            <v>LY-CT AS OX CR-XXX-8A</v>
          </cell>
          <cell r="C743" t="str">
            <v>CT AS OX</v>
          </cell>
          <cell r="D743" t="str">
            <v>水洗</v>
          </cell>
        </row>
        <row r="744">
          <cell r="A744" t="str">
            <v>157669C</v>
          </cell>
          <cell r="B744" t="str">
            <v>LY-CT AS OX CR-XXX-9A</v>
          </cell>
          <cell r="C744" t="str">
            <v>CTAS OX</v>
          </cell>
          <cell r="D744" t="str">
            <v>布</v>
          </cell>
        </row>
        <row r="745">
          <cell r="A745" t="str">
            <v>157670C</v>
          </cell>
          <cell r="B745" t="str">
            <v>LY-CT AS OX CR-XXX-9A</v>
          </cell>
          <cell r="C745" t="str">
            <v>CTAS OX</v>
          </cell>
          <cell r="D745" t="str">
            <v>布</v>
          </cell>
        </row>
        <row r="746">
          <cell r="A746" t="str">
            <v>157671C</v>
          </cell>
          <cell r="B746" t="str">
            <v>LY-CT AS OX CR-XXX-9A</v>
          </cell>
          <cell r="C746" t="str">
            <v>CTAS OX</v>
          </cell>
          <cell r="D746" t="str">
            <v>布</v>
          </cell>
        </row>
        <row r="747">
          <cell r="A747" t="str">
            <v>157881C</v>
          </cell>
          <cell r="B747" t="str">
            <v>LY-SK122U-2A-1</v>
          </cell>
          <cell r="C747" t="str">
            <v>CRIMSON OX</v>
          </cell>
          <cell r="D747" t="str">
            <v>布</v>
          </cell>
        </row>
        <row r="748">
          <cell r="A748" t="str">
            <v>157883C</v>
          </cell>
          <cell r="B748" t="str">
            <v>LY-SA287U-7A-1</v>
          </cell>
          <cell r="C748" t="str">
            <v>ZAKIM OX</v>
          </cell>
          <cell r="D748" t="str">
            <v>布+星星月亮</v>
          </cell>
        </row>
        <row r="749">
          <cell r="A749" t="str">
            <v>157884C</v>
          </cell>
          <cell r="B749" t="str">
            <v>LY-SA287U-7A-1</v>
          </cell>
          <cell r="C749" t="str">
            <v>ZAKIM OX</v>
          </cell>
          <cell r="D749" t="str">
            <v>布+星星月亮</v>
          </cell>
        </row>
        <row r="750">
          <cell r="A750" t="str">
            <v>157885C</v>
          </cell>
          <cell r="B750" t="str">
            <v>LY-SA287U-7A-1</v>
          </cell>
          <cell r="C750" t="str">
            <v>ZAKIM OX</v>
          </cell>
          <cell r="D750" t="str">
            <v>布+星星月亮</v>
          </cell>
        </row>
        <row r="751">
          <cell r="A751" t="str">
            <v>157907C</v>
          </cell>
          <cell r="B751" t="str">
            <v>LY-SK122U-2A</v>
          </cell>
          <cell r="C751" t="str">
            <v>CRIMSON OX</v>
          </cell>
          <cell r="D751" t="str">
            <v>布</v>
          </cell>
        </row>
        <row r="752">
          <cell r="A752" t="str">
            <v>158258C</v>
          </cell>
          <cell r="B752" t="str">
            <v>LY-CT AS OX CR-XXX-5A</v>
          </cell>
          <cell r="C752" t="str">
            <v>CTAS OX</v>
          </cell>
          <cell r="D752" t="str">
            <v>布</v>
          </cell>
        </row>
        <row r="753">
          <cell r="A753" t="str">
            <v>158258F</v>
          </cell>
          <cell r="B753" t="str">
            <v>LY-CT AS OX CR-XXX-5A</v>
          </cell>
          <cell r="C753" t="str">
            <v>CTAS OX</v>
          </cell>
          <cell r="D753" t="str">
            <v>布</v>
          </cell>
        </row>
        <row r="754">
          <cell r="A754" t="str">
            <v>158323C</v>
          </cell>
          <cell r="B754" t="str">
            <v>LY-SA177B-2A</v>
          </cell>
          <cell r="C754" t="str">
            <v>PRO BLAZE PLUS HI</v>
          </cell>
          <cell r="D754" t="str">
            <v>布+星星月亮</v>
          </cell>
        </row>
        <row r="755">
          <cell r="A755" t="str">
            <v>158324C</v>
          </cell>
          <cell r="B755" t="str">
            <v>LY-SA177B-2A</v>
          </cell>
          <cell r="C755" t="str">
            <v>PRO BLAZE PLUS HI</v>
          </cell>
          <cell r="D755" t="str">
            <v>布+星星月亮</v>
          </cell>
        </row>
        <row r="756">
          <cell r="A756" t="str">
            <v>158326C</v>
          </cell>
          <cell r="B756" t="str">
            <v>LY-SA177B-2B</v>
          </cell>
          <cell r="C756" t="str">
            <v>PRO BLAZE PLUS HI</v>
          </cell>
          <cell r="D756" t="str">
            <v>皮+星星月亮</v>
          </cell>
        </row>
        <row r="757">
          <cell r="A757" t="str">
            <v>158368C</v>
          </cell>
          <cell r="B757" t="str">
            <v>LY-OS119U-B</v>
          </cell>
          <cell r="C757" t="str">
            <v>ONE STAR OX</v>
          </cell>
          <cell r="D757" t="str">
            <v>皮</v>
          </cell>
        </row>
        <row r="758">
          <cell r="A758" t="str">
            <v>158369C</v>
          </cell>
          <cell r="B758" t="str">
            <v>LY-OS119U-B</v>
          </cell>
          <cell r="C758" t="str">
            <v>ONE STAR OX</v>
          </cell>
          <cell r="D758" t="str">
            <v>皮</v>
          </cell>
        </row>
        <row r="759">
          <cell r="A759" t="str">
            <v>158370C</v>
          </cell>
          <cell r="B759" t="str">
            <v>LY-OS119U-B</v>
          </cell>
          <cell r="C759" t="str">
            <v>ONE STAR OX</v>
          </cell>
          <cell r="D759" t="str">
            <v>皮</v>
          </cell>
        </row>
        <row r="760">
          <cell r="A760" t="str">
            <v>158371C</v>
          </cell>
          <cell r="B760" t="str">
            <v>LY-OS119U-B</v>
          </cell>
          <cell r="C760" t="str">
            <v>ONE STAR OX</v>
          </cell>
          <cell r="D760" t="str">
            <v>皮</v>
          </cell>
        </row>
        <row r="761">
          <cell r="A761" t="str">
            <v>158393C</v>
          </cell>
          <cell r="B761" t="str">
            <v>LY-SK032U-1B</v>
          </cell>
          <cell r="C761" t="str">
            <v>CONVERSE EL DISTRITO OX</v>
          </cell>
          <cell r="D761" t="str">
            <v>皮+星星月亮</v>
          </cell>
        </row>
        <row r="762">
          <cell r="A762" t="str">
            <v>158404C</v>
          </cell>
          <cell r="B762" t="str">
            <v>LY-CT AS HI CR-XXX-1A</v>
          </cell>
          <cell r="C762" t="str">
            <v>CTAS HI</v>
          </cell>
          <cell r="D762" t="str">
            <v>布</v>
          </cell>
        </row>
        <row r="763">
          <cell r="A763" t="str">
            <v>158405C</v>
          </cell>
          <cell r="B763" t="str">
            <v>LY-CT AS OX CR-XXX-4A</v>
          </cell>
          <cell r="C763" t="str">
            <v>CTAS OX</v>
          </cell>
          <cell r="D763" t="str">
            <v>布</v>
          </cell>
        </row>
        <row r="764">
          <cell r="A764" t="str">
            <v>158427C</v>
          </cell>
          <cell r="B764" t="str">
            <v>LY-SK032U-1B</v>
          </cell>
          <cell r="C764" t="str">
            <v>CONVERSE EL DISTRITO OX</v>
          </cell>
          <cell r="D764" t="str">
            <v>皮+星星月亮</v>
          </cell>
        </row>
        <row r="765">
          <cell r="A765" t="str">
            <v>158434C</v>
          </cell>
          <cell r="B765" t="str">
            <v>LY-OS119U-B</v>
          </cell>
          <cell r="C765" t="str">
            <v>ONE STAR OX</v>
          </cell>
          <cell r="D765" t="str">
            <v>皮</v>
          </cell>
        </row>
        <row r="766">
          <cell r="A766" t="str">
            <v>158436C</v>
          </cell>
          <cell r="B766" t="str">
            <v>LY-OS119U-B</v>
          </cell>
          <cell r="C766" t="str">
            <v>ONE STAR OX</v>
          </cell>
          <cell r="D766" t="str">
            <v>皮</v>
          </cell>
        </row>
        <row r="767">
          <cell r="A767" t="str">
            <v>158437C</v>
          </cell>
          <cell r="B767" t="str">
            <v>LY-OS119U-B</v>
          </cell>
          <cell r="C767" t="str">
            <v>ONE STAR OX</v>
          </cell>
          <cell r="D767" t="str">
            <v>皮</v>
          </cell>
        </row>
        <row r="768">
          <cell r="A768" t="str">
            <v>158438C</v>
          </cell>
          <cell r="B768" t="str">
            <v>LY-OS119U-B</v>
          </cell>
          <cell r="C768" t="str">
            <v>ONE STAR OX</v>
          </cell>
          <cell r="D768" t="str">
            <v>皮</v>
          </cell>
        </row>
        <row r="769">
          <cell r="A769" t="str">
            <v>158463C</v>
          </cell>
          <cell r="B769" t="str">
            <v>LY-OS119U-B</v>
          </cell>
          <cell r="C769" t="str">
            <v>ONE STAR OX</v>
          </cell>
          <cell r="D769" t="str">
            <v>皮</v>
          </cell>
        </row>
        <row r="770">
          <cell r="A770" t="str">
            <v>158463V</v>
          </cell>
          <cell r="B770" t="str">
            <v>LY-OS119U-B</v>
          </cell>
          <cell r="C770" t="str">
            <v>ONE STAR</v>
          </cell>
          <cell r="D770" t="str">
            <v>皮</v>
          </cell>
        </row>
        <row r="771">
          <cell r="A771" t="str">
            <v>158464C</v>
          </cell>
          <cell r="B771" t="str">
            <v>LY-OS119U-B</v>
          </cell>
          <cell r="C771" t="str">
            <v>ONE STAR OX</v>
          </cell>
          <cell r="D771" t="str">
            <v>皮</v>
          </cell>
        </row>
        <row r="772">
          <cell r="A772" t="str">
            <v>158464V</v>
          </cell>
          <cell r="B772" t="str">
            <v>LY-OS119U-B</v>
          </cell>
          <cell r="C772" t="str">
            <v>ONE STAR</v>
          </cell>
          <cell r="D772" t="str">
            <v>皮</v>
          </cell>
        </row>
        <row r="773">
          <cell r="A773" t="str">
            <v>158465C</v>
          </cell>
          <cell r="B773" t="str">
            <v>LY-OS119U-B</v>
          </cell>
          <cell r="C773" t="str">
            <v>ONE STAR OX</v>
          </cell>
          <cell r="D773" t="str">
            <v>皮</v>
          </cell>
        </row>
        <row r="774">
          <cell r="A774" t="str">
            <v>158465V</v>
          </cell>
          <cell r="B774" t="str">
            <v>LY-OS119U-B</v>
          </cell>
          <cell r="C774" t="str">
            <v>ONE STAR OX</v>
          </cell>
          <cell r="D774" t="str">
            <v>皮</v>
          </cell>
        </row>
        <row r="775">
          <cell r="A775" t="str">
            <v>158466C</v>
          </cell>
          <cell r="B775" t="str">
            <v>LY-OS119U-B</v>
          </cell>
          <cell r="C775" t="str">
            <v>ONE STAR OX</v>
          </cell>
          <cell r="D775" t="str">
            <v>皮</v>
          </cell>
        </row>
        <row r="776">
          <cell r="A776" t="str">
            <v>158467C</v>
          </cell>
          <cell r="B776" t="str">
            <v>LY-OS119U-B</v>
          </cell>
          <cell r="C776" t="str">
            <v>ONE STAR OX</v>
          </cell>
          <cell r="D776" t="str">
            <v>皮</v>
          </cell>
        </row>
        <row r="777">
          <cell r="A777" t="str">
            <v>158469C</v>
          </cell>
          <cell r="B777" t="str">
            <v>LY-OS119U-B</v>
          </cell>
          <cell r="C777" t="str">
            <v>ONE STAR OX</v>
          </cell>
          <cell r="D777" t="str">
            <v>皮</v>
          </cell>
        </row>
        <row r="778">
          <cell r="A778" t="str">
            <v>158470C</v>
          </cell>
          <cell r="B778" t="str">
            <v>LY-OS119U-B</v>
          </cell>
          <cell r="C778" t="str">
            <v>ONE STAR OX</v>
          </cell>
          <cell r="D778" t="str">
            <v>皮</v>
          </cell>
        </row>
        <row r="779">
          <cell r="A779" t="str">
            <v>158474C</v>
          </cell>
          <cell r="B779" t="str">
            <v>LY-OS119U-B</v>
          </cell>
          <cell r="C779" t="str">
            <v>ONE STAR OX</v>
          </cell>
          <cell r="D779" t="str">
            <v>皮</v>
          </cell>
        </row>
        <row r="780">
          <cell r="A780" t="str">
            <v>158475C</v>
          </cell>
          <cell r="B780" t="str">
            <v>LY-OS119U-B</v>
          </cell>
          <cell r="C780" t="str">
            <v>ONE STAR OX</v>
          </cell>
          <cell r="D780" t="str">
            <v>皮</v>
          </cell>
        </row>
        <row r="781">
          <cell r="A781" t="str">
            <v>158476C</v>
          </cell>
          <cell r="B781" t="str">
            <v>LY-OS119U-B</v>
          </cell>
          <cell r="C781" t="str">
            <v>ONE STAR OX</v>
          </cell>
          <cell r="D781" t="str">
            <v>皮</v>
          </cell>
        </row>
        <row r="782">
          <cell r="A782" t="str">
            <v>158477C</v>
          </cell>
          <cell r="B782" t="str">
            <v>LY-OS119U-B</v>
          </cell>
          <cell r="C782" t="str">
            <v>ONE STAR OX</v>
          </cell>
          <cell r="D782" t="str">
            <v>皮</v>
          </cell>
        </row>
        <row r="783">
          <cell r="A783" t="str">
            <v>158480C</v>
          </cell>
          <cell r="B783" t="str">
            <v>LY-OS119U-B</v>
          </cell>
          <cell r="C783" t="str">
            <v>ONE STAR OX</v>
          </cell>
          <cell r="D783" t="str">
            <v>皮</v>
          </cell>
        </row>
        <row r="784">
          <cell r="A784" t="str">
            <v>158480V</v>
          </cell>
          <cell r="B784" t="str">
            <v>LY-OS119U-B</v>
          </cell>
          <cell r="C784" t="str">
            <v>ONE STAR</v>
          </cell>
          <cell r="D784" t="str">
            <v>皮</v>
          </cell>
        </row>
        <row r="785">
          <cell r="A785" t="str">
            <v>158481C</v>
          </cell>
          <cell r="B785" t="str">
            <v>LY-OS119U-B</v>
          </cell>
          <cell r="C785" t="str">
            <v>ONE STAR OX</v>
          </cell>
          <cell r="D785" t="str">
            <v>皮</v>
          </cell>
        </row>
        <row r="786">
          <cell r="A786" t="str">
            <v>158481V</v>
          </cell>
          <cell r="B786" t="str">
            <v>LY-OS119U-B</v>
          </cell>
          <cell r="C786" t="str">
            <v>ONE STAR</v>
          </cell>
          <cell r="D786" t="str">
            <v>皮</v>
          </cell>
        </row>
        <row r="787">
          <cell r="A787" t="str">
            <v>158482C</v>
          </cell>
          <cell r="B787" t="str">
            <v>LY-OS119U-B</v>
          </cell>
          <cell r="C787" t="str">
            <v>ONE STAR OX</v>
          </cell>
          <cell r="D787" t="str">
            <v>皮</v>
          </cell>
        </row>
        <row r="788">
          <cell r="A788" t="str">
            <v>158483C</v>
          </cell>
          <cell r="B788" t="str">
            <v>LY-OS119U-B</v>
          </cell>
          <cell r="C788" t="str">
            <v>ONE STAR OX</v>
          </cell>
          <cell r="D788" t="str">
            <v>皮</v>
          </cell>
        </row>
        <row r="789">
          <cell r="A789" t="str">
            <v>158484C</v>
          </cell>
          <cell r="B789" t="str">
            <v>LY-OS119U-B</v>
          </cell>
          <cell r="C789" t="str">
            <v>ONE STAR OX</v>
          </cell>
          <cell r="D789" t="str">
            <v>皮</v>
          </cell>
        </row>
        <row r="790">
          <cell r="A790" t="str">
            <v>158487C</v>
          </cell>
          <cell r="B790" t="str">
            <v>LY-OS119U-B</v>
          </cell>
          <cell r="C790" t="str">
            <v>ONE STAR OX</v>
          </cell>
          <cell r="D790" t="str">
            <v>皮</v>
          </cell>
        </row>
        <row r="791">
          <cell r="A791" t="str">
            <v>158564F</v>
          </cell>
          <cell r="B791" t="str">
            <v>LY-CT AS OX CR-XXX-9A</v>
          </cell>
          <cell r="C791" t="str">
            <v>CTAS OX</v>
          </cell>
          <cell r="D791" t="str">
            <v>布</v>
          </cell>
        </row>
        <row r="792">
          <cell r="A792" t="str">
            <v>158832C</v>
          </cell>
          <cell r="B792" t="str">
            <v>LY-OS123U-B</v>
          </cell>
          <cell r="C792" t="str">
            <v>ONE STAR MID</v>
          </cell>
          <cell r="D792" t="str">
            <v>皮</v>
          </cell>
        </row>
        <row r="793">
          <cell r="A793" t="str">
            <v>158833C</v>
          </cell>
          <cell r="B793" t="str">
            <v>LY-OS123U-B</v>
          </cell>
          <cell r="C793" t="str">
            <v>ONE STAR MID</v>
          </cell>
          <cell r="D793" t="str">
            <v>皮</v>
          </cell>
        </row>
        <row r="794">
          <cell r="A794" t="str">
            <v>158834C</v>
          </cell>
          <cell r="B794" t="str">
            <v>LY-OS123U-B</v>
          </cell>
          <cell r="C794" t="str">
            <v>ONE STAR MID</v>
          </cell>
          <cell r="D794" t="str">
            <v>皮</v>
          </cell>
        </row>
        <row r="795">
          <cell r="A795" t="str">
            <v>158835C</v>
          </cell>
          <cell r="B795" t="str">
            <v>LY-OS123U-B</v>
          </cell>
          <cell r="C795" t="str">
            <v>ONE STAR MID</v>
          </cell>
          <cell r="D795" t="str">
            <v>皮</v>
          </cell>
        </row>
        <row r="796">
          <cell r="A796" t="str">
            <v>158836C</v>
          </cell>
          <cell r="B796" t="str">
            <v>LY-OS123U-1B</v>
          </cell>
          <cell r="C796" t="str">
            <v>ONE STAR COUNTER CLIMATE MID</v>
          </cell>
          <cell r="D796" t="str">
            <v>皮</v>
          </cell>
        </row>
        <row r="797">
          <cell r="A797" t="str">
            <v>158837C</v>
          </cell>
          <cell r="B797" t="str">
            <v>LY-OS123U-2B</v>
          </cell>
          <cell r="C797" t="str">
            <v>ONE STAR COUNTER CLIMATE MID</v>
          </cell>
          <cell r="D797" t="str">
            <v>PU</v>
          </cell>
        </row>
        <row r="798">
          <cell r="A798" t="str">
            <v>158838C</v>
          </cell>
          <cell r="B798" t="str">
            <v>LY-CT840U-B-2</v>
          </cell>
          <cell r="C798" t="str">
            <v>CTAS WP BOOT HI</v>
          </cell>
          <cell r="D798" t="str">
            <v>皮</v>
          </cell>
        </row>
        <row r="799">
          <cell r="A799" t="str">
            <v>158839C</v>
          </cell>
          <cell r="B799" t="str">
            <v>LY-CT840U-B-3</v>
          </cell>
          <cell r="C799" t="str">
            <v>CTAS WP BOOT HI</v>
          </cell>
          <cell r="D799" t="str">
            <v>PU</v>
          </cell>
        </row>
        <row r="800">
          <cell r="A800" t="str">
            <v>159007C</v>
          </cell>
          <cell r="B800" t="str">
            <v>LY-CT AS OX CR-XXX-10B</v>
          </cell>
          <cell r="C800" t="str">
            <v>CTAS OX</v>
          </cell>
          <cell r="D800" t="str">
            <v>皮</v>
          </cell>
        </row>
        <row r="801">
          <cell r="A801" t="str">
            <v>159008C</v>
          </cell>
          <cell r="B801" t="str">
            <v>LY-CT AS OX CR-XXX-10B</v>
          </cell>
          <cell r="C801" t="str">
            <v>CTAS OX</v>
          </cell>
          <cell r="D801" t="str">
            <v>皮</v>
          </cell>
        </row>
        <row r="802">
          <cell r="A802" t="str">
            <v>159009C</v>
          </cell>
          <cell r="B802" t="str">
            <v>LY-CT AS OX CR-XXX-10B</v>
          </cell>
          <cell r="C802" t="str">
            <v>CTAS OX</v>
          </cell>
          <cell r="D802" t="str">
            <v>皮</v>
          </cell>
        </row>
        <row r="803">
          <cell r="A803" t="str">
            <v>159035C</v>
          </cell>
          <cell r="B803" t="str">
            <v>LY-CT AS OX CR-XXX-10B</v>
          </cell>
          <cell r="C803" t="str">
            <v>CTAS OX</v>
          </cell>
          <cell r="D803" t="str">
            <v>皮</v>
          </cell>
        </row>
        <row r="804">
          <cell r="A804" t="str">
            <v>159144C</v>
          </cell>
          <cell r="B804" t="str">
            <v>LY-SK032U-1B</v>
          </cell>
          <cell r="C804" t="str">
            <v>CONS EL DISTRITO OX</v>
          </cell>
          <cell r="D804" t="str">
            <v>皮+星星月亮</v>
          </cell>
        </row>
        <row r="805">
          <cell r="A805" t="str">
            <v>159149C</v>
          </cell>
          <cell r="B805" t="str">
            <v>LY-SK032U-1B</v>
          </cell>
          <cell r="C805" t="str">
            <v>CONS EL DISTRITO OX</v>
          </cell>
          <cell r="D805" t="str">
            <v>皮+星星月亮</v>
          </cell>
        </row>
        <row r="806">
          <cell r="A806" t="str">
            <v>159150C</v>
          </cell>
          <cell r="B806" t="str">
            <v>LY-SA287U-2B</v>
          </cell>
          <cell r="C806" t="str">
            <v>CONS ZAKIM OX</v>
          </cell>
          <cell r="D806" t="str">
            <v>皮+星星月亮</v>
          </cell>
        </row>
        <row r="807">
          <cell r="A807" t="str">
            <v>159153C</v>
          </cell>
          <cell r="B807" t="str">
            <v>LY-SA287U-2B</v>
          </cell>
          <cell r="C807" t="str">
            <v>CONS ZAKIM OX</v>
          </cell>
          <cell r="D807" t="str">
            <v>皮+星星月亮</v>
          </cell>
        </row>
        <row r="808">
          <cell r="A808" t="str">
            <v>159155C</v>
          </cell>
          <cell r="B808" t="str">
            <v>LY-SA287U-2B</v>
          </cell>
          <cell r="C808" t="str">
            <v>CONS ZAKIM OX</v>
          </cell>
          <cell r="D808" t="str">
            <v>皮+星星月亮</v>
          </cell>
        </row>
        <row r="809">
          <cell r="A809" t="str">
            <v>159158C</v>
          </cell>
          <cell r="B809" t="str">
            <v>LY-SA287U-5A</v>
          </cell>
          <cell r="C809" t="str">
            <v>CONS ZAKIM OX</v>
          </cell>
          <cell r="D809" t="str">
            <v>布+星星月亮</v>
          </cell>
        </row>
        <row r="810">
          <cell r="A810" t="str">
            <v>159218C</v>
          </cell>
          <cell r="B810" t="str">
            <v>LY-CT AS OX CR-XXX-13A</v>
          </cell>
          <cell r="C810" t="str">
            <v>CTAS OX</v>
          </cell>
          <cell r="D810" t="str">
            <v>布</v>
          </cell>
        </row>
        <row r="811">
          <cell r="A811" t="str">
            <v>159222C</v>
          </cell>
          <cell r="B811" t="str">
            <v>LY-CT AS OX CR-XXX-12A</v>
          </cell>
          <cell r="C811" t="str">
            <v>CTAS OX</v>
          </cell>
          <cell r="D811" t="str">
            <v>布</v>
          </cell>
        </row>
        <row r="812">
          <cell r="A812" t="str">
            <v>159223C</v>
          </cell>
          <cell r="B812" t="str">
            <v>LY-CT AS OX CR-XXX-12A</v>
          </cell>
          <cell r="C812" t="str">
            <v>CTAS OX</v>
          </cell>
          <cell r="D812" t="str">
            <v>布</v>
          </cell>
        </row>
        <row r="813">
          <cell r="A813" t="str">
            <v>159225C</v>
          </cell>
          <cell r="B813" t="str">
            <v>LY-CT AS HI CR-XXX-13B</v>
          </cell>
          <cell r="C813" t="str">
            <v>CTAS LINED LOOP HI</v>
          </cell>
          <cell r="D813" t="str">
            <v>皮</v>
          </cell>
        </row>
        <row r="814">
          <cell r="A814" t="str">
            <v>159228C</v>
          </cell>
          <cell r="B814" t="str">
            <v>LY-CT AS OX CR-XXX-12B</v>
          </cell>
          <cell r="C814" t="str">
            <v>CTAS OX</v>
          </cell>
          <cell r="D814" t="str">
            <v>皮</v>
          </cell>
        </row>
        <row r="815">
          <cell r="A815" t="str">
            <v>159229C</v>
          </cell>
          <cell r="B815" t="str">
            <v>LY-CT AS OX CR-XXX-12B</v>
          </cell>
          <cell r="C815" t="str">
            <v>CTAS OX</v>
          </cell>
          <cell r="D815" t="str">
            <v>皮</v>
          </cell>
        </row>
        <row r="816">
          <cell r="A816" t="str">
            <v>159432C</v>
          </cell>
          <cell r="B816" t="str">
            <v>LY-OS119U-3B</v>
          </cell>
          <cell r="C816" t="str">
            <v>ONE STAR OX</v>
          </cell>
          <cell r="D816" t="str">
            <v>皮</v>
          </cell>
        </row>
        <row r="817">
          <cell r="A817" t="str">
            <v>159433C</v>
          </cell>
          <cell r="B817" t="str">
            <v>LY-OS119U-3B</v>
          </cell>
          <cell r="C817" t="str">
            <v>ONE STAR OX</v>
          </cell>
          <cell r="D817" t="str">
            <v>皮</v>
          </cell>
        </row>
        <row r="818">
          <cell r="A818" t="str">
            <v>159434C</v>
          </cell>
          <cell r="B818" t="str">
            <v>LY-OS119U-3B</v>
          </cell>
          <cell r="C818" t="str">
            <v>ONE STAR OX</v>
          </cell>
          <cell r="D818" t="str">
            <v>皮</v>
          </cell>
        </row>
        <row r="819">
          <cell r="A819" t="str">
            <v>159435C</v>
          </cell>
          <cell r="B819" t="str">
            <v>LY-OS119U-3B</v>
          </cell>
          <cell r="C819" t="str">
            <v>ONE STAR OX</v>
          </cell>
          <cell r="D819" t="str">
            <v>皮</v>
          </cell>
        </row>
        <row r="820">
          <cell r="A820" t="str">
            <v>159475F</v>
          </cell>
          <cell r="B820" t="str">
            <v>LY-CT AS OX CR-XXX</v>
          </cell>
          <cell r="C820" t="str">
            <v>CT AS OX</v>
          </cell>
          <cell r="D820" t="str">
            <v>布</v>
          </cell>
        </row>
        <row r="821">
          <cell r="A821" t="str">
            <v>159484C</v>
          </cell>
          <cell r="B821" t="str">
            <v>LY-CT AS HI CR-XXX</v>
          </cell>
          <cell r="C821" t="str">
            <v>ALL STAR HI</v>
          </cell>
          <cell r="D821" t="str">
            <v>布</v>
          </cell>
        </row>
        <row r="822">
          <cell r="A822" t="str">
            <v>159485C</v>
          </cell>
          <cell r="B822" t="str">
            <v>LY-CT AS OX CR-XXX</v>
          </cell>
          <cell r="C822" t="str">
            <v>ALL STAR OX</v>
          </cell>
          <cell r="D822" t="str">
            <v>布</v>
          </cell>
        </row>
        <row r="823">
          <cell r="A823" t="str">
            <v>159492C</v>
          </cell>
          <cell r="B823" t="str">
            <v>LY-OS119U-B-2</v>
          </cell>
          <cell r="C823" t="str">
            <v>ONE STAR OX</v>
          </cell>
          <cell r="D823" t="str">
            <v>皮</v>
          </cell>
        </row>
        <row r="824">
          <cell r="A824" t="str">
            <v>159493C</v>
          </cell>
          <cell r="B824" t="str">
            <v>LY-OS119U-B-2</v>
          </cell>
          <cell r="C824" t="str">
            <v>ONE STAR OX</v>
          </cell>
          <cell r="D824" t="str">
            <v>皮</v>
          </cell>
        </row>
        <row r="825">
          <cell r="A825" t="str">
            <v>159581C</v>
          </cell>
          <cell r="B825" t="str">
            <v>LY-OS119U-2B-1</v>
          </cell>
          <cell r="C825" t="str">
            <v>ONE STAR OX</v>
          </cell>
          <cell r="D825" t="str">
            <v>皮</v>
          </cell>
        </row>
        <row r="826">
          <cell r="A826" t="str">
            <v>159581V</v>
          </cell>
          <cell r="B826" t="str">
            <v>LY-OS119U-2B-1</v>
          </cell>
          <cell r="C826" t="str">
            <v>ONE STAR</v>
          </cell>
          <cell r="D826" t="str">
            <v>皮</v>
          </cell>
        </row>
        <row r="827">
          <cell r="A827" t="str">
            <v>159594C</v>
          </cell>
          <cell r="B827" t="str">
            <v>LY-OS123U-3B</v>
          </cell>
          <cell r="C827" t="str">
            <v>ONE STAR MID</v>
          </cell>
          <cell r="D827" t="str">
            <v>皮</v>
          </cell>
        </row>
        <row r="828">
          <cell r="A828" t="str">
            <v>159606C</v>
          </cell>
          <cell r="B828" t="str">
            <v>LY-CT AS HI CR-XXX-10A</v>
          </cell>
          <cell r="C828" t="str">
            <v>CTAS HI</v>
          </cell>
          <cell r="D828" t="str">
            <v>布</v>
          </cell>
        </row>
        <row r="829">
          <cell r="A829" t="str">
            <v>159607C</v>
          </cell>
          <cell r="B829" t="str">
            <v>LY-CT AS HI CR-XXX-10A</v>
          </cell>
          <cell r="C829" t="str">
            <v>CTAS HI</v>
          </cell>
          <cell r="D829" t="str">
            <v>布</v>
          </cell>
        </row>
        <row r="830">
          <cell r="A830" t="str">
            <v>159608C</v>
          </cell>
          <cell r="B830" t="str">
            <v>LY-CT AS OX CR-XXX-17A</v>
          </cell>
          <cell r="C830" t="str">
            <v>CTAS OX</v>
          </cell>
          <cell r="D830" t="str">
            <v>布</v>
          </cell>
        </row>
        <row r="831">
          <cell r="A831" t="str">
            <v>159609C</v>
          </cell>
          <cell r="B831" t="str">
            <v>LY-CT AS OX CR-XXX-17A</v>
          </cell>
          <cell r="C831" t="str">
            <v>CTAS OX</v>
          </cell>
          <cell r="D831" t="str">
            <v>布</v>
          </cell>
        </row>
        <row r="832">
          <cell r="A832" t="str">
            <v>159627C</v>
          </cell>
          <cell r="B832" t="str">
            <v>LY-CT950U-B</v>
          </cell>
          <cell r="C832" t="str">
            <v>CTAS ULTRA MID</v>
          </cell>
          <cell r="D832" t="str">
            <v>PU</v>
          </cell>
        </row>
        <row r="833">
          <cell r="A833" t="str">
            <v>159628C</v>
          </cell>
          <cell r="B833" t="str">
            <v>LY-CT950U-B</v>
          </cell>
          <cell r="C833" t="str">
            <v>CTAS ULTRA MID</v>
          </cell>
          <cell r="D833" t="str">
            <v>PU</v>
          </cell>
        </row>
        <row r="834">
          <cell r="A834" t="str">
            <v>159631C</v>
          </cell>
          <cell r="B834" t="str">
            <v>LY-CT950U-A</v>
          </cell>
          <cell r="C834" t="str">
            <v>CTAS ULTRA MID</v>
          </cell>
          <cell r="D834" t="str">
            <v>布</v>
          </cell>
        </row>
        <row r="835">
          <cell r="A835" t="str">
            <v>159635C</v>
          </cell>
          <cell r="B835" t="str">
            <v>LY-CT AS HI CR-XXX-17A</v>
          </cell>
          <cell r="C835" t="str">
            <v>CTAS HI</v>
          </cell>
          <cell r="D835" t="str">
            <v>布</v>
          </cell>
        </row>
        <row r="836">
          <cell r="A836" t="str">
            <v>159635F</v>
          </cell>
          <cell r="B836" t="str">
            <v>LY-CT AS HI CR-XXX-17A</v>
          </cell>
          <cell r="C836" t="str">
            <v>CT AS HI</v>
          </cell>
          <cell r="D836" t="str">
            <v>布</v>
          </cell>
        </row>
        <row r="837">
          <cell r="A837" t="str">
            <v>159636C</v>
          </cell>
          <cell r="B837" t="str">
            <v>LY-CT AS HI CR-XXX-17A</v>
          </cell>
          <cell r="C837" t="str">
            <v>CTAS HI</v>
          </cell>
          <cell r="D837" t="str">
            <v>布</v>
          </cell>
        </row>
        <row r="838">
          <cell r="A838" t="str">
            <v>159636F</v>
          </cell>
          <cell r="B838" t="str">
            <v>LY-CT AS HI CR-XXX-17A</v>
          </cell>
          <cell r="C838" t="str">
            <v>CT AS HI</v>
          </cell>
          <cell r="D838" t="str">
            <v>布</v>
          </cell>
        </row>
        <row r="839">
          <cell r="A839" t="str">
            <v>159637C</v>
          </cell>
          <cell r="B839" t="str">
            <v>LY-CT AS OX CR-XXX-24A</v>
          </cell>
          <cell r="C839" t="str">
            <v>CTAS OX</v>
          </cell>
          <cell r="D839" t="str">
            <v>布</v>
          </cell>
        </row>
        <row r="840">
          <cell r="A840" t="str">
            <v>159637F</v>
          </cell>
          <cell r="B840" t="str">
            <v>LY-CT AS OX CR-XXX-24A</v>
          </cell>
          <cell r="C840" t="str">
            <v>CT AS OX</v>
          </cell>
          <cell r="D840" t="str">
            <v>布</v>
          </cell>
        </row>
        <row r="841">
          <cell r="A841" t="str">
            <v>159638C</v>
          </cell>
          <cell r="B841" t="str">
            <v>LY-CT AS OX CR-XXX-24A</v>
          </cell>
          <cell r="C841" t="str">
            <v>CTAS OX</v>
          </cell>
          <cell r="D841" t="str">
            <v>布</v>
          </cell>
        </row>
        <row r="842">
          <cell r="A842" t="str">
            <v>159638F</v>
          </cell>
          <cell r="B842" t="str">
            <v>LY-CT AS OX CR-XXX-24A</v>
          </cell>
          <cell r="C842" t="str">
            <v>CTAS OX</v>
          </cell>
          <cell r="D842" t="str">
            <v>布</v>
          </cell>
        </row>
        <row r="843">
          <cell r="A843" t="str">
            <v>159651C</v>
          </cell>
          <cell r="B843" t="str">
            <v>LY-CT AS HI CR-XXX-16A</v>
          </cell>
          <cell r="C843" t="str">
            <v>CTAS HI</v>
          </cell>
          <cell r="D843" t="str">
            <v>布</v>
          </cell>
        </row>
        <row r="844">
          <cell r="A844" t="str">
            <v>159652C</v>
          </cell>
          <cell r="B844" t="str">
            <v>LY-CT AS HI CR-XXX-16A</v>
          </cell>
          <cell r="C844" t="str">
            <v>CTAS HI</v>
          </cell>
          <cell r="D844" t="str">
            <v>布</v>
          </cell>
        </row>
        <row r="845">
          <cell r="A845" t="str">
            <v>159653C</v>
          </cell>
          <cell r="B845" t="str">
            <v>LY-CT AS OX CR-XXX-23A</v>
          </cell>
          <cell r="C845" t="str">
            <v>CTAS OX</v>
          </cell>
          <cell r="D845" t="str">
            <v>布</v>
          </cell>
        </row>
        <row r="846">
          <cell r="A846" t="str">
            <v>159654C</v>
          </cell>
          <cell r="B846" t="str">
            <v>LY-CT AS OX CR-XXX-23A</v>
          </cell>
          <cell r="C846" t="str">
            <v>CTAS OX</v>
          </cell>
          <cell r="D846" t="str">
            <v>布</v>
          </cell>
        </row>
        <row r="847">
          <cell r="A847" t="str">
            <v>159655C</v>
          </cell>
          <cell r="B847" t="str">
            <v>LY-CT AS OX CR-XXX-23A</v>
          </cell>
          <cell r="C847" t="str">
            <v>CTAS OX</v>
          </cell>
          <cell r="D847" t="str">
            <v>布</v>
          </cell>
        </row>
        <row r="848">
          <cell r="A848" t="str">
            <v>159694C</v>
          </cell>
          <cell r="B848" t="str">
            <v>LY-OS119U-6B</v>
          </cell>
          <cell r="C848" t="str">
            <v>ONE STAR OX</v>
          </cell>
          <cell r="D848" t="str">
            <v>皮</v>
          </cell>
        </row>
        <row r="849">
          <cell r="A849" t="str">
            <v>159694V</v>
          </cell>
          <cell r="B849" t="str">
            <v>LY-OS119U-6B</v>
          </cell>
          <cell r="C849" t="str">
            <v>ONE STAR OX</v>
          </cell>
          <cell r="D849" t="str">
            <v>皮</v>
          </cell>
        </row>
        <row r="850">
          <cell r="A850" t="str">
            <v>159701C</v>
          </cell>
          <cell r="B850" t="str">
            <v>LY-OS119U-6B</v>
          </cell>
          <cell r="C850" t="str">
            <v>ONE STAR OX</v>
          </cell>
          <cell r="D850" t="str">
            <v>皮</v>
          </cell>
        </row>
        <row r="851">
          <cell r="A851" t="str">
            <v>159702C</v>
          </cell>
          <cell r="B851" t="str">
            <v>LY-OS119U-6B</v>
          </cell>
          <cell r="C851" t="str">
            <v>ONE STAR OX</v>
          </cell>
          <cell r="D851" t="str">
            <v>皮</v>
          </cell>
        </row>
        <row r="852">
          <cell r="A852" t="str">
            <v>159703C</v>
          </cell>
          <cell r="B852" t="str">
            <v>LY-OS119U-5B-2</v>
          </cell>
          <cell r="C852" t="str">
            <v>ONE STAR OX</v>
          </cell>
          <cell r="D852" t="str">
            <v>皮</v>
          </cell>
        </row>
        <row r="853">
          <cell r="A853" t="str">
            <v>159704C</v>
          </cell>
          <cell r="B853" t="str">
            <v>LY-OS119U-5B-2</v>
          </cell>
          <cell r="C853" t="str">
            <v>ONE STAR OX</v>
          </cell>
          <cell r="D853" t="str">
            <v>皮</v>
          </cell>
        </row>
        <row r="854">
          <cell r="A854" t="str">
            <v>159705C</v>
          </cell>
          <cell r="B854" t="str">
            <v>LY-OS119U-5B-2</v>
          </cell>
          <cell r="C854" t="str">
            <v>ONE STAR OX</v>
          </cell>
          <cell r="D854" t="str">
            <v>皮</v>
          </cell>
        </row>
        <row r="855">
          <cell r="A855" t="str">
            <v>159710C</v>
          </cell>
          <cell r="B855" t="str">
            <v>LY-OS119U-3A</v>
          </cell>
          <cell r="C855" t="str">
            <v>ONE STAR OX</v>
          </cell>
          <cell r="D855" t="str">
            <v>布</v>
          </cell>
        </row>
        <row r="856">
          <cell r="A856" t="str">
            <v>159711C</v>
          </cell>
          <cell r="B856" t="str">
            <v>LY-OS119U-3A</v>
          </cell>
          <cell r="C856" t="str">
            <v>ONE STAR OX</v>
          </cell>
          <cell r="D856" t="str">
            <v>布</v>
          </cell>
        </row>
        <row r="857">
          <cell r="A857" t="str">
            <v>159712C</v>
          </cell>
          <cell r="B857" t="str">
            <v>LY-OS119U-3A</v>
          </cell>
          <cell r="C857" t="str">
            <v>ONE STAR OX</v>
          </cell>
          <cell r="D857" t="str">
            <v>布</v>
          </cell>
        </row>
        <row r="858">
          <cell r="A858" t="str">
            <v>159721C</v>
          </cell>
          <cell r="B858" t="str">
            <v>LY-OS119U-5B</v>
          </cell>
          <cell r="C858" t="str">
            <v>ONE STAR OX</v>
          </cell>
          <cell r="D858" t="str">
            <v>皮</v>
          </cell>
        </row>
        <row r="859">
          <cell r="A859" t="str">
            <v>159721V</v>
          </cell>
          <cell r="B859" t="str">
            <v>LY-OS119U-5B</v>
          </cell>
          <cell r="C859" t="str">
            <v>ONE STAR OX</v>
          </cell>
          <cell r="D859" t="str">
            <v>皮</v>
          </cell>
        </row>
        <row r="860">
          <cell r="A860" t="str">
            <v>159722C</v>
          </cell>
          <cell r="B860" t="str">
            <v>LY-OS119U-5B</v>
          </cell>
          <cell r="C860" t="str">
            <v>ONE STAR OX</v>
          </cell>
          <cell r="D860" t="str">
            <v>皮</v>
          </cell>
        </row>
        <row r="861">
          <cell r="A861" t="str">
            <v>159722V</v>
          </cell>
          <cell r="B861" t="str">
            <v>LY-OS119U-5B</v>
          </cell>
          <cell r="C861" t="str">
            <v>ONE STAR OX</v>
          </cell>
          <cell r="D861" t="str">
            <v>皮</v>
          </cell>
        </row>
        <row r="862">
          <cell r="A862" t="str">
            <v>159723C</v>
          </cell>
          <cell r="B862" t="str">
            <v>LY-OS119U-5B</v>
          </cell>
          <cell r="C862" t="str">
            <v>ONE STAR OX</v>
          </cell>
          <cell r="D862" t="str">
            <v>皮</v>
          </cell>
        </row>
        <row r="863">
          <cell r="A863" t="str">
            <v>159731C</v>
          </cell>
          <cell r="B863" t="str">
            <v>LY-OS119U-7B</v>
          </cell>
          <cell r="C863" t="str">
            <v>ONE STAR OX</v>
          </cell>
          <cell r="D863" t="str">
            <v>皮</v>
          </cell>
        </row>
        <row r="864">
          <cell r="A864" t="str">
            <v>159732C</v>
          </cell>
          <cell r="B864" t="str">
            <v>LY-OS119U-7B</v>
          </cell>
          <cell r="C864" t="str">
            <v>ONE STAR OX</v>
          </cell>
          <cell r="D864" t="str">
            <v>皮</v>
          </cell>
        </row>
        <row r="865">
          <cell r="A865" t="str">
            <v>159732V</v>
          </cell>
          <cell r="B865" t="str">
            <v>LY-OS119U-7B</v>
          </cell>
          <cell r="C865" t="str">
            <v>ONE STAR</v>
          </cell>
          <cell r="D865" t="str">
            <v>皮</v>
          </cell>
        </row>
        <row r="866">
          <cell r="A866" t="str">
            <v>159733C</v>
          </cell>
          <cell r="B866" t="str">
            <v>LY-OS119U-7B</v>
          </cell>
          <cell r="C866" t="str">
            <v>ONE STAR OX</v>
          </cell>
          <cell r="D866" t="str">
            <v>皮</v>
          </cell>
        </row>
        <row r="867">
          <cell r="A867" t="str">
            <v>159733V</v>
          </cell>
          <cell r="B867" t="str">
            <v>LY-OS119U-7B</v>
          </cell>
          <cell r="C867" t="str">
            <v>ONE STAR</v>
          </cell>
          <cell r="D867" t="str">
            <v>皮</v>
          </cell>
        </row>
        <row r="868">
          <cell r="A868" t="str">
            <v>159734C</v>
          </cell>
          <cell r="B868" t="str">
            <v>LY-OS119U-7B</v>
          </cell>
          <cell r="C868" t="str">
            <v>ONE STAR OX</v>
          </cell>
          <cell r="D868" t="str">
            <v>皮</v>
          </cell>
        </row>
        <row r="869">
          <cell r="A869" t="str">
            <v>159746C</v>
          </cell>
          <cell r="B869" t="str">
            <v>LY-OS123U-4B</v>
          </cell>
          <cell r="C869" t="str">
            <v>ONE STAR MID</v>
          </cell>
          <cell r="D869" t="str">
            <v>皮</v>
          </cell>
        </row>
        <row r="870">
          <cell r="A870" t="str">
            <v>159747C</v>
          </cell>
          <cell r="B870" t="str">
            <v>LY-OS123U-4B</v>
          </cell>
          <cell r="C870" t="str">
            <v>ONE STAR MID</v>
          </cell>
          <cell r="D870" t="str">
            <v>皮</v>
          </cell>
        </row>
        <row r="871">
          <cell r="A871" t="str">
            <v>159759C</v>
          </cell>
          <cell r="B871" t="str">
            <v>LY-OS119U-5B</v>
          </cell>
          <cell r="C871" t="str">
            <v>ONE STAR OX</v>
          </cell>
          <cell r="D871" t="str">
            <v>皮</v>
          </cell>
        </row>
        <row r="872">
          <cell r="A872" t="str">
            <v>159768C</v>
          </cell>
          <cell r="B872" t="str">
            <v>LY-OS119U-B-2</v>
          </cell>
          <cell r="C872" t="str">
            <v>ONE STAR OX</v>
          </cell>
          <cell r="D872" t="str">
            <v>皮</v>
          </cell>
        </row>
        <row r="873">
          <cell r="A873" t="str">
            <v>159773C</v>
          </cell>
          <cell r="B873" t="str">
            <v>LY-OS119U-6B</v>
          </cell>
          <cell r="C873" t="str">
            <v>ONE STAR OX</v>
          </cell>
          <cell r="D873" t="str">
            <v>皮</v>
          </cell>
        </row>
        <row r="874">
          <cell r="A874" t="str">
            <v>159782C</v>
          </cell>
          <cell r="B874" t="str">
            <v>LY-OS119U-2B-1</v>
          </cell>
          <cell r="C874" t="str">
            <v>ONE STAR OX</v>
          </cell>
          <cell r="D874" t="str">
            <v>皮</v>
          </cell>
        </row>
        <row r="875">
          <cell r="A875" t="str">
            <v>159782V</v>
          </cell>
          <cell r="B875" t="str">
            <v>LY-OS119U-2B-1</v>
          </cell>
          <cell r="C875" t="str">
            <v>ONE STAR</v>
          </cell>
          <cell r="D875" t="str">
            <v>皮</v>
          </cell>
        </row>
        <row r="876">
          <cell r="A876" t="str">
            <v>159785C</v>
          </cell>
          <cell r="B876" t="str">
            <v>LY-OS119U-5B</v>
          </cell>
          <cell r="C876" t="str">
            <v>ONE STAR OX</v>
          </cell>
          <cell r="D876" t="str">
            <v>皮</v>
          </cell>
        </row>
        <row r="877">
          <cell r="A877" t="str">
            <v>159786C</v>
          </cell>
          <cell r="B877" t="str">
            <v>LY-SK032U-A-2</v>
          </cell>
          <cell r="C877" t="str">
            <v>CONVERSE EL DISTRITO</v>
          </cell>
          <cell r="D877" t="str">
            <v>布+星星月亮</v>
          </cell>
        </row>
        <row r="878">
          <cell r="A878" t="str">
            <v>159787C</v>
          </cell>
          <cell r="B878" t="str">
            <v>LY-SK032U-A-2</v>
          </cell>
          <cell r="C878" t="str">
            <v>CONS EL DISTRITO OX</v>
          </cell>
          <cell r="D878" t="str">
            <v>布+星星月亮</v>
          </cell>
        </row>
        <row r="879">
          <cell r="A879" t="str">
            <v>159788C</v>
          </cell>
          <cell r="B879" t="str">
            <v>LY-SK032U-A-2</v>
          </cell>
          <cell r="C879" t="str">
            <v>CONS EL DISTRITO OX</v>
          </cell>
          <cell r="D879" t="str">
            <v>布+星星月亮</v>
          </cell>
        </row>
        <row r="880">
          <cell r="A880" t="str">
            <v>159791C</v>
          </cell>
          <cell r="B880" t="str">
            <v>LY-SK032U-A-2</v>
          </cell>
          <cell r="C880" t="str">
            <v>CONVERSE EL DISTRITO</v>
          </cell>
          <cell r="D880" t="str">
            <v>布+星星月亮</v>
          </cell>
        </row>
        <row r="881">
          <cell r="A881" t="str">
            <v>159792C</v>
          </cell>
          <cell r="B881" t="str">
            <v>LY-SK032U-A-2</v>
          </cell>
          <cell r="C881" t="str">
            <v>CONVERSE EL DISTRITO</v>
          </cell>
          <cell r="D881" t="str">
            <v>布+星星月亮</v>
          </cell>
        </row>
        <row r="882">
          <cell r="A882" t="str">
            <v>159793C</v>
          </cell>
          <cell r="B882" t="str">
            <v>LY-SK032U-A-2</v>
          </cell>
          <cell r="C882" t="str">
            <v>CONS EL DISTRITO OX</v>
          </cell>
          <cell r="D882" t="str">
            <v>布+星星月亮</v>
          </cell>
        </row>
        <row r="883">
          <cell r="A883" t="str">
            <v>159796C</v>
          </cell>
          <cell r="B883" t="str">
            <v>LY-SA368U-B</v>
          </cell>
          <cell r="C883" t="str">
            <v>CONVERSE POINT STAR OX</v>
          </cell>
          <cell r="D883" t="str">
            <v>皮+星星月亮</v>
          </cell>
        </row>
        <row r="884">
          <cell r="A884" t="str">
            <v>159797C</v>
          </cell>
          <cell r="B884" t="str">
            <v>LY-SA368U-B</v>
          </cell>
          <cell r="C884" t="str">
            <v>CONVERSE POINT STAR OX</v>
          </cell>
          <cell r="D884" t="str">
            <v>皮+星星月亮</v>
          </cell>
        </row>
        <row r="885">
          <cell r="A885" t="str">
            <v>159798C</v>
          </cell>
          <cell r="B885" t="str">
            <v>LY-SA368U-B</v>
          </cell>
          <cell r="C885" t="str">
            <v>CONVERSE POINT STAR OX</v>
          </cell>
          <cell r="D885" t="str">
            <v>皮+星星月亮</v>
          </cell>
        </row>
        <row r="886">
          <cell r="A886" t="str">
            <v>159800C</v>
          </cell>
          <cell r="B886" t="str">
            <v>LY-SA368U-B</v>
          </cell>
          <cell r="C886" t="str">
            <v>CONVERSE POINT STAR OX</v>
          </cell>
          <cell r="D886" t="str">
            <v>皮+星星月亮</v>
          </cell>
        </row>
        <row r="887">
          <cell r="A887" t="str">
            <v>159813C</v>
          </cell>
          <cell r="B887" t="str">
            <v>LY-OS119U-5B</v>
          </cell>
          <cell r="C887" t="str">
            <v>ONE STAR OX</v>
          </cell>
          <cell r="D887" t="str">
            <v>皮</v>
          </cell>
        </row>
        <row r="888">
          <cell r="A888" t="str">
            <v>159814C</v>
          </cell>
          <cell r="B888" t="str">
            <v>LY-OS119U-5B</v>
          </cell>
          <cell r="C888" t="str">
            <v>ONE STAR OX</v>
          </cell>
          <cell r="D888" t="str">
            <v>皮</v>
          </cell>
        </row>
        <row r="889">
          <cell r="A889" t="str">
            <v>159815C</v>
          </cell>
          <cell r="B889" t="str">
            <v>LY-OS119U-5B</v>
          </cell>
          <cell r="C889" t="str">
            <v>ONE STAR OX</v>
          </cell>
          <cell r="D889" t="str">
            <v>皮</v>
          </cell>
        </row>
        <row r="890">
          <cell r="A890" t="str">
            <v>159816C</v>
          </cell>
          <cell r="B890" t="str">
            <v>LY-OS119U-5B</v>
          </cell>
          <cell r="C890" t="str">
            <v>ONE STAR OX</v>
          </cell>
          <cell r="D890" t="str">
            <v>皮</v>
          </cell>
        </row>
        <row r="891">
          <cell r="A891" t="str">
            <v>160078C</v>
          </cell>
          <cell r="B891" t="str">
            <v>LY-OS119U-2A</v>
          </cell>
          <cell r="C891" t="str">
            <v>ONE STAR OX</v>
          </cell>
          <cell r="D891" t="str">
            <v>布</v>
          </cell>
        </row>
        <row r="892">
          <cell r="A892" t="str">
            <v>160079C</v>
          </cell>
          <cell r="B892" t="str">
            <v>LY-OS119U-B-1</v>
          </cell>
          <cell r="C892" t="str">
            <v>ONE STAR OX</v>
          </cell>
          <cell r="D892" t="str">
            <v>皮</v>
          </cell>
        </row>
        <row r="893">
          <cell r="A893" t="str">
            <v>160195C</v>
          </cell>
          <cell r="B893" t="str">
            <v>LY-SA177B-2B-1</v>
          </cell>
          <cell r="C893" t="str">
            <v>PRO BLAZE PLUS HI</v>
          </cell>
          <cell r="D893" t="str">
            <v>皮+星星月亮</v>
          </cell>
        </row>
        <row r="894">
          <cell r="A894" t="str">
            <v>160196C</v>
          </cell>
          <cell r="B894" t="str">
            <v>LY-SA177B-2B-1</v>
          </cell>
          <cell r="C894" t="str">
            <v>PRO BLAZE PLUS HI</v>
          </cell>
          <cell r="D894" t="str">
            <v>皮+星星月亮</v>
          </cell>
        </row>
        <row r="895">
          <cell r="A895" t="str">
            <v>160314C</v>
          </cell>
          <cell r="B895" t="str">
            <v>LY-SA378U-A</v>
          </cell>
          <cell r="C895" t="str">
            <v>JUMP BOOT HI</v>
          </cell>
          <cell r="D895" t="str">
            <v>布</v>
          </cell>
        </row>
        <row r="896">
          <cell r="A896" t="str">
            <v>160315C</v>
          </cell>
          <cell r="B896" t="str">
            <v>LY-SA378U-A</v>
          </cell>
          <cell r="C896" t="str">
            <v>JUMP BOOT HI</v>
          </cell>
          <cell r="D896" t="str">
            <v>布</v>
          </cell>
        </row>
        <row r="897">
          <cell r="A897" t="str">
            <v>160316C</v>
          </cell>
          <cell r="B897" t="str">
            <v>LY-CT981U-A</v>
          </cell>
          <cell r="C897" t="str">
            <v>CTAS 70 HIKER HI</v>
          </cell>
          <cell r="D897" t="str">
            <v>布</v>
          </cell>
        </row>
        <row r="898">
          <cell r="A898" t="str">
            <v>160317C</v>
          </cell>
          <cell r="B898" t="str">
            <v>LY-CT981U-A</v>
          </cell>
          <cell r="C898" t="str">
            <v>CTAS 70 HIKER HI</v>
          </cell>
          <cell r="D898" t="str">
            <v>布</v>
          </cell>
        </row>
        <row r="899">
          <cell r="A899" t="str">
            <v>160318C</v>
          </cell>
          <cell r="B899" t="str">
            <v>LY-CT989U-A</v>
          </cell>
          <cell r="C899" t="str">
            <v>CTAS 70 UTILITY HIKER HI</v>
          </cell>
          <cell r="D899" t="str">
            <v>布</v>
          </cell>
        </row>
        <row r="900">
          <cell r="A900" t="str">
            <v>160319C</v>
          </cell>
          <cell r="B900" t="str">
            <v>LY-CT989U-A</v>
          </cell>
          <cell r="C900" t="str">
            <v>CTAS 70 HIKER HI</v>
          </cell>
          <cell r="D900" t="str">
            <v>布</v>
          </cell>
        </row>
        <row r="901">
          <cell r="A901" t="str">
            <v>160320C</v>
          </cell>
          <cell r="B901" t="str">
            <v>LY-CT989U-A</v>
          </cell>
          <cell r="C901" t="str">
            <v>CTAS 70 HIKER HI</v>
          </cell>
          <cell r="D901" t="str">
            <v>布</v>
          </cell>
        </row>
        <row r="902">
          <cell r="A902" t="str">
            <v>160322C</v>
          </cell>
          <cell r="B902" t="str">
            <v>LY-OS128U-B</v>
          </cell>
          <cell r="C902" t="str">
            <v>ONE STAR GLF OX</v>
          </cell>
          <cell r="D902" t="str">
            <v>皮</v>
          </cell>
        </row>
        <row r="903">
          <cell r="A903" t="str">
            <v>160323C</v>
          </cell>
          <cell r="B903" t="str">
            <v>LY-OS128U-B</v>
          </cell>
          <cell r="C903" t="str">
            <v>ONE STAR GLF OX</v>
          </cell>
          <cell r="D903" t="str">
            <v>皮</v>
          </cell>
        </row>
        <row r="904">
          <cell r="A904" t="str">
            <v>160324C</v>
          </cell>
          <cell r="B904" t="str">
            <v>LY-OS128U-B</v>
          </cell>
          <cell r="C904" t="str">
            <v>ONE STAR GLF OX</v>
          </cell>
          <cell r="D904" t="str">
            <v>皮</v>
          </cell>
        </row>
        <row r="905">
          <cell r="A905" t="str">
            <v>160325C</v>
          </cell>
          <cell r="B905" t="str">
            <v>LY-OS128U-B</v>
          </cell>
          <cell r="C905" t="str">
            <v>ONE STAR GLF OX</v>
          </cell>
          <cell r="D905" t="str">
            <v>皮</v>
          </cell>
        </row>
        <row r="906">
          <cell r="A906" t="str">
            <v>160326C</v>
          </cell>
          <cell r="B906" t="str">
            <v>LY-OS128U-B</v>
          </cell>
          <cell r="C906" t="str">
            <v>ONE STAR GLF OX</v>
          </cell>
          <cell r="D906" t="str">
            <v>皮</v>
          </cell>
        </row>
        <row r="907">
          <cell r="A907" t="str">
            <v>160327C</v>
          </cell>
          <cell r="B907" t="str">
            <v>LY-OS128U-B</v>
          </cell>
          <cell r="C907" t="str">
            <v>ONE STAR GLF OX</v>
          </cell>
          <cell r="D907" t="str">
            <v>皮</v>
          </cell>
        </row>
        <row r="908">
          <cell r="A908" t="str">
            <v>160339C</v>
          </cell>
          <cell r="B908" t="str">
            <v>LY-OS119U-B-3</v>
          </cell>
          <cell r="C908" t="str">
            <v>ONE STAR OX</v>
          </cell>
          <cell r="D908" t="str">
            <v>皮</v>
          </cell>
        </row>
        <row r="909">
          <cell r="A909" t="str">
            <v>160340C</v>
          </cell>
          <cell r="B909" t="str">
            <v>LY-OS119U-B-3</v>
          </cell>
          <cell r="C909" t="str">
            <v>ONE STAR OX</v>
          </cell>
          <cell r="D909" t="str">
            <v>皮</v>
          </cell>
        </row>
        <row r="910">
          <cell r="A910" t="str">
            <v>160357C</v>
          </cell>
          <cell r="B910" t="str">
            <v>LY-CT AS OX CR-XXX-13B</v>
          </cell>
          <cell r="C910" t="str">
            <v>CTAS OX</v>
          </cell>
          <cell r="D910" t="str">
            <v>PU</v>
          </cell>
        </row>
        <row r="911">
          <cell r="A911" t="str">
            <v>160358C</v>
          </cell>
          <cell r="B911" t="str">
            <v>LY-CT AS OX CR-XXX-13B</v>
          </cell>
          <cell r="C911" t="str">
            <v>CTAS OX</v>
          </cell>
          <cell r="D911" t="str">
            <v>PU</v>
          </cell>
        </row>
        <row r="912">
          <cell r="A912" t="str">
            <v>160359C</v>
          </cell>
          <cell r="B912" t="str">
            <v>LY-CT AS OX CR-XXX-13B</v>
          </cell>
          <cell r="C912" t="str">
            <v>CTAS OX</v>
          </cell>
          <cell r="D912" t="str">
            <v>PU</v>
          </cell>
        </row>
        <row r="913">
          <cell r="A913" t="str">
            <v>160469C</v>
          </cell>
          <cell r="B913" t="str">
            <v>LY-CT AS HI CR-XXX-23A</v>
          </cell>
          <cell r="C913" t="str">
            <v>CTAS HI</v>
          </cell>
          <cell r="D913" t="str">
            <v>布</v>
          </cell>
        </row>
        <row r="914">
          <cell r="A914" t="str">
            <v>160470C</v>
          </cell>
          <cell r="B914" t="str">
            <v>LY-CT AS HI CR-XXX-24A</v>
          </cell>
          <cell r="C914" t="str">
            <v>CTAS HI</v>
          </cell>
          <cell r="D914" t="str">
            <v>布</v>
          </cell>
        </row>
        <row r="915">
          <cell r="A915" t="str">
            <v>160471C</v>
          </cell>
          <cell r="B915" t="str">
            <v>LY-CT AS OX CR-XXX-27A</v>
          </cell>
          <cell r="C915" t="str">
            <v>CTAS OX</v>
          </cell>
          <cell r="D915" t="str">
            <v>布</v>
          </cell>
        </row>
        <row r="916">
          <cell r="A916" t="str">
            <v>160472C</v>
          </cell>
          <cell r="B916" t="str">
            <v>LY-CT AS OX CR-XXX-27A</v>
          </cell>
          <cell r="C916" t="str">
            <v>CTAS OX</v>
          </cell>
          <cell r="D916" t="str">
            <v>布</v>
          </cell>
        </row>
        <row r="917">
          <cell r="A917" t="str">
            <v>160473C</v>
          </cell>
          <cell r="B917" t="str">
            <v>LY-CT AS OX CR-XXX-28A</v>
          </cell>
          <cell r="C917" t="str">
            <v>CTAS OX</v>
          </cell>
          <cell r="D917" t="str">
            <v>布</v>
          </cell>
        </row>
        <row r="918">
          <cell r="A918" t="str">
            <v>160474C</v>
          </cell>
          <cell r="B918" t="str">
            <v>LY-CT AS OX CR-XXX-27A</v>
          </cell>
          <cell r="C918" t="str">
            <v>CTAS OX</v>
          </cell>
          <cell r="D918" t="str">
            <v>布</v>
          </cell>
        </row>
        <row r="919">
          <cell r="A919" t="str">
            <v>160480C</v>
          </cell>
          <cell r="B919" t="str">
            <v>LY-CT982U-A</v>
          </cell>
          <cell r="C919" t="str">
            <v>CTAS ULTRA OX</v>
          </cell>
          <cell r="D919" t="str">
            <v>布</v>
          </cell>
        </row>
        <row r="920">
          <cell r="A920" t="str">
            <v>160481C</v>
          </cell>
          <cell r="B920" t="str">
            <v>LY-CT982U-A</v>
          </cell>
          <cell r="C920" t="str">
            <v>CTAS ULTRA OX</v>
          </cell>
          <cell r="D920" t="str">
            <v>布</v>
          </cell>
        </row>
        <row r="921">
          <cell r="A921" t="str">
            <v>160483C</v>
          </cell>
          <cell r="B921" t="str">
            <v>LY-CT982U-A</v>
          </cell>
          <cell r="C921" t="str">
            <v>CTAS ULTRA OX</v>
          </cell>
          <cell r="D921" t="str">
            <v>布</v>
          </cell>
        </row>
        <row r="922">
          <cell r="A922" t="str">
            <v>160484C</v>
          </cell>
          <cell r="B922" t="str">
            <v>LY-CT982U-A</v>
          </cell>
          <cell r="C922" t="str">
            <v>CTAS ULTRA OX</v>
          </cell>
          <cell r="D922" t="str">
            <v>布</v>
          </cell>
        </row>
        <row r="923">
          <cell r="A923" t="str">
            <v>160504C</v>
          </cell>
          <cell r="B923" t="str">
            <v>LY-CT950U-A</v>
          </cell>
          <cell r="C923" t="str">
            <v>CTAS ULTRA MID</v>
          </cell>
          <cell r="D923" t="str">
            <v>布</v>
          </cell>
        </row>
        <row r="924">
          <cell r="A924" t="str">
            <v>160555C</v>
          </cell>
          <cell r="B924" t="str">
            <v>LY-OS119U-7B-1</v>
          </cell>
          <cell r="C924" t="str">
            <v>ONE STAR OX</v>
          </cell>
          <cell r="D924" t="str">
            <v>皮</v>
          </cell>
        </row>
        <row r="925">
          <cell r="A925" t="str">
            <v>160584C</v>
          </cell>
          <cell r="B925" t="str">
            <v>LY-OS119U-6B-2</v>
          </cell>
          <cell r="C925" t="str">
            <v>ONE STAR OX</v>
          </cell>
          <cell r="D925" t="str">
            <v>皮</v>
          </cell>
        </row>
        <row r="926">
          <cell r="A926" t="str">
            <v>160585C</v>
          </cell>
          <cell r="B926" t="str">
            <v>LY-OS119U-6B-2</v>
          </cell>
          <cell r="C926" t="str">
            <v>ONE STAR OX</v>
          </cell>
          <cell r="D926" t="str">
            <v>皮</v>
          </cell>
        </row>
        <row r="927">
          <cell r="A927" t="str">
            <v>160586C</v>
          </cell>
          <cell r="B927" t="str">
            <v>LY-OS119U-6B-2</v>
          </cell>
          <cell r="C927" t="str">
            <v>ONE STAR OX</v>
          </cell>
          <cell r="D927" t="str">
            <v>皮</v>
          </cell>
        </row>
        <row r="928">
          <cell r="A928" t="str">
            <v>160592C</v>
          </cell>
          <cell r="B928" t="str">
            <v>LY-OS119U-7B-1</v>
          </cell>
          <cell r="C928" t="str">
            <v>ONE STAR OX</v>
          </cell>
          <cell r="D928" t="str">
            <v>皮</v>
          </cell>
        </row>
        <row r="929">
          <cell r="A929" t="str">
            <v>160593C</v>
          </cell>
          <cell r="B929" t="str">
            <v>LY-OS119U-8B</v>
          </cell>
          <cell r="C929" t="str">
            <v>ONE STAR OX</v>
          </cell>
          <cell r="D929" t="str">
            <v>PU</v>
          </cell>
        </row>
        <row r="930">
          <cell r="A930" t="str">
            <v>160594C</v>
          </cell>
          <cell r="B930" t="str">
            <v>LY-OS119U-7B-1</v>
          </cell>
          <cell r="C930" t="str">
            <v>ONE STAR OX</v>
          </cell>
          <cell r="D930" t="str">
            <v>皮</v>
          </cell>
        </row>
        <row r="931">
          <cell r="A931" t="str">
            <v>160595C</v>
          </cell>
          <cell r="B931" t="str">
            <v>LY-OS119U-4A</v>
          </cell>
          <cell r="C931" t="str">
            <v>ONE STAR OX</v>
          </cell>
          <cell r="D931" t="str">
            <v>布</v>
          </cell>
        </row>
        <row r="932">
          <cell r="A932" t="str">
            <v>160596C</v>
          </cell>
          <cell r="B932" t="str">
            <v>LY-OS119U-4A</v>
          </cell>
          <cell r="C932" t="str">
            <v>ONE STAR OX</v>
          </cell>
          <cell r="D932" t="str">
            <v>布</v>
          </cell>
        </row>
        <row r="933">
          <cell r="A933" t="str">
            <v>160597C</v>
          </cell>
          <cell r="B933" t="str">
            <v>LY-OS119U-4A</v>
          </cell>
          <cell r="C933" t="str">
            <v>ONE STAR OX</v>
          </cell>
          <cell r="D933" t="str">
            <v>布</v>
          </cell>
        </row>
        <row r="934">
          <cell r="A934" t="str">
            <v>160598C</v>
          </cell>
          <cell r="B934" t="str">
            <v>LY-OS119U-4A</v>
          </cell>
          <cell r="C934" t="str">
            <v>ONE STAR OX</v>
          </cell>
          <cell r="D934" t="str">
            <v>布</v>
          </cell>
        </row>
        <row r="935">
          <cell r="A935" t="str">
            <v>160599C</v>
          </cell>
          <cell r="B935" t="str">
            <v>LY-OS119U-4A</v>
          </cell>
          <cell r="C935" t="str">
            <v>ONE STAR OX</v>
          </cell>
          <cell r="D935" t="str">
            <v>布</v>
          </cell>
        </row>
        <row r="936">
          <cell r="A936" t="str">
            <v>160600C</v>
          </cell>
          <cell r="B936" t="str">
            <v>LY-OS119U-4A</v>
          </cell>
          <cell r="C936" t="str">
            <v>ONE STAR OX</v>
          </cell>
          <cell r="D936" t="str">
            <v>布</v>
          </cell>
        </row>
        <row r="937">
          <cell r="A937" t="str">
            <v>160601C</v>
          </cell>
          <cell r="B937" t="str">
            <v>LY-OS119U-4A</v>
          </cell>
          <cell r="C937" t="str">
            <v>ONE STAR OX</v>
          </cell>
          <cell r="D937" t="str">
            <v>布</v>
          </cell>
        </row>
        <row r="938">
          <cell r="A938" t="str">
            <v>160619C</v>
          </cell>
          <cell r="B938" t="str">
            <v>LY-OS119U-3A-1</v>
          </cell>
          <cell r="C938" t="str">
            <v>ONE STAR OX</v>
          </cell>
          <cell r="D938" t="str">
            <v>布</v>
          </cell>
        </row>
        <row r="939">
          <cell r="A939" t="str">
            <v>160620C</v>
          </cell>
          <cell r="B939" t="str">
            <v>LY-OS119U-3A-1</v>
          </cell>
          <cell r="C939" t="str">
            <v>ONE STAR OX</v>
          </cell>
          <cell r="D939" t="str">
            <v>布</v>
          </cell>
        </row>
        <row r="940">
          <cell r="A940" t="str">
            <v>160621C</v>
          </cell>
          <cell r="B940" t="str">
            <v>LY-OS119U-3A-1</v>
          </cell>
          <cell r="C940" t="str">
            <v>ONE STAR OX</v>
          </cell>
          <cell r="D940" t="str">
            <v>布</v>
          </cell>
        </row>
        <row r="941">
          <cell r="A941" t="str">
            <v>160622C</v>
          </cell>
          <cell r="B941" t="str">
            <v>LY-OS119U-3A-1</v>
          </cell>
          <cell r="C941" t="str">
            <v>ONE STAR OX</v>
          </cell>
          <cell r="D941" t="str">
            <v>布</v>
          </cell>
        </row>
        <row r="942">
          <cell r="A942" t="str">
            <v>160623C</v>
          </cell>
          <cell r="B942" t="str">
            <v>LY-OS119U-6B-1</v>
          </cell>
          <cell r="C942" t="str">
            <v>ONE STAR OX</v>
          </cell>
          <cell r="D942" t="str">
            <v>皮</v>
          </cell>
        </row>
        <row r="943">
          <cell r="A943" t="str">
            <v>160624C</v>
          </cell>
          <cell r="B943" t="str">
            <v>LY-OS119U-6B-1</v>
          </cell>
          <cell r="C943" t="str">
            <v>ONE STAR OX</v>
          </cell>
          <cell r="D943" t="str">
            <v>皮</v>
          </cell>
        </row>
        <row r="944">
          <cell r="A944" t="str">
            <v>160625C</v>
          </cell>
          <cell r="B944" t="str">
            <v>LY-OS119U-6B-1</v>
          </cell>
          <cell r="C944" t="str">
            <v>ONE STAR OX</v>
          </cell>
          <cell r="D944" t="str">
            <v>皮</v>
          </cell>
        </row>
        <row r="945">
          <cell r="A945" t="str">
            <v>160626C</v>
          </cell>
          <cell r="B945" t="str">
            <v>LY-OS119U-6B-1</v>
          </cell>
          <cell r="C945" t="str">
            <v>ONE STAR OX</v>
          </cell>
          <cell r="D945" t="str">
            <v>皮</v>
          </cell>
        </row>
        <row r="946">
          <cell r="A946" t="str">
            <v>160890C</v>
          </cell>
          <cell r="B946" t="str">
            <v>LY-OS119U-B-1</v>
          </cell>
          <cell r="C946" t="str">
            <v>ONE STAR OX</v>
          </cell>
          <cell r="D946" t="str">
            <v>皮</v>
          </cell>
        </row>
        <row r="947">
          <cell r="A947" t="str">
            <v>160891C</v>
          </cell>
          <cell r="B947" t="str">
            <v>LY-OS119U-B-1</v>
          </cell>
          <cell r="C947" t="str">
            <v>ONE STAR OX</v>
          </cell>
          <cell r="D947" t="str">
            <v>皮</v>
          </cell>
        </row>
        <row r="948">
          <cell r="A948" t="str">
            <v>160892C</v>
          </cell>
          <cell r="B948" t="str">
            <v>LY-OS119U-B-1</v>
          </cell>
          <cell r="C948" t="str">
            <v>ONE STAR OX</v>
          </cell>
          <cell r="D948" t="str">
            <v>皮</v>
          </cell>
        </row>
        <row r="949">
          <cell r="A949" t="str">
            <v>160913C</v>
          </cell>
          <cell r="B949" t="str">
            <v>LY-OS119U-4B</v>
          </cell>
          <cell r="C949" t="str">
            <v>ONE STAR OX</v>
          </cell>
          <cell r="D949" t="str">
            <v>皮</v>
          </cell>
        </row>
        <row r="950">
          <cell r="A950" t="str">
            <v>160914C</v>
          </cell>
          <cell r="B950" t="str">
            <v>LY-OS119U-4B</v>
          </cell>
          <cell r="C950" t="str">
            <v>ONE STAR OX</v>
          </cell>
          <cell r="D950" t="str">
            <v>皮</v>
          </cell>
        </row>
        <row r="951">
          <cell r="A951" t="str">
            <v>160954C</v>
          </cell>
          <cell r="B951" t="str">
            <v>LY-CT AS HI CR-XXX-21A</v>
          </cell>
          <cell r="C951" t="str">
            <v>CTAS HI</v>
          </cell>
          <cell r="D951" t="str">
            <v>水洗</v>
          </cell>
        </row>
        <row r="952">
          <cell r="A952" t="str">
            <v>160955C</v>
          </cell>
          <cell r="B952" t="str">
            <v>LY-CT AS HI CR-XXX-21A</v>
          </cell>
          <cell r="C952" t="str">
            <v>CTAS HI</v>
          </cell>
          <cell r="D952" t="str">
            <v>水洗</v>
          </cell>
        </row>
        <row r="953">
          <cell r="A953" t="str">
            <v>160956C</v>
          </cell>
          <cell r="B953" t="str">
            <v>LY-CT AS HI CR-XXX-21A</v>
          </cell>
          <cell r="C953" t="str">
            <v>CTAS HI</v>
          </cell>
          <cell r="D953" t="str">
            <v>水洗</v>
          </cell>
        </row>
        <row r="954">
          <cell r="A954" t="str">
            <v>160957C</v>
          </cell>
          <cell r="B954" t="str">
            <v>LY-CT AS HI CR-XXX-21A</v>
          </cell>
          <cell r="C954" t="str">
            <v>CTAS HI</v>
          </cell>
          <cell r="D954" t="str">
            <v>水洗</v>
          </cell>
        </row>
        <row r="955">
          <cell r="A955" t="str">
            <v>161027C</v>
          </cell>
          <cell r="B955" t="str">
            <v>LY-OS119U-B-5</v>
          </cell>
          <cell r="C955" t="str">
            <v>ONE STAR OX</v>
          </cell>
          <cell r="D955" t="str">
            <v>皮</v>
          </cell>
        </row>
        <row r="956">
          <cell r="A956" t="str">
            <v>161167C</v>
          </cell>
          <cell r="B956" t="str">
            <v>LY-OS119U-B-4</v>
          </cell>
          <cell r="C956" t="str">
            <v>ONE STAR OX</v>
          </cell>
          <cell r="D956" t="str">
            <v>皮</v>
          </cell>
        </row>
        <row r="957">
          <cell r="A957" t="str">
            <v>161169C</v>
          </cell>
          <cell r="B957" t="str">
            <v>LY-OS119U-B-4</v>
          </cell>
          <cell r="C957" t="str">
            <v>ONE STAR OX</v>
          </cell>
          <cell r="D957" t="str">
            <v>皮</v>
          </cell>
        </row>
        <row r="958">
          <cell r="A958" t="str">
            <v>161193C</v>
          </cell>
          <cell r="B958" t="str">
            <v>LY-OS119U-B-1</v>
          </cell>
          <cell r="C958" t="str">
            <v>ONE STAR OX</v>
          </cell>
          <cell r="D958" t="str">
            <v>皮</v>
          </cell>
        </row>
        <row r="959">
          <cell r="A959" t="str">
            <v>161194C</v>
          </cell>
          <cell r="B959" t="str">
            <v>LY-OS119U-B-1</v>
          </cell>
          <cell r="C959" t="str">
            <v>ONE STAR OX</v>
          </cell>
          <cell r="D959" t="str">
            <v>皮</v>
          </cell>
        </row>
        <row r="960">
          <cell r="A960" t="str">
            <v>161195C</v>
          </cell>
          <cell r="B960" t="str">
            <v>LY-OS119U-B-1</v>
          </cell>
          <cell r="C960" t="str">
            <v>ONE STAR OX</v>
          </cell>
          <cell r="D960" t="str">
            <v>皮</v>
          </cell>
        </row>
        <row r="961">
          <cell r="A961" t="str">
            <v>161196C</v>
          </cell>
          <cell r="B961" t="str">
            <v>LY-OS119U-1A-1</v>
          </cell>
          <cell r="C961" t="str">
            <v>ONE STAR OX</v>
          </cell>
          <cell r="D961" t="str">
            <v>布</v>
          </cell>
        </row>
        <row r="962">
          <cell r="A962" t="str">
            <v>161197C</v>
          </cell>
          <cell r="B962" t="str">
            <v>LY-OS119U-1A-1</v>
          </cell>
          <cell r="C962" t="str">
            <v>ONE STAR OX</v>
          </cell>
          <cell r="D962" t="str">
            <v>布</v>
          </cell>
        </row>
        <row r="963">
          <cell r="A963" t="str">
            <v>161238C</v>
          </cell>
          <cell r="B963" t="str">
            <v>LY-OS119U-B-1</v>
          </cell>
          <cell r="C963" t="str">
            <v>ONE STAR OX</v>
          </cell>
          <cell r="D963" t="str">
            <v>皮</v>
          </cell>
        </row>
        <row r="964">
          <cell r="A964" t="str">
            <v>161239C</v>
          </cell>
          <cell r="B964" t="str">
            <v>LY-OS119U-B-1</v>
          </cell>
          <cell r="C964" t="str">
            <v>ONE STAR OX</v>
          </cell>
          <cell r="D964" t="str">
            <v>皮</v>
          </cell>
        </row>
        <row r="965">
          <cell r="A965" t="str">
            <v>161240C</v>
          </cell>
          <cell r="B965" t="str">
            <v>LY-OS119U-B-1</v>
          </cell>
          <cell r="C965" t="str">
            <v>ONE STAR OX</v>
          </cell>
          <cell r="D965" t="str">
            <v>皮</v>
          </cell>
        </row>
        <row r="966">
          <cell r="A966" t="str">
            <v>161241C</v>
          </cell>
          <cell r="B966" t="str">
            <v>LY-OS119U-B-1</v>
          </cell>
          <cell r="C966" t="str">
            <v>ONE STAR OX</v>
          </cell>
          <cell r="D966" t="str">
            <v>皮</v>
          </cell>
        </row>
        <row r="967">
          <cell r="A967" t="str">
            <v>161273C</v>
          </cell>
          <cell r="B967" t="str">
            <v>LY-CT AS HI CR-XXX-16B</v>
          </cell>
          <cell r="C967" t="str">
            <v>CTAS HI</v>
          </cell>
          <cell r="D967" t="str">
            <v>皮</v>
          </cell>
        </row>
        <row r="968">
          <cell r="A968" t="str">
            <v>161274C</v>
          </cell>
          <cell r="B968" t="str">
            <v>LY-CT AS OX CR-XXX-16B</v>
          </cell>
          <cell r="C968" t="str">
            <v>CTAS OX</v>
          </cell>
          <cell r="D968" t="str">
            <v>皮</v>
          </cell>
        </row>
        <row r="969">
          <cell r="A969" t="str">
            <v>161275C</v>
          </cell>
          <cell r="B969" t="str">
            <v>LY-CT AS OX CR-XXX-16B</v>
          </cell>
          <cell r="C969" t="str">
            <v>CTAS OX</v>
          </cell>
          <cell r="D969" t="str">
            <v>皮</v>
          </cell>
        </row>
        <row r="970">
          <cell r="A970" t="str">
            <v>161337C</v>
          </cell>
          <cell r="B970" t="str">
            <v>LY-SK032U-2A</v>
          </cell>
          <cell r="C970" t="str">
            <v>CONVERSE EL DISTRITO</v>
          </cell>
          <cell r="D970" t="str">
            <v>布+星星月亮</v>
          </cell>
        </row>
        <row r="971">
          <cell r="A971" t="str">
            <v>161338C</v>
          </cell>
          <cell r="B971" t="str">
            <v>LY-SK032U-2A</v>
          </cell>
          <cell r="C971" t="str">
            <v>CONVERSE EL DISTRITO</v>
          </cell>
          <cell r="D971" t="str">
            <v>布+星星月亮</v>
          </cell>
        </row>
        <row r="972">
          <cell r="A972" t="str">
            <v>161340C</v>
          </cell>
          <cell r="B972" t="str">
            <v>LY-SK032U-2A</v>
          </cell>
          <cell r="C972" t="str">
            <v>CONVERSE EL DISTRITO</v>
          </cell>
          <cell r="D972" t="str">
            <v>布+星星月亮</v>
          </cell>
        </row>
        <row r="973">
          <cell r="A973" t="str">
            <v>161341C</v>
          </cell>
          <cell r="B973" t="str">
            <v>LY-SK032U-2A</v>
          </cell>
          <cell r="C973" t="str">
            <v>CONVERSE EL DISTRITO</v>
          </cell>
          <cell r="D973" t="str">
            <v>布+星星月亮</v>
          </cell>
        </row>
        <row r="974">
          <cell r="A974" t="str">
            <v>161360C</v>
          </cell>
          <cell r="B974" t="str">
            <v>LY-SA368U-A</v>
          </cell>
          <cell r="C974" t="str">
            <v>CONVERSE POINT STAR OX</v>
          </cell>
          <cell r="D974" t="str">
            <v>布+星星月亮</v>
          </cell>
        </row>
        <row r="975">
          <cell r="A975" t="str">
            <v>161361C</v>
          </cell>
          <cell r="B975" t="str">
            <v>LY-SA368U-A</v>
          </cell>
          <cell r="C975" t="str">
            <v>CONVERSE POINT STAR OX</v>
          </cell>
          <cell r="D975" t="str">
            <v>布+星星月亮</v>
          </cell>
        </row>
        <row r="976">
          <cell r="A976" t="str">
            <v>161362C</v>
          </cell>
          <cell r="B976" t="str">
            <v>LY-SA368U-A</v>
          </cell>
          <cell r="C976" t="str">
            <v>CONVERSE POINT STAR OX</v>
          </cell>
          <cell r="D976" t="str">
            <v>布+星星月亮</v>
          </cell>
        </row>
        <row r="977">
          <cell r="A977" t="str">
            <v>161363C</v>
          </cell>
          <cell r="B977" t="str">
            <v>LY-SA368U-A</v>
          </cell>
          <cell r="C977" t="str">
            <v>CONVERSE POINT STAR OX</v>
          </cell>
          <cell r="D977" t="str">
            <v>布+星星月亮</v>
          </cell>
        </row>
        <row r="978">
          <cell r="A978" t="str">
            <v>161364C</v>
          </cell>
          <cell r="B978" t="str">
            <v>LY-SA368U-A</v>
          </cell>
          <cell r="C978" t="str">
            <v>CONVERSE POINT STAR OX</v>
          </cell>
          <cell r="D978" t="str">
            <v>布+星星月亮</v>
          </cell>
        </row>
        <row r="979">
          <cell r="A979" t="str">
            <v>161365C</v>
          </cell>
          <cell r="B979" t="str">
            <v>LY-SA368U-A</v>
          </cell>
          <cell r="C979" t="str">
            <v>CONVERSE POINT STAR OX</v>
          </cell>
          <cell r="D979" t="str">
            <v>布+星星月亮</v>
          </cell>
        </row>
        <row r="980">
          <cell r="A980" t="str">
            <v>161404C</v>
          </cell>
          <cell r="B980" t="str">
            <v>LY-OS119U-B-8</v>
          </cell>
          <cell r="C980" t="str">
            <v>ONE STAR OX</v>
          </cell>
          <cell r="D980" t="str">
            <v>皮</v>
          </cell>
        </row>
        <row r="981">
          <cell r="A981" t="str">
            <v>161405C</v>
          </cell>
          <cell r="B981" t="str">
            <v>LY-OS119U-B-8</v>
          </cell>
          <cell r="C981" t="str">
            <v>ONE STAR OX</v>
          </cell>
          <cell r="D981" t="str">
            <v>皮</v>
          </cell>
        </row>
        <row r="982">
          <cell r="A982" t="str">
            <v>161406C</v>
          </cell>
          <cell r="B982" t="str">
            <v>LY-OS132U-B</v>
          </cell>
          <cell r="C982" t="str">
            <v>ONE STAR OX</v>
          </cell>
          <cell r="D982" t="str">
            <v>皮</v>
          </cell>
        </row>
        <row r="983">
          <cell r="A983" t="str">
            <v>161407C</v>
          </cell>
          <cell r="B983" t="str">
            <v>LY-OS132U-B</v>
          </cell>
          <cell r="C983" t="str">
            <v>ONE STAR OX</v>
          </cell>
          <cell r="D983" t="str">
            <v>皮</v>
          </cell>
        </row>
        <row r="984">
          <cell r="A984" t="str">
            <v>161411C</v>
          </cell>
          <cell r="B984" t="str">
            <v>LY-CT AS OX CR-XXX-31A</v>
          </cell>
          <cell r="C984" t="str">
            <v>CTAS OX</v>
          </cell>
          <cell r="D984" t="str">
            <v>布</v>
          </cell>
        </row>
        <row r="985">
          <cell r="A985" t="str">
            <v>161412C</v>
          </cell>
          <cell r="B985" t="str">
            <v>LY-CT AS OX CR-XXX-31A</v>
          </cell>
          <cell r="C985" t="str">
            <v>CTAS OX</v>
          </cell>
          <cell r="D985" t="str">
            <v>布</v>
          </cell>
        </row>
        <row r="986">
          <cell r="A986" t="str">
            <v>161469C</v>
          </cell>
          <cell r="B986" t="str">
            <v>LY-CT916U-2A</v>
          </cell>
          <cell r="C986" t="str">
            <v>CTAS STREET BOOT</v>
          </cell>
          <cell r="D986" t="str">
            <v>布</v>
          </cell>
        </row>
        <row r="987">
          <cell r="A987" t="str">
            <v>161470C</v>
          </cell>
          <cell r="B987" t="str">
            <v>LY-CT916U-2A</v>
          </cell>
          <cell r="C987" t="str">
            <v>CTAS STREET BOOT</v>
          </cell>
          <cell r="D987" t="str">
            <v>布</v>
          </cell>
        </row>
        <row r="988">
          <cell r="A988" t="str">
            <v>161471C</v>
          </cell>
          <cell r="B988" t="str">
            <v>LY-CT916U-2A</v>
          </cell>
          <cell r="C988" t="str">
            <v>CTAS STREET BOOT</v>
          </cell>
          <cell r="D988" t="str">
            <v>布</v>
          </cell>
        </row>
        <row r="989">
          <cell r="A989" t="str">
            <v>161539C</v>
          </cell>
          <cell r="B989" t="str">
            <v>LY-OS119U-5B</v>
          </cell>
          <cell r="C989" t="str">
            <v>ONE STAR</v>
          </cell>
          <cell r="D989" t="str">
            <v>皮</v>
          </cell>
        </row>
        <row r="990">
          <cell r="A990" t="str">
            <v>161540C</v>
          </cell>
          <cell r="B990" t="str">
            <v>LY-OS119U-5B</v>
          </cell>
          <cell r="C990" t="str">
            <v>ONE STAR</v>
          </cell>
          <cell r="D990" t="str">
            <v>皮</v>
          </cell>
        </row>
        <row r="991">
          <cell r="A991" t="str">
            <v>161541C</v>
          </cell>
          <cell r="B991" t="str">
            <v>LY-OS119U-5B</v>
          </cell>
          <cell r="C991" t="str">
            <v>ONE STAR</v>
          </cell>
          <cell r="D991" t="str">
            <v>皮</v>
          </cell>
        </row>
        <row r="992">
          <cell r="A992" t="str">
            <v>161542C</v>
          </cell>
          <cell r="B992" t="str">
            <v>LY-OS119U-5B</v>
          </cell>
          <cell r="C992" t="str">
            <v>ONE STAR OX</v>
          </cell>
          <cell r="D992" t="str">
            <v>皮</v>
          </cell>
        </row>
        <row r="993">
          <cell r="A993" t="str">
            <v>161544C</v>
          </cell>
          <cell r="B993" t="str">
            <v>LY-OS119U-5B</v>
          </cell>
          <cell r="C993" t="str">
            <v>ONE STAR</v>
          </cell>
          <cell r="D993" t="str">
            <v>皮</v>
          </cell>
        </row>
        <row r="994">
          <cell r="A994" t="str">
            <v>161545C</v>
          </cell>
          <cell r="B994" t="str">
            <v>LY-OS119U-5B</v>
          </cell>
          <cell r="C994" t="str">
            <v>ONE STAR</v>
          </cell>
          <cell r="D994" t="str">
            <v>皮</v>
          </cell>
        </row>
        <row r="995">
          <cell r="A995" t="str">
            <v>161546C</v>
          </cell>
          <cell r="B995" t="str">
            <v>LY-OS119U-5B</v>
          </cell>
          <cell r="C995" t="str">
            <v>ONE STAR</v>
          </cell>
          <cell r="D995" t="str">
            <v>皮</v>
          </cell>
        </row>
        <row r="996">
          <cell r="A996" t="str">
            <v>161547C</v>
          </cell>
          <cell r="B996" t="str">
            <v>LY-OS119U-5B</v>
          </cell>
          <cell r="C996" t="str">
            <v>ONE STAR</v>
          </cell>
          <cell r="D996" t="str">
            <v>皮</v>
          </cell>
        </row>
        <row r="997">
          <cell r="A997" t="str">
            <v>161548C</v>
          </cell>
          <cell r="B997" t="str">
            <v>LY-OS119U-5B-3</v>
          </cell>
          <cell r="C997" t="str">
            <v>ONE STAR OX</v>
          </cell>
          <cell r="D997" t="str">
            <v>皮</v>
          </cell>
        </row>
        <row r="998">
          <cell r="A998" t="str">
            <v>161549C</v>
          </cell>
          <cell r="B998" t="str">
            <v>LY-OS119U-5B-3</v>
          </cell>
          <cell r="C998" t="str">
            <v>ONE STAR OX</v>
          </cell>
          <cell r="D998" t="str">
            <v>皮</v>
          </cell>
        </row>
        <row r="999">
          <cell r="A999" t="str">
            <v>161550C</v>
          </cell>
          <cell r="B999" t="str">
            <v>LY-OS119U-5B-3</v>
          </cell>
          <cell r="C999" t="str">
            <v>ONE STAR</v>
          </cell>
          <cell r="D999" t="str">
            <v>皮</v>
          </cell>
        </row>
        <row r="1000">
          <cell r="A1000" t="str">
            <v>161551C</v>
          </cell>
          <cell r="B1000" t="str">
            <v>LY-OS119U-5B-3</v>
          </cell>
          <cell r="C1000" t="str">
            <v>ONE STAR OX</v>
          </cell>
          <cell r="D1000" t="str">
            <v>皮</v>
          </cell>
        </row>
        <row r="1001">
          <cell r="A1001" t="str">
            <v>161563C</v>
          </cell>
          <cell r="B1001" t="str">
            <v>LY-OS119U-8B-2</v>
          </cell>
          <cell r="C1001" t="str">
            <v>ONE STAR OX</v>
          </cell>
          <cell r="D1001" t="str">
            <v>皮</v>
          </cell>
        </row>
        <row r="1002">
          <cell r="A1002" t="str">
            <v>161565C</v>
          </cell>
          <cell r="B1002" t="str">
            <v>LY-OS119U-8B-2</v>
          </cell>
          <cell r="C1002" t="str">
            <v>ONE STAR</v>
          </cell>
          <cell r="D1002" t="str">
            <v>皮</v>
          </cell>
        </row>
        <row r="1003">
          <cell r="A1003" t="str">
            <v>161566C</v>
          </cell>
          <cell r="B1003" t="str">
            <v>LY-OS119U-8B-1</v>
          </cell>
          <cell r="C1003" t="str">
            <v>ONE STAR OX</v>
          </cell>
          <cell r="D1003" t="str">
            <v>皮</v>
          </cell>
        </row>
        <row r="1004">
          <cell r="A1004" t="str">
            <v>161571C</v>
          </cell>
          <cell r="B1004" t="str">
            <v>LY-OS123U-5B</v>
          </cell>
          <cell r="C1004" t="str">
            <v>ONE STAR MID COUNTER CLIMATE</v>
          </cell>
          <cell r="D1004" t="str">
            <v>皮</v>
          </cell>
        </row>
        <row r="1005">
          <cell r="A1005" t="str">
            <v>161572C</v>
          </cell>
          <cell r="B1005" t="str">
            <v>LY-OS123U-5B</v>
          </cell>
          <cell r="C1005" t="str">
            <v>ONE STAR MID COUNTER CLIMATE</v>
          </cell>
          <cell r="D1005" t="str">
            <v>皮</v>
          </cell>
        </row>
        <row r="1006">
          <cell r="A1006" t="str">
            <v>161573C</v>
          </cell>
          <cell r="B1006" t="str">
            <v>LY-OS123U-5B</v>
          </cell>
          <cell r="C1006" t="str">
            <v>ONE STAR MID COUNTER CLIMATE</v>
          </cell>
          <cell r="D1006" t="str">
            <v>皮</v>
          </cell>
        </row>
        <row r="1007">
          <cell r="A1007" t="str">
            <v>161574C</v>
          </cell>
          <cell r="B1007" t="str">
            <v>LY-OS119U-B-1</v>
          </cell>
          <cell r="C1007" t="str">
            <v>ONE STAR OX</v>
          </cell>
          <cell r="D1007" t="str">
            <v>皮</v>
          </cell>
        </row>
        <row r="1008">
          <cell r="A1008" t="str">
            <v>161575C</v>
          </cell>
          <cell r="B1008" t="str">
            <v>LY-OS119U-B-1</v>
          </cell>
          <cell r="C1008" t="str">
            <v>ONE STAR OX</v>
          </cell>
          <cell r="D1008" t="str">
            <v>皮</v>
          </cell>
        </row>
        <row r="1009">
          <cell r="A1009" t="str">
            <v>161576C</v>
          </cell>
          <cell r="B1009" t="str">
            <v>LY-OS119U-B-1</v>
          </cell>
          <cell r="C1009" t="str">
            <v>ONE STAR OX</v>
          </cell>
          <cell r="D1009" t="str">
            <v>皮</v>
          </cell>
        </row>
        <row r="1010">
          <cell r="A1010" t="str">
            <v>161577C</v>
          </cell>
          <cell r="B1010" t="str">
            <v>LY-OS119U-B-1</v>
          </cell>
          <cell r="C1010" t="str">
            <v>ONE STAR OX</v>
          </cell>
          <cell r="D1010" t="str">
            <v>皮</v>
          </cell>
        </row>
        <row r="1011">
          <cell r="A1011" t="str">
            <v>161584C</v>
          </cell>
          <cell r="B1011" t="str">
            <v>LY-OS119U-5B</v>
          </cell>
          <cell r="C1011" t="str">
            <v>ONE STAR OX</v>
          </cell>
          <cell r="D1011" t="str">
            <v>皮</v>
          </cell>
        </row>
        <row r="1012">
          <cell r="A1012" t="str">
            <v>161585C</v>
          </cell>
          <cell r="B1012" t="str">
            <v>LY-OS119U-5B</v>
          </cell>
          <cell r="C1012" t="str">
            <v>ONE STAR</v>
          </cell>
          <cell r="D1012" t="str">
            <v>皮</v>
          </cell>
        </row>
        <row r="1013">
          <cell r="A1013" t="str">
            <v>161586C</v>
          </cell>
          <cell r="B1013" t="str">
            <v>LY-OS119U-5B-5</v>
          </cell>
          <cell r="C1013" t="str">
            <v>ONE STAR OX</v>
          </cell>
          <cell r="D1013" t="str">
            <v>皮</v>
          </cell>
        </row>
        <row r="1014">
          <cell r="A1014" t="str">
            <v>161587C</v>
          </cell>
          <cell r="B1014" t="str">
            <v>LY-OS119U-5B</v>
          </cell>
          <cell r="C1014" t="str">
            <v>ONE STAR OX</v>
          </cell>
          <cell r="D1014" t="str">
            <v>皮</v>
          </cell>
        </row>
        <row r="1015">
          <cell r="A1015" t="str">
            <v>161588C</v>
          </cell>
          <cell r="B1015" t="str">
            <v>LY-OS119U-5B</v>
          </cell>
          <cell r="C1015" t="str">
            <v>ONE STAR OX</v>
          </cell>
          <cell r="D1015" t="str">
            <v>皮</v>
          </cell>
        </row>
        <row r="1016">
          <cell r="A1016" t="str">
            <v>161589C</v>
          </cell>
          <cell r="B1016" t="str">
            <v>LY-OS119U-5B</v>
          </cell>
          <cell r="C1016" t="str">
            <v>ONE STAR OX</v>
          </cell>
          <cell r="D1016" t="str">
            <v>皮</v>
          </cell>
        </row>
        <row r="1017">
          <cell r="A1017" t="str">
            <v>161590C</v>
          </cell>
          <cell r="B1017" t="str">
            <v>LY-OS119U-5B</v>
          </cell>
          <cell r="C1017" t="str">
            <v>ONE STAR OX</v>
          </cell>
          <cell r="D1017" t="str">
            <v>皮</v>
          </cell>
        </row>
        <row r="1018">
          <cell r="A1018" t="str">
            <v>161591C</v>
          </cell>
          <cell r="B1018" t="str">
            <v>LY-OS119U-5B</v>
          </cell>
          <cell r="C1018" t="str">
            <v>ONE STAR OX</v>
          </cell>
          <cell r="D1018" t="str">
            <v>皮</v>
          </cell>
        </row>
        <row r="1019">
          <cell r="A1019" t="str">
            <v>161599C</v>
          </cell>
          <cell r="B1019" t="str">
            <v>LY-SA384U-A</v>
          </cell>
          <cell r="C1019" t="str">
            <v>CONVERSE COURTLANDT OX</v>
          </cell>
          <cell r="D1019" t="str">
            <v>布+星星月亮</v>
          </cell>
        </row>
        <row r="1020">
          <cell r="A1020" t="str">
            <v>161600C</v>
          </cell>
          <cell r="B1020" t="str">
            <v>LY-SA384U-A</v>
          </cell>
          <cell r="C1020" t="str">
            <v>CONVERSE COURTLANDT OX</v>
          </cell>
          <cell r="D1020" t="str">
            <v>布+星星月亮</v>
          </cell>
        </row>
        <row r="1021">
          <cell r="A1021" t="str">
            <v>161601C</v>
          </cell>
          <cell r="B1021" t="str">
            <v>LY-SA384U-A</v>
          </cell>
          <cell r="C1021" t="str">
            <v>CONVERSE COURTLANDT OX</v>
          </cell>
          <cell r="D1021" t="str">
            <v>布+星星月亮</v>
          </cell>
        </row>
        <row r="1022">
          <cell r="A1022" t="str">
            <v>161602C</v>
          </cell>
          <cell r="B1022" t="str">
            <v>LY-SA384U-A</v>
          </cell>
          <cell r="C1022" t="str">
            <v>CONVERSE COURTLANDT OX</v>
          </cell>
          <cell r="D1022" t="str">
            <v>布+星星月亮</v>
          </cell>
        </row>
        <row r="1023">
          <cell r="A1023" t="str">
            <v>161603C</v>
          </cell>
          <cell r="B1023" t="str">
            <v>LY-SA384U-A</v>
          </cell>
          <cell r="C1023" t="str">
            <v>CONVERSE COURTLANDT OX</v>
          </cell>
          <cell r="D1023" t="str">
            <v>布+星星月亮</v>
          </cell>
        </row>
        <row r="1024">
          <cell r="A1024" t="str">
            <v>161604C</v>
          </cell>
          <cell r="B1024" t="str">
            <v>LY-SA384U-A</v>
          </cell>
          <cell r="C1024" t="str">
            <v>CONVERSE COURTLANDT OX</v>
          </cell>
          <cell r="D1024" t="str">
            <v>布+星星月亮</v>
          </cell>
        </row>
        <row r="1025">
          <cell r="A1025" t="str">
            <v>161605C</v>
          </cell>
          <cell r="B1025" t="str">
            <v>LY-SK032U-3A-B</v>
          </cell>
          <cell r="C1025" t="str">
            <v>CONVERSE EL DISTRITO OX</v>
          </cell>
          <cell r="D1025" t="str">
            <v>布+星星月亮</v>
          </cell>
        </row>
        <row r="1026">
          <cell r="A1026" t="str">
            <v>161606C</v>
          </cell>
          <cell r="B1026" t="str">
            <v>LY-SK032U-3A-B</v>
          </cell>
          <cell r="C1026" t="str">
            <v>CONVERSE EL DISTRITO OX</v>
          </cell>
          <cell r="D1026" t="str">
            <v>布+星星月亮</v>
          </cell>
        </row>
        <row r="1027">
          <cell r="A1027" t="str">
            <v>161607C</v>
          </cell>
          <cell r="B1027" t="str">
            <v>LY-SK032U-3A-B</v>
          </cell>
          <cell r="C1027" t="str">
            <v>CONVERSE EL DISTRITO OX</v>
          </cell>
          <cell r="D1027" t="str">
            <v>布+星星月亮</v>
          </cell>
        </row>
        <row r="1028">
          <cell r="A1028" t="str">
            <v>161608C</v>
          </cell>
          <cell r="B1028" t="str">
            <v>LY-SK032U-2B</v>
          </cell>
          <cell r="C1028" t="str">
            <v>CONVERSE EL DISTRITO OX</v>
          </cell>
          <cell r="D1028" t="str">
            <v>PU+星星月亮</v>
          </cell>
        </row>
        <row r="1029">
          <cell r="A1029" t="str">
            <v>161609C</v>
          </cell>
          <cell r="B1029" t="str">
            <v>LY-SK032U-2B</v>
          </cell>
          <cell r="C1029" t="str">
            <v>CONVERSE EL DISTRITO OX</v>
          </cell>
          <cell r="D1029" t="str">
            <v>PU+星星月亮</v>
          </cell>
        </row>
        <row r="1030">
          <cell r="A1030" t="str">
            <v>161613C</v>
          </cell>
          <cell r="B1030" t="str">
            <v>LY-OS119U-10B</v>
          </cell>
          <cell r="C1030" t="str">
            <v>ONE STAR OX</v>
          </cell>
          <cell r="D1030" t="str">
            <v>皮</v>
          </cell>
        </row>
        <row r="1031">
          <cell r="A1031" t="str">
            <v>161614C</v>
          </cell>
          <cell r="B1031" t="str">
            <v>LY-OS119U-10B</v>
          </cell>
          <cell r="C1031" t="str">
            <v>ONE STAR OX</v>
          </cell>
          <cell r="D1031" t="str">
            <v>皮</v>
          </cell>
        </row>
        <row r="1032">
          <cell r="A1032" t="str">
            <v>161615C</v>
          </cell>
          <cell r="B1032" t="str">
            <v>LY-OS119U-10B</v>
          </cell>
          <cell r="C1032" t="str">
            <v>ONE STAR OX</v>
          </cell>
          <cell r="D1032" t="str">
            <v>皮</v>
          </cell>
        </row>
        <row r="1033">
          <cell r="A1033" t="str">
            <v>161616C</v>
          </cell>
          <cell r="B1033" t="str">
            <v>LY-OS119U-10B</v>
          </cell>
          <cell r="C1033" t="str">
            <v>ONE STAR OX</v>
          </cell>
          <cell r="D1033" t="str">
            <v>皮</v>
          </cell>
        </row>
        <row r="1034">
          <cell r="A1034" t="str">
            <v>161617C</v>
          </cell>
          <cell r="B1034" t="str">
            <v>LY-OS119U-10B</v>
          </cell>
          <cell r="C1034" t="str">
            <v>ONE STAR OX</v>
          </cell>
          <cell r="D1034" t="str">
            <v>皮</v>
          </cell>
        </row>
        <row r="1035">
          <cell r="A1035" t="str">
            <v>161618C</v>
          </cell>
          <cell r="B1035" t="str">
            <v>LY-OS119U-10B</v>
          </cell>
          <cell r="C1035" t="str">
            <v>ONE STAR OX</v>
          </cell>
          <cell r="D1035" t="str">
            <v>皮</v>
          </cell>
        </row>
        <row r="1036">
          <cell r="A1036" t="str">
            <v>161630C</v>
          </cell>
          <cell r="B1036" t="str">
            <v>LY-OS119U-7A-1</v>
          </cell>
          <cell r="C1036" t="str">
            <v>ONE STAR</v>
          </cell>
          <cell r="D1036" t="str">
            <v>布</v>
          </cell>
        </row>
        <row r="1037">
          <cell r="A1037" t="str">
            <v>161631C</v>
          </cell>
          <cell r="B1037" t="str">
            <v>LY-OS119U-7A-1</v>
          </cell>
          <cell r="C1037" t="str">
            <v>ONE STAR</v>
          </cell>
          <cell r="D1037" t="str">
            <v>布</v>
          </cell>
        </row>
        <row r="1038">
          <cell r="A1038" t="str">
            <v>161633C</v>
          </cell>
          <cell r="B1038" t="str">
            <v>LY-OS119U-7A-1</v>
          </cell>
          <cell r="C1038" t="str">
            <v>ONE STAR</v>
          </cell>
          <cell r="D1038" t="str">
            <v>布</v>
          </cell>
        </row>
        <row r="1039">
          <cell r="A1039" t="str">
            <v>162066C</v>
          </cell>
          <cell r="B1039" t="str">
            <v>LY-OS119U-9B</v>
          </cell>
          <cell r="C1039" t="str">
            <v>ONE STAR MULE SLIP</v>
          </cell>
          <cell r="D1039" t="str">
            <v>皮</v>
          </cell>
        </row>
        <row r="1040">
          <cell r="A1040" t="str">
            <v>162068C</v>
          </cell>
          <cell r="B1040" t="str">
            <v>LY-OS119U-9B</v>
          </cell>
          <cell r="C1040" t="str">
            <v>ONE STAR MULE SLIP</v>
          </cell>
          <cell r="D1040" t="str">
            <v>皮</v>
          </cell>
        </row>
        <row r="1041">
          <cell r="A1041" t="str">
            <v>162069C</v>
          </cell>
          <cell r="B1041" t="str">
            <v>LY-OS119U-9B</v>
          </cell>
          <cell r="C1041" t="str">
            <v>ONE STAR MULE SLIP</v>
          </cell>
          <cell r="D1041" t="str">
            <v>皮</v>
          </cell>
        </row>
        <row r="1042">
          <cell r="A1042" t="str">
            <v>162125C</v>
          </cell>
          <cell r="B1042" t="str">
            <v>LY-OS128U-B</v>
          </cell>
          <cell r="C1042" t="str">
            <v>GOLF LE FLEUR OX</v>
          </cell>
          <cell r="D1042" t="str">
            <v>皮</v>
          </cell>
        </row>
        <row r="1043">
          <cell r="A1043" t="str">
            <v>162126C</v>
          </cell>
          <cell r="B1043" t="str">
            <v>LY-OS128U-B</v>
          </cell>
          <cell r="C1043" t="str">
            <v>GOLF LE FLEUR OX</v>
          </cell>
          <cell r="D1043" t="str">
            <v>皮</v>
          </cell>
        </row>
        <row r="1044">
          <cell r="A1044" t="str">
            <v>162127C</v>
          </cell>
          <cell r="B1044" t="str">
            <v>LY-OS128U-B</v>
          </cell>
          <cell r="C1044" t="str">
            <v>GOLF LE FLEUR OX</v>
          </cell>
          <cell r="D1044" t="str">
            <v>皮</v>
          </cell>
        </row>
        <row r="1045">
          <cell r="A1045" t="str">
            <v>162128C</v>
          </cell>
          <cell r="B1045" t="str">
            <v>LY-OS128U-B</v>
          </cell>
          <cell r="C1045" t="str">
            <v>GOLF LE FLEUR OX</v>
          </cell>
          <cell r="D1045" t="str">
            <v>皮</v>
          </cell>
        </row>
        <row r="1046">
          <cell r="A1046" t="str">
            <v>162129C</v>
          </cell>
          <cell r="B1046" t="str">
            <v>LY-OS128U-B</v>
          </cell>
          <cell r="C1046" t="str">
            <v>GOLF LE FLEUR OX</v>
          </cell>
          <cell r="D1046" t="str">
            <v>皮</v>
          </cell>
        </row>
        <row r="1047">
          <cell r="A1047" t="str">
            <v>162130C</v>
          </cell>
          <cell r="B1047" t="str">
            <v>LY-OS128U-B</v>
          </cell>
          <cell r="C1047" t="str">
            <v>GOLF LE FLEUR OX</v>
          </cell>
          <cell r="D1047" t="str">
            <v>皮</v>
          </cell>
        </row>
        <row r="1048">
          <cell r="A1048" t="str">
            <v>162131C</v>
          </cell>
          <cell r="B1048" t="str">
            <v>LY-OS128U-B</v>
          </cell>
          <cell r="C1048" t="str">
            <v>GOLF LE FLEUR OX</v>
          </cell>
          <cell r="D1048" t="str">
            <v>皮</v>
          </cell>
        </row>
        <row r="1049">
          <cell r="A1049" t="str">
            <v>162132C</v>
          </cell>
          <cell r="B1049" t="str">
            <v>LY-OS128U-B</v>
          </cell>
          <cell r="C1049" t="str">
            <v>GOLF LE FLEUR OX</v>
          </cell>
          <cell r="D1049" t="str">
            <v>皮</v>
          </cell>
        </row>
        <row r="1050">
          <cell r="A1050" t="str">
            <v>162133C</v>
          </cell>
          <cell r="B1050" t="str">
            <v>LY-OS128U-B</v>
          </cell>
          <cell r="C1050" t="str">
            <v>GOLF LE FLEUR OX</v>
          </cell>
          <cell r="D1050" t="str">
            <v>皮</v>
          </cell>
        </row>
        <row r="1051">
          <cell r="A1051" t="str">
            <v>162134C</v>
          </cell>
          <cell r="B1051" t="str">
            <v>LY-OS128U-B</v>
          </cell>
          <cell r="C1051" t="str">
            <v>ONE STAR GLF</v>
          </cell>
          <cell r="D1051" t="str">
            <v>皮</v>
          </cell>
        </row>
        <row r="1052">
          <cell r="A1052" t="str">
            <v>162135C</v>
          </cell>
          <cell r="B1052" t="str">
            <v>LY-CT AS HI CR-XXX-18B</v>
          </cell>
          <cell r="C1052" t="str">
            <v>CTAS CARRIE HI</v>
          </cell>
          <cell r="D1052" t="str">
            <v>皮</v>
          </cell>
        </row>
        <row r="1053">
          <cell r="A1053" t="str">
            <v>162136C</v>
          </cell>
          <cell r="B1053" t="str">
            <v>LY-CT AS HI CR-XXX-18B</v>
          </cell>
          <cell r="C1053" t="str">
            <v>CTAS CARRIE HI</v>
          </cell>
          <cell r="D1053" t="str">
            <v>皮</v>
          </cell>
        </row>
        <row r="1054">
          <cell r="A1054" t="str">
            <v>162137C</v>
          </cell>
          <cell r="B1054" t="str">
            <v>LY-OS119U-4A</v>
          </cell>
          <cell r="C1054" t="str">
            <v>ONE STAR OX</v>
          </cell>
          <cell r="D1054" t="str">
            <v>布</v>
          </cell>
        </row>
        <row r="1055">
          <cell r="A1055" t="str">
            <v>162138C</v>
          </cell>
          <cell r="B1055" t="str">
            <v>LY-OS119U-4A</v>
          </cell>
          <cell r="C1055" t="str">
            <v>ONE STAR OX</v>
          </cell>
          <cell r="D1055" t="str">
            <v>布</v>
          </cell>
        </row>
        <row r="1056">
          <cell r="A1056" t="str">
            <v>162212C</v>
          </cell>
          <cell r="B1056" t="str">
            <v>LY-OS119U-6A</v>
          </cell>
          <cell r="C1056" t="str">
            <v>ONE STAR OX</v>
          </cell>
          <cell r="D1056" t="str">
            <v>布</v>
          </cell>
        </row>
        <row r="1057">
          <cell r="A1057" t="str">
            <v>162214C</v>
          </cell>
          <cell r="B1057" t="str">
            <v>LY-OS119U-6A</v>
          </cell>
          <cell r="C1057" t="str">
            <v>ONE STAR OX</v>
          </cell>
          <cell r="D1057" t="str">
            <v>布</v>
          </cell>
        </row>
        <row r="1058">
          <cell r="A1058" t="str">
            <v>162292C</v>
          </cell>
          <cell r="B1058" t="str">
            <v>LY-OS119U-7A</v>
          </cell>
          <cell r="C1058" t="str">
            <v>ONE STAR</v>
          </cell>
          <cell r="D1058" t="str">
            <v>布</v>
          </cell>
        </row>
        <row r="1059">
          <cell r="A1059" t="str">
            <v>162293C</v>
          </cell>
          <cell r="B1059" t="str">
            <v>LY-OS119U-7A</v>
          </cell>
          <cell r="C1059" t="str">
            <v>ONE STAR</v>
          </cell>
          <cell r="D1059" t="str">
            <v>布</v>
          </cell>
        </row>
        <row r="1060">
          <cell r="A1060" t="str">
            <v>162347C</v>
          </cell>
          <cell r="B1060" t="str">
            <v>LY-CTA33U-A</v>
          </cell>
          <cell r="C1060" t="str">
            <v>CHUCK 70 GORE-TEX</v>
          </cell>
          <cell r="D1060" t="str">
            <v>布</v>
          </cell>
        </row>
        <row r="1061">
          <cell r="A1061" t="str">
            <v>162348C</v>
          </cell>
          <cell r="B1061" t="str">
            <v>LY-CTA33U-A</v>
          </cell>
          <cell r="C1061" t="str">
            <v>CHUCK 70 GORE-TEX</v>
          </cell>
          <cell r="D1061" t="str">
            <v>布</v>
          </cell>
        </row>
        <row r="1062">
          <cell r="A1062" t="str">
            <v>162349C</v>
          </cell>
          <cell r="B1062" t="str">
            <v>LY-CTA33U-A</v>
          </cell>
          <cell r="C1062" t="str">
            <v>CHUCK 70 GORE-TEX</v>
          </cell>
          <cell r="D1062" t="str">
            <v>布</v>
          </cell>
        </row>
        <row r="1063">
          <cell r="A1063" t="str">
            <v>162350C</v>
          </cell>
          <cell r="B1063" t="str">
            <v>LY-CTA33U-A</v>
          </cell>
          <cell r="C1063" t="str">
            <v>CHUCK 70 GORE-TEX</v>
          </cell>
          <cell r="D1063" t="str">
            <v>布</v>
          </cell>
        </row>
        <row r="1064">
          <cell r="A1064" t="str">
            <v>162351C</v>
          </cell>
          <cell r="B1064" t="str">
            <v>LY-CTA33U-A</v>
          </cell>
          <cell r="C1064" t="str">
            <v>CHUCK 70 GORE-TEX</v>
          </cell>
          <cell r="D1064" t="str">
            <v>布</v>
          </cell>
        </row>
        <row r="1065">
          <cell r="A1065" t="str">
            <v>162352C</v>
          </cell>
          <cell r="B1065" t="str">
            <v>LY-CTA33U-A</v>
          </cell>
          <cell r="C1065" t="str">
            <v>CHUCK 70 GORE-TEX</v>
          </cell>
          <cell r="D1065" t="str">
            <v>布</v>
          </cell>
        </row>
        <row r="1066">
          <cell r="A1066" t="str">
            <v>162354C</v>
          </cell>
          <cell r="B1066" t="str">
            <v>LY-CTA15U-B</v>
          </cell>
          <cell r="C1066" t="str">
            <v>CTAS WELTED BOOT</v>
          </cell>
          <cell r="D1066" t="str">
            <v>皮</v>
          </cell>
        </row>
        <row r="1067">
          <cell r="A1067" t="str">
            <v>162355C</v>
          </cell>
          <cell r="B1067" t="str">
            <v>LY-CTA15U-B</v>
          </cell>
          <cell r="C1067" t="str">
            <v>CTAS WELTED BOOT</v>
          </cell>
          <cell r="D1067" t="str">
            <v>皮</v>
          </cell>
        </row>
        <row r="1068">
          <cell r="A1068" t="str">
            <v>162359C</v>
          </cell>
          <cell r="B1068" t="str">
            <v>LY-CT916U-1B</v>
          </cell>
          <cell r="C1068" t="str">
            <v>CTAS STREET BOOT</v>
          </cell>
          <cell r="D1068" t="str">
            <v>皮</v>
          </cell>
        </row>
        <row r="1069">
          <cell r="A1069" t="str">
            <v>162360C</v>
          </cell>
          <cell r="B1069" t="str">
            <v>LY-CT916U-1B</v>
          </cell>
          <cell r="C1069" t="str">
            <v>CTAS STREET BOOT</v>
          </cell>
          <cell r="D1069" t="str">
            <v>皮</v>
          </cell>
        </row>
        <row r="1070">
          <cell r="A1070" t="str">
            <v>162361C</v>
          </cell>
          <cell r="B1070" t="str">
            <v>LY-CT916U-1B</v>
          </cell>
          <cell r="C1070" t="str">
            <v>CTAS STREET BOOT</v>
          </cell>
          <cell r="D1070" t="str">
            <v>皮</v>
          </cell>
        </row>
        <row r="1071">
          <cell r="A1071" t="str">
            <v>162378C</v>
          </cell>
          <cell r="B1071" t="str">
            <v>LY-CT950U-B</v>
          </cell>
          <cell r="C1071" t="str">
            <v>CTAS ULTRA MID</v>
          </cell>
          <cell r="D1071" t="str">
            <v>PU</v>
          </cell>
        </row>
        <row r="1072">
          <cell r="A1072" t="str">
            <v>162408C</v>
          </cell>
          <cell r="B1072" t="str">
            <v>LY-CT840U-B-4</v>
          </cell>
          <cell r="C1072" t="str">
            <v>CT WP BOOT</v>
          </cell>
          <cell r="D1072" t="str">
            <v>皮</v>
          </cell>
        </row>
        <row r="1073">
          <cell r="A1073" t="str">
            <v>162409C</v>
          </cell>
          <cell r="B1073" t="str">
            <v>LY-CT840U-B-4</v>
          </cell>
          <cell r="C1073" t="str">
            <v>CT WP BOOT</v>
          </cell>
          <cell r="D1073" t="str">
            <v>皮</v>
          </cell>
        </row>
        <row r="1074">
          <cell r="A1074" t="str">
            <v>162410C</v>
          </cell>
          <cell r="B1074" t="str">
            <v>LY-CT840U-B-4</v>
          </cell>
          <cell r="C1074" t="str">
            <v>CT WP BOOT</v>
          </cell>
          <cell r="D1074" t="str">
            <v>皮</v>
          </cell>
        </row>
        <row r="1075">
          <cell r="A1075" t="str">
            <v>162500C</v>
          </cell>
          <cell r="B1075" t="str">
            <v>LY-CT840U-B-5</v>
          </cell>
          <cell r="C1075" t="str">
            <v>CT WP BOOT</v>
          </cell>
          <cell r="D1075" t="str">
            <v>皮</v>
          </cell>
        </row>
        <row r="1076">
          <cell r="A1076" t="str">
            <v>162501C</v>
          </cell>
          <cell r="B1076" t="str">
            <v>LY-CT840U-B-5</v>
          </cell>
          <cell r="C1076" t="str">
            <v>CT WP BOOT</v>
          </cell>
          <cell r="D1076" t="str">
            <v>皮</v>
          </cell>
        </row>
        <row r="1077">
          <cell r="A1077" t="str">
            <v>162542C</v>
          </cell>
          <cell r="B1077" t="str">
            <v>LY-OS126U-B</v>
          </cell>
          <cell r="C1077" t="str">
            <v>ONE STAR SP(SPLIT COLLAR WAS 74-CLOT)</v>
          </cell>
          <cell r="D1077" t="str">
            <v>皮</v>
          </cell>
        </row>
        <row r="1078">
          <cell r="A1078" t="str">
            <v>162543C</v>
          </cell>
          <cell r="B1078" t="str">
            <v>LY-OS126U-B</v>
          </cell>
          <cell r="C1078" t="str">
            <v>ONE STAR SP(SPLIT COLLAR WAS 74-CLOT)</v>
          </cell>
          <cell r="D1078" t="str">
            <v>皮</v>
          </cell>
        </row>
        <row r="1079">
          <cell r="A1079" t="str">
            <v>162544C</v>
          </cell>
          <cell r="B1079" t="str">
            <v>LY-OS126U-B</v>
          </cell>
          <cell r="C1079" t="str">
            <v>ONE STAR SP(SPLIT COLLAR WAS 74-CLOT)</v>
          </cell>
          <cell r="D1079" t="str">
            <v>皮</v>
          </cell>
        </row>
        <row r="1080">
          <cell r="A1080" t="str">
            <v>162545C</v>
          </cell>
          <cell r="B1080" t="str">
            <v>LY-OS126U-B</v>
          </cell>
          <cell r="C1080" t="str">
            <v>ONE STAR SP(SPLIT COLLAR WAS 74-CLOT)</v>
          </cell>
          <cell r="D1080" t="str">
            <v>皮</v>
          </cell>
        </row>
        <row r="1081">
          <cell r="A1081" t="str">
            <v>162547C</v>
          </cell>
          <cell r="B1081" t="str">
            <v>LY-OS126U-1B</v>
          </cell>
          <cell r="C1081" t="str">
            <v>ONE STAR SP(SPLIT COLLAR WAS 74-CLOT)</v>
          </cell>
          <cell r="D1081" t="str">
            <v>皮</v>
          </cell>
        </row>
        <row r="1082">
          <cell r="A1082" t="str">
            <v>162549C</v>
          </cell>
          <cell r="B1082" t="str">
            <v>LY-OS123U-6B</v>
          </cell>
          <cell r="C1082" t="str">
            <v>ONE STAR MID</v>
          </cell>
          <cell r="D1082" t="str">
            <v>皮</v>
          </cell>
        </row>
        <row r="1083">
          <cell r="A1083" t="str">
            <v>162550C</v>
          </cell>
          <cell r="B1083" t="str">
            <v>LY-OS123U-6B</v>
          </cell>
          <cell r="C1083" t="str">
            <v>ONE STAR MID</v>
          </cell>
          <cell r="D1083" t="str">
            <v>皮</v>
          </cell>
        </row>
        <row r="1084">
          <cell r="A1084" t="str">
            <v>162551C</v>
          </cell>
          <cell r="B1084" t="str">
            <v>LY-OS123U-6B</v>
          </cell>
          <cell r="C1084" t="str">
            <v>ONE STAR MID</v>
          </cell>
          <cell r="D1084" t="str">
            <v>皮</v>
          </cell>
        </row>
        <row r="1085">
          <cell r="A1085" t="str">
            <v>162570C</v>
          </cell>
          <cell r="B1085" t="str">
            <v>LY-SA384U-B</v>
          </cell>
          <cell r="C1085" t="str">
            <v>COURTLANDT</v>
          </cell>
          <cell r="D1085" t="str">
            <v>皮+星星月亮</v>
          </cell>
        </row>
        <row r="1086">
          <cell r="A1086" t="str">
            <v>162571C</v>
          </cell>
          <cell r="B1086" t="str">
            <v>LY-SA384U-B</v>
          </cell>
          <cell r="C1086" t="str">
            <v>COURTLANDT</v>
          </cell>
          <cell r="D1086" t="str">
            <v>皮+星星月亮</v>
          </cell>
        </row>
        <row r="1087">
          <cell r="A1087" t="str">
            <v>162572C</v>
          </cell>
          <cell r="B1087" t="str">
            <v>LY-SA384U-B</v>
          </cell>
          <cell r="C1087" t="str">
            <v>COURTLANDT</v>
          </cell>
          <cell r="D1087" t="str">
            <v>皮+星星月亮</v>
          </cell>
        </row>
        <row r="1088">
          <cell r="A1088" t="str">
            <v>162573C</v>
          </cell>
          <cell r="B1088" t="str">
            <v>LY-OS119U-B-9</v>
          </cell>
          <cell r="C1088" t="str">
            <v>ONE STAR</v>
          </cell>
          <cell r="D1088" t="str">
            <v>皮</v>
          </cell>
        </row>
        <row r="1089">
          <cell r="A1089" t="str">
            <v>162574C</v>
          </cell>
          <cell r="B1089" t="str">
            <v>LY-OS119U-B-9</v>
          </cell>
          <cell r="C1089" t="str">
            <v>ONE STAR</v>
          </cell>
          <cell r="D1089" t="str">
            <v>皮</v>
          </cell>
        </row>
        <row r="1090">
          <cell r="A1090" t="str">
            <v>162575C</v>
          </cell>
          <cell r="B1090" t="str">
            <v>LY-OS119U-B-9</v>
          </cell>
          <cell r="C1090" t="str">
            <v>ONE STAR</v>
          </cell>
          <cell r="D1090" t="str">
            <v>皮</v>
          </cell>
        </row>
        <row r="1091">
          <cell r="A1091" t="str">
            <v>162576C</v>
          </cell>
          <cell r="B1091" t="str">
            <v>LY-OS119U-B-9</v>
          </cell>
          <cell r="C1091" t="str">
            <v>ONE STAR</v>
          </cell>
          <cell r="D1091" t="str">
            <v>皮</v>
          </cell>
        </row>
        <row r="1092">
          <cell r="A1092" t="str">
            <v>162577C</v>
          </cell>
          <cell r="B1092" t="str">
            <v>LY-OS123U-3B</v>
          </cell>
          <cell r="C1092" t="str">
            <v>ONE STAR MID</v>
          </cell>
          <cell r="D1092" t="str">
            <v>皮</v>
          </cell>
        </row>
        <row r="1093">
          <cell r="A1093" t="str">
            <v>162578C</v>
          </cell>
          <cell r="B1093" t="str">
            <v>LY-OS123U-3B</v>
          </cell>
          <cell r="C1093" t="str">
            <v>ONE STAR MID</v>
          </cell>
          <cell r="D1093" t="str">
            <v>皮</v>
          </cell>
        </row>
        <row r="1094">
          <cell r="A1094" t="str">
            <v>162579C</v>
          </cell>
          <cell r="B1094" t="str">
            <v>LY-SA384U-B</v>
          </cell>
          <cell r="C1094" t="str">
            <v>CONVERSE COURTLANDT</v>
          </cell>
          <cell r="D1094" t="str">
            <v>PU+星星月亮</v>
          </cell>
        </row>
        <row r="1095">
          <cell r="A1095" t="str">
            <v>162580C</v>
          </cell>
          <cell r="B1095" t="str">
            <v>LY-SA384U-B</v>
          </cell>
          <cell r="C1095" t="str">
            <v>CONVERSE COURTLANDT</v>
          </cell>
          <cell r="D1095" t="str">
            <v>PU+星星月亮</v>
          </cell>
        </row>
        <row r="1096">
          <cell r="A1096" t="str">
            <v>162584C</v>
          </cell>
          <cell r="B1096" t="str">
            <v>LY-CTA37U-A</v>
          </cell>
          <cell r="C1096" t="str">
            <v>CT MC18 HI</v>
          </cell>
          <cell r="D1096" t="str">
            <v>布</v>
          </cell>
        </row>
        <row r="1097">
          <cell r="A1097" t="str">
            <v>162585C</v>
          </cell>
          <cell r="B1097" t="str">
            <v>LY-OS138U-B</v>
          </cell>
          <cell r="C1097" t="str">
            <v>ONE STAR MC18 OX</v>
          </cell>
          <cell r="D1097" t="str">
            <v>布</v>
          </cell>
        </row>
        <row r="1098">
          <cell r="A1098" t="str">
            <v>162586C</v>
          </cell>
          <cell r="B1098" t="str">
            <v>LY-SA397U-A</v>
          </cell>
          <cell r="C1098" t="str">
            <v>FASTBREAK MC18 HI</v>
          </cell>
          <cell r="D1098" t="str">
            <v>布</v>
          </cell>
        </row>
        <row r="1099">
          <cell r="A1099" t="str">
            <v>162593C</v>
          </cell>
          <cell r="B1099" t="str">
            <v>LY-SA384U-B</v>
          </cell>
          <cell r="C1099" t="str">
            <v>COURTLANDT</v>
          </cell>
          <cell r="D1099" t="str">
            <v>皮+星星月亮</v>
          </cell>
        </row>
        <row r="1100">
          <cell r="A1100" t="str">
            <v>162594C</v>
          </cell>
          <cell r="B1100" t="str">
            <v>LY-SA384U-B</v>
          </cell>
          <cell r="C1100" t="str">
            <v>COURTLANDT</v>
          </cell>
          <cell r="D1100" t="str">
            <v>皮+星星月亮</v>
          </cell>
        </row>
        <row r="1101">
          <cell r="A1101" t="str">
            <v>162601C</v>
          </cell>
          <cell r="B1101" t="str">
            <v>LY-OS126U-2B</v>
          </cell>
          <cell r="C1101" t="str">
            <v>ONE STAR SP(SPLIT COLLAR WAS 74-CLOT)</v>
          </cell>
          <cell r="D1101" t="str">
            <v>皮</v>
          </cell>
        </row>
        <row r="1102">
          <cell r="A1102" t="str">
            <v>162602C</v>
          </cell>
          <cell r="B1102" t="str">
            <v>LY-OS126U-2B</v>
          </cell>
          <cell r="C1102" t="str">
            <v>ONE STAR SP(SPLIT COLLAR WAS 74-CLOT)</v>
          </cell>
          <cell r="D1102" t="str">
            <v>皮</v>
          </cell>
        </row>
        <row r="1103">
          <cell r="A1103" t="str">
            <v>162603C</v>
          </cell>
          <cell r="B1103" t="str">
            <v>LY-OS126U-2B</v>
          </cell>
          <cell r="C1103" t="str">
            <v>ONE STAR SP(SPLIT COLLAR WAS 74-CLOT)</v>
          </cell>
          <cell r="D1103" t="str">
            <v>皮</v>
          </cell>
        </row>
        <row r="1104">
          <cell r="A1104" t="str">
            <v>162614C</v>
          </cell>
          <cell r="B1104" t="str">
            <v>LY-OS119U-5B-9</v>
          </cell>
          <cell r="C1104" t="str">
            <v>ONE STAR</v>
          </cell>
          <cell r="D1104" t="str">
            <v>皮</v>
          </cell>
        </row>
        <row r="1105">
          <cell r="A1105" t="str">
            <v>162615C</v>
          </cell>
          <cell r="B1105" t="str">
            <v>LY-OS119U-5B-9</v>
          </cell>
          <cell r="C1105" t="str">
            <v>ONE STAR</v>
          </cell>
          <cell r="D1105" t="str">
            <v>皮</v>
          </cell>
        </row>
        <row r="1106">
          <cell r="A1106" t="str">
            <v>162616C</v>
          </cell>
          <cell r="B1106" t="str">
            <v>LY-OS119U-5B-9</v>
          </cell>
          <cell r="C1106" t="str">
            <v>ONE STAR</v>
          </cell>
          <cell r="D1106" t="str">
            <v>皮</v>
          </cell>
        </row>
        <row r="1107">
          <cell r="A1107" t="str">
            <v>162617C</v>
          </cell>
          <cell r="B1107" t="str">
            <v>LY-OS119U-3A-2</v>
          </cell>
          <cell r="C1107" t="str">
            <v>ONE STAR</v>
          </cell>
          <cell r="D1107" t="str">
            <v>布</v>
          </cell>
        </row>
        <row r="1108">
          <cell r="A1108" t="str">
            <v>162618C</v>
          </cell>
          <cell r="B1108" t="str">
            <v>LY-OS119U-3A-2</v>
          </cell>
          <cell r="C1108" t="str">
            <v>ONE STAR</v>
          </cell>
          <cell r="D1108" t="str">
            <v>布</v>
          </cell>
        </row>
        <row r="1109">
          <cell r="A1109" t="str">
            <v>162619C</v>
          </cell>
          <cell r="B1109" t="str">
            <v>LY-OS119U-3A-2</v>
          </cell>
          <cell r="C1109" t="str">
            <v>ONE STAR</v>
          </cell>
          <cell r="D1109" t="str">
            <v>布</v>
          </cell>
        </row>
        <row r="1110">
          <cell r="A1110" t="str">
            <v>162819C</v>
          </cell>
          <cell r="B1110" t="str">
            <v>LY-OS119U-6A-1</v>
          </cell>
          <cell r="C1110" t="str">
            <v>ONE STAR</v>
          </cell>
          <cell r="D1110" t="str">
            <v>布</v>
          </cell>
        </row>
        <row r="1111">
          <cell r="A1111" t="str">
            <v>162820C</v>
          </cell>
          <cell r="B1111" t="str">
            <v>LY-OS119U-6A-1</v>
          </cell>
          <cell r="C1111" t="str">
            <v>ONE STAR</v>
          </cell>
          <cell r="D1111" t="str">
            <v>布</v>
          </cell>
        </row>
        <row r="1112">
          <cell r="A1112" t="str">
            <v>162821C</v>
          </cell>
          <cell r="B1112" t="str">
            <v>LY-OS119U-6A-1</v>
          </cell>
          <cell r="C1112" t="str">
            <v>ONE STAR</v>
          </cell>
          <cell r="D1112" t="str">
            <v>布</v>
          </cell>
        </row>
        <row r="1113">
          <cell r="A1113" t="str">
            <v>162839C</v>
          </cell>
          <cell r="B1113" t="str">
            <v>LY-OS119U-B-7</v>
          </cell>
          <cell r="C1113" t="str">
            <v>ONE STAR OX</v>
          </cell>
          <cell r="D1113" t="str">
            <v>皮</v>
          </cell>
        </row>
        <row r="1114">
          <cell r="A1114" t="str">
            <v>162884C</v>
          </cell>
          <cell r="B1114" t="str">
            <v>LY-OS119U-B-1</v>
          </cell>
          <cell r="C1114" t="str">
            <v>ONE STAR</v>
          </cell>
          <cell r="D1114" t="str">
            <v>皮</v>
          </cell>
        </row>
        <row r="1115">
          <cell r="A1115" t="str">
            <v>162937C</v>
          </cell>
          <cell r="B1115" t="str">
            <v>LY-OS119U-3B-1</v>
          </cell>
          <cell r="C1115" t="str">
            <v>ONE STAR</v>
          </cell>
          <cell r="D1115" t="str">
            <v>皮</v>
          </cell>
        </row>
        <row r="1116">
          <cell r="A1116" t="str">
            <v>162938C</v>
          </cell>
          <cell r="B1116" t="str">
            <v>LY-OS119U-12B</v>
          </cell>
          <cell r="C1116" t="str">
            <v>ONE STAR</v>
          </cell>
          <cell r="D1116" t="str">
            <v>皮</v>
          </cell>
        </row>
        <row r="1117">
          <cell r="A1117" t="str">
            <v>162939C</v>
          </cell>
          <cell r="B1117" t="str">
            <v>LY-OS119U-12B</v>
          </cell>
          <cell r="C1117" t="str">
            <v>ONE STAR</v>
          </cell>
          <cell r="D1117" t="str">
            <v>皮</v>
          </cell>
        </row>
        <row r="1118">
          <cell r="A1118" t="str">
            <v>162950C</v>
          </cell>
          <cell r="B1118" t="str">
            <v>LY-OS119U-B-2</v>
          </cell>
          <cell r="C1118" t="str">
            <v>ONE STAR</v>
          </cell>
          <cell r="D1118" t="str">
            <v>皮</v>
          </cell>
        </row>
        <row r="1119">
          <cell r="A1119" t="str">
            <v>163034C</v>
          </cell>
          <cell r="B1119" t="str">
            <v>LY-OS119U-1B-2</v>
          </cell>
          <cell r="C1119" t="str">
            <v>ONE STAR</v>
          </cell>
          <cell r="D1119" t="str">
            <v>皮</v>
          </cell>
        </row>
        <row r="1120">
          <cell r="A1120" t="str">
            <v>163036C</v>
          </cell>
          <cell r="B1120" t="str">
            <v>LY-OS119U-1B-2</v>
          </cell>
          <cell r="C1120" t="str">
            <v>ONE STAR</v>
          </cell>
          <cell r="D1120" t="str">
            <v>皮</v>
          </cell>
        </row>
        <row r="1121">
          <cell r="A1121" t="str">
            <v>163056C</v>
          </cell>
          <cell r="B1121" t="str">
            <v>LY-OS119U-1B-2</v>
          </cell>
          <cell r="C1121" t="str">
            <v>ONE STAR</v>
          </cell>
          <cell r="D1121" t="str">
            <v>皮</v>
          </cell>
        </row>
        <row r="1122">
          <cell r="A1122" t="str">
            <v>163057C</v>
          </cell>
          <cell r="B1122" t="str">
            <v>LY-OS119U-1B-2</v>
          </cell>
          <cell r="C1122" t="str">
            <v>ONE STAR</v>
          </cell>
          <cell r="D1122" t="str">
            <v>皮</v>
          </cell>
        </row>
        <row r="1123">
          <cell r="A1123" t="str">
            <v>163110C</v>
          </cell>
          <cell r="B1123" t="str">
            <v>LY-OS119U-B-1</v>
          </cell>
          <cell r="C1123" t="str">
            <v>ONE STAR</v>
          </cell>
          <cell r="D1123" t="str">
            <v>皮</v>
          </cell>
        </row>
        <row r="1124">
          <cell r="A1124" t="str">
            <v>163167C</v>
          </cell>
          <cell r="B1124" t="str">
            <v>LY-OS119U-B-10</v>
          </cell>
          <cell r="C1124" t="str">
            <v>ONE STAR</v>
          </cell>
          <cell r="D1124" t="str">
            <v>皮</v>
          </cell>
        </row>
        <row r="1125">
          <cell r="A1125" t="str">
            <v>163169C</v>
          </cell>
          <cell r="B1125" t="str">
            <v>LY-OS128U-A</v>
          </cell>
          <cell r="C1125" t="str">
            <v>GOLF LE FLEUR</v>
          </cell>
          <cell r="D1125" t="str">
            <v>布</v>
          </cell>
        </row>
        <row r="1126">
          <cell r="A1126" t="str">
            <v>163177C</v>
          </cell>
          <cell r="B1126" t="str">
            <v>LY-CTA37U-A</v>
          </cell>
          <cell r="C1126" t="str">
            <v>CT MC18 HI</v>
          </cell>
          <cell r="D1126" t="str">
            <v>布</v>
          </cell>
        </row>
        <row r="1127">
          <cell r="A1127" t="str">
            <v>163178C</v>
          </cell>
          <cell r="B1127" t="str">
            <v>LY-OS138U-B</v>
          </cell>
          <cell r="C1127" t="str">
            <v>ONE STAR MC18 OX</v>
          </cell>
          <cell r="D1127" t="str">
            <v>布</v>
          </cell>
        </row>
        <row r="1128">
          <cell r="A1128" t="str">
            <v>163179C</v>
          </cell>
          <cell r="B1128" t="str">
            <v>LY-SA397U-A</v>
          </cell>
          <cell r="C1128" t="str">
            <v>FASTBREAK MC18 HI</v>
          </cell>
          <cell r="D1128" t="str">
            <v>布</v>
          </cell>
        </row>
        <row r="1129">
          <cell r="A1129" t="str">
            <v>163186C</v>
          </cell>
          <cell r="B1129" t="str">
            <v>LY-SA384U-A-3</v>
          </cell>
          <cell r="C1129" t="str">
            <v>CONVERSE COURTLANDT</v>
          </cell>
          <cell r="D1129" t="str">
            <v>布+星星月亮</v>
          </cell>
        </row>
        <row r="1130">
          <cell r="A1130" t="str">
            <v>163187C</v>
          </cell>
          <cell r="B1130" t="str">
            <v>LY-SA384U-A-2</v>
          </cell>
          <cell r="C1130" t="str">
            <v>CONVERSE COURTLANDT</v>
          </cell>
          <cell r="D1130" t="str">
            <v>布+星星月亮</v>
          </cell>
        </row>
        <row r="1131">
          <cell r="A1131" t="str">
            <v>163188C</v>
          </cell>
          <cell r="B1131" t="str">
            <v>LY-SA384U-A-2</v>
          </cell>
          <cell r="C1131" t="str">
            <v>CONVERSE COURTLANDT</v>
          </cell>
          <cell r="D1131" t="str">
            <v>布+星星月亮</v>
          </cell>
        </row>
        <row r="1132">
          <cell r="A1132" t="str">
            <v>163189C</v>
          </cell>
          <cell r="B1132" t="str">
            <v>LY-OS119U-14B</v>
          </cell>
          <cell r="C1132" t="str">
            <v>ONE STAR</v>
          </cell>
          <cell r="D1132" t="str">
            <v>皮</v>
          </cell>
        </row>
        <row r="1133">
          <cell r="A1133" t="str">
            <v>163190C</v>
          </cell>
          <cell r="B1133" t="str">
            <v>LY-OS119U-14B</v>
          </cell>
          <cell r="C1133" t="str">
            <v>ONE STAR</v>
          </cell>
          <cell r="D1133" t="str">
            <v>皮</v>
          </cell>
        </row>
        <row r="1134">
          <cell r="A1134" t="str">
            <v>163192C</v>
          </cell>
          <cell r="B1134" t="str">
            <v>LY-OS119U-14B</v>
          </cell>
          <cell r="C1134" t="str">
            <v>ONE STAR</v>
          </cell>
          <cell r="D1134" t="str">
            <v>皮</v>
          </cell>
        </row>
        <row r="1135">
          <cell r="A1135" t="str">
            <v>163193C</v>
          </cell>
          <cell r="B1135" t="str">
            <v>LY-OS119U-14B</v>
          </cell>
          <cell r="C1135" t="str">
            <v>ONE STAR</v>
          </cell>
          <cell r="D1135" t="str">
            <v>皮</v>
          </cell>
        </row>
        <row r="1136">
          <cell r="A1136" t="str">
            <v>163194C</v>
          </cell>
          <cell r="B1136" t="str">
            <v>LY-OS119U-13B</v>
          </cell>
          <cell r="C1136" t="str">
            <v>ONE STAR</v>
          </cell>
          <cell r="D1136" t="str">
            <v>皮</v>
          </cell>
        </row>
        <row r="1137">
          <cell r="A1137" t="str">
            <v>163195C</v>
          </cell>
          <cell r="B1137" t="str">
            <v>LY-OS119U-13B</v>
          </cell>
          <cell r="C1137" t="str">
            <v>ONE STAR</v>
          </cell>
          <cell r="D1137" t="str">
            <v>皮</v>
          </cell>
        </row>
        <row r="1138">
          <cell r="A1138" t="str">
            <v>163198C</v>
          </cell>
          <cell r="B1138" t="str">
            <v>LY-OS119U-13B</v>
          </cell>
          <cell r="C1138" t="str">
            <v>ONE STAR</v>
          </cell>
          <cell r="D1138" t="str">
            <v>皮</v>
          </cell>
        </row>
        <row r="1139">
          <cell r="A1139" t="str">
            <v>163199C</v>
          </cell>
          <cell r="B1139" t="str">
            <v>LY-SA384U-A-1</v>
          </cell>
          <cell r="C1139" t="str">
            <v>CONVERSE COURTLANDT</v>
          </cell>
          <cell r="D1139" t="str">
            <v>布+星星月亮</v>
          </cell>
        </row>
        <row r="1140">
          <cell r="A1140" t="str">
            <v>163200C</v>
          </cell>
          <cell r="B1140" t="str">
            <v>LY-SA384U-A-1</v>
          </cell>
          <cell r="C1140" t="str">
            <v>CONVERSE COURTLANDT</v>
          </cell>
          <cell r="D1140" t="str">
            <v>布+星星月亮</v>
          </cell>
        </row>
        <row r="1141">
          <cell r="A1141" t="str">
            <v>163201C</v>
          </cell>
          <cell r="B1141" t="str">
            <v>LY-SA384U-A-1</v>
          </cell>
          <cell r="C1141" t="str">
            <v>CONVERSE COURTLANDT</v>
          </cell>
          <cell r="D1141" t="str">
            <v>布+星星月亮</v>
          </cell>
        </row>
        <row r="1142">
          <cell r="A1142" t="str">
            <v>163202C</v>
          </cell>
          <cell r="B1142" t="str">
            <v>LY-SK032U-3A-1</v>
          </cell>
          <cell r="C1142" t="str">
            <v>CONVERSE EL DISTRITO</v>
          </cell>
          <cell r="D1142" t="str">
            <v>布+星星月亮</v>
          </cell>
        </row>
        <row r="1143">
          <cell r="A1143" t="str">
            <v>163203C</v>
          </cell>
          <cell r="B1143" t="str">
            <v>LY-SK032U-3A-1</v>
          </cell>
          <cell r="C1143" t="str">
            <v>CONVERSE EL DISTRITO</v>
          </cell>
          <cell r="D1143" t="str">
            <v>布+星星月亮</v>
          </cell>
        </row>
        <row r="1144">
          <cell r="A1144" t="str">
            <v>163204C</v>
          </cell>
          <cell r="B1144" t="str">
            <v>LY-SK032U-3A-1</v>
          </cell>
          <cell r="C1144" t="str">
            <v>CONVERSE EL DISTRITO</v>
          </cell>
          <cell r="D1144" t="str">
            <v>布+星星月亮</v>
          </cell>
        </row>
        <row r="1145">
          <cell r="A1145" t="str">
            <v>163226C</v>
          </cell>
          <cell r="B1145" t="str">
            <v>LY-CTA33U-B</v>
          </cell>
          <cell r="C1145" t="str">
            <v>CHUCK 70 GORE-TEX</v>
          </cell>
          <cell r="D1145" t="str">
            <v>皮</v>
          </cell>
        </row>
        <row r="1146">
          <cell r="A1146" t="str">
            <v>163227C</v>
          </cell>
          <cell r="B1146" t="str">
            <v>LY-CTA33U-B</v>
          </cell>
          <cell r="C1146" t="str">
            <v>CHUCK 70 GORE-TEX</v>
          </cell>
          <cell r="D1146" t="str">
            <v>皮</v>
          </cell>
        </row>
        <row r="1147">
          <cell r="A1147" t="str">
            <v>163228C</v>
          </cell>
          <cell r="B1147" t="str">
            <v>LY-CTA32U-B</v>
          </cell>
          <cell r="C1147" t="str">
            <v>CHUCK 70 GORE-TEX</v>
          </cell>
          <cell r="D1147" t="str">
            <v>皮</v>
          </cell>
        </row>
        <row r="1148">
          <cell r="A1148" t="str">
            <v>163229C</v>
          </cell>
          <cell r="B1148" t="str">
            <v>LY-CTA32U-B</v>
          </cell>
          <cell r="C1148" t="str">
            <v>CHUCK 70 GORE-TEX</v>
          </cell>
          <cell r="D1148" t="str">
            <v>皮</v>
          </cell>
        </row>
        <row r="1149">
          <cell r="A1149" t="str">
            <v>163243C</v>
          </cell>
          <cell r="B1149" t="str">
            <v>LY-OS119U-B-9</v>
          </cell>
          <cell r="C1149" t="str">
            <v>ONE STAR</v>
          </cell>
          <cell r="D1149" t="str">
            <v>皮</v>
          </cell>
        </row>
        <row r="1150">
          <cell r="A1150" t="str">
            <v>163245C</v>
          </cell>
          <cell r="B1150" t="str">
            <v>LY-OS119U-B-9</v>
          </cell>
          <cell r="C1150" t="str">
            <v>ONE STAR</v>
          </cell>
          <cell r="D1150" t="str">
            <v>皮</v>
          </cell>
        </row>
        <row r="1151">
          <cell r="A1151" t="str">
            <v>163246C</v>
          </cell>
          <cell r="B1151" t="str">
            <v>LY-OS119U-B-9</v>
          </cell>
          <cell r="C1151" t="str">
            <v>ONE STAR</v>
          </cell>
          <cell r="D1151" t="str">
            <v>皮</v>
          </cell>
        </row>
        <row r="1152">
          <cell r="A1152" t="str">
            <v>163247C</v>
          </cell>
          <cell r="B1152" t="str">
            <v>LY-OS119U-B-9</v>
          </cell>
          <cell r="C1152" t="str">
            <v>ONE STAR</v>
          </cell>
          <cell r="D1152" t="str">
            <v>皮</v>
          </cell>
        </row>
        <row r="1153">
          <cell r="A1153" t="str">
            <v>163248C</v>
          </cell>
          <cell r="B1153" t="str">
            <v>LY-OS119U-B-9</v>
          </cell>
          <cell r="C1153" t="str">
            <v>ONE STAR</v>
          </cell>
          <cell r="D1153" t="str">
            <v>皮</v>
          </cell>
        </row>
        <row r="1154">
          <cell r="A1154" t="str">
            <v>163249C</v>
          </cell>
          <cell r="B1154" t="str">
            <v>LY-OS119U-B-9</v>
          </cell>
          <cell r="C1154" t="str">
            <v>ONE STAR</v>
          </cell>
          <cell r="D1154" t="str">
            <v>皮</v>
          </cell>
        </row>
        <row r="1155">
          <cell r="A1155" t="str">
            <v>163268C</v>
          </cell>
          <cell r="B1155" t="str">
            <v>LY-OS129U-B</v>
          </cell>
          <cell r="C1155" t="str">
            <v>ONE STAR ACADEMY</v>
          </cell>
          <cell r="D1155" t="str">
            <v>皮</v>
          </cell>
        </row>
        <row r="1156">
          <cell r="A1156" t="str">
            <v>163269C</v>
          </cell>
          <cell r="B1156" t="str">
            <v>LY-OS129U-B</v>
          </cell>
          <cell r="C1156" t="str">
            <v>ONE STAR ACADEMY</v>
          </cell>
          <cell r="D1156" t="str">
            <v>皮</v>
          </cell>
        </row>
        <row r="1157">
          <cell r="A1157" t="str">
            <v>163270C</v>
          </cell>
          <cell r="B1157" t="str">
            <v>LY-OS129U-B</v>
          </cell>
          <cell r="C1157" t="str">
            <v>ONE STAR ACADEMY</v>
          </cell>
          <cell r="D1157" t="str">
            <v>皮</v>
          </cell>
        </row>
        <row r="1158">
          <cell r="A1158" t="str">
            <v>163314C</v>
          </cell>
          <cell r="B1158" t="str">
            <v>LY-OS119U-4A-4</v>
          </cell>
          <cell r="C1158" t="str">
            <v>ONE STAR</v>
          </cell>
          <cell r="D1158" t="str">
            <v>布</v>
          </cell>
        </row>
        <row r="1159">
          <cell r="A1159" t="str">
            <v>163316C</v>
          </cell>
          <cell r="B1159" t="str">
            <v>LY-OS119U-4A-4</v>
          </cell>
          <cell r="C1159" t="str">
            <v>ONE STAR</v>
          </cell>
          <cell r="D1159" t="str">
            <v>布</v>
          </cell>
        </row>
        <row r="1160">
          <cell r="A1160" t="str">
            <v>163317C</v>
          </cell>
          <cell r="B1160" t="str">
            <v>LY-OS119U-4A-4</v>
          </cell>
          <cell r="C1160" t="str">
            <v>ONE STAR</v>
          </cell>
          <cell r="D1160" t="str">
            <v>布</v>
          </cell>
        </row>
        <row r="1161">
          <cell r="A1161" t="str">
            <v>163343C</v>
          </cell>
          <cell r="B1161" t="str">
            <v>LY-CTA33U-A</v>
          </cell>
          <cell r="C1161" t="str">
            <v>CHUCK 70 GORE-TEX</v>
          </cell>
          <cell r="D1161" t="str">
            <v>布</v>
          </cell>
        </row>
        <row r="1162">
          <cell r="A1162" t="str">
            <v>163344C</v>
          </cell>
          <cell r="B1162" t="str">
            <v>LY-CTA33U-A</v>
          </cell>
          <cell r="C1162" t="str">
            <v>CHUCK 70 GORE-TEX</v>
          </cell>
          <cell r="D1162" t="str">
            <v>布</v>
          </cell>
        </row>
        <row r="1163">
          <cell r="A1163" t="str">
            <v>163345C</v>
          </cell>
          <cell r="B1163" t="str">
            <v>LY-CTA32U-A</v>
          </cell>
          <cell r="C1163" t="str">
            <v>CHUCK 70 GORE-TEX</v>
          </cell>
          <cell r="D1163" t="str">
            <v>布</v>
          </cell>
        </row>
        <row r="1164">
          <cell r="A1164" t="str">
            <v>163346C</v>
          </cell>
          <cell r="B1164" t="str">
            <v>LY-CTA32U-A</v>
          </cell>
          <cell r="C1164" t="str">
            <v>CHUCK 70 GORE-TEX</v>
          </cell>
          <cell r="D1164" t="str">
            <v>布</v>
          </cell>
        </row>
        <row r="1165">
          <cell r="A1165" t="str">
            <v>163368C</v>
          </cell>
          <cell r="B1165" t="str">
            <v>LY-OS119U-4A-2</v>
          </cell>
          <cell r="C1165" t="str">
            <v>ONE STAR</v>
          </cell>
          <cell r="D1165" t="str">
            <v>布</v>
          </cell>
        </row>
        <row r="1166">
          <cell r="A1166" t="str">
            <v>163369C</v>
          </cell>
          <cell r="B1166" t="str">
            <v>LY-OS119U-4A-2</v>
          </cell>
          <cell r="C1166" t="str">
            <v>ONE STAR</v>
          </cell>
          <cell r="D1166" t="str">
            <v>布</v>
          </cell>
        </row>
        <row r="1167">
          <cell r="A1167" t="str">
            <v>163370C</v>
          </cell>
          <cell r="B1167" t="str">
            <v>LY-OS119U-4A-2</v>
          </cell>
          <cell r="C1167" t="str">
            <v>ONE STAR</v>
          </cell>
          <cell r="D1167" t="str">
            <v>布</v>
          </cell>
        </row>
        <row r="1168">
          <cell r="A1168" t="str">
            <v>163373C</v>
          </cell>
          <cell r="B1168" t="str">
            <v>LY-OS119U-B-9</v>
          </cell>
          <cell r="C1168" t="str">
            <v>ONE STAR</v>
          </cell>
          <cell r="D1168" t="str">
            <v>皮</v>
          </cell>
        </row>
        <row r="1169">
          <cell r="A1169" t="str">
            <v>163374C</v>
          </cell>
          <cell r="B1169" t="str">
            <v>LY-OS119U-B-9</v>
          </cell>
          <cell r="C1169" t="str">
            <v>ONE STAR</v>
          </cell>
          <cell r="D1169" t="str">
            <v>皮</v>
          </cell>
        </row>
        <row r="1170">
          <cell r="A1170" t="str">
            <v>163376C</v>
          </cell>
          <cell r="B1170" t="str">
            <v>LY-OS119U-4A-1</v>
          </cell>
          <cell r="C1170" t="str">
            <v>ONE STAR</v>
          </cell>
          <cell r="D1170" t="str">
            <v>布</v>
          </cell>
        </row>
        <row r="1171">
          <cell r="A1171" t="str">
            <v>163377C</v>
          </cell>
          <cell r="B1171" t="str">
            <v>LY-OS119U-4A-1</v>
          </cell>
          <cell r="C1171" t="str">
            <v>ONE STAR</v>
          </cell>
          <cell r="D1171" t="str">
            <v>布</v>
          </cell>
        </row>
        <row r="1172">
          <cell r="A1172" t="str">
            <v>163378C</v>
          </cell>
          <cell r="B1172" t="str">
            <v>LY-OS119U-4A-1</v>
          </cell>
          <cell r="C1172" t="str">
            <v>ONE STAR</v>
          </cell>
          <cell r="D1172" t="str">
            <v>布</v>
          </cell>
        </row>
        <row r="1173">
          <cell r="A1173" t="str">
            <v>163380C</v>
          </cell>
          <cell r="B1173" t="str">
            <v>LY-OS119U-4A-1</v>
          </cell>
          <cell r="C1173" t="str">
            <v>ONE STAR</v>
          </cell>
          <cell r="D1173" t="str">
            <v>布</v>
          </cell>
        </row>
        <row r="1174">
          <cell r="A1174" t="str">
            <v>163383C</v>
          </cell>
          <cell r="B1174" t="str">
            <v>LY-OS119U-B-9A</v>
          </cell>
          <cell r="C1174" t="str">
            <v>ONE STAR</v>
          </cell>
          <cell r="D1174" t="str">
            <v>皮</v>
          </cell>
        </row>
        <row r="1175">
          <cell r="A1175" t="str">
            <v>163384C</v>
          </cell>
          <cell r="B1175" t="str">
            <v>LY-OS119U-B-9A</v>
          </cell>
          <cell r="C1175" t="str">
            <v>ONE STAR</v>
          </cell>
          <cell r="D1175" t="str">
            <v>皮</v>
          </cell>
        </row>
        <row r="1176">
          <cell r="A1176" t="str">
            <v>163385C</v>
          </cell>
          <cell r="B1176" t="str">
            <v>LY-OS119U-B-9</v>
          </cell>
          <cell r="C1176" t="str">
            <v>ONE STAR</v>
          </cell>
          <cell r="D1176" t="str">
            <v>皮</v>
          </cell>
        </row>
        <row r="1177">
          <cell r="A1177" t="str">
            <v>163386C</v>
          </cell>
          <cell r="B1177" t="str">
            <v>LY-OS119U-B-9B</v>
          </cell>
          <cell r="C1177" t="str">
            <v>ONE STAR</v>
          </cell>
          <cell r="D1177" t="str">
            <v>皮</v>
          </cell>
        </row>
        <row r="1178">
          <cell r="A1178" t="str">
            <v>163757C</v>
          </cell>
          <cell r="B1178" t="str">
            <v>LY-OS129U-B</v>
          </cell>
          <cell r="C1178" t="str">
            <v>ONE STAR ACEDAMY</v>
          </cell>
          <cell r="D1178" t="str">
            <v>皮</v>
          </cell>
        </row>
        <row r="1179">
          <cell r="A1179" t="str">
            <v>163758C</v>
          </cell>
          <cell r="B1179" t="str">
            <v>LY-OS129U-B</v>
          </cell>
          <cell r="C1179" t="str">
            <v>ONE STAR ACEDAMY</v>
          </cell>
          <cell r="D1179" t="str">
            <v>皮</v>
          </cell>
        </row>
        <row r="1180">
          <cell r="A1180" t="str">
            <v>163777C</v>
          </cell>
          <cell r="B1180" t="str">
            <v>LY-CTAS HI CR XXX-23B</v>
          </cell>
          <cell r="C1180" t="str">
            <v>CHUCK TAYLOR ALL STAR</v>
          </cell>
          <cell r="D1180" t="str">
            <v>皮</v>
          </cell>
        </row>
        <row r="1181">
          <cell r="A1181" t="str">
            <v>163810C</v>
          </cell>
          <cell r="B1181" t="str">
            <v>LY-OS119U-10B-B</v>
          </cell>
          <cell r="C1181" t="str">
            <v>ONE STAR</v>
          </cell>
          <cell r="D1181" t="str">
            <v>皮</v>
          </cell>
        </row>
        <row r="1182">
          <cell r="A1182" t="str">
            <v>163811C</v>
          </cell>
          <cell r="B1182" t="str">
            <v>LY-OS119U-10B-B</v>
          </cell>
          <cell r="C1182" t="str">
            <v>ONE STAR</v>
          </cell>
          <cell r="D1182" t="str">
            <v>皮</v>
          </cell>
        </row>
        <row r="1183">
          <cell r="A1183" t="str">
            <v>163812C</v>
          </cell>
          <cell r="B1183" t="str">
            <v>LY-OS119U-10B-B</v>
          </cell>
          <cell r="C1183" t="str">
            <v>ONE STAR</v>
          </cell>
          <cell r="D1183" t="str">
            <v>皮</v>
          </cell>
        </row>
        <row r="1184">
          <cell r="A1184" t="str">
            <v>163813C</v>
          </cell>
          <cell r="B1184" t="str">
            <v>LY-OS119U-10B-B</v>
          </cell>
          <cell r="C1184" t="str">
            <v>ONE STAR</v>
          </cell>
          <cell r="D1184" t="str">
            <v>皮</v>
          </cell>
        </row>
        <row r="1185">
          <cell r="A1185" t="str">
            <v>163904C</v>
          </cell>
          <cell r="B1185" t="str">
            <v>LY-OS119U-13B-B</v>
          </cell>
          <cell r="C1185" t="str">
            <v>ONE STAR</v>
          </cell>
          <cell r="D1185" t="str">
            <v>皮</v>
          </cell>
        </row>
        <row r="1186">
          <cell r="A1186" t="str">
            <v>163905C</v>
          </cell>
          <cell r="B1186" t="str">
            <v>LY-OS119U-13B-B</v>
          </cell>
          <cell r="C1186" t="str">
            <v>ONE STAR</v>
          </cell>
          <cell r="D1186" t="str">
            <v>皮</v>
          </cell>
        </row>
        <row r="1187">
          <cell r="A1187" t="str">
            <v>164013C</v>
          </cell>
          <cell r="B1187" t="str">
            <v>LY-CTA33U-1A</v>
          </cell>
          <cell r="C1187" t="str">
            <v>CHUCK 70 GORE-TEX</v>
          </cell>
          <cell r="D1187" t="str">
            <v>布</v>
          </cell>
        </row>
        <row r="1188">
          <cell r="A1188" t="str">
            <v>164014C</v>
          </cell>
          <cell r="B1188" t="str">
            <v>LY-CTA33U-1A</v>
          </cell>
          <cell r="C1188" t="str">
            <v>CHUCK 70 GORE-TEX</v>
          </cell>
          <cell r="D1188" t="str">
            <v>布</v>
          </cell>
        </row>
        <row r="1189">
          <cell r="A1189" t="str">
            <v>164015C</v>
          </cell>
          <cell r="B1189" t="str">
            <v>LY-CTAS OX CR-XXX-34A</v>
          </cell>
          <cell r="C1189" t="str">
            <v>CHUCK TAYLOR ALL STAR</v>
          </cell>
          <cell r="D1189" t="str">
            <v>布</v>
          </cell>
        </row>
        <row r="1190">
          <cell r="A1190" t="str">
            <v>164016C</v>
          </cell>
          <cell r="B1190" t="str">
            <v>LY-CTAS OX CR-XXX-34A</v>
          </cell>
          <cell r="C1190" t="str">
            <v>CHUCK TAYLOR ALL STAR</v>
          </cell>
          <cell r="D1190" t="str">
            <v>布</v>
          </cell>
        </row>
        <row r="1191">
          <cell r="A1191" t="str">
            <v>164017C</v>
          </cell>
          <cell r="B1191" t="str">
            <v>LY-CTAS OX CR-XXX-24B</v>
          </cell>
          <cell r="C1191" t="str">
            <v>CHUCK TAYLOR ALL STAR</v>
          </cell>
          <cell r="D1191" t="str">
            <v>皮</v>
          </cell>
        </row>
        <row r="1192">
          <cell r="A1192" t="str">
            <v>164018C</v>
          </cell>
          <cell r="B1192" t="str">
            <v>LY-CTAS OX CR-XXX-24B</v>
          </cell>
          <cell r="C1192" t="str">
            <v>CHUCK TAYLOR ALL STAR</v>
          </cell>
          <cell r="D1192" t="str">
            <v>皮</v>
          </cell>
        </row>
        <row r="1193">
          <cell r="A1193" t="str">
            <v>164023C</v>
          </cell>
          <cell r="B1193" t="str">
            <v>LY-OS128U-1B</v>
          </cell>
          <cell r="C1193" t="str">
            <v>GOLF LE FLEUR</v>
          </cell>
          <cell r="D1193" t="str">
            <v>皮</v>
          </cell>
        </row>
        <row r="1194">
          <cell r="A1194" t="str">
            <v>164024C</v>
          </cell>
          <cell r="B1194" t="str">
            <v>LY-OS128U-1B</v>
          </cell>
          <cell r="C1194" t="str">
            <v>GOLF LE FLEUR</v>
          </cell>
          <cell r="D1194" t="str">
            <v>皮</v>
          </cell>
        </row>
        <row r="1195">
          <cell r="A1195" t="str">
            <v>164025C</v>
          </cell>
          <cell r="B1195" t="str">
            <v>LY-OS128U-2B</v>
          </cell>
          <cell r="C1195" t="str">
            <v>GOLF LE FLEUR OX</v>
          </cell>
          <cell r="D1195" t="str">
            <v>皮</v>
          </cell>
        </row>
        <row r="1196">
          <cell r="A1196" t="str">
            <v>164026C</v>
          </cell>
          <cell r="B1196" t="str">
            <v>LY-OS128U-2B</v>
          </cell>
          <cell r="C1196" t="str">
            <v>GOLF LE FLEUR OX</v>
          </cell>
          <cell r="D1196" t="str">
            <v>皮</v>
          </cell>
        </row>
        <row r="1197">
          <cell r="A1197" t="str">
            <v>164058C</v>
          </cell>
          <cell r="B1197" t="str">
            <v>LY-SA384U-A-4</v>
          </cell>
          <cell r="C1197" t="str">
            <v>CONVERSE COURTLANDT</v>
          </cell>
          <cell r="D1197" t="str">
            <v>布+星星月亮</v>
          </cell>
        </row>
        <row r="1198">
          <cell r="A1198" t="str">
            <v>164059C</v>
          </cell>
          <cell r="B1198" t="str">
            <v>LY-SA384U-A-4</v>
          </cell>
          <cell r="C1198" t="str">
            <v>CONVERSE COURTLANDT</v>
          </cell>
          <cell r="D1198" t="str">
            <v>布+星星月亮</v>
          </cell>
        </row>
        <row r="1199">
          <cell r="A1199" t="str">
            <v>164060C</v>
          </cell>
          <cell r="B1199" t="str">
            <v>LY-SA384U-A-4</v>
          </cell>
          <cell r="C1199" t="str">
            <v>CONVERSE COURTLANDT</v>
          </cell>
          <cell r="D1199" t="str">
            <v>布+星星月亮</v>
          </cell>
        </row>
        <row r="1200">
          <cell r="A1200" t="str">
            <v>164101C</v>
          </cell>
          <cell r="B1200" t="str">
            <v>LY-JP140U-2A</v>
          </cell>
          <cell r="C1200" t="str">
            <v>JACK PURCELL GOLD STANDARD</v>
          </cell>
          <cell r="D1200" t="str">
            <v>布</v>
          </cell>
        </row>
        <row r="1201">
          <cell r="A1201" t="str">
            <v>164102C</v>
          </cell>
          <cell r="B1201" t="str">
            <v>LY-JP140U-2A</v>
          </cell>
          <cell r="C1201" t="str">
            <v>JP OX</v>
          </cell>
          <cell r="D1201" t="str">
            <v>布</v>
          </cell>
        </row>
        <row r="1202">
          <cell r="A1202" t="str">
            <v>164103C</v>
          </cell>
          <cell r="B1202" t="str">
            <v>LY-JP140U-2A</v>
          </cell>
          <cell r="C1202" t="str">
            <v>JACK PURCELL GOLD STANDARD</v>
          </cell>
          <cell r="D1202" t="str">
            <v>布</v>
          </cell>
        </row>
        <row r="1203">
          <cell r="A1203" t="str">
            <v>164217C</v>
          </cell>
          <cell r="B1203" t="str">
            <v>LY-OS119U-B-9</v>
          </cell>
          <cell r="C1203" t="str">
            <v>ONE STAR</v>
          </cell>
          <cell r="D1203" t="str">
            <v>皮</v>
          </cell>
        </row>
        <row r="1204">
          <cell r="A1204" t="str">
            <v>164218C</v>
          </cell>
          <cell r="B1204" t="str">
            <v>LY-OS119U-B-9</v>
          </cell>
          <cell r="C1204" t="str">
            <v>ONE STAR</v>
          </cell>
          <cell r="D1204" t="str">
            <v>皮</v>
          </cell>
        </row>
        <row r="1205">
          <cell r="A1205" t="str">
            <v>164219C</v>
          </cell>
          <cell r="B1205" t="str">
            <v>LY-OS119U-B-9</v>
          </cell>
          <cell r="C1205" t="str">
            <v>ONE STAR</v>
          </cell>
          <cell r="D1205" t="str">
            <v>皮</v>
          </cell>
        </row>
        <row r="1206">
          <cell r="A1206" t="str">
            <v>164220C</v>
          </cell>
          <cell r="B1206" t="str">
            <v>LY-OS119U-B-9</v>
          </cell>
          <cell r="C1206" t="str">
            <v>ONE STAR</v>
          </cell>
          <cell r="D1206" t="str">
            <v>皮</v>
          </cell>
        </row>
        <row r="1207">
          <cell r="A1207" t="str">
            <v>164221C</v>
          </cell>
          <cell r="B1207" t="str">
            <v>LY-OS119U-3A-5</v>
          </cell>
          <cell r="C1207" t="str">
            <v>ONE STAR OX</v>
          </cell>
          <cell r="D1207" t="str">
            <v>布</v>
          </cell>
        </row>
        <row r="1208">
          <cell r="A1208" t="str">
            <v>164223C</v>
          </cell>
          <cell r="B1208" t="str">
            <v>LY-OS119U-3A-5</v>
          </cell>
          <cell r="C1208" t="str">
            <v>ONE STAR OX</v>
          </cell>
          <cell r="D1208" t="str">
            <v>布</v>
          </cell>
        </row>
        <row r="1209">
          <cell r="A1209" t="str">
            <v>164280C</v>
          </cell>
          <cell r="B1209" t="str">
            <v>LY-SK032U-4A</v>
          </cell>
          <cell r="C1209" t="str">
            <v>CONVERSE EL DISTRITO</v>
          </cell>
          <cell r="D1209" t="str">
            <v>布+星星月亮</v>
          </cell>
        </row>
        <row r="1210">
          <cell r="A1210" t="str">
            <v>164281C</v>
          </cell>
          <cell r="B1210" t="str">
            <v>LY-SK032U-4A</v>
          </cell>
          <cell r="C1210" t="str">
            <v>CONVERSE EL DISTRITO</v>
          </cell>
          <cell r="D1210" t="str">
            <v>布+星星月亮</v>
          </cell>
        </row>
        <row r="1211">
          <cell r="A1211" t="str">
            <v>164282C</v>
          </cell>
          <cell r="B1211" t="str">
            <v>LY-SK032U-4A</v>
          </cell>
          <cell r="C1211" t="str">
            <v>CONVERSE EL DISTRITO</v>
          </cell>
          <cell r="D1211" t="str">
            <v>布+星星月亮</v>
          </cell>
        </row>
        <row r="1212">
          <cell r="A1212" t="str">
            <v>164358C</v>
          </cell>
          <cell r="B1212" t="str">
            <v>LY-OS119U-3A-6</v>
          </cell>
          <cell r="C1212" t="str">
            <v>ONE STAR</v>
          </cell>
          <cell r="D1212" t="str">
            <v>布</v>
          </cell>
        </row>
        <row r="1213">
          <cell r="A1213" t="str">
            <v>164359C</v>
          </cell>
          <cell r="B1213" t="str">
            <v>LY-OS119U-3A-6</v>
          </cell>
          <cell r="C1213" t="str">
            <v>ONE STAR</v>
          </cell>
          <cell r="D1213" t="str">
            <v>布</v>
          </cell>
        </row>
        <row r="1214">
          <cell r="A1214" t="str">
            <v>164360C</v>
          </cell>
          <cell r="B1214" t="str">
            <v>LY-OS119U-3A-6</v>
          </cell>
          <cell r="C1214" t="str">
            <v>ONE STAR</v>
          </cell>
          <cell r="D1214" t="str">
            <v>布</v>
          </cell>
        </row>
        <row r="1215">
          <cell r="A1215" t="str">
            <v>164361C</v>
          </cell>
          <cell r="B1215" t="str">
            <v>LY-OS119U-3A-6</v>
          </cell>
          <cell r="C1215" t="str">
            <v>ONE STAR</v>
          </cell>
          <cell r="D1215" t="str">
            <v>布</v>
          </cell>
        </row>
        <row r="1216">
          <cell r="A1216" t="str">
            <v>164362C</v>
          </cell>
          <cell r="B1216" t="str">
            <v>LY-OS119U-3A-6</v>
          </cell>
          <cell r="C1216" t="str">
            <v>ONE STAR</v>
          </cell>
          <cell r="D1216" t="str">
            <v>布</v>
          </cell>
        </row>
        <row r="1217">
          <cell r="A1217" t="str">
            <v>164363C</v>
          </cell>
          <cell r="B1217" t="str">
            <v>LY-OS119U-4A-1</v>
          </cell>
          <cell r="C1217" t="str">
            <v>ONE STAR</v>
          </cell>
          <cell r="D1217" t="str">
            <v>布</v>
          </cell>
        </row>
        <row r="1218">
          <cell r="A1218" t="str">
            <v>164390C</v>
          </cell>
          <cell r="B1218" t="str">
            <v>LY-OS129U-B</v>
          </cell>
          <cell r="C1218" t="str">
            <v>ONE STAR ACADEMY</v>
          </cell>
          <cell r="D1218" t="str">
            <v>皮</v>
          </cell>
        </row>
        <row r="1219">
          <cell r="A1219" t="str">
            <v>164391C</v>
          </cell>
          <cell r="B1219" t="str">
            <v>LY-OS129U-B</v>
          </cell>
          <cell r="C1219" t="str">
            <v>ONE STAR ACADEMY</v>
          </cell>
          <cell r="D1219" t="str">
            <v>皮</v>
          </cell>
        </row>
        <row r="1220">
          <cell r="A1220" t="str">
            <v>164392C</v>
          </cell>
          <cell r="B1220" t="str">
            <v>LY-OS129U-B</v>
          </cell>
          <cell r="C1220" t="str">
            <v>ONE STAR ACADEMY</v>
          </cell>
          <cell r="D1220" t="str">
            <v>皮</v>
          </cell>
        </row>
        <row r="1221">
          <cell r="A1221" t="str">
            <v>164393C</v>
          </cell>
          <cell r="B1221" t="str">
            <v>LY-OS129U-B</v>
          </cell>
          <cell r="C1221" t="str">
            <v>ONE STAR ACADEMY</v>
          </cell>
          <cell r="D1221" t="str">
            <v>皮</v>
          </cell>
        </row>
        <row r="1222">
          <cell r="A1222" t="str">
            <v>164473C</v>
          </cell>
          <cell r="B1222" t="str">
            <v>LY-OS126U-3B</v>
          </cell>
          <cell r="C1222" t="str">
            <v>ONE STAR</v>
          </cell>
          <cell r="D1222" t="str">
            <v>皮</v>
          </cell>
        </row>
        <row r="1223">
          <cell r="A1223" t="str">
            <v>164525C</v>
          </cell>
          <cell r="B1223" t="str">
            <v>LY-OS129U-B</v>
          </cell>
          <cell r="C1223" t="str">
            <v>ONE STAR ACADEMY</v>
          </cell>
          <cell r="D1223" t="str">
            <v>皮</v>
          </cell>
        </row>
        <row r="1224">
          <cell r="A1224" t="str">
            <v>164533C</v>
          </cell>
          <cell r="B1224" t="str">
            <v>LY-OS119U-3A-4</v>
          </cell>
          <cell r="C1224" t="str">
            <v>ONE STAR</v>
          </cell>
          <cell r="D1224" t="str">
            <v>布</v>
          </cell>
        </row>
        <row r="1225">
          <cell r="A1225" t="str">
            <v>164534C</v>
          </cell>
          <cell r="B1225" t="str">
            <v>LY-JP140U-1A</v>
          </cell>
          <cell r="C1225" t="str">
            <v>JACK PURCELL GOLD STANDARD</v>
          </cell>
          <cell r="D1225" t="str">
            <v>布</v>
          </cell>
        </row>
        <row r="1226">
          <cell r="A1226" t="str">
            <v>164605C</v>
          </cell>
          <cell r="B1226" t="str">
            <v>LY-OS119U-8A-3</v>
          </cell>
          <cell r="C1226" t="str">
            <v>ONE STAR OX</v>
          </cell>
          <cell r="D1226" t="str">
            <v>布</v>
          </cell>
        </row>
        <row r="1227">
          <cell r="A1227" t="str">
            <v>164606C</v>
          </cell>
          <cell r="B1227" t="str">
            <v>LY-OS119U-8A-3</v>
          </cell>
          <cell r="C1227" t="str">
            <v>ONE STAR OX</v>
          </cell>
          <cell r="D1227" t="str">
            <v>布</v>
          </cell>
        </row>
        <row r="1228">
          <cell r="A1228" t="str">
            <v>164607C</v>
          </cell>
          <cell r="B1228" t="str">
            <v>LY-OS119U-8A-3</v>
          </cell>
          <cell r="C1228" t="str">
            <v>ONE STAR OX</v>
          </cell>
          <cell r="D1228" t="str">
            <v>布</v>
          </cell>
        </row>
        <row r="1229">
          <cell r="A1229" t="str">
            <v>165524C</v>
          </cell>
          <cell r="B1229" t="str">
            <v>LY-OS128U-3B</v>
          </cell>
          <cell r="C1229" t="str">
            <v>GOLF LE FLEUR</v>
          </cell>
          <cell r="D1229" t="str">
            <v>皮</v>
          </cell>
        </row>
        <row r="1230">
          <cell r="A1230" t="str">
            <v>165525C</v>
          </cell>
          <cell r="B1230" t="str">
            <v>LY-OS128U-3B</v>
          </cell>
          <cell r="C1230" t="str">
            <v>GOLF LE FLEUR</v>
          </cell>
          <cell r="D1230" t="str">
            <v>皮</v>
          </cell>
        </row>
        <row r="1231">
          <cell r="A1231" t="str">
            <v>165526C</v>
          </cell>
          <cell r="B1231" t="str">
            <v>LY-OS128U-3B</v>
          </cell>
          <cell r="C1231" t="str">
            <v>GOLF LE FLEUR</v>
          </cell>
          <cell r="D1231" t="str">
            <v>皮</v>
          </cell>
        </row>
        <row r="1232">
          <cell r="A1232" t="str">
            <v>165598C</v>
          </cell>
          <cell r="B1232" t="str">
            <v>LY-OS128U-1A</v>
          </cell>
          <cell r="C1232" t="str">
            <v>GOLF LE FLEUR OX</v>
          </cell>
          <cell r="D1232" t="str">
            <v>布</v>
          </cell>
        </row>
        <row r="1233">
          <cell r="A1233" t="str">
            <v>165599C</v>
          </cell>
          <cell r="B1233" t="str">
            <v>LY-OS128U-1A</v>
          </cell>
          <cell r="C1233" t="str">
            <v>GOLF LE FLEUR OX</v>
          </cell>
          <cell r="D1233" t="str">
            <v>布</v>
          </cell>
        </row>
        <row r="1234">
          <cell r="A1234" t="str">
            <v>1J793/AJ793</v>
          </cell>
          <cell r="B1234" t="str">
            <v>LY-CT AS HI CR-XXX</v>
          </cell>
          <cell r="C1234" t="str">
            <v>CT A/S SEASNL HI</v>
          </cell>
          <cell r="D1234" t="str">
            <v>基本型體</v>
          </cell>
        </row>
        <row r="1235">
          <cell r="A1235" t="str">
            <v>1J793C/AJ793C</v>
          </cell>
          <cell r="B1235" t="str">
            <v>LY-CT AS HI CR-XXX</v>
          </cell>
          <cell r="C1235" t="str">
            <v>CT A/S SEASNL HI</v>
          </cell>
          <cell r="D1235" t="str">
            <v>基本型體</v>
          </cell>
        </row>
        <row r="1236">
          <cell r="A1236" t="str">
            <v>1J794</v>
          </cell>
          <cell r="B1236" t="str">
            <v>LY-CT AS OX CR-XXX</v>
          </cell>
          <cell r="C1236" t="str">
            <v>ALL STAR OX</v>
          </cell>
          <cell r="D1236" t="str">
            <v>基本型體</v>
          </cell>
        </row>
        <row r="1237">
          <cell r="A1237" t="str">
            <v>1J794/AJ794</v>
          </cell>
          <cell r="B1237" t="str">
            <v>LY-CT AS OX CR-XXX</v>
          </cell>
          <cell r="C1237" t="str">
            <v>CT A/S SEASNL OX</v>
          </cell>
          <cell r="D1237" t="str">
            <v>基本型體</v>
          </cell>
        </row>
        <row r="1238">
          <cell r="A1238" t="str">
            <v>1J794C</v>
          </cell>
          <cell r="B1238" t="str">
            <v>LY-CT AS OX CR-XXX</v>
          </cell>
          <cell r="C1238" t="str">
            <v>ALL STAR OX</v>
          </cell>
          <cell r="D1238" t="str">
            <v>基本型體</v>
          </cell>
        </row>
        <row r="1239">
          <cell r="A1239" t="str">
            <v>1J794C/AJ794C</v>
          </cell>
          <cell r="B1239" t="str">
            <v>LY-CT AS OX CR-XXX</v>
          </cell>
          <cell r="C1239" t="str">
            <v>CT A/S SEASNL OX</v>
          </cell>
          <cell r="D1239" t="str">
            <v>基本型體</v>
          </cell>
        </row>
        <row r="1240">
          <cell r="A1240" t="str">
            <v>1NHS1000</v>
          </cell>
          <cell r="B1240" t="str">
            <v>LY-001-1B</v>
          </cell>
          <cell r="C1240" t="str">
            <v>SEASONAL COLOR</v>
          </cell>
          <cell r="D1240" t="str">
            <v>皮</v>
          </cell>
        </row>
        <row r="1241">
          <cell r="A1241" t="str">
            <v>1NHS1001</v>
          </cell>
          <cell r="B1241" t="str">
            <v>LY-001-1B</v>
          </cell>
          <cell r="C1241" t="str">
            <v>SEASONAL COLOR</v>
          </cell>
          <cell r="D1241" t="str">
            <v>皮</v>
          </cell>
        </row>
        <row r="1242">
          <cell r="A1242" t="str">
            <v>1NHS1003</v>
          </cell>
          <cell r="B1242" t="str">
            <v>LY-001-1B</v>
          </cell>
          <cell r="C1242" t="str">
            <v>SEASONAL COLOR</v>
          </cell>
          <cell r="D1242" t="str">
            <v>皮</v>
          </cell>
        </row>
        <row r="1243">
          <cell r="A1243" t="str">
            <v>1NHS1004</v>
          </cell>
          <cell r="B1243" t="str">
            <v>LY-001-1B</v>
          </cell>
          <cell r="C1243" t="str">
            <v>SEASONAL COLOR</v>
          </cell>
          <cell r="D1243" t="str">
            <v>皮</v>
          </cell>
        </row>
        <row r="1244">
          <cell r="A1244" t="str">
            <v>1NHS1011</v>
          </cell>
          <cell r="B1244" t="str">
            <v>LY-001-1B</v>
          </cell>
          <cell r="C1244" t="str">
            <v>CONVERSE PRINT</v>
          </cell>
          <cell r="D1244" t="str">
            <v>皮</v>
          </cell>
        </row>
        <row r="1245">
          <cell r="A1245" t="str">
            <v>1NHS1016</v>
          </cell>
          <cell r="B1245" t="str">
            <v>LY-001-1B</v>
          </cell>
          <cell r="C1245" t="str">
            <v>CONVERSE PRINT</v>
          </cell>
          <cell r="D1245" t="str">
            <v>皮</v>
          </cell>
        </row>
        <row r="1246">
          <cell r="A1246" t="str">
            <v>1NHS1019</v>
          </cell>
          <cell r="B1246" t="str">
            <v>LY-001-1B</v>
          </cell>
          <cell r="C1246" t="str">
            <v>SEASONAL COLOR</v>
          </cell>
          <cell r="D1246" t="str">
            <v>皮</v>
          </cell>
        </row>
        <row r="1247">
          <cell r="A1247" t="str">
            <v>1NHS1020</v>
          </cell>
          <cell r="B1247" t="str">
            <v>LY-001-1B</v>
          </cell>
          <cell r="C1247" t="str">
            <v>SEASONAL COLOR</v>
          </cell>
          <cell r="D1247" t="str">
            <v>皮</v>
          </cell>
        </row>
        <row r="1248">
          <cell r="A1248" t="str">
            <v>1NHS1021</v>
          </cell>
          <cell r="B1248" t="str">
            <v>LY-001-1B</v>
          </cell>
          <cell r="C1248" t="str">
            <v>SEASONAL COLOR</v>
          </cell>
          <cell r="D1248" t="str">
            <v>皮</v>
          </cell>
        </row>
        <row r="1249">
          <cell r="A1249" t="str">
            <v>1NHS1024</v>
          </cell>
          <cell r="B1249" t="str">
            <v>LY-001-1B</v>
          </cell>
          <cell r="C1249" t="str">
            <v>CONVERSE LEATHER</v>
          </cell>
          <cell r="D1249" t="str">
            <v>皮</v>
          </cell>
        </row>
        <row r="1250">
          <cell r="A1250" t="str">
            <v>1NHS1025</v>
          </cell>
          <cell r="B1250" t="str">
            <v>LY-001-1B</v>
          </cell>
          <cell r="C1250" t="str">
            <v>CONVERSE LEATHER</v>
          </cell>
          <cell r="D1250" t="str">
            <v>皮</v>
          </cell>
        </row>
        <row r="1251">
          <cell r="A1251" t="str">
            <v>1NHS1026</v>
          </cell>
          <cell r="B1251" t="str">
            <v>LY-001-1B</v>
          </cell>
          <cell r="C1251" t="str">
            <v>CONVERSE LEATHER</v>
          </cell>
          <cell r="D1251" t="str">
            <v>皮</v>
          </cell>
        </row>
        <row r="1252">
          <cell r="A1252" t="str">
            <v>1NHS1027</v>
          </cell>
          <cell r="B1252" t="str">
            <v>LY-001-1B</v>
          </cell>
          <cell r="C1252" t="str">
            <v>CONVERSE LEATHER</v>
          </cell>
          <cell r="D1252" t="str">
            <v>皮</v>
          </cell>
        </row>
        <row r="1253">
          <cell r="A1253" t="str">
            <v>1NHS1028</v>
          </cell>
          <cell r="B1253" t="str">
            <v>LY-001-1B</v>
          </cell>
          <cell r="C1253" t="str">
            <v>CONVERSE LEATHER</v>
          </cell>
          <cell r="D1253" t="str">
            <v>皮</v>
          </cell>
        </row>
        <row r="1254">
          <cell r="A1254" t="str">
            <v>1NHS1032</v>
          </cell>
          <cell r="B1254" t="str">
            <v>LY-001-1B</v>
          </cell>
          <cell r="C1254" t="str">
            <v>CONVERSE PRINT</v>
          </cell>
          <cell r="D1254" t="str">
            <v>布</v>
          </cell>
        </row>
        <row r="1255">
          <cell r="A1255" t="str">
            <v>1NHS1033</v>
          </cell>
          <cell r="B1255" t="str">
            <v>LY-001-1B</v>
          </cell>
          <cell r="C1255" t="str">
            <v>CONVERSE PRINT</v>
          </cell>
          <cell r="D1255" t="str">
            <v>布</v>
          </cell>
        </row>
        <row r="1256">
          <cell r="A1256" t="str">
            <v>1NHS1035</v>
          </cell>
          <cell r="B1256" t="str">
            <v>LY-001-1B</v>
          </cell>
          <cell r="C1256" t="str">
            <v>AMERICANA</v>
          </cell>
          <cell r="D1256" t="str">
            <v>布</v>
          </cell>
        </row>
        <row r="1257">
          <cell r="A1257" t="str">
            <v>1NHS1036</v>
          </cell>
          <cell r="B1257" t="str">
            <v>LY-001-1B</v>
          </cell>
          <cell r="C1257" t="str">
            <v>AMERICANA</v>
          </cell>
          <cell r="D1257" t="str">
            <v>布</v>
          </cell>
        </row>
        <row r="1258">
          <cell r="A1258" t="str">
            <v>1NHS1037</v>
          </cell>
          <cell r="B1258" t="str">
            <v>LY-001-1B</v>
          </cell>
          <cell r="C1258" t="str">
            <v>AMERICANA</v>
          </cell>
          <cell r="D1258" t="str">
            <v>布</v>
          </cell>
        </row>
        <row r="1259">
          <cell r="A1259" t="str">
            <v>1NHS1044</v>
          </cell>
          <cell r="B1259" t="str">
            <v>LY-001-1B</v>
          </cell>
          <cell r="C1259" t="str">
            <v>SEASONAL COLOR</v>
          </cell>
          <cell r="D1259" t="str">
            <v>布</v>
          </cell>
        </row>
        <row r="1260">
          <cell r="A1260" t="str">
            <v>1NHS1048</v>
          </cell>
          <cell r="B1260" t="str">
            <v>LY-001-1B</v>
          </cell>
          <cell r="C1260" t="str">
            <v>SEASONAL COLOR</v>
          </cell>
          <cell r="D1260" t="str">
            <v>布</v>
          </cell>
        </row>
        <row r="1261">
          <cell r="A1261" t="str">
            <v>1NHS1049</v>
          </cell>
          <cell r="B1261" t="str">
            <v>LY-001-1B</v>
          </cell>
          <cell r="C1261" t="str">
            <v>CONVERSE LEATHER</v>
          </cell>
          <cell r="D1261" t="str">
            <v>皮</v>
          </cell>
        </row>
        <row r="1262">
          <cell r="A1262" t="str">
            <v>1NHS1051</v>
          </cell>
          <cell r="B1262" t="str">
            <v>LY-001-1B</v>
          </cell>
          <cell r="C1262" t="str">
            <v>CONVERSE PRINT</v>
          </cell>
          <cell r="D1262" t="str">
            <v>布</v>
          </cell>
        </row>
        <row r="1263">
          <cell r="A1263" t="str">
            <v>1NHS1053</v>
          </cell>
          <cell r="B1263" t="str">
            <v>LY-001-1B</v>
          </cell>
          <cell r="C1263" t="str">
            <v>CONVERSE PRINT</v>
          </cell>
          <cell r="D1263" t="str">
            <v>布</v>
          </cell>
        </row>
        <row r="1264">
          <cell r="A1264" t="str">
            <v>1NHS1057</v>
          </cell>
          <cell r="B1264" t="str">
            <v>LY-001-1B</v>
          </cell>
          <cell r="C1264" t="str">
            <v>CONVERSE PRINT</v>
          </cell>
          <cell r="D1264" t="str">
            <v>布</v>
          </cell>
        </row>
        <row r="1265">
          <cell r="A1265" t="str">
            <v>1NHS1058</v>
          </cell>
          <cell r="B1265" t="str">
            <v>LY-001-1B</v>
          </cell>
          <cell r="C1265" t="str">
            <v>CONVERSE PRINT</v>
          </cell>
          <cell r="D1265" t="str">
            <v>布</v>
          </cell>
        </row>
        <row r="1266">
          <cell r="A1266" t="str">
            <v>1NHS1064</v>
          </cell>
          <cell r="B1266" t="str">
            <v>LY-001-1B</v>
          </cell>
          <cell r="C1266" t="str">
            <v>CONVERSE PRINT</v>
          </cell>
          <cell r="D1266" t="str">
            <v>布</v>
          </cell>
        </row>
        <row r="1267">
          <cell r="A1267" t="str">
            <v>1NHS1065</v>
          </cell>
          <cell r="B1267" t="str">
            <v>LY-001-1B</v>
          </cell>
          <cell r="C1267" t="str">
            <v>CONVERSE PRINT</v>
          </cell>
          <cell r="D1267" t="str">
            <v>布</v>
          </cell>
        </row>
        <row r="1268">
          <cell r="A1268" t="str">
            <v>1NHS1066</v>
          </cell>
          <cell r="B1268" t="str">
            <v>LY-001-2B</v>
          </cell>
          <cell r="C1268" t="str">
            <v>SEASONAL COLOR</v>
          </cell>
          <cell r="D1268" t="str">
            <v>布</v>
          </cell>
        </row>
        <row r="1269">
          <cell r="A1269" t="str">
            <v>1NHS1067</v>
          </cell>
          <cell r="B1269" t="str">
            <v>LY-001-2B</v>
          </cell>
          <cell r="C1269" t="str">
            <v>SEASONAL COLOR</v>
          </cell>
          <cell r="D1269" t="str">
            <v>布</v>
          </cell>
        </row>
        <row r="1270">
          <cell r="A1270" t="str">
            <v>1NHS1068</v>
          </cell>
          <cell r="B1270" t="str">
            <v>LY-001-2B</v>
          </cell>
          <cell r="C1270" t="str">
            <v>SEASONAL COLOR</v>
          </cell>
          <cell r="D1270" t="str">
            <v>布</v>
          </cell>
        </row>
        <row r="1271">
          <cell r="A1271" t="str">
            <v>1NHS1069</v>
          </cell>
          <cell r="B1271" t="str">
            <v>LY-001-1B</v>
          </cell>
          <cell r="C1271" t="str">
            <v>SEASONAL COLOR</v>
          </cell>
          <cell r="D1271" t="str">
            <v>布</v>
          </cell>
        </row>
        <row r="1272">
          <cell r="A1272" t="str">
            <v>1NHS1070</v>
          </cell>
          <cell r="B1272" t="str">
            <v>LY-001-1B</v>
          </cell>
          <cell r="C1272" t="str">
            <v>SEASONAL COLOR</v>
          </cell>
          <cell r="D1272" t="str">
            <v>布</v>
          </cell>
        </row>
        <row r="1273">
          <cell r="A1273" t="str">
            <v>1NHS1077</v>
          </cell>
          <cell r="B1273" t="str">
            <v>LY-001-1B</v>
          </cell>
          <cell r="C1273" t="str">
            <v>SEASONAL COLOR</v>
          </cell>
          <cell r="D1273" t="str">
            <v>布</v>
          </cell>
        </row>
        <row r="1274">
          <cell r="A1274" t="str">
            <v>1NHS1078</v>
          </cell>
          <cell r="B1274" t="str">
            <v>LY-001-1B</v>
          </cell>
          <cell r="C1274" t="str">
            <v>SEASONAL COLOR</v>
          </cell>
          <cell r="D1274" t="str">
            <v>布</v>
          </cell>
        </row>
        <row r="1275">
          <cell r="A1275" t="str">
            <v>1NHS845</v>
          </cell>
          <cell r="B1275" t="str">
            <v>LY-001-1B</v>
          </cell>
          <cell r="C1275" t="str">
            <v>SEASONAL COLOR-CORE PLUS</v>
          </cell>
          <cell r="D1275" t="str">
            <v>布</v>
          </cell>
        </row>
        <row r="1276">
          <cell r="A1276" t="str">
            <v>1NHS848</v>
          </cell>
          <cell r="B1276" t="str">
            <v>LY-001-1B</v>
          </cell>
          <cell r="C1276" t="str">
            <v>CONVERSE PRINT</v>
          </cell>
          <cell r="D1276" t="str">
            <v>布</v>
          </cell>
        </row>
        <row r="1277">
          <cell r="A1277" t="str">
            <v>1NHS849</v>
          </cell>
          <cell r="B1277" t="str">
            <v>LY-001-1B</v>
          </cell>
          <cell r="C1277" t="str">
            <v>CONVERSE PRINT</v>
          </cell>
          <cell r="D1277" t="str">
            <v>布</v>
          </cell>
        </row>
        <row r="1278">
          <cell r="A1278" t="str">
            <v>1NHS892</v>
          </cell>
          <cell r="B1278" t="str">
            <v>LY-001-1B</v>
          </cell>
          <cell r="C1278" t="str">
            <v>SEASONAL COLOR</v>
          </cell>
          <cell r="D1278" t="str">
            <v>布</v>
          </cell>
        </row>
        <row r="1279">
          <cell r="A1279" t="str">
            <v>1NHS893</v>
          </cell>
          <cell r="B1279" t="str">
            <v>LY-001-1B</v>
          </cell>
          <cell r="C1279" t="str">
            <v>SEASONAL COLOR</v>
          </cell>
          <cell r="D1279" t="str">
            <v>布</v>
          </cell>
        </row>
        <row r="1280">
          <cell r="A1280" t="str">
            <v>1NHS900</v>
          </cell>
          <cell r="B1280" t="str">
            <v>LY-001-1B</v>
          </cell>
          <cell r="C1280" t="str">
            <v>CONVERSE PRINT</v>
          </cell>
          <cell r="D1280" t="str">
            <v>布</v>
          </cell>
        </row>
        <row r="1281">
          <cell r="A1281" t="str">
            <v>1NHS901</v>
          </cell>
          <cell r="B1281" t="str">
            <v>LY-001-1B</v>
          </cell>
          <cell r="C1281" t="str">
            <v>SEASONAL COLOR</v>
          </cell>
          <cell r="D1281" t="str">
            <v>布</v>
          </cell>
        </row>
        <row r="1282">
          <cell r="A1282" t="str">
            <v>1NHS903</v>
          </cell>
          <cell r="B1282" t="str">
            <v>LY-001-1B</v>
          </cell>
          <cell r="C1282" t="str">
            <v>SEASONAL COLOR</v>
          </cell>
          <cell r="D1282" t="str">
            <v>布</v>
          </cell>
        </row>
        <row r="1283">
          <cell r="A1283" t="str">
            <v>1NHS904</v>
          </cell>
          <cell r="B1283" t="str">
            <v>LY-001-1B</v>
          </cell>
          <cell r="C1283" t="str">
            <v>SEASONAL COLOR</v>
          </cell>
          <cell r="D1283" t="str">
            <v>布</v>
          </cell>
        </row>
        <row r="1284">
          <cell r="A1284" t="str">
            <v>1NHS905</v>
          </cell>
          <cell r="B1284" t="str">
            <v>LY-001-1B</v>
          </cell>
          <cell r="C1284" t="str">
            <v>CONVERSE PRINT</v>
          </cell>
          <cell r="D1284" t="str">
            <v>布</v>
          </cell>
        </row>
        <row r="1285">
          <cell r="A1285" t="str">
            <v>1NHS906</v>
          </cell>
          <cell r="B1285" t="str">
            <v>LY-001-1B</v>
          </cell>
          <cell r="C1285" t="str">
            <v>CONVERSE PRINT</v>
          </cell>
          <cell r="D1285" t="str">
            <v>布</v>
          </cell>
        </row>
        <row r="1286">
          <cell r="A1286" t="str">
            <v>1NHS907</v>
          </cell>
          <cell r="B1286" t="str">
            <v>LY-001-1B</v>
          </cell>
          <cell r="C1286" t="str">
            <v>SEASONAL COLOR</v>
          </cell>
          <cell r="D1286" t="str">
            <v>布</v>
          </cell>
        </row>
        <row r="1287">
          <cell r="A1287" t="str">
            <v>1NHS908</v>
          </cell>
          <cell r="B1287" t="str">
            <v>LY-001-1B</v>
          </cell>
          <cell r="C1287" t="str">
            <v>SEASONAL COLOR</v>
          </cell>
          <cell r="D1287" t="str">
            <v>布</v>
          </cell>
        </row>
        <row r="1288">
          <cell r="A1288" t="str">
            <v>1NHS910</v>
          </cell>
          <cell r="B1288" t="str">
            <v>LY-001-1B</v>
          </cell>
          <cell r="C1288" t="str">
            <v>CONVERSE PRINT</v>
          </cell>
          <cell r="D1288" t="str">
            <v>布</v>
          </cell>
        </row>
        <row r="1289">
          <cell r="A1289" t="str">
            <v>1NHS911</v>
          </cell>
          <cell r="B1289" t="str">
            <v>LY-001-1B</v>
          </cell>
          <cell r="C1289" t="str">
            <v>CONVERSE PRINT</v>
          </cell>
          <cell r="D1289" t="str">
            <v>布</v>
          </cell>
        </row>
        <row r="1290">
          <cell r="A1290" t="str">
            <v>1NHS912</v>
          </cell>
          <cell r="B1290" t="str">
            <v>LY-001-1B</v>
          </cell>
          <cell r="C1290" t="str">
            <v>CONVERSE PRINT</v>
          </cell>
          <cell r="D1290" t="str">
            <v>布</v>
          </cell>
        </row>
        <row r="1291">
          <cell r="A1291" t="str">
            <v>1NHS913</v>
          </cell>
          <cell r="B1291" t="str">
            <v>LY-001-1B</v>
          </cell>
          <cell r="C1291" t="str">
            <v>SEASONAL COLOR</v>
          </cell>
          <cell r="D1291" t="str">
            <v>布</v>
          </cell>
        </row>
        <row r="1292">
          <cell r="A1292" t="str">
            <v>1NHS916</v>
          </cell>
          <cell r="B1292" t="str">
            <v>LY-009-1B</v>
          </cell>
          <cell r="C1292" t="str">
            <v>JUCK PURCELL CORE COLOR</v>
          </cell>
          <cell r="D1292" t="str">
            <v>布</v>
          </cell>
        </row>
        <row r="1293">
          <cell r="A1293" t="str">
            <v>1NHS917</v>
          </cell>
          <cell r="B1293" t="str">
            <v>LY-009-1B</v>
          </cell>
          <cell r="C1293" t="str">
            <v>JUCK PURCELL CORE COLOR</v>
          </cell>
          <cell r="D1293" t="str">
            <v>布</v>
          </cell>
        </row>
        <row r="1294">
          <cell r="A1294" t="str">
            <v>1NHS918</v>
          </cell>
          <cell r="B1294" t="str">
            <v>LY-001-1B</v>
          </cell>
          <cell r="C1294" t="str">
            <v>SEASONAL COLOR</v>
          </cell>
          <cell r="D1294" t="str">
            <v>布</v>
          </cell>
        </row>
        <row r="1295">
          <cell r="A1295" t="str">
            <v>1NHS919</v>
          </cell>
          <cell r="B1295" t="str">
            <v>LY-001-1B</v>
          </cell>
          <cell r="C1295" t="str">
            <v>SEASONAL COLOR</v>
          </cell>
          <cell r="D1295" t="str">
            <v>布</v>
          </cell>
        </row>
        <row r="1296">
          <cell r="A1296" t="str">
            <v>1NHS923</v>
          </cell>
          <cell r="B1296" t="str">
            <v>LY-001-1B</v>
          </cell>
          <cell r="C1296" t="str">
            <v>SEASONAL COLOR</v>
          </cell>
          <cell r="D1296" t="str">
            <v>布</v>
          </cell>
        </row>
        <row r="1297">
          <cell r="A1297" t="str">
            <v>1NHS924</v>
          </cell>
          <cell r="B1297" t="str">
            <v>LY-001-1B</v>
          </cell>
          <cell r="C1297" t="str">
            <v>SEASONAL COLOR</v>
          </cell>
          <cell r="D1297" t="str">
            <v>布</v>
          </cell>
        </row>
        <row r="1298">
          <cell r="A1298" t="str">
            <v>1NHS925</v>
          </cell>
          <cell r="B1298" t="str">
            <v>LY-001-1B</v>
          </cell>
          <cell r="C1298" t="str">
            <v>SEASONAL COLOR</v>
          </cell>
          <cell r="D1298" t="str">
            <v>布</v>
          </cell>
        </row>
        <row r="1299">
          <cell r="A1299" t="str">
            <v>1NHS926</v>
          </cell>
          <cell r="B1299" t="str">
            <v>LY-001-1B</v>
          </cell>
          <cell r="C1299" t="str">
            <v>SEASONAL COLOR</v>
          </cell>
          <cell r="D1299" t="str">
            <v>布</v>
          </cell>
        </row>
        <row r="1300">
          <cell r="A1300" t="str">
            <v>1NHS927</v>
          </cell>
          <cell r="B1300" t="str">
            <v>LY-001-1B</v>
          </cell>
          <cell r="C1300" t="str">
            <v>SEASONAL COLOR</v>
          </cell>
          <cell r="D1300" t="str">
            <v>布</v>
          </cell>
        </row>
        <row r="1301">
          <cell r="A1301" t="str">
            <v>1NHS928</v>
          </cell>
          <cell r="B1301" t="str">
            <v>LY-001-1B</v>
          </cell>
          <cell r="C1301" t="str">
            <v>SEASONAL COLOR</v>
          </cell>
          <cell r="D1301" t="str">
            <v>布</v>
          </cell>
        </row>
        <row r="1302">
          <cell r="A1302" t="str">
            <v>1NHS930</v>
          </cell>
          <cell r="B1302" t="str">
            <v>LY-001-1B</v>
          </cell>
          <cell r="C1302" t="str">
            <v>SEASONAL COLOR</v>
          </cell>
          <cell r="D1302" t="str">
            <v>布</v>
          </cell>
        </row>
        <row r="1303">
          <cell r="A1303" t="str">
            <v>1NHS937</v>
          </cell>
          <cell r="B1303" t="str">
            <v>LY-001-1B</v>
          </cell>
          <cell r="C1303" t="str">
            <v>SEASONAL COLOR</v>
          </cell>
          <cell r="D1303" t="str">
            <v>布</v>
          </cell>
        </row>
        <row r="1304">
          <cell r="A1304" t="str">
            <v>1NHS938</v>
          </cell>
          <cell r="B1304" t="str">
            <v>LY-001-1B</v>
          </cell>
          <cell r="C1304" t="str">
            <v>SEASONAL COLOR</v>
          </cell>
          <cell r="D1304" t="str">
            <v>布</v>
          </cell>
        </row>
        <row r="1305">
          <cell r="A1305" t="str">
            <v>1NHS939</v>
          </cell>
          <cell r="B1305" t="str">
            <v>LY-001-1B</v>
          </cell>
          <cell r="C1305" t="str">
            <v>SEASONAL COLOR</v>
          </cell>
          <cell r="D1305" t="str">
            <v>布</v>
          </cell>
        </row>
        <row r="1306">
          <cell r="A1306" t="str">
            <v>1NHS940</v>
          </cell>
          <cell r="B1306" t="str">
            <v>LY-001-1B</v>
          </cell>
          <cell r="C1306" t="str">
            <v>CONVERSE PRINT</v>
          </cell>
          <cell r="D1306" t="str">
            <v>布</v>
          </cell>
        </row>
        <row r="1307">
          <cell r="A1307" t="str">
            <v>1NHS942</v>
          </cell>
          <cell r="B1307" t="str">
            <v>LY-001-1B</v>
          </cell>
          <cell r="C1307" t="str">
            <v>CONVERSE PRINT</v>
          </cell>
          <cell r="D1307" t="str">
            <v>布</v>
          </cell>
        </row>
        <row r="1308">
          <cell r="A1308" t="str">
            <v>1NHS950</v>
          </cell>
          <cell r="B1308" t="str">
            <v>LY-009-1B</v>
          </cell>
          <cell r="C1308" t="str">
            <v>JACK PURCELL CORE COLOR</v>
          </cell>
          <cell r="D1308" t="str">
            <v>布</v>
          </cell>
        </row>
        <row r="1309">
          <cell r="A1309" t="str">
            <v>1NHS952</v>
          </cell>
          <cell r="B1309" t="str">
            <v>LY-009-1B</v>
          </cell>
          <cell r="C1309" t="str">
            <v>JACK PURCELL CORE COLOR</v>
          </cell>
          <cell r="D1309" t="str">
            <v>布</v>
          </cell>
        </row>
        <row r="1310">
          <cell r="A1310" t="str">
            <v>1NHS953</v>
          </cell>
          <cell r="B1310" t="str">
            <v>LY-001-1B</v>
          </cell>
          <cell r="C1310" t="str">
            <v>SEASONAL COLOR</v>
          </cell>
          <cell r="D1310" t="str">
            <v>布</v>
          </cell>
        </row>
        <row r="1311">
          <cell r="A1311" t="str">
            <v>1NHS954</v>
          </cell>
          <cell r="B1311" t="str">
            <v>LY-001-1B</v>
          </cell>
          <cell r="C1311" t="str">
            <v>SEASONAL COLOR</v>
          </cell>
          <cell r="D1311" t="str">
            <v>布</v>
          </cell>
        </row>
        <row r="1312">
          <cell r="A1312" t="str">
            <v>1NHS955</v>
          </cell>
          <cell r="B1312" t="str">
            <v>LY-001-1B</v>
          </cell>
          <cell r="C1312" t="str">
            <v>SEASONAL COLOR</v>
          </cell>
          <cell r="D1312" t="str">
            <v>布</v>
          </cell>
        </row>
        <row r="1313">
          <cell r="A1313" t="str">
            <v>1NHS957</v>
          </cell>
          <cell r="B1313" t="str">
            <v>LY-001-1B</v>
          </cell>
          <cell r="C1313" t="str">
            <v>SEASONAL COLOR</v>
          </cell>
          <cell r="D1313" t="str">
            <v>布</v>
          </cell>
        </row>
        <row r="1314">
          <cell r="A1314" t="str">
            <v>1NHS959</v>
          </cell>
          <cell r="B1314" t="str">
            <v>LY-001-1B</v>
          </cell>
          <cell r="C1314" t="str">
            <v>SEASONAL COLOR</v>
          </cell>
          <cell r="D1314" t="str">
            <v>布</v>
          </cell>
        </row>
        <row r="1315">
          <cell r="A1315" t="str">
            <v>1NHS960</v>
          </cell>
          <cell r="B1315" t="str">
            <v>LY-001-1B</v>
          </cell>
          <cell r="C1315" t="str">
            <v>SEASONAL COLOR</v>
          </cell>
          <cell r="D1315" t="str">
            <v>布</v>
          </cell>
        </row>
        <row r="1316">
          <cell r="A1316" t="str">
            <v>1NHS961</v>
          </cell>
          <cell r="B1316" t="str">
            <v>LY-001-1B</v>
          </cell>
          <cell r="C1316" t="str">
            <v>SEASONAL COLOR</v>
          </cell>
          <cell r="D1316" t="str">
            <v>布</v>
          </cell>
        </row>
        <row r="1317">
          <cell r="A1317" t="str">
            <v>1NHS966</v>
          </cell>
          <cell r="B1317" t="str">
            <v>LY-001-1B</v>
          </cell>
          <cell r="C1317" t="str">
            <v>CONVERSE PRINT</v>
          </cell>
          <cell r="D1317" t="str">
            <v>布</v>
          </cell>
        </row>
        <row r="1318">
          <cell r="A1318" t="str">
            <v>1NHS967</v>
          </cell>
          <cell r="B1318" t="str">
            <v>LY-001-1B</v>
          </cell>
          <cell r="C1318" t="str">
            <v>CONVERSE PRINT</v>
          </cell>
          <cell r="D1318" t="str">
            <v>布</v>
          </cell>
        </row>
        <row r="1319">
          <cell r="A1319" t="str">
            <v>1NHS968</v>
          </cell>
          <cell r="B1319" t="str">
            <v>LY-001-1B</v>
          </cell>
          <cell r="C1319" t="str">
            <v>CONVERSE PRINT</v>
          </cell>
          <cell r="D1319" t="str">
            <v>布</v>
          </cell>
        </row>
        <row r="1320">
          <cell r="A1320" t="str">
            <v>1NHS970</v>
          </cell>
          <cell r="B1320" t="str">
            <v>LY-001-1B</v>
          </cell>
          <cell r="C1320" t="str">
            <v>CONVERSE PRINT</v>
          </cell>
          <cell r="D1320" t="str">
            <v>布</v>
          </cell>
        </row>
        <row r="1321">
          <cell r="A1321" t="str">
            <v>1NHS975</v>
          </cell>
          <cell r="B1321" t="str">
            <v>LY-001-1B</v>
          </cell>
          <cell r="C1321" t="str">
            <v>CONVERSE PRINT</v>
          </cell>
          <cell r="D1321" t="str">
            <v>布</v>
          </cell>
        </row>
        <row r="1322">
          <cell r="A1322" t="str">
            <v>1NHS976</v>
          </cell>
          <cell r="B1322" t="str">
            <v>LY-001-1B</v>
          </cell>
          <cell r="C1322" t="str">
            <v>CONVERSE PRINT</v>
          </cell>
          <cell r="D1322" t="str">
            <v>布</v>
          </cell>
        </row>
        <row r="1323">
          <cell r="A1323" t="str">
            <v>1NHS977</v>
          </cell>
          <cell r="B1323" t="str">
            <v>LY-001-1B</v>
          </cell>
          <cell r="C1323" t="str">
            <v>CONVERSE PRINT</v>
          </cell>
          <cell r="D1323" t="str">
            <v>布</v>
          </cell>
        </row>
        <row r="1324">
          <cell r="A1324" t="str">
            <v>1NHS984</v>
          </cell>
          <cell r="B1324" t="str">
            <v>LY-001-1B</v>
          </cell>
          <cell r="C1324" t="str">
            <v>CONVERSE PRINT</v>
          </cell>
          <cell r="D1324" t="str">
            <v>布</v>
          </cell>
        </row>
        <row r="1325">
          <cell r="A1325" t="str">
            <v>1NHS996</v>
          </cell>
          <cell r="B1325" t="str">
            <v>LY-001-1B</v>
          </cell>
          <cell r="C1325" t="str">
            <v>SEASONAL COLOR</v>
          </cell>
          <cell r="D1325" t="str">
            <v>布</v>
          </cell>
        </row>
        <row r="1326">
          <cell r="A1326" t="str">
            <v>1NHS997</v>
          </cell>
          <cell r="B1326" t="str">
            <v>LY-001-1B</v>
          </cell>
          <cell r="C1326" t="str">
            <v>SEASONAL COLOR</v>
          </cell>
          <cell r="D1326" t="str">
            <v>布</v>
          </cell>
        </row>
        <row r="1327">
          <cell r="A1327" t="str">
            <v>1NHS999</v>
          </cell>
          <cell r="B1327" t="str">
            <v>LY-001-1B</v>
          </cell>
          <cell r="C1327" t="str">
            <v>SEASONAL COLOR</v>
          </cell>
          <cell r="D1327" t="str">
            <v>布</v>
          </cell>
        </row>
        <row r="1328">
          <cell r="A1328" t="str">
            <v>1Q698</v>
          </cell>
          <cell r="B1328" t="str">
            <v>LY-JP024U-A</v>
          </cell>
          <cell r="C1328" t="str">
            <v>JCK PURC CP OX</v>
          </cell>
          <cell r="D1328" t="str">
            <v>布</v>
          </cell>
        </row>
        <row r="1329">
          <cell r="A1329" t="str">
            <v>1Q699</v>
          </cell>
          <cell r="B1329" t="str">
            <v>LY-JP024U-A</v>
          </cell>
          <cell r="C1329" t="str">
            <v>JCK PURC CP OX</v>
          </cell>
          <cell r="D1329" t="str">
            <v>布</v>
          </cell>
        </row>
        <row r="1330">
          <cell r="A1330" t="str">
            <v>1S581/AS581</v>
          </cell>
          <cell r="B1330" t="str">
            <v>LY-CT AS HI CR-XXX-6B</v>
          </cell>
          <cell r="C1330" t="str">
            <v>CT A/S HI</v>
          </cell>
          <cell r="D1330" t="str">
            <v>皮</v>
          </cell>
        </row>
        <row r="1331">
          <cell r="A1331" t="str">
            <v>1T405</v>
          </cell>
          <cell r="B1331" t="str">
            <v>LY-CT AS HI CR-XXX-7B</v>
          </cell>
          <cell r="C1331" t="str">
            <v>CT A/S LTHR HI</v>
          </cell>
          <cell r="D1331" t="str">
            <v>皮</v>
          </cell>
        </row>
        <row r="1332">
          <cell r="A1332" t="str">
            <v>250143C</v>
          </cell>
          <cell r="B1332" t="str">
            <v>LY-CT725U-A</v>
          </cell>
          <cell r="C1332" t="str">
            <v>CTAS II HI</v>
          </cell>
          <cell r="D1332" t="str">
            <v>布</v>
          </cell>
        </row>
        <row r="1333">
          <cell r="A1333" t="str">
            <v>250145C</v>
          </cell>
          <cell r="B1333" t="str">
            <v>LY-CT725U-A</v>
          </cell>
          <cell r="C1333" t="str">
            <v>CTAS II HI</v>
          </cell>
          <cell r="D1333" t="str">
            <v>布</v>
          </cell>
        </row>
        <row r="1334">
          <cell r="A1334" t="str">
            <v>250146C</v>
          </cell>
          <cell r="B1334" t="str">
            <v>LY-CT725U-A</v>
          </cell>
          <cell r="C1334" t="str">
            <v>CTAS II HI</v>
          </cell>
          <cell r="D1334" t="str">
            <v>布</v>
          </cell>
        </row>
        <row r="1335">
          <cell r="A1335" t="str">
            <v>250148C</v>
          </cell>
          <cell r="B1335" t="str">
            <v>LY-CT725U-A</v>
          </cell>
          <cell r="C1335" t="str">
            <v>CTAS II HI</v>
          </cell>
          <cell r="D1335" t="str">
            <v>布</v>
          </cell>
        </row>
        <row r="1336">
          <cell r="A1336" t="str">
            <v>250149C</v>
          </cell>
          <cell r="B1336" t="str">
            <v>LY-CT726U-A</v>
          </cell>
          <cell r="C1336" t="str">
            <v>CTAS II OX</v>
          </cell>
          <cell r="D1336" t="str">
            <v>布</v>
          </cell>
        </row>
        <row r="1337">
          <cell r="A1337" t="str">
            <v>250151C</v>
          </cell>
          <cell r="B1337" t="str">
            <v>LY-CT726U-A</v>
          </cell>
          <cell r="C1337" t="str">
            <v>CTAS II OX</v>
          </cell>
          <cell r="D1337" t="str">
            <v>布</v>
          </cell>
        </row>
        <row r="1338">
          <cell r="A1338" t="str">
            <v>250152C</v>
          </cell>
          <cell r="B1338" t="str">
            <v>LY-CT726U-A</v>
          </cell>
          <cell r="C1338" t="str">
            <v>CTAS II OX</v>
          </cell>
          <cell r="D1338" t="str">
            <v>布</v>
          </cell>
        </row>
        <row r="1339">
          <cell r="A1339" t="str">
            <v>250154C</v>
          </cell>
          <cell r="B1339" t="str">
            <v>LY-CT726U-A</v>
          </cell>
          <cell r="C1339" t="str">
            <v>CTAS II OX</v>
          </cell>
          <cell r="D1339" t="str">
            <v>布</v>
          </cell>
        </row>
        <row r="1340">
          <cell r="A1340" t="str">
            <v>251221C</v>
          </cell>
          <cell r="B1340" t="str">
            <v>LY-CT725U-A</v>
          </cell>
          <cell r="C1340" t="str">
            <v>CTAS II HI</v>
          </cell>
          <cell r="D1340" t="str">
            <v>布</v>
          </cell>
        </row>
        <row r="1341">
          <cell r="A1341" t="str">
            <v>251223C</v>
          </cell>
          <cell r="B1341" t="str">
            <v>LY-CT726U-A</v>
          </cell>
          <cell r="C1341" t="str">
            <v>CTAS II OX</v>
          </cell>
          <cell r="D1341" t="str">
            <v>布</v>
          </cell>
        </row>
        <row r="1342">
          <cell r="A1342" t="str">
            <v>253534C</v>
          </cell>
          <cell r="B1342" t="str">
            <v>LY-CT725U-5A-1</v>
          </cell>
          <cell r="C1342" t="str">
            <v>CT AS II HI</v>
          </cell>
          <cell r="D1342" t="str">
            <v>布</v>
          </cell>
        </row>
        <row r="1343">
          <cell r="A1343" t="str">
            <v>253541C</v>
          </cell>
          <cell r="B1343" t="str">
            <v>LY-CT726U-5A-1</v>
          </cell>
          <cell r="C1343" t="str">
            <v>CTAS II OX</v>
          </cell>
          <cell r="D1343" t="str">
            <v>布</v>
          </cell>
        </row>
        <row r="1344">
          <cell r="A1344" t="str">
            <v>255496C</v>
          </cell>
          <cell r="B1344" t="str">
            <v>LY-CT725U-A</v>
          </cell>
          <cell r="C1344" t="str">
            <v>CTAS II HI</v>
          </cell>
          <cell r="D1344" t="str">
            <v>布</v>
          </cell>
        </row>
        <row r="1345">
          <cell r="A1345" t="str">
            <v>255499C</v>
          </cell>
          <cell r="B1345" t="str">
            <v>LY-CT726U-A</v>
          </cell>
          <cell r="C1345" t="str">
            <v>CTAS II OX</v>
          </cell>
          <cell r="D1345" t="str">
            <v>布</v>
          </cell>
        </row>
        <row r="1346">
          <cell r="A1346" t="str">
            <v>255500C</v>
          </cell>
          <cell r="B1346" t="str">
            <v>LY-CT726U-A</v>
          </cell>
          <cell r="C1346" t="str">
            <v>CTAS II OX</v>
          </cell>
          <cell r="D1346" t="str">
            <v>布</v>
          </cell>
        </row>
        <row r="1347">
          <cell r="A1347" t="str">
            <v>255531C</v>
          </cell>
          <cell r="B1347" t="str">
            <v>LY-CT725U-7A-5</v>
          </cell>
          <cell r="C1347" t="str">
            <v>CT AS II HI</v>
          </cell>
          <cell r="D1347" t="str">
            <v>布</v>
          </cell>
        </row>
        <row r="1348">
          <cell r="A1348" t="str">
            <v>259710C</v>
          </cell>
          <cell r="B1348" t="str">
            <v>LY-OS119U-3A</v>
          </cell>
          <cell r="C1348" t="str">
            <v>ONE STAR OX</v>
          </cell>
          <cell r="D1348" t="str">
            <v>布</v>
          </cell>
        </row>
        <row r="1349">
          <cell r="A1349" t="str">
            <v>259711C</v>
          </cell>
          <cell r="B1349" t="str">
            <v>LY-OS119U-3A</v>
          </cell>
          <cell r="C1349" t="str">
            <v>ONE STAR OX</v>
          </cell>
          <cell r="D1349" t="str">
            <v>布</v>
          </cell>
        </row>
        <row r="1350">
          <cell r="A1350" t="str">
            <v>259813C</v>
          </cell>
          <cell r="B1350" t="str">
            <v>LY-OS119U-5B</v>
          </cell>
          <cell r="C1350" t="str">
            <v>ONE STAR OX</v>
          </cell>
          <cell r="D1350" t="str">
            <v>皮</v>
          </cell>
        </row>
        <row r="1351">
          <cell r="A1351" t="str">
            <v>259815C</v>
          </cell>
          <cell r="B1351" t="str">
            <v>LY-OS119U-5B</v>
          </cell>
          <cell r="C1351" t="str">
            <v>ONE STAR OX</v>
          </cell>
          <cell r="D1351" t="str">
            <v>皮</v>
          </cell>
        </row>
        <row r="1352">
          <cell r="A1352" t="str">
            <v>260595C</v>
          </cell>
          <cell r="B1352" t="str">
            <v>LY-OS119U-4A</v>
          </cell>
          <cell r="C1352" t="str">
            <v>ONE STAR OX</v>
          </cell>
          <cell r="D1352" t="str">
            <v>布</v>
          </cell>
        </row>
        <row r="1353">
          <cell r="A1353" t="str">
            <v>260596C</v>
          </cell>
          <cell r="B1353" t="str">
            <v>LY-OS119U-4A</v>
          </cell>
          <cell r="C1353" t="str">
            <v>ONE STAR OX</v>
          </cell>
          <cell r="D1353" t="str">
            <v>布</v>
          </cell>
        </row>
        <row r="1354">
          <cell r="A1354" t="str">
            <v>260598C</v>
          </cell>
          <cell r="B1354" t="str">
            <v>LY-OS119U-4A</v>
          </cell>
          <cell r="C1354" t="str">
            <v>ONE STAR OX</v>
          </cell>
          <cell r="D1354" t="str">
            <v>布</v>
          </cell>
        </row>
        <row r="1355">
          <cell r="A1355" t="str">
            <v>260913C</v>
          </cell>
          <cell r="B1355" t="str">
            <v>LY-OS119U-4B</v>
          </cell>
          <cell r="C1355" t="str">
            <v>ONE STAR OX</v>
          </cell>
          <cell r="D1355" t="str">
            <v>皮</v>
          </cell>
        </row>
        <row r="1356">
          <cell r="A1356" t="str">
            <v>260914C</v>
          </cell>
          <cell r="B1356" t="str">
            <v>LY-OS119U-4B</v>
          </cell>
          <cell r="C1356" t="str">
            <v>ONE STAR OX</v>
          </cell>
          <cell r="D1356" t="str">
            <v>皮</v>
          </cell>
        </row>
        <row r="1357">
          <cell r="A1357" t="str">
            <v>261787C</v>
          </cell>
          <cell r="B1357" t="str">
            <v>LY-OS119U-B-1</v>
          </cell>
          <cell r="C1357" t="str">
            <v>ONE STAR OX</v>
          </cell>
          <cell r="D1357" t="str">
            <v>皮</v>
          </cell>
        </row>
        <row r="1358">
          <cell r="A1358" t="str">
            <v>261789C</v>
          </cell>
          <cell r="B1358" t="str">
            <v>LY-OS119U-B-1</v>
          </cell>
          <cell r="C1358" t="str">
            <v>ONE STAR</v>
          </cell>
          <cell r="D1358" t="str">
            <v>皮</v>
          </cell>
        </row>
        <row r="1359">
          <cell r="A1359" t="str">
            <v>261790C</v>
          </cell>
          <cell r="B1359" t="str">
            <v>LY-OS119U-B-1</v>
          </cell>
          <cell r="C1359" t="str">
            <v>ONE STAR OX</v>
          </cell>
          <cell r="D1359" t="str">
            <v>皮</v>
          </cell>
        </row>
        <row r="1360">
          <cell r="A1360" t="str">
            <v>261791C</v>
          </cell>
          <cell r="B1360" t="str">
            <v>LY-OS119U-5B-4</v>
          </cell>
          <cell r="C1360" t="str">
            <v>ONE STAR OX</v>
          </cell>
          <cell r="D1360" t="str">
            <v>皮</v>
          </cell>
        </row>
        <row r="1361">
          <cell r="A1361" t="str">
            <v>261792C</v>
          </cell>
          <cell r="B1361" t="str">
            <v>LY-OS119U-5B-4</v>
          </cell>
          <cell r="C1361" t="str">
            <v>ONE STAR OX</v>
          </cell>
          <cell r="D1361" t="str">
            <v>皮</v>
          </cell>
        </row>
        <row r="1362">
          <cell r="A1362" t="str">
            <v>261793C</v>
          </cell>
          <cell r="B1362" t="str">
            <v>LY-OS119U-5B-4</v>
          </cell>
          <cell r="C1362" t="str">
            <v>ONE STAR OX</v>
          </cell>
          <cell r="D1362" t="str">
            <v>皮</v>
          </cell>
        </row>
        <row r="1363">
          <cell r="A1363" t="str">
            <v>261794C</v>
          </cell>
          <cell r="B1363" t="str">
            <v>LY-OS119U-B-1</v>
          </cell>
          <cell r="C1363" t="str">
            <v>ONE STAR OX</v>
          </cell>
          <cell r="D1363" t="str">
            <v>皮</v>
          </cell>
        </row>
        <row r="1364">
          <cell r="A1364" t="str">
            <v>262525C</v>
          </cell>
          <cell r="B1364" t="str">
            <v>LY-OS126U-B</v>
          </cell>
          <cell r="C1364" t="str">
            <v>ONE STAR SP(SPLIT COLLAR)</v>
          </cell>
          <cell r="D1364" t="str">
            <v>皮</v>
          </cell>
        </row>
        <row r="1365">
          <cell r="A1365" t="str">
            <v>262822C</v>
          </cell>
          <cell r="B1365" t="str">
            <v>LY-OS119U-1A-2</v>
          </cell>
          <cell r="C1365" t="str">
            <v>ONE STAR OX</v>
          </cell>
          <cell r="D1365" t="str">
            <v>布</v>
          </cell>
        </row>
        <row r="1366">
          <cell r="A1366" t="str">
            <v>262823C</v>
          </cell>
          <cell r="B1366" t="str">
            <v>LY-OS119U-1A-2</v>
          </cell>
          <cell r="C1366" t="str">
            <v>ONE STAR OX</v>
          </cell>
          <cell r="D1366" t="str">
            <v>布</v>
          </cell>
        </row>
        <row r="1367">
          <cell r="A1367" t="str">
            <v>262824C</v>
          </cell>
          <cell r="B1367" t="str">
            <v>LY-OS119U-1A-2</v>
          </cell>
          <cell r="C1367" t="str">
            <v>ONE STAR OX</v>
          </cell>
          <cell r="D1367" t="str">
            <v>布</v>
          </cell>
        </row>
        <row r="1368">
          <cell r="A1368" t="str">
            <v>262951C</v>
          </cell>
          <cell r="B1368" t="str">
            <v>LY-OS119U-B-2</v>
          </cell>
          <cell r="C1368" t="str">
            <v>ONE STAR</v>
          </cell>
          <cell r="D1368" t="str">
            <v>皮</v>
          </cell>
        </row>
        <row r="1369">
          <cell r="A1369" t="str">
            <v>263680C</v>
          </cell>
          <cell r="B1369" t="str">
            <v>LY-OS119U-2B-4</v>
          </cell>
          <cell r="C1369" t="str">
            <v>ONE STAR</v>
          </cell>
          <cell r="D1369" t="str">
            <v>皮</v>
          </cell>
        </row>
        <row r="1370">
          <cell r="A1370" t="str">
            <v>264476F</v>
          </cell>
          <cell r="B1370" t="str">
            <v>LY-SA224-A-1C</v>
          </cell>
          <cell r="C1370" t="str">
            <v>STAR PLAYER EV</v>
          </cell>
          <cell r="D1370" t="str">
            <v>布+星星月亮</v>
          </cell>
        </row>
        <row r="1371">
          <cell r="A1371" t="str">
            <v>264477F</v>
          </cell>
          <cell r="B1371" t="str">
            <v>LY-SA224-A-1C</v>
          </cell>
          <cell r="C1371" t="str">
            <v>STAR PLAYER EV</v>
          </cell>
          <cell r="D1371" t="str">
            <v>布+星星月亮</v>
          </cell>
        </row>
        <row r="1372">
          <cell r="A1372" t="str">
            <v>308784F</v>
          </cell>
          <cell r="B1372" t="str">
            <v>LY-6G CTAS OX-3</v>
          </cell>
          <cell r="C1372" t="str">
            <v>CT DBL TNG OX</v>
          </cell>
          <cell r="D1372" t="str">
            <v>布</v>
          </cell>
        </row>
        <row r="1373">
          <cell r="A1373" t="str">
            <v>314786C</v>
          </cell>
          <cell r="B1373" t="str">
            <v>LY-6G CTAS OX</v>
          </cell>
          <cell r="C1373" t="str">
            <v>CT OX</v>
          </cell>
          <cell r="D1373" t="str">
            <v>布</v>
          </cell>
        </row>
        <row r="1374">
          <cell r="A1374" t="str">
            <v>314786F</v>
          </cell>
          <cell r="B1374" t="str">
            <v>LY-6G CTAS OX</v>
          </cell>
          <cell r="C1374" t="str">
            <v>CT OX</v>
          </cell>
          <cell r="D1374" t="str">
            <v>布</v>
          </cell>
        </row>
        <row r="1375">
          <cell r="A1375" t="str">
            <v>315467</v>
          </cell>
          <cell r="B1375" t="str">
            <v>LY-KD686A-1</v>
          </cell>
          <cell r="C1375" t="str">
            <v>STAR PLYR 3V OX</v>
          </cell>
          <cell r="D1375" t="str">
            <v>布+星星月亮</v>
          </cell>
        </row>
        <row r="1376">
          <cell r="A1376" t="str">
            <v>315660</v>
          </cell>
          <cell r="B1376" t="str">
            <v>LY-KD686A-1</v>
          </cell>
          <cell r="C1376" t="str">
            <v>STAR PLYR 3V OX</v>
          </cell>
          <cell r="D1376" t="str">
            <v>布+星星月亮</v>
          </cell>
        </row>
        <row r="1377">
          <cell r="A1377" t="str">
            <v>316828C</v>
          </cell>
          <cell r="B1377" t="str">
            <v>LY-6G CTAS OX</v>
          </cell>
          <cell r="C1377" t="str">
            <v>CT AS OX</v>
          </cell>
          <cell r="D1377" t="str">
            <v>布</v>
          </cell>
        </row>
        <row r="1378">
          <cell r="A1378" t="str">
            <v>326706C</v>
          </cell>
          <cell r="B1378" t="str">
            <v>LY-6G CTAS OX</v>
          </cell>
          <cell r="C1378" t="str">
            <v>CT CORE OX</v>
          </cell>
          <cell r="D1378" t="str">
            <v>布</v>
          </cell>
        </row>
        <row r="1379">
          <cell r="A1379" t="str">
            <v>326708C</v>
          </cell>
          <cell r="B1379" t="str">
            <v>LY-6G CTAS OX</v>
          </cell>
          <cell r="C1379" t="str">
            <v>CT CORE OX</v>
          </cell>
          <cell r="D1379" t="str">
            <v>布</v>
          </cell>
        </row>
        <row r="1380">
          <cell r="A1380" t="str">
            <v>327443C</v>
          </cell>
          <cell r="B1380" t="str">
            <v>LY-6G CTAS OX</v>
          </cell>
          <cell r="C1380" t="str">
            <v>CT OX</v>
          </cell>
          <cell r="D1380" t="str">
            <v>布</v>
          </cell>
        </row>
        <row r="1381">
          <cell r="A1381" t="str">
            <v>327444C</v>
          </cell>
          <cell r="B1381" t="str">
            <v>LY-6G CTAS OX</v>
          </cell>
          <cell r="C1381" t="str">
            <v>CT OX</v>
          </cell>
          <cell r="D1381" t="str">
            <v>布</v>
          </cell>
        </row>
        <row r="1382">
          <cell r="A1382" t="str">
            <v>327467C</v>
          </cell>
          <cell r="B1382" t="str">
            <v>LY-6G CTAS-HI-18</v>
          </cell>
          <cell r="C1382" t="str">
            <v>CT SEASONAL ZIP HI</v>
          </cell>
          <cell r="D1382" t="str">
            <v>布</v>
          </cell>
        </row>
        <row r="1383">
          <cell r="A1383" t="str">
            <v>327468C</v>
          </cell>
          <cell r="B1383" t="str">
            <v>LY-6G CTAS-HI-18</v>
          </cell>
          <cell r="C1383" t="str">
            <v>CT SEASONAL ZIP HI</v>
          </cell>
          <cell r="D1383" t="str">
            <v>布</v>
          </cell>
        </row>
        <row r="1384">
          <cell r="A1384" t="str">
            <v>327469C</v>
          </cell>
          <cell r="B1384" t="str">
            <v>LY-6G CTAS-HI-18</v>
          </cell>
          <cell r="C1384" t="str">
            <v>CT SEASONAL ZIP HI</v>
          </cell>
          <cell r="D1384" t="str">
            <v>布</v>
          </cell>
        </row>
        <row r="1385">
          <cell r="A1385" t="str">
            <v>327470C</v>
          </cell>
          <cell r="B1385" t="str">
            <v>LY-6G CTAS-HI-18</v>
          </cell>
          <cell r="C1385" t="str">
            <v>CT SEASONAL ZIP HI</v>
          </cell>
          <cell r="D1385" t="str">
            <v>布</v>
          </cell>
        </row>
        <row r="1386">
          <cell r="A1386" t="str">
            <v>327560F</v>
          </cell>
          <cell r="B1386" t="str">
            <v>LY-CX391B-K13</v>
          </cell>
          <cell r="C1386" t="str">
            <v>CT STRAP MID</v>
          </cell>
          <cell r="D1386" t="str">
            <v>布</v>
          </cell>
        </row>
        <row r="1387">
          <cell r="A1387" t="str">
            <v>344239C</v>
          </cell>
          <cell r="B1387" t="str">
            <v>LY-SK032Y-A</v>
          </cell>
          <cell r="C1387" t="str">
            <v>GATES OX</v>
          </cell>
          <cell r="D1387" t="str">
            <v>布+星星月亮</v>
          </cell>
        </row>
        <row r="1388">
          <cell r="A1388" t="str">
            <v>344241C</v>
          </cell>
          <cell r="B1388" t="str">
            <v>LY-SK032Y-A</v>
          </cell>
          <cell r="C1388" t="str">
            <v>GATES OX</v>
          </cell>
          <cell r="D1388" t="str">
            <v>布+星星月亮</v>
          </cell>
        </row>
        <row r="1389">
          <cell r="A1389" t="str">
            <v>344243C</v>
          </cell>
          <cell r="B1389" t="str">
            <v>LY-SK032Y-A</v>
          </cell>
          <cell r="C1389" t="str">
            <v>GATES OX</v>
          </cell>
          <cell r="D1389" t="str">
            <v>布+星星月亮</v>
          </cell>
        </row>
        <row r="1390">
          <cell r="A1390" t="str">
            <v>344244C</v>
          </cell>
          <cell r="B1390" t="str">
            <v>LY-SK032Y-A</v>
          </cell>
          <cell r="C1390" t="str">
            <v>GATES OX</v>
          </cell>
          <cell r="D1390" t="str">
            <v>布+星星月亮</v>
          </cell>
        </row>
        <row r="1391">
          <cell r="A1391" t="str">
            <v>350143C</v>
          </cell>
          <cell r="B1391" t="str">
            <v>LY-CT725Y-A</v>
          </cell>
          <cell r="C1391" t="str">
            <v>CTAS II HI</v>
          </cell>
          <cell r="D1391" t="str">
            <v>布</v>
          </cell>
        </row>
        <row r="1392">
          <cell r="A1392" t="str">
            <v>350145C</v>
          </cell>
          <cell r="B1392" t="str">
            <v>LY-CT725Y-A</v>
          </cell>
          <cell r="C1392" t="str">
            <v>CTAS II HI</v>
          </cell>
          <cell r="D1392" t="str">
            <v>布</v>
          </cell>
        </row>
        <row r="1393">
          <cell r="A1393" t="str">
            <v>350146C</v>
          </cell>
          <cell r="B1393" t="str">
            <v>LY-CT725Y-A</v>
          </cell>
          <cell r="C1393" t="str">
            <v>CTAS II HI</v>
          </cell>
          <cell r="D1393" t="str">
            <v>布</v>
          </cell>
        </row>
        <row r="1394">
          <cell r="A1394" t="str">
            <v>350148C</v>
          </cell>
          <cell r="B1394" t="str">
            <v>LY-CT725Y-A</v>
          </cell>
          <cell r="C1394" t="str">
            <v>CTAS II HI</v>
          </cell>
          <cell r="D1394" t="str">
            <v>布</v>
          </cell>
        </row>
        <row r="1395">
          <cell r="A1395" t="str">
            <v>350149C</v>
          </cell>
          <cell r="B1395" t="str">
            <v>LY-CT726Y-A</v>
          </cell>
          <cell r="C1395" t="str">
            <v>CTAS II OX</v>
          </cell>
          <cell r="D1395" t="str">
            <v>布</v>
          </cell>
        </row>
        <row r="1396">
          <cell r="A1396" t="str">
            <v>350151C</v>
          </cell>
          <cell r="B1396" t="str">
            <v>LY-CT726Y-A</v>
          </cell>
          <cell r="C1396" t="str">
            <v>CTAS II OX</v>
          </cell>
          <cell r="D1396" t="str">
            <v>布</v>
          </cell>
        </row>
        <row r="1397">
          <cell r="A1397" t="str">
            <v>350152C</v>
          </cell>
          <cell r="B1397" t="str">
            <v>LY-CT726Y-A</v>
          </cell>
          <cell r="C1397" t="str">
            <v>CTAS II OX</v>
          </cell>
          <cell r="D1397" t="str">
            <v>布</v>
          </cell>
        </row>
        <row r="1398">
          <cell r="A1398" t="str">
            <v>350154C</v>
          </cell>
          <cell r="B1398" t="str">
            <v>LY-CT726Y-A</v>
          </cell>
          <cell r="C1398" t="str">
            <v>CTAS II OX</v>
          </cell>
          <cell r="D1398" t="str">
            <v>布</v>
          </cell>
        </row>
        <row r="1399">
          <cell r="A1399" t="str">
            <v>351221C</v>
          </cell>
          <cell r="B1399" t="str">
            <v>LY-CT725Y-A</v>
          </cell>
          <cell r="C1399" t="str">
            <v>CTAS II HI</v>
          </cell>
          <cell r="D1399" t="str">
            <v>布</v>
          </cell>
        </row>
        <row r="1400">
          <cell r="A1400" t="str">
            <v>351223C</v>
          </cell>
          <cell r="B1400" t="str">
            <v>LY-CT726Y-A</v>
          </cell>
          <cell r="C1400" t="str">
            <v>CTAS II OX</v>
          </cell>
          <cell r="D1400" t="str">
            <v>布</v>
          </cell>
        </row>
        <row r="1401">
          <cell r="A1401" t="str">
            <v>352771C</v>
          </cell>
          <cell r="B1401" t="str">
            <v>LY-KD686A</v>
          </cell>
          <cell r="C1401" t="str">
            <v>STAR PLAYER EV 3V OX</v>
          </cell>
          <cell r="D1401" t="str">
            <v>布+星星月亮</v>
          </cell>
        </row>
        <row r="1402">
          <cell r="A1402" t="str">
            <v>353061C</v>
          </cell>
          <cell r="B1402" t="str">
            <v>LY-SA286Y-B</v>
          </cell>
          <cell r="C1402" t="str">
            <v>ONE STAR OX</v>
          </cell>
          <cell r="D1402" t="str">
            <v>皮</v>
          </cell>
        </row>
        <row r="1403">
          <cell r="A1403" t="str">
            <v>353062C</v>
          </cell>
          <cell r="B1403" t="str">
            <v>LY-SA286Y-B</v>
          </cell>
          <cell r="C1403" t="str">
            <v>ONE STAR OX</v>
          </cell>
          <cell r="D1403" t="str">
            <v>皮</v>
          </cell>
        </row>
        <row r="1404">
          <cell r="A1404" t="str">
            <v>353063C</v>
          </cell>
          <cell r="B1404" t="str">
            <v>LY-SA286Y-B</v>
          </cell>
          <cell r="C1404" t="str">
            <v>ONE STAR OX</v>
          </cell>
          <cell r="D1404" t="str">
            <v>皮</v>
          </cell>
        </row>
        <row r="1405">
          <cell r="A1405" t="str">
            <v>353533C</v>
          </cell>
          <cell r="B1405" t="str">
            <v>LY-CT725Y-2A</v>
          </cell>
          <cell r="C1405" t="str">
            <v>CTAS II HI</v>
          </cell>
          <cell r="D1405" t="str">
            <v>布</v>
          </cell>
        </row>
        <row r="1406">
          <cell r="A1406" t="str">
            <v>353534C</v>
          </cell>
          <cell r="B1406" t="str">
            <v>LY-CT725Y-2A</v>
          </cell>
          <cell r="C1406" t="str">
            <v>CTAS II HI</v>
          </cell>
          <cell r="D1406" t="str">
            <v>布</v>
          </cell>
        </row>
        <row r="1407">
          <cell r="A1407" t="str">
            <v>353537C</v>
          </cell>
          <cell r="B1407" t="str">
            <v>LY-CT726Y-2A</v>
          </cell>
          <cell r="C1407" t="str">
            <v>CTAS II OX</v>
          </cell>
          <cell r="D1407" t="str">
            <v>布</v>
          </cell>
        </row>
        <row r="1408">
          <cell r="A1408" t="str">
            <v>353541C</v>
          </cell>
          <cell r="B1408" t="str">
            <v>LY-CT726Y-2A</v>
          </cell>
          <cell r="C1408" t="str">
            <v>CTAS II OX</v>
          </cell>
          <cell r="D1408" t="str">
            <v>布</v>
          </cell>
        </row>
        <row r="1409">
          <cell r="A1409" t="str">
            <v>353555C</v>
          </cell>
          <cell r="B1409" t="str">
            <v>LY-CT725Y-B</v>
          </cell>
          <cell r="C1409" t="str">
            <v>CTAS II HI</v>
          </cell>
          <cell r="D1409" t="str">
            <v>皮</v>
          </cell>
        </row>
        <row r="1410">
          <cell r="A1410" t="str">
            <v>354194C</v>
          </cell>
          <cell r="B1410" t="str">
            <v>LY-CT725Y-1A</v>
          </cell>
          <cell r="C1410" t="str">
            <v>CTAS II 3V HI</v>
          </cell>
          <cell r="D1410" t="str">
            <v>布</v>
          </cell>
        </row>
        <row r="1411">
          <cell r="A1411" t="str">
            <v>354195C</v>
          </cell>
          <cell r="B1411" t="str">
            <v>LY-CT725Y-1A</v>
          </cell>
          <cell r="C1411" t="str">
            <v>CTAS II 3V HI</v>
          </cell>
          <cell r="D1411" t="str">
            <v>布</v>
          </cell>
        </row>
        <row r="1412">
          <cell r="A1412" t="str">
            <v>354196C</v>
          </cell>
          <cell r="B1412" t="str">
            <v>LY-CT725Y-1A</v>
          </cell>
          <cell r="C1412" t="str">
            <v>CTAS II 3V HI</v>
          </cell>
          <cell r="D1412" t="str">
            <v>布</v>
          </cell>
        </row>
        <row r="1413">
          <cell r="A1413" t="str">
            <v>354197C</v>
          </cell>
          <cell r="B1413" t="str">
            <v>LY-CT725Y-1A</v>
          </cell>
          <cell r="C1413" t="str">
            <v>CTAS II 3V HI</v>
          </cell>
          <cell r="D1413" t="str">
            <v>布</v>
          </cell>
        </row>
        <row r="1414">
          <cell r="A1414" t="str">
            <v>354198C</v>
          </cell>
          <cell r="B1414" t="str">
            <v>LY-CT726Y-1A</v>
          </cell>
          <cell r="C1414" t="str">
            <v>CTAS II 3V OX</v>
          </cell>
          <cell r="D1414" t="str">
            <v>布</v>
          </cell>
        </row>
        <row r="1415">
          <cell r="A1415" t="str">
            <v>354199C</v>
          </cell>
          <cell r="B1415" t="str">
            <v>LY-CT726Y-1A</v>
          </cell>
          <cell r="C1415" t="str">
            <v>CTAS II 3V OX</v>
          </cell>
          <cell r="D1415" t="str">
            <v>布</v>
          </cell>
        </row>
        <row r="1416">
          <cell r="A1416" t="str">
            <v>354200C</v>
          </cell>
          <cell r="B1416" t="str">
            <v>LY-CT726Y-1A</v>
          </cell>
          <cell r="C1416" t="str">
            <v>CTAS II 3V OX</v>
          </cell>
          <cell r="D1416" t="str">
            <v>布</v>
          </cell>
        </row>
        <row r="1417">
          <cell r="A1417" t="str">
            <v>354201C</v>
          </cell>
          <cell r="B1417" t="str">
            <v>LY-CT726Y-1A</v>
          </cell>
          <cell r="C1417" t="str">
            <v>CTAS II 3V OX</v>
          </cell>
          <cell r="D1417" t="str">
            <v>布</v>
          </cell>
        </row>
        <row r="1418">
          <cell r="A1418" t="str">
            <v>354203C</v>
          </cell>
          <cell r="B1418" t="str">
            <v>LY-CT725Y-2A-1</v>
          </cell>
          <cell r="C1418" t="str">
            <v>CTAS II HI 3V</v>
          </cell>
          <cell r="D1418" t="str">
            <v>布</v>
          </cell>
        </row>
        <row r="1419">
          <cell r="A1419" t="str">
            <v>354204C</v>
          </cell>
          <cell r="B1419" t="str">
            <v>LY-CT726Y-2A-1</v>
          </cell>
          <cell r="C1419" t="str">
            <v>CTAS II 3V OX</v>
          </cell>
          <cell r="D1419" t="str">
            <v>布</v>
          </cell>
        </row>
        <row r="1420">
          <cell r="A1420" t="str">
            <v>354378C</v>
          </cell>
          <cell r="B1420" t="str">
            <v>LY-CT725Y-B</v>
          </cell>
          <cell r="C1420" t="str">
            <v>CTAS II HI</v>
          </cell>
          <cell r="D1420" t="str">
            <v>布</v>
          </cell>
        </row>
        <row r="1421">
          <cell r="A1421" t="str">
            <v>354379C</v>
          </cell>
          <cell r="B1421" t="str">
            <v>LY-CT725Y-B</v>
          </cell>
          <cell r="C1421" t="str">
            <v>CT AS II HI</v>
          </cell>
          <cell r="D1421" t="str">
            <v>布</v>
          </cell>
        </row>
        <row r="1422">
          <cell r="A1422" t="str">
            <v>354388C</v>
          </cell>
          <cell r="B1422" t="str">
            <v>LY-SA287Y-A</v>
          </cell>
          <cell r="C1422" t="str">
            <v>CONS ZAKIM OX</v>
          </cell>
          <cell r="D1422" t="str">
            <v>布+星星月亮</v>
          </cell>
        </row>
        <row r="1423">
          <cell r="A1423" t="str">
            <v>354389C</v>
          </cell>
          <cell r="B1423" t="str">
            <v>LY-SA287Y-A</v>
          </cell>
          <cell r="C1423" t="str">
            <v>CONS ZAKIM OX</v>
          </cell>
          <cell r="D1423" t="str">
            <v>布+星星月亮</v>
          </cell>
        </row>
        <row r="1424">
          <cell r="A1424" t="str">
            <v>354390C</v>
          </cell>
          <cell r="B1424" t="str">
            <v>LY-SA287Y-A</v>
          </cell>
          <cell r="C1424" t="str">
            <v>CONS ZAKIM OX</v>
          </cell>
          <cell r="D1424" t="str">
            <v>布+星星月亮</v>
          </cell>
        </row>
        <row r="1425">
          <cell r="A1425" t="str">
            <v>354391C</v>
          </cell>
          <cell r="B1425" t="str">
            <v>LY-SA287Y-B</v>
          </cell>
          <cell r="C1425" t="str">
            <v>CONS ZAKIM OX</v>
          </cell>
          <cell r="D1425" t="str">
            <v>皮+星星月亮</v>
          </cell>
        </row>
        <row r="1426">
          <cell r="A1426" t="str">
            <v>354393C</v>
          </cell>
          <cell r="B1426" t="str">
            <v>LY-SA287Y-B</v>
          </cell>
          <cell r="C1426" t="str">
            <v>CONS ZAKIM OX</v>
          </cell>
          <cell r="D1426" t="str">
            <v>皮+星星月亮</v>
          </cell>
        </row>
        <row r="1427">
          <cell r="A1427" t="str">
            <v>354394C</v>
          </cell>
          <cell r="B1427" t="str">
            <v>LY-KD685B-7</v>
          </cell>
          <cell r="C1427" t="str">
            <v>STAR PLAYER EV OX</v>
          </cell>
          <cell r="D1427" t="str">
            <v>布+星星月亮</v>
          </cell>
        </row>
        <row r="1428">
          <cell r="A1428" t="str">
            <v>354396C</v>
          </cell>
          <cell r="B1428" t="str">
            <v>LY-KD685B-7</v>
          </cell>
          <cell r="C1428" t="str">
            <v>STAR PLAYER EV OX</v>
          </cell>
          <cell r="D1428" t="str">
            <v>布+星星月亮</v>
          </cell>
        </row>
        <row r="1429">
          <cell r="A1429" t="str">
            <v>354456F</v>
          </cell>
          <cell r="B1429" t="str">
            <v>LY-6G CTAS OX-4A</v>
          </cell>
          <cell r="C1429" t="str">
            <v>CT AS OX</v>
          </cell>
          <cell r="D1429" t="str">
            <v>布</v>
          </cell>
        </row>
        <row r="1430">
          <cell r="A1430" t="str">
            <v>355109C</v>
          </cell>
          <cell r="B1430" t="str">
            <v>LY-6G CTAS HI</v>
          </cell>
          <cell r="C1430" t="str">
            <v>CT AS HI</v>
          </cell>
          <cell r="D1430" t="str">
            <v>布</v>
          </cell>
        </row>
        <row r="1431">
          <cell r="A1431" t="str">
            <v>355169C</v>
          </cell>
          <cell r="B1431" t="str">
            <v>LY-KD763-13B-3</v>
          </cell>
          <cell r="C1431" t="str">
            <v>STAR PLAYER EV 4V MID</v>
          </cell>
          <cell r="D1431" t="str">
            <v>皮+星星月亮</v>
          </cell>
        </row>
        <row r="1432">
          <cell r="A1432" t="str">
            <v>355184C</v>
          </cell>
          <cell r="B1432" t="str">
            <v>LY-6G CTAS HI-3B</v>
          </cell>
          <cell r="C1432" t="str">
            <v>CT AS HI</v>
          </cell>
          <cell r="D1432" t="str">
            <v>皮</v>
          </cell>
        </row>
        <row r="1433">
          <cell r="A1433" t="str">
            <v>355185C</v>
          </cell>
          <cell r="B1433" t="str">
            <v>LY-6G CTAS OX-2B</v>
          </cell>
          <cell r="C1433" t="str">
            <v>CTAS OX</v>
          </cell>
          <cell r="D1433" t="str">
            <v>皮</v>
          </cell>
        </row>
        <row r="1434">
          <cell r="A1434" t="str">
            <v>355457C</v>
          </cell>
          <cell r="B1434" t="str">
            <v>LY-CT725Y-3A</v>
          </cell>
          <cell r="C1434" t="str">
            <v>CTAS II HI</v>
          </cell>
          <cell r="D1434" t="str">
            <v>布</v>
          </cell>
        </row>
        <row r="1435">
          <cell r="A1435" t="str">
            <v>355461C</v>
          </cell>
          <cell r="B1435" t="str">
            <v>LY-CT726Y-3A-2</v>
          </cell>
          <cell r="C1435" t="str">
            <v>CTAS II OX</v>
          </cell>
          <cell r="D1435" t="str">
            <v>布</v>
          </cell>
        </row>
        <row r="1436">
          <cell r="A1436" t="str">
            <v>355462C</v>
          </cell>
          <cell r="B1436" t="str">
            <v>LY-CT726Y-3A-2</v>
          </cell>
          <cell r="C1436" t="str">
            <v>CTAS II OX</v>
          </cell>
          <cell r="D1436" t="str">
            <v>布</v>
          </cell>
        </row>
        <row r="1437">
          <cell r="A1437" t="str">
            <v>355496C</v>
          </cell>
          <cell r="B1437" t="str">
            <v>LY-CT725Y-A</v>
          </cell>
          <cell r="C1437" t="str">
            <v>CTAS II HI</v>
          </cell>
          <cell r="D1437" t="str">
            <v>布</v>
          </cell>
        </row>
        <row r="1438">
          <cell r="A1438" t="str">
            <v>355497C</v>
          </cell>
          <cell r="B1438" t="str">
            <v>LY-CT725Y-A</v>
          </cell>
          <cell r="C1438" t="str">
            <v>CTAS II HI</v>
          </cell>
          <cell r="D1438" t="str">
            <v>布</v>
          </cell>
        </row>
        <row r="1439">
          <cell r="A1439" t="str">
            <v>355499C</v>
          </cell>
          <cell r="B1439" t="str">
            <v>LY-CT726Y-A</v>
          </cell>
          <cell r="C1439" t="str">
            <v>CTAS II OX</v>
          </cell>
          <cell r="D1439" t="str">
            <v>布</v>
          </cell>
        </row>
        <row r="1440">
          <cell r="A1440" t="str">
            <v>355500C</v>
          </cell>
          <cell r="B1440" t="str">
            <v>LY-CT726Y-A</v>
          </cell>
          <cell r="C1440" t="str">
            <v>CTAS II OX</v>
          </cell>
          <cell r="D1440" t="str">
            <v>布</v>
          </cell>
        </row>
        <row r="1441">
          <cell r="A1441" t="str">
            <v>355531C</v>
          </cell>
          <cell r="B1441" t="str">
            <v>LY-CT725Y-A-2</v>
          </cell>
          <cell r="C1441" t="str">
            <v>CT AS II HI</v>
          </cell>
          <cell r="D1441" t="str">
            <v>布</v>
          </cell>
        </row>
        <row r="1442">
          <cell r="A1442" t="str">
            <v>355534C</v>
          </cell>
          <cell r="B1442" t="str">
            <v>LY-CT725Y-4A</v>
          </cell>
          <cell r="C1442" t="str">
            <v>CTAS II HI</v>
          </cell>
          <cell r="D1442" t="str">
            <v>布</v>
          </cell>
        </row>
        <row r="1443">
          <cell r="A1443" t="str">
            <v>355535C</v>
          </cell>
          <cell r="B1443" t="str">
            <v>LY-CT725Y-4A</v>
          </cell>
          <cell r="C1443" t="str">
            <v>CTAS II HI</v>
          </cell>
          <cell r="D1443" t="str">
            <v>布</v>
          </cell>
        </row>
        <row r="1444">
          <cell r="A1444" t="str">
            <v>355537C</v>
          </cell>
          <cell r="B1444" t="str">
            <v>LY-CT726Y-3A</v>
          </cell>
          <cell r="C1444" t="str">
            <v>CTAS II OX</v>
          </cell>
          <cell r="D1444" t="str">
            <v>布</v>
          </cell>
        </row>
        <row r="1445">
          <cell r="A1445" t="str">
            <v>355539C</v>
          </cell>
          <cell r="B1445" t="str">
            <v>LY-CT726Y-3A</v>
          </cell>
          <cell r="C1445" t="str">
            <v>CTAS II OX</v>
          </cell>
          <cell r="D1445" t="str">
            <v>布</v>
          </cell>
        </row>
        <row r="1446">
          <cell r="A1446" t="str">
            <v>355723C</v>
          </cell>
          <cell r="B1446" t="str">
            <v>LY-CT725Y-A-1</v>
          </cell>
          <cell r="C1446" t="str">
            <v>CTAS II HI</v>
          </cell>
          <cell r="D1446" t="str">
            <v>布</v>
          </cell>
        </row>
        <row r="1447">
          <cell r="A1447" t="str">
            <v>355725C</v>
          </cell>
          <cell r="B1447" t="str">
            <v>LY-CT725Y-A-1</v>
          </cell>
          <cell r="C1447" t="str">
            <v>CTAS II HI</v>
          </cell>
          <cell r="D1447" t="str">
            <v>布</v>
          </cell>
        </row>
        <row r="1448">
          <cell r="A1448" t="str">
            <v>355727C</v>
          </cell>
          <cell r="B1448" t="str">
            <v>LY-CT726Y-A-1</v>
          </cell>
          <cell r="C1448" t="str">
            <v>CTAS II OX</v>
          </cell>
          <cell r="D1448" t="str">
            <v>布</v>
          </cell>
        </row>
        <row r="1449">
          <cell r="A1449" t="str">
            <v>355728C</v>
          </cell>
          <cell r="B1449" t="str">
            <v>LY-CT726Y-A-1</v>
          </cell>
          <cell r="C1449" t="str">
            <v>CTAS II OX</v>
          </cell>
          <cell r="D1449" t="str">
            <v>布</v>
          </cell>
        </row>
        <row r="1450">
          <cell r="A1450" t="str">
            <v>355802C</v>
          </cell>
          <cell r="B1450" t="str">
            <v>LY-CT725Y-2A-2</v>
          </cell>
          <cell r="C1450" t="str">
            <v>CTAS II HI</v>
          </cell>
          <cell r="D1450" t="str">
            <v>布</v>
          </cell>
        </row>
        <row r="1451">
          <cell r="A1451" t="str">
            <v>355804C</v>
          </cell>
          <cell r="B1451" t="str">
            <v>LY-CT726Y-2A-2</v>
          </cell>
          <cell r="C1451" t="str">
            <v>CTAS II OX</v>
          </cell>
          <cell r="D1451" t="str">
            <v>布</v>
          </cell>
        </row>
        <row r="1452">
          <cell r="A1452" t="str">
            <v>356420C</v>
          </cell>
          <cell r="B1452" t="str">
            <v>LY-CT726Y-3A-1</v>
          </cell>
          <cell r="C1452" t="str">
            <v>CTAS II 3V OX</v>
          </cell>
          <cell r="D1452" t="str">
            <v>布</v>
          </cell>
        </row>
        <row r="1453">
          <cell r="A1453" t="str">
            <v>356421C</v>
          </cell>
          <cell r="B1453" t="str">
            <v>LY-CT726Y-3A-1</v>
          </cell>
          <cell r="C1453" t="str">
            <v>CTAS II 3V OX</v>
          </cell>
          <cell r="D1453" t="str">
            <v>布</v>
          </cell>
        </row>
        <row r="1454">
          <cell r="A1454" t="str">
            <v>356423C</v>
          </cell>
          <cell r="B1454" t="str">
            <v>LY-KD686A</v>
          </cell>
          <cell r="C1454" t="str">
            <v>STAR PLAYER EV 3V OX</v>
          </cell>
          <cell r="D1454" t="str">
            <v>布+星星月亮</v>
          </cell>
        </row>
        <row r="1455">
          <cell r="A1455" t="str">
            <v>356424C</v>
          </cell>
          <cell r="B1455" t="str">
            <v>LY-KD686A-4</v>
          </cell>
          <cell r="C1455" t="str">
            <v>STAR PLAYER EV 3V OX</v>
          </cell>
          <cell r="D1455" t="str">
            <v>布+星星月亮</v>
          </cell>
        </row>
        <row r="1456">
          <cell r="A1456" t="str">
            <v>356601F</v>
          </cell>
          <cell r="B1456" t="str">
            <v>LY-6G CTAS OX-1</v>
          </cell>
          <cell r="C1456" t="str">
            <v>CTAS OX</v>
          </cell>
          <cell r="D1456" t="str">
            <v>布</v>
          </cell>
        </row>
        <row r="1457">
          <cell r="A1457" t="str">
            <v>356836C</v>
          </cell>
          <cell r="B1457" t="str">
            <v>LY-6G CTAS HI-3A</v>
          </cell>
          <cell r="C1457" t="str">
            <v>CTAS HI</v>
          </cell>
          <cell r="D1457" t="str">
            <v>布</v>
          </cell>
        </row>
        <row r="1458">
          <cell r="A1458" t="str">
            <v>356846C</v>
          </cell>
          <cell r="B1458" t="str">
            <v>LY-KD686A-5</v>
          </cell>
          <cell r="C1458" t="str">
            <v>STAR PLAYER EV 3V OX</v>
          </cell>
          <cell r="D1458" t="str">
            <v>布+星星月亮</v>
          </cell>
        </row>
        <row r="1459">
          <cell r="A1459" t="str">
            <v>358360C</v>
          </cell>
          <cell r="B1459" t="str">
            <v>LY-KD686A</v>
          </cell>
          <cell r="C1459" t="str">
            <v>STAR PLAYER EV 3V OX</v>
          </cell>
          <cell r="D1459" t="str">
            <v>布+星星月亮</v>
          </cell>
        </row>
        <row r="1460">
          <cell r="A1460" t="str">
            <v>358361C</v>
          </cell>
          <cell r="B1460" t="str">
            <v>LY-KD686A</v>
          </cell>
          <cell r="C1460" t="str">
            <v>STAR PLAYER EV 3V OX</v>
          </cell>
          <cell r="D1460" t="str">
            <v>布+星星月亮</v>
          </cell>
        </row>
        <row r="1461">
          <cell r="A1461" t="str">
            <v>358362C</v>
          </cell>
          <cell r="B1461" t="str">
            <v>LY-KD686A</v>
          </cell>
          <cell r="C1461" t="str">
            <v>STAR PLAYER EV 3V OX</v>
          </cell>
          <cell r="D1461" t="str">
            <v>布+星星月亮</v>
          </cell>
        </row>
        <row r="1462">
          <cell r="A1462" t="str">
            <v>358414C</v>
          </cell>
          <cell r="B1462" t="str">
            <v>LY-6G CTAS OX-4B</v>
          </cell>
          <cell r="C1462" t="str">
            <v>CT AS OX</v>
          </cell>
          <cell r="D1462" t="str">
            <v>皮</v>
          </cell>
        </row>
        <row r="1463">
          <cell r="A1463" t="str">
            <v>358416C</v>
          </cell>
          <cell r="B1463" t="str">
            <v>LY-6G CTAS OX-4B</v>
          </cell>
          <cell r="C1463" t="str">
            <v>CT AS OX</v>
          </cell>
          <cell r="D1463" t="str">
            <v>皮</v>
          </cell>
        </row>
        <row r="1464">
          <cell r="A1464" t="str">
            <v>358568C</v>
          </cell>
          <cell r="B1464" t="str">
            <v>LY-6G CTAS OX-B</v>
          </cell>
          <cell r="C1464" t="str">
            <v>CTAS OX</v>
          </cell>
          <cell r="D1464" t="str">
            <v>皮</v>
          </cell>
        </row>
        <row r="1465">
          <cell r="A1465" t="str">
            <v>358569C</v>
          </cell>
          <cell r="B1465" t="str">
            <v>LY-6G CTAS OX-B</v>
          </cell>
          <cell r="C1465" t="str">
            <v>CTAS OX</v>
          </cell>
          <cell r="D1465" t="str">
            <v>皮</v>
          </cell>
        </row>
        <row r="1466">
          <cell r="A1466" t="str">
            <v>358632F</v>
          </cell>
          <cell r="B1466" t="str">
            <v>LY-6G CTAS OX</v>
          </cell>
          <cell r="C1466" t="str">
            <v>CTAS OX</v>
          </cell>
          <cell r="D1466" t="str">
            <v>布</v>
          </cell>
        </row>
        <row r="1467">
          <cell r="A1467" t="str">
            <v>358633F</v>
          </cell>
          <cell r="B1467" t="str">
            <v>LY-6G CTAS OX</v>
          </cell>
          <cell r="C1467" t="str">
            <v>CT AS OX</v>
          </cell>
          <cell r="D1467" t="str">
            <v>布</v>
          </cell>
        </row>
        <row r="1468">
          <cell r="A1468" t="str">
            <v>358634F</v>
          </cell>
          <cell r="B1468" t="str">
            <v>LY-6G CTAS OX</v>
          </cell>
          <cell r="C1468" t="str">
            <v>CTAS OX</v>
          </cell>
          <cell r="D1468" t="str">
            <v>布</v>
          </cell>
        </row>
        <row r="1469">
          <cell r="A1469" t="str">
            <v>359475F</v>
          </cell>
          <cell r="B1469" t="str">
            <v>LY-6G CTAS OX-1</v>
          </cell>
          <cell r="C1469" t="str">
            <v>CT AS OX</v>
          </cell>
          <cell r="D1469" t="str">
            <v>布</v>
          </cell>
        </row>
        <row r="1470">
          <cell r="A1470" t="str">
            <v>359710C</v>
          </cell>
          <cell r="B1470" t="str">
            <v>LY-OS119J-3A</v>
          </cell>
          <cell r="C1470" t="str">
            <v>ONE STAR OX</v>
          </cell>
          <cell r="D1470" t="str">
            <v xml:space="preserve">布 </v>
          </cell>
        </row>
        <row r="1471">
          <cell r="A1471" t="str">
            <v>359710F</v>
          </cell>
          <cell r="B1471" t="str">
            <v>LY-OS119J-3A</v>
          </cell>
          <cell r="C1471" t="str">
            <v>ONE STAR OX</v>
          </cell>
          <cell r="D1471" t="str">
            <v xml:space="preserve">布 </v>
          </cell>
        </row>
        <row r="1472">
          <cell r="A1472" t="str">
            <v>359711C</v>
          </cell>
          <cell r="B1472" t="str">
            <v>LY-OS119J-3A</v>
          </cell>
          <cell r="C1472" t="str">
            <v>ONE STAR OX</v>
          </cell>
          <cell r="D1472" t="str">
            <v>布</v>
          </cell>
        </row>
        <row r="1473">
          <cell r="A1473" t="str">
            <v>359711F</v>
          </cell>
          <cell r="B1473" t="str">
            <v>LY-OS119J-3A</v>
          </cell>
          <cell r="C1473" t="str">
            <v>ONE STAR OX</v>
          </cell>
          <cell r="D1473" t="str">
            <v xml:space="preserve">布 </v>
          </cell>
        </row>
        <row r="1474">
          <cell r="A1474" t="str">
            <v>359731C</v>
          </cell>
          <cell r="B1474" t="str">
            <v>LY-OS119J-B-1</v>
          </cell>
          <cell r="C1474" t="str">
            <v>ONE STAR OX</v>
          </cell>
          <cell r="D1474" t="str">
            <v>皮</v>
          </cell>
        </row>
        <row r="1475">
          <cell r="A1475" t="str">
            <v>359733C</v>
          </cell>
          <cell r="B1475" t="str">
            <v>LY-OS119J-B-1</v>
          </cell>
          <cell r="C1475" t="str">
            <v>ONE STAR OX</v>
          </cell>
          <cell r="D1475" t="str">
            <v>皮</v>
          </cell>
        </row>
        <row r="1476">
          <cell r="A1476" t="str">
            <v>359786C</v>
          </cell>
          <cell r="B1476" t="str">
            <v>LY-SK032Y-A-1</v>
          </cell>
          <cell r="C1476" t="str">
            <v>CONVERSE EL DISTRITO</v>
          </cell>
          <cell r="D1476" t="str">
            <v>布+星星月亮</v>
          </cell>
        </row>
        <row r="1477">
          <cell r="A1477" t="str">
            <v>359786F</v>
          </cell>
          <cell r="B1477" t="str">
            <v>LY-SK032Y-A-1</v>
          </cell>
          <cell r="C1477" t="str">
            <v>CONVERSE EL DISTRITO</v>
          </cell>
          <cell r="D1477" t="str">
            <v>布+星星月亮</v>
          </cell>
        </row>
        <row r="1478">
          <cell r="A1478" t="str">
            <v>359792C</v>
          </cell>
          <cell r="B1478" t="str">
            <v>LY-SK032Y-A-1</v>
          </cell>
          <cell r="C1478" t="str">
            <v>CONVERSE EL DISTRITO</v>
          </cell>
          <cell r="D1478" t="str">
            <v>布+星星月亮</v>
          </cell>
        </row>
        <row r="1479">
          <cell r="A1479" t="str">
            <v>359792F</v>
          </cell>
          <cell r="B1479" t="str">
            <v>LY-SK032Y-A-1</v>
          </cell>
          <cell r="C1479" t="str">
            <v>CONVERSE EL DISTRITO</v>
          </cell>
          <cell r="D1479" t="str">
            <v>布+星星月亮</v>
          </cell>
        </row>
        <row r="1480">
          <cell r="A1480" t="str">
            <v>359793C</v>
          </cell>
          <cell r="B1480" t="str">
            <v>LY-SK032Y-A-1</v>
          </cell>
          <cell r="C1480" t="str">
            <v>CONS EL DISTRITO OX</v>
          </cell>
          <cell r="D1480" t="str">
            <v>布+星星月亮</v>
          </cell>
        </row>
        <row r="1481">
          <cell r="A1481" t="str">
            <v>359793F</v>
          </cell>
          <cell r="B1481" t="str">
            <v>LY-SK032Y-A-1</v>
          </cell>
          <cell r="C1481" t="str">
            <v>CONS EL DISTRITO OX</v>
          </cell>
          <cell r="D1481" t="str">
            <v>布+星星月亮</v>
          </cell>
        </row>
        <row r="1482">
          <cell r="A1482" t="str">
            <v>359796C</v>
          </cell>
          <cell r="B1482" t="str">
            <v>LY-SA368Y-B</v>
          </cell>
          <cell r="C1482" t="str">
            <v>CONVERSE POINT STAR OX</v>
          </cell>
          <cell r="D1482" t="str">
            <v>皮+星星月亮</v>
          </cell>
        </row>
        <row r="1483">
          <cell r="A1483" t="str">
            <v>359798C</v>
          </cell>
          <cell r="B1483" t="str">
            <v>LY-SA368Y-B</v>
          </cell>
          <cell r="C1483" t="str">
            <v>CONVERSE POINT STAR OX</v>
          </cell>
          <cell r="D1483" t="str">
            <v>皮+星星月亮</v>
          </cell>
        </row>
        <row r="1484">
          <cell r="A1484" t="str">
            <v>359813C</v>
          </cell>
          <cell r="B1484" t="str">
            <v>LY-OS119J-B-2</v>
          </cell>
          <cell r="C1484" t="str">
            <v>ONE STAR OX</v>
          </cell>
          <cell r="D1484" t="str">
            <v>皮</v>
          </cell>
        </row>
        <row r="1485">
          <cell r="A1485" t="str">
            <v>359815C</v>
          </cell>
          <cell r="B1485" t="str">
            <v>LY-OS119J-B-2</v>
          </cell>
          <cell r="C1485" t="str">
            <v>ONE STAR OX</v>
          </cell>
          <cell r="D1485" t="str">
            <v>皮</v>
          </cell>
        </row>
        <row r="1486">
          <cell r="A1486" t="str">
            <v>360198C</v>
          </cell>
          <cell r="B1486" t="str">
            <v>LY-SA345J-4B</v>
          </cell>
          <cell r="C1486" t="str">
            <v>BREAKPOINT 2V OX</v>
          </cell>
          <cell r="D1486" t="str">
            <v>皮+星星月亮</v>
          </cell>
        </row>
        <row r="1487">
          <cell r="A1487" t="str">
            <v>360199C</v>
          </cell>
          <cell r="B1487" t="str">
            <v>LY-SA345J-4B</v>
          </cell>
          <cell r="C1487" t="str">
            <v>BREAKPOINT 2V OX</v>
          </cell>
          <cell r="D1487" t="str">
            <v>皮+星星月亮</v>
          </cell>
        </row>
        <row r="1488">
          <cell r="A1488" t="str">
            <v>360241C</v>
          </cell>
          <cell r="B1488" t="str">
            <v>LY-JP133J-B</v>
          </cell>
          <cell r="C1488" t="str">
            <v>JP 3V OX</v>
          </cell>
          <cell r="D1488" t="str">
            <v>皮</v>
          </cell>
        </row>
        <row r="1489">
          <cell r="A1489" t="str">
            <v>360242C</v>
          </cell>
          <cell r="B1489" t="str">
            <v>LY-JP133J-B</v>
          </cell>
          <cell r="C1489" t="str">
            <v>JP 3V OX</v>
          </cell>
          <cell r="D1489" t="str">
            <v>皮</v>
          </cell>
        </row>
        <row r="1490">
          <cell r="A1490" t="str">
            <v>360243C</v>
          </cell>
          <cell r="B1490" t="str">
            <v>LY-JP133J-A</v>
          </cell>
          <cell r="C1490" t="str">
            <v>JP 3V OX</v>
          </cell>
          <cell r="D1490" t="str">
            <v>布</v>
          </cell>
        </row>
        <row r="1491">
          <cell r="A1491" t="str">
            <v>360244C</v>
          </cell>
          <cell r="B1491" t="str">
            <v>LY-JP133J-A</v>
          </cell>
          <cell r="C1491" t="str">
            <v>JP 3V OX</v>
          </cell>
          <cell r="D1491" t="str">
            <v>布</v>
          </cell>
        </row>
        <row r="1492">
          <cell r="A1492" t="str">
            <v>360245C</v>
          </cell>
          <cell r="B1492" t="str">
            <v>LY-KD686B</v>
          </cell>
          <cell r="C1492" t="str">
            <v>STAR PLAYER EV 3V OX</v>
          </cell>
          <cell r="D1492" t="str">
            <v>皮+星星月亮</v>
          </cell>
        </row>
        <row r="1493">
          <cell r="A1493" t="str">
            <v>360246C</v>
          </cell>
          <cell r="B1493" t="str">
            <v>LY-KD686B</v>
          </cell>
          <cell r="C1493" t="str">
            <v>STAR PLAYER EV 3V OX</v>
          </cell>
          <cell r="D1493" t="str">
            <v>皮+星星月亮</v>
          </cell>
        </row>
        <row r="1494">
          <cell r="A1494" t="str">
            <v>360595C</v>
          </cell>
          <cell r="B1494" t="str">
            <v>LY-OS119J-A-1</v>
          </cell>
          <cell r="C1494" t="str">
            <v>ONE STAR OX</v>
          </cell>
          <cell r="D1494" t="str">
            <v>布</v>
          </cell>
        </row>
        <row r="1495">
          <cell r="A1495" t="str">
            <v>360595F</v>
          </cell>
          <cell r="B1495" t="str">
            <v>LY-OS119J-A-1</v>
          </cell>
          <cell r="C1495" t="str">
            <v>ONE STAR OX</v>
          </cell>
          <cell r="D1495" t="str">
            <v>布</v>
          </cell>
        </row>
        <row r="1496">
          <cell r="A1496" t="str">
            <v>360596C</v>
          </cell>
          <cell r="B1496" t="str">
            <v>LY-OS119J-A-1</v>
          </cell>
          <cell r="C1496" t="str">
            <v>ONE STAR OX</v>
          </cell>
          <cell r="D1496" t="str">
            <v>布</v>
          </cell>
        </row>
        <row r="1497">
          <cell r="A1497" t="str">
            <v>360596F</v>
          </cell>
          <cell r="B1497" t="str">
            <v>LY-OS119J-A-1</v>
          </cell>
          <cell r="C1497" t="str">
            <v>ONE STAR OX</v>
          </cell>
          <cell r="D1497" t="str">
            <v>布</v>
          </cell>
        </row>
        <row r="1498">
          <cell r="A1498" t="str">
            <v>360598C</v>
          </cell>
          <cell r="B1498" t="str">
            <v>LY-OS119J-A-1</v>
          </cell>
          <cell r="C1498" t="str">
            <v>ONE STAR OX</v>
          </cell>
          <cell r="D1498" t="str">
            <v>布</v>
          </cell>
        </row>
        <row r="1499">
          <cell r="A1499" t="str">
            <v>360598F</v>
          </cell>
          <cell r="B1499" t="str">
            <v>LY-OS119J-A-1</v>
          </cell>
          <cell r="C1499" t="str">
            <v>ONE STAR OX</v>
          </cell>
          <cell r="D1499" t="str">
            <v>布</v>
          </cell>
        </row>
        <row r="1500">
          <cell r="A1500" t="str">
            <v>360623C</v>
          </cell>
          <cell r="B1500" t="str">
            <v>LY-OS119J-B-4</v>
          </cell>
          <cell r="C1500" t="str">
            <v>ONE STAR OX</v>
          </cell>
          <cell r="D1500" t="str">
            <v>皮</v>
          </cell>
        </row>
        <row r="1501">
          <cell r="A1501" t="str">
            <v>360626C</v>
          </cell>
          <cell r="B1501" t="str">
            <v>LY-OS119J-B-4</v>
          </cell>
          <cell r="C1501" t="str">
            <v>ONE STAR OX</v>
          </cell>
          <cell r="D1501" t="str">
            <v>皮</v>
          </cell>
        </row>
        <row r="1502">
          <cell r="A1502" t="str">
            <v>360914C</v>
          </cell>
          <cell r="B1502" t="str">
            <v>LY-OS119J-B-3</v>
          </cell>
          <cell r="C1502" t="str">
            <v>ONE STAR OX</v>
          </cell>
          <cell r="D1502" t="str">
            <v>皮</v>
          </cell>
        </row>
        <row r="1503">
          <cell r="A1503" t="str">
            <v>360999C</v>
          </cell>
          <cell r="B1503" t="str">
            <v>LY-KD686A-3-2B</v>
          </cell>
          <cell r="C1503" t="str">
            <v>STAR PLAYER EV 3V OX</v>
          </cell>
          <cell r="D1503" t="str">
            <v>皮+星星月亮</v>
          </cell>
        </row>
        <row r="1504">
          <cell r="A1504" t="str">
            <v>361193C</v>
          </cell>
          <cell r="B1504" t="str">
            <v>LY-OS119J-B</v>
          </cell>
          <cell r="C1504" t="str">
            <v>ONE STAR</v>
          </cell>
          <cell r="D1504" t="str">
            <v>皮</v>
          </cell>
        </row>
        <row r="1505">
          <cell r="A1505" t="str">
            <v>361195C</v>
          </cell>
          <cell r="B1505" t="str">
            <v>LY-OS119J-B</v>
          </cell>
          <cell r="C1505" t="str">
            <v>ONE STAR</v>
          </cell>
          <cell r="D1505" t="str">
            <v>皮</v>
          </cell>
        </row>
        <row r="1506">
          <cell r="A1506" t="str">
            <v>361301C</v>
          </cell>
          <cell r="B1506" t="str">
            <v>LY-OS119J-A-2</v>
          </cell>
          <cell r="C1506" t="str">
            <v>ONE STAR OX</v>
          </cell>
          <cell r="D1506" t="str">
            <v>布</v>
          </cell>
        </row>
        <row r="1507">
          <cell r="A1507" t="str">
            <v>361302C</v>
          </cell>
          <cell r="B1507" t="str">
            <v>LY-OS119J-A-2</v>
          </cell>
          <cell r="C1507" t="str">
            <v>ONE STAR OX</v>
          </cell>
          <cell r="D1507" t="str">
            <v>布</v>
          </cell>
        </row>
        <row r="1508">
          <cell r="A1508" t="str">
            <v>361307C</v>
          </cell>
          <cell r="B1508" t="str">
            <v>LY-JP133J-A</v>
          </cell>
          <cell r="C1508" t="str">
            <v>JP 3V OX</v>
          </cell>
          <cell r="D1508" t="str">
            <v>布</v>
          </cell>
        </row>
        <row r="1509">
          <cell r="A1509" t="str">
            <v>361308C</v>
          </cell>
          <cell r="B1509" t="str">
            <v>LY-JP133J-A</v>
          </cell>
          <cell r="C1509" t="str">
            <v>JP 3V OX</v>
          </cell>
          <cell r="D1509" t="str">
            <v>布</v>
          </cell>
        </row>
        <row r="1510">
          <cell r="A1510" t="str">
            <v>361338C</v>
          </cell>
          <cell r="B1510" t="str">
            <v>LY-SK032Y-1A</v>
          </cell>
          <cell r="C1510" t="str">
            <v>CONVERSE EL DISTRITO</v>
          </cell>
          <cell r="D1510" t="str">
            <v>布+星星月亮</v>
          </cell>
        </row>
        <row r="1511">
          <cell r="A1511" t="str">
            <v>361338F</v>
          </cell>
          <cell r="B1511" t="str">
            <v>LY-SK032Y-1A</v>
          </cell>
          <cell r="C1511" t="str">
            <v>CONVERSE EL DISTRITO</v>
          </cell>
          <cell r="D1511" t="str">
            <v>布+星星月亮</v>
          </cell>
        </row>
        <row r="1512">
          <cell r="A1512" t="str">
            <v>361339C</v>
          </cell>
          <cell r="B1512" t="str">
            <v>LY-SK032Y-1A</v>
          </cell>
          <cell r="C1512" t="str">
            <v>CONVERSE EL DISTRITO</v>
          </cell>
          <cell r="D1512" t="str">
            <v>布+星星月亮</v>
          </cell>
        </row>
        <row r="1513">
          <cell r="A1513" t="str">
            <v>361340C</v>
          </cell>
          <cell r="B1513" t="str">
            <v>LY-SK032Y-1A</v>
          </cell>
          <cell r="C1513" t="str">
            <v>CONVERSE EL DISTRITO</v>
          </cell>
          <cell r="D1513" t="str">
            <v>布+星星月亮</v>
          </cell>
        </row>
        <row r="1514">
          <cell r="A1514" t="str">
            <v>361360C</v>
          </cell>
          <cell r="B1514" t="str">
            <v>LY-SA368Y-A</v>
          </cell>
          <cell r="C1514" t="str">
            <v>CONVERSE POINT STAR OX</v>
          </cell>
          <cell r="D1514" t="str">
            <v>布+星星月亮</v>
          </cell>
        </row>
        <row r="1515">
          <cell r="A1515" t="str">
            <v>361360F</v>
          </cell>
          <cell r="B1515" t="str">
            <v>LY-SA368Y-A</v>
          </cell>
          <cell r="C1515" t="str">
            <v>CONVERSE POINT STAR OX</v>
          </cell>
          <cell r="D1515" t="str">
            <v>布+星星月亮</v>
          </cell>
        </row>
        <row r="1516">
          <cell r="A1516" t="str">
            <v>361363C</v>
          </cell>
          <cell r="B1516" t="str">
            <v>LY-SA368Y-A</v>
          </cell>
          <cell r="C1516" t="str">
            <v>CONVERSE POINT STAR OX</v>
          </cell>
          <cell r="D1516" t="str">
            <v>布+星星月亮</v>
          </cell>
        </row>
        <row r="1517">
          <cell r="A1517" t="str">
            <v>361363F</v>
          </cell>
          <cell r="B1517" t="str">
            <v>LY-SA368Y-A</v>
          </cell>
          <cell r="C1517" t="str">
            <v>CONVERSE POINT STAR OX</v>
          </cell>
          <cell r="D1517" t="str">
            <v>布+星星月亮</v>
          </cell>
        </row>
        <row r="1518">
          <cell r="A1518" t="str">
            <v>361364C</v>
          </cell>
          <cell r="B1518" t="str">
            <v>LY-SA368Y-A</v>
          </cell>
          <cell r="C1518" t="str">
            <v>CONVERSE POINT STAR</v>
          </cell>
          <cell r="D1518" t="str">
            <v>布+星星月亮</v>
          </cell>
        </row>
        <row r="1519">
          <cell r="A1519" t="str">
            <v>361802C</v>
          </cell>
          <cell r="B1519" t="str">
            <v>LY-OS119J-B-1</v>
          </cell>
          <cell r="C1519" t="str">
            <v>ONE STAR OX</v>
          </cell>
          <cell r="D1519" t="str">
            <v>皮</v>
          </cell>
        </row>
        <row r="1520">
          <cell r="A1520" t="str">
            <v>361803C</v>
          </cell>
          <cell r="B1520" t="str">
            <v>LY-OS119J-B-1</v>
          </cell>
          <cell r="C1520" t="str">
            <v>ONE STAR</v>
          </cell>
          <cell r="D1520" t="str">
            <v>皮</v>
          </cell>
        </row>
        <row r="1521">
          <cell r="A1521" t="str">
            <v>361804C</v>
          </cell>
          <cell r="B1521" t="str">
            <v>LY-OS119J-B-1</v>
          </cell>
          <cell r="C1521" t="str">
            <v>ONE STAR OX</v>
          </cell>
          <cell r="D1521" t="str">
            <v>皮</v>
          </cell>
        </row>
        <row r="1522">
          <cell r="A1522" t="str">
            <v>361805C</v>
          </cell>
          <cell r="B1522" t="str">
            <v>LY-OS119J-B-1</v>
          </cell>
          <cell r="C1522" t="str">
            <v>ONE STAR OX</v>
          </cell>
          <cell r="D1522" t="str">
            <v>皮</v>
          </cell>
        </row>
        <row r="1523">
          <cell r="A1523" t="str">
            <v>361806C</v>
          </cell>
          <cell r="B1523" t="str">
            <v>LY-OS119J-B-6</v>
          </cell>
          <cell r="C1523" t="str">
            <v>ONE STAR OX</v>
          </cell>
          <cell r="D1523" t="str">
            <v>皮</v>
          </cell>
        </row>
        <row r="1524">
          <cell r="A1524" t="str">
            <v>361807C</v>
          </cell>
          <cell r="B1524" t="str">
            <v>LY-OS119J-B-6</v>
          </cell>
          <cell r="C1524" t="str">
            <v>ONE STAR OX</v>
          </cell>
          <cell r="D1524" t="str">
            <v>皮</v>
          </cell>
        </row>
        <row r="1525">
          <cell r="A1525" t="str">
            <v>361808C</v>
          </cell>
          <cell r="B1525" t="str">
            <v>LY-OS119J-B-6</v>
          </cell>
          <cell r="C1525" t="str">
            <v>ONE STAR OX</v>
          </cell>
          <cell r="D1525" t="str">
            <v>皮</v>
          </cell>
        </row>
        <row r="1526">
          <cell r="A1526" t="str">
            <v>361809C</v>
          </cell>
          <cell r="B1526" t="str">
            <v>LY-SA368Y-A</v>
          </cell>
          <cell r="C1526" t="str">
            <v>CONVERSE POINT STAR OX</v>
          </cell>
          <cell r="D1526" t="str">
            <v>布+星星月亮</v>
          </cell>
        </row>
        <row r="1527">
          <cell r="A1527" t="str">
            <v>361809F</v>
          </cell>
          <cell r="B1527" t="str">
            <v>LY-SA368Y-A</v>
          </cell>
          <cell r="C1527" t="str">
            <v>CONVERSE POINT STAR OX</v>
          </cell>
          <cell r="D1527" t="str">
            <v>布+星星月亮</v>
          </cell>
        </row>
        <row r="1528">
          <cell r="A1528" t="str">
            <v>361810C</v>
          </cell>
          <cell r="B1528" t="str">
            <v>LY-SA368Y-A</v>
          </cell>
          <cell r="C1528" t="str">
            <v>CONVERSE POINT STAR</v>
          </cell>
          <cell r="D1528" t="str">
            <v>布+星星月亮</v>
          </cell>
        </row>
        <row r="1529">
          <cell r="A1529" t="str">
            <v>361810F</v>
          </cell>
          <cell r="B1529" t="str">
            <v>LY-SA368Y-A</v>
          </cell>
          <cell r="C1529" t="str">
            <v>CONVERSE POINT STAR</v>
          </cell>
          <cell r="D1529" t="str">
            <v>布+星星月亮</v>
          </cell>
        </row>
        <row r="1530">
          <cell r="A1530" t="str">
            <v>361811C</v>
          </cell>
          <cell r="B1530" t="str">
            <v>LY-SA368Y-A</v>
          </cell>
          <cell r="C1530" t="str">
            <v>CONVERSE POINT STAR OX</v>
          </cell>
          <cell r="D1530" t="str">
            <v>布+星星月亮</v>
          </cell>
        </row>
        <row r="1531">
          <cell r="A1531" t="str">
            <v>361811F</v>
          </cell>
          <cell r="B1531" t="str">
            <v>LY-SA368Y-A</v>
          </cell>
          <cell r="C1531" t="str">
            <v>CONVERSE POINT STAR OX</v>
          </cell>
          <cell r="D1531" t="str">
            <v>布+星星月亮</v>
          </cell>
        </row>
        <row r="1532">
          <cell r="A1532" t="str">
            <v>361812C</v>
          </cell>
          <cell r="B1532" t="str">
            <v>LY-OS119J-B-5</v>
          </cell>
          <cell r="C1532" t="str">
            <v>ONE STAR OX</v>
          </cell>
          <cell r="D1532" t="str">
            <v>皮</v>
          </cell>
        </row>
        <row r="1533">
          <cell r="A1533" t="str">
            <v>361813C</v>
          </cell>
          <cell r="B1533" t="str">
            <v>LY-SK032Y-2A</v>
          </cell>
          <cell r="C1533" t="str">
            <v>EL DISTRITO</v>
          </cell>
          <cell r="D1533" t="str">
            <v>布+星星月亮</v>
          </cell>
        </row>
        <row r="1534">
          <cell r="A1534" t="str">
            <v>361813F</v>
          </cell>
          <cell r="B1534" t="str">
            <v>LY-SK032Y-2A</v>
          </cell>
          <cell r="C1534" t="str">
            <v>EL DISTRITO</v>
          </cell>
          <cell r="D1534" t="str">
            <v>布+星星月亮</v>
          </cell>
        </row>
        <row r="1535">
          <cell r="A1535" t="str">
            <v>361814C</v>
          </cell>
          <cell r="B1535" t="str">
            <v>LY-SK032Y-2A</v>
          </cell>
          <cell r="C1535" t="str">
            <v>EL DISTRITO</v>
          </cell>
          <cell r="D1535" t="str">
            <v>布+星星月亮</v>
          </cell>
        </row>
        <row r="1536">
          <cell r="A1536" t="str">
            <v>361814F</v>
          </cell>
          <cell r="B1536" t="str">
            <v>LY-SK032Y-2A</v>
          </cell>
          <cell r="C1536" t="str">
            <v>EL DISTRITO</v>
          </cell>
          <cell r="D1536" t="str">
            <v>布+星星月亮</v>
          </cell>
        </row>
        <row r="1537">
          <cell r="A1537" t="str">
            <v>361815C</v>
          </cell>
          <cell r="B1537" t="str">
            <v>LY-SK032Y-2A</v>
          </cell>
          <cell r="C1537" t="str">
            <v>CONVERSE EL DISTRITO OX</v>
          </cell>
          <cell r="D1537" t="str">
            <v>布+星星月亮</v>
          </cell>
        </row>
        <row r="1538">
          <cell r="A1538" t="str">
            <v>361815F</v>
          </cell>
          <cell r="B1538" t="str">
            <v>LY-SK032Y-2A</v>
          </cell>
          <cell r="C1538" t="str">
            <v>EL DISTRITO</v>
          </cell>
          <cell r="D1538" t="str">
            <v>布+星星月亮</v>
          </cell>
        </row>
        <row r="1539">
          <cell r="A1539" t="str">
            <v>361816C</v>
          </cell>
          <cell r="B1539" t="str">
            <v>LY-SK032Y-2A</v>
          </cell>
          <cell r="C1539" t="str">
            <v>EL DISTRITO</v>
          </cell>
          <cell r="D1539" t="str">
            <v>布+星星月亮</v>
          </cell>
        </row>
        <row r="1540">
          <cell r="A1540" t="str">
            <v>361816F</v>
          </cell>
          <cell r="B1540" t="str">
            <v>LY-SK032Y-2A</v>
          </cell>
          <cell r="C1540" t="str">
            <v>CONVERSE EL DISTRITO OX</v>
          </cell>
          <cell r="D1540" t="str">
            <v>布+星星月亮</v>
          </cell>
        </row>
        <row r="1541">
          <cell r="A1541" t="str">
            <v>361817C</v>
          </cell>
          <cell r="B1541" t="str">
            <v>LY-SA384Y-A</v>
          </cell>
          <cell r="C1541" t="str">
            <v>CONVERSE COURTLANDT OX</v>
          </cell>
          <cell r="D1541" t="str">
            <v>布+星星月亮</v>
          </cell>
        </row>
        <row r="1542">
          <cell r="A1542" t="str">
            <v>361817F</v>
          </cell>
          <cell r="B1542" t="str">
            <v>LY-SA384Y-A</v>
          </cell>
          <cell r="C1542" t="str">
            <v>CONVERSE COURTLANDT</v>
          </cell>
          <cell r="D1542" t="str">
            <v>布+星星月亮</v>
          </cell>
        </row>
        <row r="1543">
          <cell r="A1543" t="str">
            <v>361818C</v>
          </cell>
          <cell r="B1543" t="str">
            <v>LY-SA384Y-A</v>
          </cell>
          <cell r="C1543" t="str">
            <v>CONVERSE COURTLANDT OX</v>
          </cell>
          <cell r="D1543" t="str">
            <v>布+星星月亮</v>
          </cell>
        </row>
        <row r="1544">
          <cell r="A1544" t="str">
            <v>361818F</v>
          </cell>
          <cell r="B1544" t="str">
            <v>LY-SA384Y-A</v>
          </cell>
          <cell r="C1544" t="str">
            <v>CONVERSE COURTLANDT OX</v>
          </cell>
          <cell r="D1544" t="str">
            <v>布+星星月亮</v>
          </cell>
        </row>
        <row r="1545">
          <cell r="A1545" t="str">
            <v>361819C</v>
          </cell>
          <cell r="B1545" t="str">
            <v>LY-SA384Y-A</v>
          </cell>
          <cell r="C1545" t="str">
            <v>CONVERSE COURTLANDT OX</v>
          </cell>
          <cell r="D1545" t="str">
            <v>布+星星月亮</v>
          </cell>
        </row>
        <row r="1546">
          <cell r="A1546" t="str">
            <v>361819F</v>
          </cell>
          <cell r="B1546" t="str">
            <v>LY-SA384Y-A</v>
          </cell>
          <cell r="C1546" t="str">
            <v>CONVERSE COURTLANDT</v>
          </cell>
          <cell r="D1546" t="str">
            <v>布+星星月亮</v>
          </cell>
        </row>
        <row r="1547">
          <cell r="A1547" t="str">
            <v>362179C</v>
          </cell>
          <cell r="B1547" t="str">
            <v>LY-JP133J-1A</v>
          </cell>
          <cell r="C1547" t="str">
            <v>JACK PURCELL 3V</v>
          </cell>
          <cell r="D1547" t="str">
            <v>布</v>
          </cell>
        </row>
        <row r="1548">
          <cell r="A1548" t="str">
            <v>362188C</v>
          </cell>
          <cell r="B1548" t="str">
            <v>LY-OS119J-A-3</v>
          </cell>
          <cell r="C1548" t="str">
            <v>ONE STAR</v>
          </cell>
          <cell r="D1548" t="str">
            <v>布</v>
          </cell>
        </row>
        <row r="1549">
          <cell r="A1549" t="str">
            <v>362188F</v>
          </cell>
          <cell r="B1549" t="str">
            <v>LY-OS119J-A-3</v>
          </cell>
          <cell r="C1549" t="str">
            <v>ONE STAR OX</v>
          </cell>
          <cell r="D1549" t="str">
            <v>布</v>
          </cell>
        </row>
        <row r="1550">
          <cell r="A1550" t="str">
            <v>362189C</v>
          </cell>
          <cell r="B1550" t="str">
            <v>LY-OS119J-A-3</v>
          </cell>
          <cell r="C1550" t="str">
            <v>ONE STAR OX</v>
          </cell>
          <cell r="D1550" t="str">
            <v>布</v>
          </cell>
        </row>
        <row r="1551">
          <cell r="A1551" t="str">
            <v>362189F</v>
          </cell>
          <cell r="B1551" t="str">
            <v>LY-OS119J-A-3</v>
          </cell>
          <cell r="C1551" t="str">
            <v>ONE STAR OX</v>
          </cell>
          <cell r="D1551" t="str">
            <v>布</v>
          </cell>
        </row>
        <row r="1552">
          <cell r="A1552" t="str">
            <v>362190C</v>
          </cell>
          <cell r="B1552" t="str">
            <v>LY-OS119J-A-3</v>
          </cell>
          <cell r="C1552" t="str">
            <v>ONE STAR OX</v>
          </cell>
          <cell r="D1552" t="str">
            <v>布</v>
          </cell>
        </row>
        <row r="1553">
          <cell r="A1553" t="str">
            <v>362190F</v>
          </cell>
          <cell r="B1553" t="str">
            <v>LY-OS119J-A-3</v>
          </cell>
          <cell r="C1553" t="str">
            <v>ONE STAR OX</v>
          </cell>
          <cell r="D1553" t="str">
            <v>布</v>
          </cell>
        </row>
        <row r="1554">
          <cell r="A1554" t="str">
            <v>362191C</v>
          </cell>
          <cell r="B1554" t="str">
            <v>LY-OS119J-B-1</v>
          </cell>
          <cell r="C1554" t="str">
            <v>ONE STAR</v>
          </cell>
          <cell r="D1554" t="str">
            <v>皮</v>
          </cell>
        </row>
        <row r="1555">
          <cell r="A1555" t="str">
            <v>362192C</v>
          </cell>
          <cell r="B1555" t="str">
            <v>LY-OS119J-B-1</v>
          </cell>
          <cell r="C1555" t="str">
            <v>ONE STAR</v>
          </cell>
          <cell r="D1555" t="str">
            <v>皮</v>
          </cell>
        </row>
        <row r="1556">
          <cell r="A1556" t="str">
            <v>362193C</v>
          </cell>
          <cell r="B1556" t="str">
            <v>LY-OS119J-B-1</v>
          </cell>
          <cell r="C1556" t="str">
            <v>ONE STAR</v>
          </cell>
          <cell r="D1556" t="str">
            <v>皮</v>
          </cell>
        </row>
        <row r="1557">
          <cell r="A1557" t="str">
            <v>362527C</v>
          </cell>
          <cell r="B1557" t="str">
            <v>LY-OS126Y-B</v>
          </cell>
          <cell r="C1557" t="str">
            <v>ONE STAR SP(SPLIT COLLAR)</v>
          </cell>
          <cell r="D1557" t="str">
            <v>皮</v>
          </cell>
        </row>
        <row r="1558">
          <cell r="A1558" t="str">
            <v>362528C</v>
          </cell>
          <cell r="B1558" t="str">
            <v>LY-OS126Y-B</v>
          </cell>
          <cell r="C1558" t="str">
            <v>ONE STAR SP(SPLIT COLLAR)</v>
          </cell>
          <cell r="D1558" t="str">
            <v>皮</v>
          </cell>
        </row>
        <row r="1559">
          <cell r="A1559" t="str">
            <v>362529C</v>
          </cell>
          <cell r="B1559" t="str">
            <v>LY-OS126Y-B</v>
          </cell>
          <cell r="C1559" t="str">
            <v>ONE STAR SP(SPLIT COLLAR)</v>
          </cell>
          <cell r="D1559" t="str">
            <v>皮</v>
          </cell>
        </row>
        <row r="1560">
          <cell r="A1560" t="str">
            <v>362533C</v>
          </cell>
          <cell r="B1560" t="str">
            <v>LY-OS119J-B-7</v>
          </cell>
          <cell r="C1560" t="str">
            <v>ONE STAR</v>
          </cell>
          <cell r="D1560" t="str">
            <v>PU</v>
          </cell>
        </row>
        <row r="1561">
          <cell r="A1561" t="str">
            <v>362534C</v>
          </cell>
          <cell r="B1561" t="str">
            <v>LY-OS119J-B-7</v>
          </cell>
          <cell r="C1561" t="str">
            <v>ONE STAR</v>
          </cell>
          <cell r="D1561" t="str">
            <v>PU</v>
          </cell>
        </row>
        <row r="1562">
          <cell r="A1562" t="str">
            <v>362535C</v>
          </cell>
          <cell r="B1562" t="str">
            <v>LY-OS119J-B-7</v>
          </cell>
          <cell r="C1562" t="str">
            <v>ONE STAR</v>
          </cell>
          <cell r="D1562" t="str">
            <v>PU</v>
          </cell>
        </row>
        <row r="1563">
          <cell r="A1563" t="str">
            <v>362536C</v>
          </cell>
          <cell r="B1563" t="str">
            <v>LY-SA368Y-1B</v>
          </cell>
          <cell r="C1563" t="str">
            <v>CONVERSE POINT STAR</v>
          </cell>
          <cell r="D1563" t="str">
            <v>皮+星星月亮</v>
          </cell>
        </row>
        <row r="1564">
          <cell r="A1564" t="str">
            <v>362537C</v>
          </cell>
          <cell r="B1564" t="str">
            <v>LY-SA368Y-1B</v>
          </cell>
          <cell r="C1564" t="str">
            <v>CONVERSE POINT STAR</v>
          </cell>
          <cell r="D1564" t="str">
            <v>皮+星星月亮</v>
          </cell>
        </row>
        <row r="1565">
          <cell r="A1565" t="str">
            <v>362538C</v>
          </cell>
          <cell r="B1565" t="str">
            <v>LY-SK032Y-2A</v>
          </cell>
          <cell r="C1565" t="str">
            <v>EL DISTRITO</v>
          </cell>
          <cell r="D1565" t="str">
            <v>布+星星月亮</v>
          </cell>
        </row>
        <row r="1566">
          <cell r="A1566" t="str">
            <v>362538F</v>
          </cell>
          <cell r="B1566" t="str">
            <v>LY-SK032Y-2A</v>
          </cell>
          <cell r="C1566" t="str">
            <v>EL DISTRITO</v>
          </cell>
          <cell r="D1566" t="str">
            <v>布+星星月亮</v>
          </cell>
        </row>
        <row r="1567">
          <cell r="A1567" t="str">
            <v>362540C</v>
          </cell>
          <cell r="B1567" t="str">
            <v>LY-SA384Y-B</v>
          </cell>
          <cell r="C1567" t="str">
            <v>CONVERSE COURTLANDT</v>
          </cell>
          <cell r="D1567" t="str">
            <v>PU+星星月亮</v>
          </cell>
        </row>
        <row r="1568">
          <cell r="A1568" t="str">
            <v>362940C</v>
          </cell>
          <cell r="B1568" t="str">
            <v>LY-OS119J-2B</v>
          </cell>
          <cell r="C1568" t="str">
            <v>ONE STAR</v>
          </cell>
          <cell r="D1568" t="str">
            <v>皮</v>
          </cell>
        </row>
        <row r="1569">
          <cell r="A1569" t="str">
            <v>362941C</v>
          </cell>
          <cell r="B1569" t="str">
            <v>LY-OS119J-2B</v>
          </cell>
          <cell r="C1569" t="str">
            <v>ONE STAR</v>
          </cell>
          <cell r="D1569" t="str">
            <v>皮</v>
          </cell>
        </row>
        <row r="1570">
          <cell r="A1570" t="str">
            <v>362952C</v>
          </cell>
          <cell r="B1570" t="str">
            <v>LY-OS119J-B</v>
          </cell>
          <cell r="C1570" t="str">
            <v>ONE STAR</v>
          </cell>
          <cell r="D1570" t="str">
            <v>皮</v>
          </cell>
        </row>
        <row r="1571">
          <cell r="A1571" t="str">
            <v>363689C</v>
          </cell>
          <cell r="B1571" t="str">
            <v>LY-OS119J-B-9</v>
          </cell>
          <cell r="C1571" t="str">
            <v>ONE STAR</v>
          </cell>
          <cell r="D1571" t="str">
            <v>皮</v>
          </cell>
        </row>
        <row r="1572">
          <cell r="A1572" t="str">
            <v>363690C</v>
          </cell>
          <cell r="B1572" t="str">
            <v>LY-OS119J-B-9</v>
          </cell>
          <cell r="C1572" t="str">
            <v>ONE STAR</v>
          </cell>
          <cell r="D1572" t="str">
            <v>皮</v>
          </cell>
        </row>
        <row r="1573">
          <cell r="A1573" t="str">
            <v>363691C</v>
          </cell>
          <cell r="B1573" t="str">
            <v>LY-OS119J-B-9</v>
          </cell>
          <cell r="C1573" t="str">
            <v>ONE STAR</v>
          </cell>
          <cell r="D1573" t="str">
            <v>皮</v>
          </cell>
        </row>
        <row r="1574">
          <cell r="A1574" t="str">
            <v>363710C</v>
          </cell>
          <cell r="B1574" t="str">
            <v>LY-SA384Y-A-1</v>
          </cell>
          <cell r="C1574" t="str">
            <v>CONVERSE COURTLANDT</v>
          </cell>
          <cell r="D1574" t="str">
            <v>布+星星月亮</v>
          </cell>
        </row>
        <row r="1575">
          <cell r="A1575" t="str">
            <v>363710F</v>
          </cell>
          <cell r="B1575" t="str">
            <v>LY-SA384Y-A-1</v>
          </cell>
          <cell r="C1575" t="str">
            <v>CONVERSE COURTLANDT</v>
          </cell>
          <cell r="D1575" t="str">
            <v>布+星星月亮</v>
          </cell>
        </row>
        <row r="1576">
          <cell r="A1576" t="str">
            <v>363711C</v>
          </cell>
          <cell r="B1576" t="str">
            <v>LY-SA384Y-A</v>
          </cell>
          <cell r="C1576" t="str">
            <v>CONVERSE COURTLANDT</v>
          </cell>
          <cell r="D1576" t="str">
            <v>布+星星月亮</v>
          </cell>
        </row>
        <row r="1577">
          <cell r="A1577" t="str">
            <v>363765C</v>
          </cell>
          <cell r="B1577" t="str">
            <v>LY-SA406Y-B</v>
          </cell>
          <cell r="C1577" t="str">
            <v>POINT STAR 3V</v>
          </cell>
          <cell r="D1577" t="str">
            <v>皮+星星月亮</v>
          </cell>
        </row>
        <row r="1578">
          <cell r="A1578" t="str">
            <v>363766C</v>
          </cell>
          <cell r="B1578" t="str">
            <v>LY-SA406Y-B</v>
          </cell>
          <cell r="C1578" t="str">
            <v>POINT STAR 3V</v>
          </cell>
          <cell r="D1578" t="str">
            <v>皮+星星月亮</v>
          </cell>
        </row>
        <row r="1579">
          <cell r="A1579" t="str">
            <v>363767C</v>
          </cell>
          <cell r="B1579" t="str">
            <v>LY-SA406Y-B</v>
          </cell>
          <cell r="C1579" t="str">
            <v>POINT STAR 3V</v>
          </cell>
          <cell r="D1579" t="str">
            <v>皮+星星月亮</v>
          </cell>
        </row>
        <row r="1580">
          <cell r="A1580" t="str">
            <v>363906C</v>
          </cell>
          <cell r="B1580" t="str">
            <v>LY-OS119Y-3B-B</v>
          </cell>
          <cell r="C1580" t="str">
            <v>ONE STAR</v>
          </cell>
          <cell r="D1580" t="str">
            <v>皮</v>
          </cell>
        </row>
        <row r="1581">
          <cell r="A1581" t="str">
            <v>363907C</v>
          </cell>
          <cell r="B1581" t="str">
            <v>LY-OS119Y-3B-B</v>
          </cell>
          <cell r="C1581" t="str">
            <v>ONE STAR</v>
          </cell>
          <cell r="D1581" t="str">
            <v>皮</v>
          </cell>
        </row>
        <row r="1582">
          <cell r="A1582" t="str">
            <v>364009C</v>
          </cell>
          <cell r="B1582" t="str">
            <v>LY-6G CTAS OX-4J</v>
          </cell>
          <cell r="C1582" t="str">
            <v>CHUCK TAYLOR ALL STAR BIG EYELET</v>
          </cell>
          <cell r="D1582" t="str">
            <v>布</v>
          </cell>
        </row>
        <row r="1583">
          <cell r="A1583" t="str">
            <v>364169C</v>
          </cell>
          <cell r="B1583" t="str">
            <v>LY-OS119J-A-6</v>
          </cell>
          <cell r="C1583" t="str">
            <v>ONE STAR</v>
          </cell>
          <cell r="D1583" t="str">
            <v>布</v>
          </cell>
        </row>
        <row r="1584">
          <cell r="A1584" t="str">
            <v>364170C</v>
          </cell>
          <cell r="B1584" t="str">
            <v>LY-OS119J-A-6</v>
          </cell>
          <cell r="C1584" t="str">
            <v>ONE STAR</v>
          </cell>
          <cell r="D1584" t="str">
            <v>布</v>
          </cell>
        </row>
        <row r="1585">
          <cell r="A1585" t="str">
            <v>364478F</v>
          </cell>
          <cell r="B1585" t="str">
            <v>LY-KD685B-2</v>
          </cell>
          <cell r="C1585" t="str">
            <v>STAR PLAYER EV</v>
          </cell>
          <cell r="D1585" t="str">
            <v>布+星星月亮</v>
          </cell>
        </row>
        <row r="1586">
          <cell r="A1586" t="str">
            <v>364479F</v>
          </cell>
          <cell r="B1586" t="str">
            <v>LY-KD685B-2</v>
          </cell>
          <cell r="C1586" t="str">
            <v>STAR PLAYER EV</v>
          </cell>
          <cell r="D1586" t="str">
            <v>布+星星月亮</v>
          </cell>
        </row>
        <row r="1587">
          <cell r="A1587" t="str">
            <v>3J231</v>
          </cell>
          <cell r="B1587" t="str">
            <v>LY-6G CTAS HI</v>
          </cell>
          <cell r="C1587" t="str">
            <v>YTHS C/T ALLSTAR HI</v>
          </cell>
          <cell r="D1587" t="str">
            <v>基本型體</v>
          </cell>
        </row>
        <row r="1588">
          <cell r="A1588" t="str">
            <v>3J231C</v>
          </cell>
          <cell r="B1588" t="str">
            <v>LY-6G CTAS HI</v>
          </cell>
          <cell r="C1588" t="str">
            <v>YTHS C/T ALLSTAR HI</v>
          </cell>
          <cell r="D1588" t="str">
            <v>基本型體</v>
          </cell>
        </row>
        <row r="1589">
          <cell r="A1589" t="str">
            <v>3J232</v>
          </cell>
          <cell r="B1589" t="str">
            <v>LY-6G CTAS HI</v>
          </cell>
          <cell r="C1589" t="str">
            <v>YTHS C/T ALLSTAR HI</v>
          </cell>
          <cell r="D1589" t="str">
            <v>基本型體</v>
          </cell>
        </row>
        <row r="1590">
          <cell r="A1590" t="str">
            <v>3J232C</v>
          </cell>
          <cell r="B1590" t="str">
            <v>LY-6G CTAS HI</v>
          </cell>
          <cell r="C1590" t="str">
            <v>YTHS C/T ALLSTAR HI</v>
          </cell>
          <cell r="D1590" t="str">
            <v>基本型體</v>
          </cell>
        </row>
        <row r="1591">
          <cell r="A1591" t="str">
            <v>3J233</v>
          </cell>
          <cell r="B1591" t="str">
            <v>LY-6G CTAS HI</v>
          </cell>
          <cell r="C1591" t="str">
            <v>YTHS CT ALLSTAR HI</v>
          </cell>
          <cell r="D1591" t="str">
            <v>基本型體</v>
          </cell>
        </row>
        <row r="1592">
          <cell r="A1592" t="str">
            <v>3J233C</v>
          </cell>
          <cell r="B1592" t="str">
            <v>LY-6G CTAS HI</v>
          </cell>
          <cell r="C1592" t="str">
            <v>YTHS CT ALLSTAR HI</v>
          </cell>
          <cell r="D1592" t="str">
            <v>基本型體</v>
          </cell>
        </row>
        <row r="1593">
          <cell r="A1593" t="str">
            <v>3J234</v>
          </cell>
          <cell r="B1593" t="str">
            <v>LY-6G CTAS HI</v>
          </cell>
          <cell r="C1593" t="str">
            <v>YTHS C/T ALLSTAR HI</v>
          </cell>
          <cell r="D1593" t="str">
            <v>基本型體</v>
          </cell>
        </row>
        <row r="1594">
          <cell r="A1594" t="str">
            <v>3J234C</v>
          </cell>
          <cell r="B1594" t="str">
            <v>LY-6G CTAS HI</v>
          </cell>
          <cell r="C1594" t="str">
            <v>YTHS C/T ALLSTAR HI</v>
          </cell>
          <cell r="D1594" t="str">
            <v>基本型體</v>
          </cell>
        </row>
        <row r="1595">
          <cell r="A1595" t="str">
            <v>3J235</v>
          </cell>
          <cell r="B1595" t="str">
            <v>LY-6G CTAS OX</v>
          </cell>
          <cell r="C1595" t="str">
            <v>YTHS C/T ALLSTAR OX</v>
          </cell>
          <cell r="D1595" t="str">
            <v>基本型體</v>
          </cell>
        </row>
        <row r="1596">
          <cell r="A1596" t="str">
            <v>3J235C</v>
          </cell>
          <cell r="B1596" t="str">
            <v>LY-6G CTAS OX</v>
          </cell>
          <cell r="C1596" t="str">
            <v>YTHS C/T ALLSTAR OX</v>
          </cell>
          <cell r="D1596" t="str">
            <v>基本型體</v>
          </cell>
        </row>
        <row r="1597">
          <cell r="A1597" t="str">
            <v>3J236</v>
          </cell>
          <cell r="B1597" t="str">
            <v>LY-6G CTAS OX</v>
          </cell>
          <cell r="C1597" t="str">
            <v>YTHS C/T ALL STAR OX</v>
          </cell>
          <cell r="D1597" t="str">
            <v>基本型體</v>
          </cell>
        </row>
        <row r="1598">
          <cell r="A1598" t="str">
            <v>3J236C</v>
          </cell>
          <cell r="B1598" t="str">
            <v>LY-6G CTAS OX</v>
          </cell>
          <cell r="C1598" t="str">
            <v>YTHS C/T ALL STAR OX</v>
          </cell>
          <cell r="D1598" t="str">
            <v>基本型體</v>
          </cell>
        </row>
        <row r="1599">
          <cell r="A1599" t="str">
            <v>3J237</v>
          </cell>
          <cell r="B1599" t="str">
            <v>LY-6G CTAS OX</v>
          </cell>
          <cell r="C1599" t="str">
            <v>YTHS C/T ALLSTAR OX</v>
          </cell>
          <cell r="D1599" t="str">
            <v>基本型體</v>
          </cell>
        </row>
        <row r="1600">
          <cell r="A1600" t="str">
            <v>3J237C</v>
          </cell>
          <cell r="B1600" t="str">
            <v>LY-6G CTAS OX</v>
          </cell>
          <cell r="C1600" t="str">
            <v>YTHS C/T ALLSTAR OX</v>
          </cell>
          <cell r="D1600" t="str">
            <v>基本型體</v>
          </cell>
        </row>
        <row r="1601">
          <cell r="A1601" t="str">
            <v>3J238</v>
          </cell>
          <cell r="B1601" t="str">
            <v>LY-6G CTAS OX</v>
          </cell>
          <cell r="C1601" t="str">
            <v>YTHS C/T ALLSTAR OX</v>
          </cell>
          <cell r="D1601" t="str">
            <v>基本型體</v>
          </cell>
        </row>
        <row r="1602">
          <cell r="A1602" t="str">
            <v>3J238C</v>
          </cell>
          <cell r="B1602" t="str">
            <v>LY-6G CTAS OX</v>
          </cell>
          <cell r="C1602" t="str">
            <v>YTHS C/T ALLSTAR OX</v>
          </cell>
          <cell r="D1602" t="str">
            <v>基本型體</v>
          </cell>
        </row>
        <row r="1603">
          <cell r="A1603" t="str">
            <v>3J253</v>
          </cell>
          <cell r="B1603" t="str">
            <v>LY-6G CTAS HI</v>
          </cell>
          <cell r="C1603" t="str">
            <v>YTHS CT CORE HI</v>
          </cell>
          <cell r="D1603" t="str">
            <v>基本型體</v>
          </cell>
        </row>
        <row r="1604">
          <cell r="A1604" t="str">
            <v>3J253C</v>
          </cell>
          <cell r="B1604" t="str">
            <v>LY-6G CTAS HI</v>
          </cell>
          <cell r="C1604" t="str">
            <v>YTHS CT CORE HI</v>
          </cell>
          <cell r="D1604" t="str">
            <v>基本型體</v>
          </cell>
        </row>
        <row r="1605">
          <cell r="A1605" t="str">
            <v>3J254</v>
          </cell>
          <cell r="B1605" t="str">
            <v>LY-6G CTAS HI</v>
          </cell>
          <cell r="C1605" t="str">
            <v>YTHS CT AS HI</v>
          </cell>
          <cell r="D1605" t="str">
            <v>基本型體</v>
          </cell>
        </row>
        <row r="1606">
          <cell r="A1606" t="str">
            <v>3J256</v>
          </cell>
          <cell r="B1606" t="str">
            <v>LY-6G CTAS OX</v>
          </cell>
          <cell r="C1606" t="str">
            <v>YTH C/T ALL STAR OX</v>
          </cell>
          <cell r="D1606" t="str">
            <v>基本型體</v>
          </cell>
        </row>
        <row r="1607">
          <cell r="A1607" t="str">
            <v>3J256C</v>
          </cell>
          <cell r="B1607" t="str">
            <v>LY-6G CTAS OX</v>
          </cell>
          <cell r="C1607" t="str">
            <v>YTH C/T ALL STAR OX</v>
          </cell>
          <cell r="D1607" t="str">
            <v>基本型體</v>
          </cell>
        </row>
        <row r="1608">
          <cell r="A1608" t="str">
            <v>3J793</v>
          </cell>
          <cell r="B1608" t="str">
            <v>LY-6G CTAS HI</v>
          </cell>
          <cell r="C1608" t="str">
            <v>CT A/S SP YTH HI</v>
          </cell>
          <cell r="D1608" t="str">
            <v>基本型體</v>
          </cell>
        </row>
        <row r="1609">
          <cell r="A1609" t="str">
            <v>3J793C</v>
          </cell>
          <cell r="B1609" t="str">
            <v>LY-6G CTAS HI</v>
          </cell>
          <cell r="C1609" t="str">
            <v>CT A/S SP YTH HI</v>
          </cell>
          <cell r="D1609" t="str">
            <v>基本型體</v>
          </cell>
        </row>
        <row r="1610">
          <cell r="A1610" t="str">
            <v>3J794</v>
          </cell>
          <cell r="B1610" t="str">
            <v>LY-6G CTAS OX</v>
          </cell>
          <cell r="C1610" t="str">
            <v>CT AS SP YT OX</v>
          </cell>
          <cell r="D1610" t="str">
            <v>基本型體</v>
          </cell>
        </row>
        <row r="1611">
          <cell r="A1611" t="str">
            <v>3J794C</v>
          </cell>
          <cell r="B1611" t="str">
            <v>LY-6G CTAS OX</v>
          </cell>
          <cell r="C1611" t="str">
            <v>CT AS SP YT OX</v>
          </cell>
          <cell r="D1611" t="str">
            <v>基本型體</v>
          </cell>
        </row>
        <row r="1612">
          <cell r="A1612" t="str">
            <v>3S121</v>
          </cell>
          <cell r="B1612" t="str">
            <v>LY-6G CTAS HI</v>
          </cell>
          <cell r="C1612" t="str">
            <v>CT AS SP HI YTH</v>
          </cell>
          <cell r="D1612" t="str">
            <v>基本型體</v>
          </cell>
        </row>
        <row r="1613">
          <cell r="A1613" t="str">
            <v>3S121C</v>
          </cell>
          <cell r="B1613" t="str">
            <v>LY-6G CTAS HI</v>
          </cell>
          <cell r="C1613" t="str">
            <v>CT AS SP HI YTH</v>
          </cell>
          <cell r="D1613" t="str">
            <v>基本型體</v>
          </cell>
        </row>
        <row r="1614">
          <cell r="A1614" t="str">
            <v>3T207</v>
          </cell>
          <cell r="B1614" t="str">
            <v>LY-6G CTAS HI-18</v>
          </cell>
          <cell r="C1614" t="str">
            <v>CT AS ZIPPER HI YT</v>
          </cell>
          <cell r="D1614" t="str">
            <v>布</v>
          </cell>
        </row>
        <row r="1615">
          <cell r="A1615" t="str">
            <v>542579F</v>
          </cell>
          <cell r="B1615" t="str">
            <v>LY-CT AS OX CR-XXX-13</v>
          </cell>
          <cell r="C1615" t="str">
            <v>CT DBL TNG OX</v>
          </cell>
          <cell r="D1615" t="str">
            <v>布</v>
          </cell>
        </row>
        <row r="1616">
          <cell r="A1616" t="str">
            <v>544924C</v>
          </cell>
          <cell r="B1616" t="str">
            <v>LY-CT AS OX CR-XXX-1F</v>
          </cell>
          <cell r="C1616" t="str">
            <v>CT OX</v>
          </cell>
          <cell r="D1616" t="str">
            <v>皮</v>
          </cell>
        </row>
        <row r="1617">
          <cell r="A1617" t="str">
            <v>544925C</v>
          </cell>
          <cell r="B1617" t="str">
            <v>LY-CT AS OX CR-XXX-1F</v>
          </cell>
          <cell r="C1617" t="str">
            <v>CT OX</v>
          </cell>
          <cell r="D1617" t="str">
            <v>皮</v>
          </cell>
        </row>
        <row r="1618">
          <cell r="A1618" t="str">
            <v>547293F</v>
          </cell>
          <cell r="B1618" t="str">
            <v>LY-CT AS OX CR-XXX-A</v>
          </cell>
          <cell r="C1618" t="str">
            <v>CT OX</v>
          </cell>
          <cell r="D1618" t="str">
            <v>布</v>
          </cell>
        </row>
        <row r="1619">
          <cell r="A1619" t="str">
            <v>547294F</v>
          </cell>
          <cell r="B1619" t="str">
            <v>LY-CT AS OX CR-XXX-A</v>
          </cell>
          <cell r="C1619" t="str">
            <v>CT OX</v>
          </cell>
          <cell r="D1619" t="str">
            <v>布</v>
          </cell>
        </row>
        <row r="1620">
          <cell r="A1620" t="str">
            <v>547295F</v>
          </cell>
          <cell r="B1620" t="str">
            <v>LY-CT AS OX CR-XXX-A</v>
          </cell>
          <cell r="C1620" t="str">
            <v>CT OX</v>
          </cell>
          <cell r="D1620" t="str">
            <v>布</v>
          </cell>
        </row>
        <row r="1621">
          <cell r="A1621" t="str">
            <v>549578C</v>
          </cell>
          <cell r="B1621" t="str">
            <v>LY-CT762U-B</v>
          </cell>
          <cell r="C1621" t="str">
            <v>CT DUAL ZIP HI</v>
          </cell>
          <cell r="D1621" t="str">
            <v>皮</v>
          </cell>
        </row>
        <row r="1622">
          <cell r="A1622" t="str">
            <v>549579C</v>
          </cell>
          <cell r="B1622" t="str">
            <v>LY-CT764U-2B</v>
          </cell>
          <cell r="C1622" t="str">
            <v>CT BREA HI</v>
          </cell>
          <cell r="D1622" t="str">
            <v>皮</v>
          </cell>
        </row>
        <row r="1623">
          <cell r="A1623" t="str">
            <v>549582C</v>
          </cell>
          <cell r="B1623" t="str">
            <v>LY-CT764U-B</v>
          </cell>
          <cell r="C1623" t="str">
            <v>CT BREA HI</v>
          </cell>
          <cell r="D1623" t="str">
            <v>皮</v>
          </cell>
        </row>
        <row r="1624">
          <cell r="A1624" t="str">
            <v>549583C</v>
          </cell>
          <cell r="B1624" t="str">
            <v>LY-CT764U-B</v>
          </cell>
          <cell r="C1624" t="str">
            <v>CT BREA HI</v>
          </cell>
          <cell r="D1624" t="str">
            <v>皮</v>
          </cell>
        </row>
        <row r="1625">
          <cell r="A1625" t="str">
            <v>549596C</v>
          </cell>
          <cell r="B1625" t="str">
            <v>LY-CT753U-2A</v>
          </cell>
          <cell r="C1625" t="str">
            <v>CT CHELSEE HI</v>
          </cell>
          <cell r="D1625" t="str">
            <v>布</v>
          </cell>
        </row>
        <row r="1626">
          <cell r="A1626" t="str">
            <v>549599C</v>
          </cell>
          <cell r="B1626" t="str">
            <v>LY-CT753U-B</v>
          </cell>
          <cell r="C1626" t="str">
            <v>CT CHELSEE HI</v>
          </cell>
          <cell r="D1626" t="str">
            <v>皮</v>
          </cell>
        </row>
        <row r="1627">
          <cell r="A1627" t="str">
            <v>549653C</v>
          </cell>
          <cell r="B1627" t="str">
            <v>LY-CT AS OX CR-XXX-2F</v>
          </cell>
          <cell r="C1627" t="str">
            <v>CT OX</v>
          </cell>
          <cell r="D1627" t="str">
            <v>PU</v>
          </cell>
        </row>
        <row r="1628">
          <cell r="A1628" t="str">
            <v>549669C</v>
          </cell>
          <cell r="B1628" t="str">
            <v>LY-CT AS OX CR-XXX</v>
          </cell>
          <cell r="C1628" t="str">
            <v>CT WASH OX</v>
          </cell>
          <cell r="D1628" t="str">
            <v>水洗</v>
          </cell>
        </row>
        <row r="1629">
          <cell r="A1629" t="str">
            <v>549698C</v>
          </cell>
          <cell r="B1629" t="str">
            <v>LY-CT764U-A</v>
          </cell>
          <cell r="C1629" t="str">
            <v>CT BREA HI</v>
          </cell>
          <cell r="D1629" t="str">
            <v>布</v>
          </cell>
        </row>
        <row r="1630">
          <cell r="A1630" t="str">
            <v>549700C</v>
          </cell>
          <cell r="B1630" t="str">
            <v>LY-CT763U-A</v>
          </cell>
          <cell r="C1630" t="str">
            <v>CT MADISON OX</v>
          </cell>
          <cell r="D1630" t="str">
            <v>布</v>
          </cell>
        </row>
        <row r="1631">
          <cell r="A1631" t="str">
            <v>549700F</v>
          </cell>
          <cell r="B1631" t="str">
            <v>LY-CT763U-A</v>
          </cell>
          <cell r="C1631" t="str">
            <v>CT MADISON OX</v>
          </cell>
          <cell r="D1631" t="str">
            <v>布</v>
          </cell>
        </row>
        <row r="1632">
          <cell r="A1632" t="str">
            <v>549701C</v>
          </cell>
          <cell r="B1632" t="str">
            <v>LY-CT763U-A</v>
          </cell>
          <cell r="C1632" t="str">
            <v>CT MADISON OX</v>
          </cell>
          <cell r="D1632" t="str">
            <v>布</v>
          </cell>
        </row>
        <row r="1633">
          <cell r="A1633" t="str">
            <v>549702C</v>
          </cell>
          <cell r="B1633" t="str">
            <v>LY-CT763U-A</v>
          </cell>
          <cell r="C1633" t="str">
            <v>CT MADISON OX</v>
          </cell>
          <cell r="D1633" t="str">
            <v>布</v>
          </cell>
        </row>
        <row r="1634">
          <cell r="A1634" t="str">
            <v>549703C</v>
          </cell>
          <cell r="B1634" t="str">
            <v>LY-CT763U-A</v>
          </cell>
          <cell r="C1634" t="str">
            <v>CT MADISON OX</v>
          </cell>
          <cell r="D1634" t="str">
            <v>布</v>
          </cell>
        </row>
        <row r="1635">
          <cell r="A1635" t="str">
            <v>549703F</v>
          </cell>
          <cell r="B1635" t="str">
            <v>LY-CT763U-A</v>
          </cell>
          <cell r="C1635" t="str">
            <v>CT MADISION OX</v>
          </cell>
          <cell r="D1635" t="str">
            <v>布</v>
          </cell>
        </row>
        <row r="1636">
          <cell r="A1636" t="str">
            <v>549736C</v>
          </cell>
          <cell r="B1636" t="str">
            <v>LY-CT762U-1A</v>
          </cell>
          <cell r="C1636" t="str">
            <v>CT DUAL ZIP HI</v>
          </cell>
          <cell r="D1636" t="str">
            <v>水洗</v>
          </cell>
        </row>
        <row r="1637">
          <cell r="A1637" t="str">
            <v>549738C</v>
          </cell>
          <cell r="B1637" t="str">
            <v>LY-CT762U-1A</v>
          </cell>
          <cell r="C1637" t="str">
            <v>CT DUAL ZIP HI</v>
          </cell>
          <cell r="D1637" t="str">
            <v>水洗</v>
          </cell>
        </row>
        <row r="1638">
          <cell r="A1638" t="str">
            <v>550143C</v>
          </cell>
          <cell r="B1638" t="str">
            <v>LY-CT725U-A</v>
          </cell>
          <cell r="C1638" t="str">
            <v>CT II HI</v>
          </cell>
          <cell r="D1638" t="str">
            <v>布</v>
          </cell>
        </row>
        <row r="1639">
          <cell r="A1639" t="str">
            <v>550148C</v>
          </cell>
          <cell r="B1639" t="str">
            <v>LY-CT725U-A</v>
          </cell>
          <cell r="C1639" t="str">
            <v>CT II HI</v>
          </cell>
          <cell r="D1639" t="str">
            <v>布</v>
          </cell>
        </row>
        <row r="1640">
          <cell r="A1640" t="str">
            <v>550149C</v>
          </cell>
          <cell r="B1640" t="str">
            <v>LY-CT726U-A</v>
          </cell>
          <cell r="C1640" t="str">
            <v>CT II OX</v>
          </cell>
          <cell r="D1640" t="str">
            <v>布</v>
          </cell>
        </row>
        <row r="1641">
          <cell r="A1641" t="str">
            <v>550151C</v>
          </cell>
          <cell r="B1641" t="str">
            <v>LY-CT726U-A</v>
          </cell>
          <cell r="C1641" t="str">
            <v>CT II OX</v>
          </cell>
          <cell r="D1641" t="str">
            <v>布</v>
          </cell>
        </row>
        <row r="1642">
          <cell r="A1642" t="str">
            <v>550152C</v>
          </cell>
          <cell r="B1642" t="str">
            <v>LY-CT726U-A</v>
          </cell>
          <cell r="C1642" t="str">
            <v>CT II OX</v>
          </cell>
          <cell r="D1642" t="str">
            <v>布</v>
          </cell>
        </row>
        <row r="1643">
          <cell r="A1643" t="str">
            <v>550153C</v>
          </cell>
          <cell r="B1643" t="str">
            <v>LY-CT726U-A</v>
          </cell>
          <cell r="C1643" t="str">
            <v>CT II OX</v>
          </cell>
          <cell r="D1643" t="str">
            <v>布</v>
          </cell>
        </row>
        <row r="1644">
          <cell r="A1644" t="str">
            <v>550154C</v>
          </cell>
          <cell r="B1644" t="str">
            <v>LY-CT726U-A</v>
          </cell>
          <cell r="C1644" t="str">
            <v>CT II OX</v>
          </cell>
          <cell r="D1644" t="str">
            <v>布</v>
          </cell>
        </row>
        <row r="1645">
          <cell r="A1645" t="str">
            <v>551507C</v>
          </cell>
          <cell r="B1645" t="str">
            <v>LY-CT764U-1A</v>
          </cell>
          <cell r="C1645" t="str">
            <v>CTAS BREA HI</v>
          </cell>
          <cell r="D1645" t="str">
            <v>布</v>
          </cell>
        </row>
        <row r="1646">
          <cell r="A1646" t="str">
            <v>551518C</v>
          </cell>
          <cell r="B1646" t="str">
            <v>LY-CT763U-A</v>
          </cell>
          <cell r="C1646" t="str">
            <v>CTAS MADISON OX</v>
          </cell>
          <cell r="D1646" t="str">
            <v>布</v>
          </cell>
        </row>
        <row r="1647">
          <cell r="A1647" t="str">
            <v>551518F</v>
          </cell>
          <cell r="B1647" t="str">
            <v>LY-CT763U-A</v>
          </cell>
          <cell r="C1647" t="str">
            <v>CT AS MADISON OX</v>
          </cell>
          <cell r="D1647" t="str">
            <v>布</v>
          </cell>
        </row>
        <row r="1648">
          <cell r="A1648" t="str">
            <v>551519F</v>
          </cell>
          <cell r="B1648" t="str">
            <v>LY-CT763U-A</v>
          </cell>
          <cell r="C1648" t="str">
            <v>CT AS MADISON OX</v>
          </cell>
          <cell r="D1648" t="str">
            <v>布</v>
          </cell>
        </row>
        <row r="1649">
          <cell r="A1649" t="str">
            <v>551520C</v>
          </cell>
          <cell r="B1649" t="str">
            <v>LY-CT763U-A</v>
          </cell>
          <cell r="C1649" t="str">
            <v>CTAS MADISON OX</v>
          </cell>
          <cell r="D1649" t="str">
            <v>布</v>
          </cell>
        </row>
        <row r="1650">
          <cell r="A1650" t="str">
            <v>551520F</v>
          </cell>
          <cell r="B1650" t="str">
            <v>LY-CT763U-A</v>
          </cell>
          <cell r="C1650" t="str">
            <v>CTAS MADISON OX</v>
          </cell>
          <cell r="D1650" t="str">
            <v>布</v>
          </cell>
        </row>
        <row r="1651">
          <cell r="A1651" t="str">
            <v>551521C</v>
          </cell>
          <cell r="B1651" t="str">
            <v>LY-CT763U-A</v>
          </cell>
          <cell r="C1651" t="str">
            <v>CTAS MADISON OX</v>
          </cell>
          <cell r="D1651" t="str">
            <v>布</v>
          </cell>
        </row>
        <row r="1652">
          <cell r="A1652" t="str">
            <v>551521F</v>
          </cell>
          <cell r="B1652" t="str">
            <v>LY-CT763U-A</v>
          </cell>
          <cell r="C1652" t="str">
            <v>CTAS MADISON OX</v>
          </cell>
          <cell r="D1652" t="str">
            <v>布</v>
          </cell>
        </row>
        <row r="1653">
          <cell r="A1653" t="str">
            <v>551582C</v>
          </cell>
          <cell r="B1653" t="str">
            <v>LY-CT764U-5B</v>
          </cell>
          <cell r="C1653" t="str">
            <v>CTAS BREA HI</v>
          </cell>
          <cell r="D1653" t="str">
            <v>皮</v>
          </cell>
        </row>
        <row r="1654">
          <cell r="A1654" t="str">
            <v>551583C</v>
          </cell>
          <cell r="B1654" t="str">
            <v>LY-CT764U-5B</v>
          </cell>
          <cell r="C1654" t="str">
            <v>CTAS BREA HI</v>
          </cell>
          <cell r="D1654" t="str">
            <v>皮</v>
          </cell>
        </row>
        <row r="1655">
          <cell r="A1655" t="str">
            <v>551584C</v>
          </cell>
          <cell r="B1655" t="str">
            <v>LY-CT764U-5B</v>
          </cell>
          <cell r="C1655" t="str">
            <v>CTAS BREA HI</v>
          </cell>
          <cell r="D1655" t="str">
            <v>皮</v>
          </cell>
        </row>
        <row r="1656">
          <cell r="A1656" t="str">
            <v>551585C</v>
          </cell>
          <cell r="B1656" t="str">
            <v>LY-CT763U-B</v>
          </cell>
          <cell r="C1656" t="str">
            <v>CTAS MADISON OX</v>
          </cell>
          <cell r="D1656" t="str">
            <v>皮</v>
          </cell>
        </row>
        <row r="1657">
          <cell r="A1657" t="str">
            <v>551586C</v>
          </cell>
          <cell r="B1657" t="str">
            <v>LY-CT763U-B</v>
          </cell>
          <cell r="C1657" t="str">
            <v>CTAS MADISON OX</v>
          </cell>
          <cell r="D1657" t="str">
            <v>皮</v>
          </cell>
        </row>
        <row r="1658">
          <cell r="A1658" t="str">
            <v>551593C</v>
          </cell>
          <cell r="B1658" t="str">
            <v>LY-CT764U-6B</v>
          </cell>
          <cell r="C1658" t="str">
            <v>CTAS BREA HI</v>
          </cell>
          <cell r="D1658" t="str">
            <v>皮</v>
          </cell>
        </row>
        <row r="1659">
          <cell r="A1659" t="str">
            <v>551594C</v>
          </cell>
          <cell r="B1659" t="str">
            <v>LY-CT764U-7B</v>
          </cell>
          <cell r="C1659" t="str">
            <v>CTAS BREA HI</v>
          </cell>
          <cell r="D1659" t="str">
            <v>皮</v>
          </cell>
        </row>
        <row r="1660">
          <cell r="A1660" t="str">
            <v>551595C</v>
          </cell>
          <cell r="B1660" t="str">
            <v>LY-CT764U-7B</v>
          </cell>
          <cell r="C1660" t="str">
            <v>CTAS BREA HI</v>
          </cell>
          <cell r="D1660" t="str">
            <v>皮</v>
          </cell>
        </row>
        <row r="1661">
          <cell r="A1661" t="str">
            <v>551596C</v>
          </cell>
          <cell r="B1661" t="str">
            <v>LY-CT763U-1B</v>
          </cell>
          <cell r="C1661" t="str">
            <v>CTAS MADISON OX</v>
          </cell>
          <cell r="D1661" t="str">
            <v>50%皮50%布</v>
          </cell>
        </row>
        <row r="1662">
          <cell r="A1662" t="str">
            <v>551597C</v>
          </cell>
          <cell r="B1662" t="str">
            <v>LY-CT763U-1B</v>
          </cell>
          <cell r="C1662" t="str">
            <v>CTAS MADISON OX</v>
          </cell>
          <cell r="D1662" t="str">
            <v>50%皮50%布</v>
          </cell>
        </row>
        <row r="1663">
          <cell r="A1663" t="str">
            <v>551598C</v>
          </cell>
          <cell r="B1663" t="str">
            <v>LY-CT763U-1B</v>
          </cell>
          <cell r="C1663" t="str">
            <v>CTAS MADISON OX</v>
          </cell>
          <cell r="D1663" t="str">
            <v>50%皮50%布</v>
          </cell>
        </row>
        <row r="1664">
          <cell r="A1664" t="str">
            <v>552591C</v>
          </cell>
          <cell r="B1664" t="str">
            <v>LY-CT763U-A</v>
          </cell>
          <cell r="C1664" t="str">
            <v>CTAS MADISON OX</v>
          </cell>
          <cell r="D1664" t="str">
            <v>布</v>
          </cell>
        </row>
        <row r="1665">
          <cell r="A1665" t="str">
            <v>552592C</v>
          </cell>
          <cell r="B1665" t="str">
            <v>LY-CT763U-A</v>
          </cell>
          <cell r="C1665" t="str">
            <v>CTAS MADISON OX</v>
          </cell>
          <cell r="D1665" t="str">
            <v>布</v>
          </cell>
        </row>
        <row r="1666">
          <cell r="A1666" t="str">
            <v>552638F</v>
          </cell>
          <cell r="B1666" t="str">
            <v>LY-CT763U-A</v>
          </cell>
          <cell r="C1666" t="str">
            <v>CTAS MADISON OX</v>
          </cell>
          <cell r="D1666" t="str">
            <v>布</v>
          </cell>
        </row>
        <row r="1667">
          <cell r="A1667" t="str">
            <v>553020C</v>
          </cell>
          <cell r="B1667" t="str">
            <v>LY-CT AS OX CR-XXX-1F-3A</v>
          </cell>
          <cell r="C1667" t="str">
            <v>CTAS OX</v>
          </cell>
          <cell r="D1667" t="str">
            <v>皮</v>
          </cell>
        </row>
        <row r="1668">
          <cell r="A1668" t="str">
            <v>553033F</v>
          </cell>
          <cell r="B1668" t="str">
            <v>LY-CT764U-2A</v>
          </cell>
          <cell r="C1668" t="str">
            <v>CTAS BREA HI</v>
          </cell>
          <cell r="D1668" t="str">
            <v>布</v>
          </cell>
        </row>
        <row r="1669">
          <cell r="A1669" t="str">
            <v>553057B</v>
          </cell>
          <cell r="B1669" t="str">
            <v>LY-CT726U-A</v>
          </cell>
          <cell r="C1669" t="str">
            <v>CTAS II OX</v>
          </cell>
          <cell r="D1669" t="str">
            <v>布</v>
          </cell>
        </row>
        <row r="1670">
          <cell r="A1670" t="str">
            <v>553058B</v>
          </cell>
          <cell r="B1670" t="str">
            <v>LY-CT726U-A</v>
          </cell>
          <cell r="C1670" t="str">
            <v>CTAS II OX</v>
          </cell>
          <cell r="D1670" t="str">
            <v>布</v>
          </cell>
        </row>
        <row r="1671">
          <cell r="A1671" t="str">
            <v>553059B</v>
          </cell>
          <cell r="B1671" t="str">
            <v>LY-CT725U-A</v>
          </cell>
          <cell r="C1671" t="str">
            <v>CTAS II HI</v>
          </cell>
          <cell r="D1671" t="str">
            <v>布</v>
          </cell>
        </row>
        <row r="1672">
          <cell r="A1672" t="str">
            <v>553060B</v>
          </cell>
          <cell r="B1672" t="str">
            <v>LY-CT725U-A</v>
          </cell>
          <cell r="C1672" t="str">
            <v>CTAS II HI</v>
          </cell>
          <cell r="D1672" t="str">
            <v>布</v>
          </cell>
        </row>
        <row r="1673">
          <cell r="A1673" t="str">
            <v>553282C</v>
          </cell>
          <cell r="B1673" t="str">
            <v>LY-CT763U-1A</v>
          </cell>
          <cell r="C1673" t="str">
            <v>CTAS MADISON NEOPRENE OX</v>
          </cell>
          <cell r="D1673" t="str">
            <v>布</v>
          </cell>
        </row>
        <row r="1674">
          <cell r="A1674" t="str">
            <v>553283C</v>
          </cell>
          <cell r="B1674" t="str">
            <v>LY-CT763U-1A</v>
          </cell>
          <cell r="C1674" t="str">
            <v>CT AS MADISON NEOPRENE OX</v>
          </cell>
          <cell r="D1674" t="str">
            <v>布</v>
          </cell>
        </row>
        <row r="1675">
          <cell r="A1675" t="str">
            <v>553283F</v>
          </cell>
          <cell r="B1675" t="str">
            <v>LY-CT763U-1A</v>
          </cell>
          <cell r="C1675" t="str">
            <v>CT AS MADISON NEOPRENE OX</v>
          </cell>
          <cell r="D1675" t="str">
            <v>布</v>
          </cell>
        </row>
        <row r="1676">
          <cell r="A1676" t="str">
            <v>553284C</v>
          </cell>
          <cell r="B1676" t="str">
            <v>LY-CT763U-1A</v>
          </cell>
          <cell r="C1676" t="str">
            <v>CTAS MADISON NEOPRENE OX</v>
          </cell>
          <cell r="D1676" t="str">
            <v>布</v>
          </cell>
        </row>
        <row r="1677">
          <cell r="A1677" t="str">
            <v>553321F</v>
          </cell>
          <cell r="B1677" t="str">
            <v>LY-CT763U-2B</v>
          </cell>
          <cell r="C1677" t="str">
            <v>CTAS MADISON OX</v>
          </cell>
          <cell r="D1677" t="str">
            <v>布</v>
          </cell>
        </row>
        <row r="1678">
          <cell r="A1678" t="str">
            <v>553322F</v>
          </cell>
          <cell r="B1678" t="str">
            <v>LY-CT763U-3B</v>
          </cell>
          <cell r="C1678" t="str">
            <v>CTAS MADISON OX</v>
          </cell>
          <cell r="D1678" t="str">
            <v>布</v>
          </cell>
        </row>
        <row r="1679">
          <cell r="A1679" t="str">
            <v>553323C</v>
          </cell>
          <cell r="B1679" t="str">
            <v>LY-CT AS HI CR-XXX-A-2B</v>
          </cell>
          <cell r="C1679" t="str">
            <v>CTAS HI</v>
          </cell>
          <cell r="D1679" t="str">
            <v>布</v>
          </cell>
        </row>
        <row r="1680">
          <cell r="A1680" t="str">
            <v>553323F</v>
          </cell>
          <cell r="B1680" t="str">
            <v>LY-CT AS HI CR-XXX-A-2B</v>
          </cell>
          <cell r="C1680" t="str">
            <v>CTAS HI</v>
          </cell>
          <cell r="D1680" t="str">
            <v>布</v>
          </cell>
        </row>
        <row r="1681">
          <cell r="A1681" t="str">
            <v>553342C</v>
          </cell>
          <cell r="B1681" t="str">
            <v>LY-CT763U-1B</v>
          </cell>
          <cell r="C1681" t="str">
            <v>CTAS MADISON METALLIC LEATHER OX</v>
          </cell>
          <cell r="D1681" t="str">
            <v>皮</v>
          </cell>
        </row>
        <row r="1682">
          <cell r="A1682" t="str">
            <v>553343C</v>
          </cell>
          <cell r="B1682" t="str">
            <v>LY-CT763U-1B</v>
          </cell>
          <cell r="C1682" t="str">
            <v>CTAS MADISON METALLIC LEATHER OX</v>
          </cell>
          <cell r="D1682" t="str">
            <v>皮</v>
          </cell>
        </row>
        <row r="1683">
          <cell r="A1683" t="str">
            <v>553368C</v>
          </cell>
          <cell r="B1683" t="str">
            <v>LY-CT763U-A</v>
          </cell>
          <cell r="C1683" t="str">
            <v>CTAS MADISON CANVAS COLOR OX</v>
          </cell>
          <cell r="D1683" t="str">
            <v>布</v>
          </cell>
        </row>
        <row r="1684">
          <cell r="A1684" t="str">
            <v>553368F</v>
          </cell>
          <cell r="B1684" t="str">
            <v>LY-CT763U-A</v>
          </cell>
          <cell r="C1684" t="str">
            <v>CTAS MADISON CANVAS COLOR OX</v>
          </cell>
          <cell r="D1684" t="str">
            <v>布</v>
          </cell>
        </row>
        <row r="1685">
          <cell r="A1685" t="str">
            <v>553369C</v>
          </cell>
          <cell r="B1685" t="str">
            <v>LY-CT763U-2A</v>
          </cell>
          <cell r="C1685" t="str">
            <v>CTAS MADISON CANVAS COLOR OX</v>
          </cell>
          <cell r="D1685" t="str">
            <v>布</v>
          </cell>
        </row>
        <row r="1686">
          <cell r="A1686" t="str">
            <v>553369F</v>
          </cell>
          <cell r="B1686" t="str">
            <v>LY-CT763U-2A</v>
          </cell>
          <cell r="C1686" t="str">
            <v>CT AS MADISON CANVAS COLOR OX</v>
          </cell>
          <cell r="D1686" t="str">
            <v>布</v>
          </cell>
        </row>
        <row r="1687">
          <cell r="A1687" t="str">
            <v>553370C</v>
          </cell>
          <cell r="B1687" t="str">
            <v>LY-CT763U-A</v>
          </cell>
          <cell r="C1687" t="str">
            <v>CTAS MADISON CANVAS COLOR OX</v>
          </cell>
          <cell r="D1687" t="str">
            <v>布</v>
          </cell>
        </row>
        <row r="1688">
          <cell r="A1688" t="str">
            <v>553370F</v>
          </cell>
          <cell r="B1688" t="str">
            <v>LY-CT763U-A</v>
          </cell>
          <cell r="C1688" t="str">
            <v>CTAS MADISON CANVAS COLOR OX</v>
          </cell>
          <cell r="D1688" t="str">
            <v>布</v>
          </cell>
        </row>
        <row r="1689">
          <cell r="A1689" t="str">
            <v>553422C</v>
          </cell>
          <cell r="B1689" t="str">
            <v>LY-CT764U-7B</v>
          </cell>
          <cell r="C1689" t="str">
            <v>CTAS BREA REFLECTIVE HI</v>
          </cell>
          <cell r="D1689" t="str">
            <v>皮</v>
          </cell>
        </row>
        <row r="1690">
          <cell r="A1690" t="str">
            <v>553423C</v>
          </cell>
          <cell r="B1690" t="str">
            <v>LY-CT764U-7B</v>
          </cell>
          <cell r="C1690" t="str">
            <v>CTAS BREA REFLECTIVE HI</v>
          </cell>
          <cell r="D1690" t="str">
            <v>皮</v>
          </cell>
        </row>
        <row r="1691">
          <cell r="A1691" t="str">
            <v>553424C</v>
          </cell>
          <cell r="B1691" t="str">
            <v>LY-CT763U-B</v>
          </cell>
          <cell r="C1691" t="str">
            <v>CTAS MADISON REFLECTIVE OX</v>
          </cell>
          <cell r="D1691" t="str">
            <v>皮</v>
          </cell>
        </row>
        <row r="1692">
          <cell r="A1692" t="str">
            <v>553425C</v>
          </cell>
          <cell r="B1692" t="str">
            <v>LY-CT763U-B</v>
          </cell>
          <cell r="C1692" t="str">
            <v>CTAS MADISON REFLECTIVE OX</v>
          </cell>
          <cell r="D1692" t="str">
            <v>皮</v>
          </cell>
        </row>
        <row r="1693">
          <cell r="A1693" t="str">
            <v>554088C</v>
          </cell>
          <cell r="B1693" t="str">
            <v>LY-CT763U-3A</v>
          </cell>
          <cell r="C1693" t="str">
            <v>CT AS MADISON OX</v>
          </cell>
          <cell r="D1693" t="str">
            <v>布+CCS-50%大车料</v>
          </cell>
        </row>
        <row r="1694">
          <cell r="A1694" t="str">
            <v>554855F</v>
          </cell>
          <cell r="B1694" t="str">
            <v>LY-CT753U-3A</v>
          </cell>
          <cell r="C1694" t="str">
            <v>CTAS CHELSEE HI</v>
          </cell>
          <cell r="D1694" t="str">
            <v>布</v>
          </cell>
        </row>
        <row r="1695">
          <cell r="A1695" t="str">
            <v>554856F</v>
          </cell>
          <cell r="B1695" t="str">
            <v>LY-CT753U-3A</v>
          </cell>
          <cell r="C1695" t="str">
            <v>CTAS CHELSEE HI</v>
          </cell>
          <cell r="D1695" t="str">
            <v>布</v>
          </cell>
        </row>
        <row r="1696">
          <cell r="A1696" t="str">
            <v>554885F</v>
          </cell>
          <cell r="B1696" t="str">
            <v>LY-CT763U-A</v>
          </cell>
          <cell r="C1696" t="str">
            <v>CTAS MADISON OX</v>
          </cell>
          <cell r="D1696" t="str">
            <v>布</v>
          </cell>
        </row>
        <row r="1697">
          <cell r="A1697" t="str">
            <v>555170C</v>
          </cell>
          <cell r="B1697" t="str">
            <v>LY-CT753U-B-1</v>
          </cell>
          <cell r="C1697" t="str">
            <v>CT AS CHELSEE HI</v>
          </cell>
          <cell r="D1697" t="str">
            <v>皮</v>
          </cell>
        </row>
        <row r="1698">
          <cell r="A1698" t="str">
            <v>555171C</v>
          </cell>
          <cell r="B1698" t="str">
            <v>LY-CT753U-B-1</v>
          </cell>
          <cell r="C1698" t="str">
            <v>CT AS CHELSEE HI</v>
          </cell>
          <cell r="D1698" t="str">
            <v>皮</v>
          </cell>
        </row>
        <row r="1699">
          <cell r="A1699" t="str">
            <v>555300F</v>
          </cell>
          <cell r="B1699" t="str">
            <v>LY-CT763U-A</v>
          </cell>
          <cell r="C1699" t="str">
            <v>CT AS MADISON OX</v>
          </cell>
          <cell r="D1699" t="str">
            <v>布</v>
          </cell>
        </row>
        <row r="1700">
          <cell r="A1700" t="str">
            <v>555323F</v>
          </cell>
          <cell r="B1700" t="str">
            <v>LY-CT763U-A</v>
          </cell>
          <cell r="C1700" t="str">
            <v>CTAS MADISON OX</v>
          </cell>
          <cell r="D1700" t="str">
            <v>布</v>
          </cell>
        </row>
        <row r="1701">
          <cell r="A1701" t="str">
            <v>555796C</v>
          </cell>
          <cell r="B1701" t="str">
            <v>LY-CT725U-3B</v>
          </cell>
          <cell r="C1701" t="str">
            <v>CTAS II HI</v>
          </cell>
          <cell r="D1701" t="str">
            <v>皮</v>
          </cell>
        </row>
        <row r="1702">
          <cell r="A1702" t="str">
            <v>555797C</v>
          </cell>
          <cell r="B1702" t="str">
            <v>LY-CT725U-3B</v>
          </cell>
          <cell r="C1702" t="str">
            <v>CTAS II HI</v>
          </cell>
          <cell r="D1702" t="str">
            <v>皮</v>
          </cell>
        </row>
        <row r="1703">
          <cell r="A1703" t="str">
            <v>555798C</v>
          </cell>
          <cell r="B1703" t="str">
            <v>LY-CT725U-3B</v>
          </cell>
          <cell r="C1703" t="str">
            <v>CTAS II HI</v>
          </cell>
          <cell r="D1703" t="str">
            <v>皮</v>
          </cell>
        </row>
        <row r="1704">
          <cell r="A1704" t="str">
            <v>555799C</v>
          </cell>
          <cell r="B1704" t="str">
            <v>LY-CT726U-4B</v>
          </cell>
          <cell r="C1704" t="str">
            <v>CTAS II OX</v>
          </cell>
          <cell r="D1704" t="str">
            <v>皮</v>
          </cell>
        </row>
        <row r="1705">
          <cell r="A1705" t="str">
            <v>555800C</v>
          </cell>
          <cell r="B1705" t="str">
            <v>LY-CT726U-4B</v>
          </cell>
          <cell r="C1705" t="str">
            <v>CTAS II OX</v>
          </cell>
          <cell r="D1705" t="str">
            <v>皮</v>
          </cell>
        </row>
        <row r="1706">
          <cell r="A1706" t="str">
            <v>555801C</v>
          </cell>
          <cell r="B1706" t="str">
            <v>LY-CT725U-5A-2</v>
          </cell>
          <cell r="C1706" t="str">
            <v>CTAS II HI</v>
          </cell>
          <cell r="D1706" t="str">
            <v>布</v>
          </cell>
        </row>
        <row r="1707">
          <cell r="A1707" t="str">
            <v>555802C</v>
          </cell>
          <cell r="B1707" t="str">
            <v>LY-CT725U-5A-2</v>
          </cell>
          <cell r="C1707" t="str">
            <v>CTAS II HI</v>
          </cell>
          <cell r="D1707" t="str">
            <v>布</v>
          </cell>
        </row>
        <row r="1708">
          <cell r="A1708" t="str">
            <v>555803C</v>
          </cell>
          <cell r="B1708" t="str">
            <v>LY-CT726U-5A-2</v>
          </cell>
          <cell r="C1708" t="str">
            <v>CTAS II OX</v>
          </cell>
          <cell r="D1708" t="str">
            <v>布</v>
          </cell>
        </row>
        <row r="1709">
          <cell r="A1709" t="str">
            <v>555804C</v>
          </cell>
          <cell r="B1709" t="str">
            <v>LY-CT726U-5A-2</v>
          </cell>
          <cell r="C1709" t="str">
            <v>CTAS II OX</v>
          </cell>
          <cell r="D1709" t="str">
            <v>布</v>
          </cell>
        </row>
        <row r="1710">
          <cell r="A1710" t="str">
            <v>555830C</v>
          </cell>
          <cell r="B1710" t="str">
            <v>LY-CT763U-B</v>
          </cell>
          <cell r="C1710" t="str">
            <v>CTAS MADISION OX</v>
          </cell>
          <cell r="D1710" t="str">
            <v>皮</v>
          </cell>
        </row>
        <row r="1711">
          <cell r="A1711" t="str">
            <v>555853C</v>
          </cell>
          <cell r="B1711" t="str">
            <v>LY-CT AS HI CR-XXX-A</v>
          </cell>
          <cell r="C1711" t="str">
            <v>CTAS HI</v>
          </cell>
          <cell r="D1711" t="str">
            <v xml:space="preserve">布  </v>
          </cell>
        </row>
        <row r="1712">
          <cell r="A1712" t="str">
            <v>555853F</v>
          </cell>
          <cell r="B1712" t="str">
            <v>LY-CT AS HI CR-XXX-A</v>
          </cell>
          <cell r="C1712" t="str">
            <v>CT AS HI</v>
          </cell>
          <cell r="D1712" t="str">
            <v>布</v>
          </cell>
        </row>
        <row r="1713">
          <cell r="A1713" t="str">
            <v>555853V</v>
          </cell>
          <cell r="B1713" t="str">
            <v>LY-CT AS HI CR-XXX-A</v>
          </cell>
          <cell r="C1713" t="str">
            <v>CT AS HI</v>
          </cell>
          <cell r="D1713" t="str">
            <v>布</v>
          </cell>
        </row>
        <row r="1714">
          <cell r="A1714" t="str">
            <v>555854C</v>
          </cell>
          <cell r="B1714" t="str">
            <v>LY-CT AS HI CR-XXX-A</v>
          </cell>
          <cell r="C1714" t="str">
            <v>CTAS HI</v>
          </cell>
          <cell r="D1714" t="str">
            <v xml:space="preserve">布  </v>
          </cell>
        </row>
        <row r="1715">
          <cell r="A1715" t="str">
            <v>555854F</v>
          </cell>
          <cell r="B1715" t="str">
            <v>LY-CT AS HI CR-XXX-A</v>
          </cell>
          <cell r="C1715" t="str">
            <v>CT AS HI</v>
          </cell>
          <cell r="D1715" t="str">
            <v>布</v>
          </cell>
        </row>
        <row r="1716">
          <cell r="A1716" t="str">
            <v>555855C</v>
          </cell>
          <cell r="B1716" t="str">
            <v>LY-CT AS OX CR-XXX-A</v>
          </cell>
          <cell r="C1716" t="str">
            <v>CTAS OX</v>
          </cell>
          <cell r="D1716" t="str">
            <v>布</v>
          </cell>
        </row>
        <row r="1717">
          <cell r="A1717" t="str">
            <v>555855F</v>
          </cell>
          <cell r="B1717" t="str">
            <v>LY-CT AS OX CR-XXX-A</v>
          </cell>
          <cell r="C1717" t="str">
            <v>CT AS OX</v>
          </cell>
          <cell r="D1717" t="str">
            <v>布</v>
          </cell>
        </row>
        <row r="1718">
          <cell r="A1718" t="str">
            <v>555855V</v>
          </cell>
          <cell r="B1718" t="str">
            <v>LY-CT AS OX CR-XXX-A</v>
          </cell>
          <cell r="C1718" t="str">
            <v>CT AS OX</v>
          </cell>
          <cell r="D1718" t="str">
            <v>布</v>
          </cell>
        </row>
        <row r="1719">
          <cell r="A1719" t="str">
            <v>555856C</v>
          </cell>
          <cell r="B1719" t="str">
            <v>LY-CT AS OX CR-XXX-A</v>
          </cell>
          <cell r="C1719" t="str">
            <v>CTAS OX</v>
          </cell>
          <cell r="D1719" t="str">
            <v>布</v>
          </cell>
        </row>
        <row r="1720">
          <cell r="A1720" t="str">
            <v>555856F</v>
          </cell>
          <cell r="B1720" t="str">
            <v>LY-CT AS OX CR-XXX-A</v>
          </cell>
          <cell r="C1720" t="str">
            <v>CT AS OX</v>
          </cell>
          <cell r="D1720" t="str">
            <v>布</v>
          </cell>
        </row>
        <row r="1721">
          <cell r="A1721" t="str">
            <v>555857C</v>
          </cell>
          <cell r="B1721" t="str">
            <v>LY-CT AS OX CR-XXX-A</v>
          </cell>
          <cell r="C1721" t="str">
            <v>CTAS OX</v>
          </cell>
          <cell r="D1721" t="str">
            <v>布</v>
          </cell>
        </row>
        <row r="1722">
          <cell r="A1722" t="str">
            <v>555857F</v>
          </cell>
          <cell r="B1722" t="str">
            <v>LY-CT AS OX CR-XXX-A</v>
          </cell>
          <cell r="C1722" t="str">
            <v>CT AS OX</v>
          </cell>
          <cell r="D1722" t="str">
            <v>布</v>
          </cell>
        </row>
        <row r="1723">
          <cell r="A1723" t="str">
            <v>555860C</v>
          </cell>
          <cell r="B1723" t="str">
            <v>LY-CT763U-4A</v>
          </cell>
          <cell r="C1723" t="str">
            <v>CTAS MADISION OX</v>
          </cell>
          <cell r="D1723" t="str">
            <v>布</v>
          </cell>
        </row>
        <row r="1724">
          <cell r="A1724" t="str">
            <v>555860F</v>
          </cell>
          <cell r="B1724" t="str">
            <v>LY-CT763U-4A</v>
          </cell>
          <cell r="C1724" t="str">
            <v>CT AS MADISION OX</v>
          </cell>
          <cell r="D1724" t="str">
            <v>布</v>
          </cell>
        </row>
        <row r="1725">
          <cell r="A1725" t="str">
            <v>555861F</v>
          </cell>
          <cell r="B1725" t="str">
            <v>LY-CT763U-4A</v>
          </cell>
          <cell r="C1725" t="str">
            <v>CT AS MADISION OX</v>
          </cell>
          <cell r="D1725" t="str">
            <v>布</v>
          </cell>
        </row>
        <row r="1726">
          <cell r="A1726" t="str">
            <v>555908C</v>
          </cell>
          <cell r="B1726" t="str">
            <v>LY-CT763U-A</v>
          </cell>
          <cell r="C1726" t="str">
            <v>CTAS MADISON OX</v>
          </cell>
          <cell r="D1726" t="str">
            <v>布</v>
          </cell>
        </row>
        <row r="1727">
          <cell r="A1727" t="str">
            <v>555908F</v>
          </cell>
          <cell r="B1727" t="str">
            <v>LY-CT763U-A</v>
          </cell>
          <cell r="C1727" t="str">
            <v>CTAS MADISON OX</v>
          </cell>
          <cell r="D1727" t="str">
            <v xml:space="preserve">布  </v>
          </cell>
        </row>
        <row r="1728">
          <cell r="A1728" t="str">
            <v>555909C</v>
          </cell>
          <cell r="B1728" t="str">
            <v>LY-CT763U-A</v>
          </cell>
          <cell r="C1728" t="str">
            <v>CTAS MADISON OX</v>
          </cell>
          <cell r="D1728" t="str">
            <v>布</v>
          </cell>
        </row>
        <row r="1729">
          <cell r="A1729" t="str">
            <v>555909F</v>
          </cell>
          <cell r="B1729" t="str">
            <v>LY-CT763U-A</v>
          </cell>
          <cell r="C1729" t="str">
            <v>CTAS MADISON OX</v>
          </cell>
          <cell r="D1729" t="str">
            <v>布</v>
          </cell>
        </row>
        <row r="1730">
          <cell r="A1730" t="str">
            <v>555910C</v>
          </cell>
          <cell r="B1730" t="str">
            <v>LY-CT763U-A</v>
          </cell>
          <cell r="C1730" t="str">
            <v>CTAS MADISION OX</v>
          </cell>
          <cell r="D1730" t="str">
            <v>布</v>
          </cell>
        </row>
        <row r="1731">
          <cell r="A1731" t="str">
            <v>555910F</v>
          </cell>
          <cell r="B1731" t="str">
            <v>LY-CT763U-A</v>
          </cell>
          <cell r="C1731" t="str">
            <v>CTAS MADISON OX</v>
          </cell>
          <cell r="D1731" t="str">
            <v>布</v>
          </cell>
        </row>
        <row r="1732">
          <cell r="A1732" t="str">
            <v>555911C</v>
          </cell>
          <cell r="B1732" t="str">
            <v>LY-CT763U-A</v>
          </cell>
          <cell r="C1732" t="str">
            <v>CTAS MADISION OX</v>
          </cell>
          <cell r="D1732" t="str">
            <v>布</v>
          </cell>
        </row>
        <row r="1733">
          <cell r="A1733" t="str">
            <v>555911F</v>
          </cell>
          <cell r="B1733" t="str">
            <v>LY-CT763U-A</v>
          </cell>
          <cell r="C1733" t="str">
            <v>CT AS MADISION OX</v>
          </cell>
          <cell r="D1733" t="str">
            <v xml:space="preserve">布  </v>
          </cell>
        </row>
        <row r="1734">
          <cell r="A1734" t="str">
            <v>555954C</v>
          </cell>
          <cell r="B1734" t="str">
            <v>LY-CT725U-2B-3</v>
          </cell>
          <cell r="C1734" t="str">
            <v>CTAS II HI</v>
          </cell>
          <cell r="D1734" t="str">
            <v>皮</v>
          </cell>
        </row>
        <row r="1735">
          <cell r="A1735" t="str">
            <v>555954V</v>
          </cell>
          <cell r="B1735" t="str">
            <v>LY-CT725U-2B-3</v>
          </cell>
          <cell r="C1735" t="str">
            <v>CTAS II HI</v>
          </cell>
          <cell r="D1735" t="str">
            <v>皮</v>
          </cell>
        </row>
        <row r="1736">
          <cell r="A1736" t="str">
            <v>555955C</v>
          </cell>
          <cell r="B1736" t="str">
            <v>LY-CT725U-2B</v>
          </cell>
          <cell r="C1736" t="str">
            <v>CTAS II HI</v>
          </cell>
          <cell r="D1736" t="str">
            <v>皮</v>
          </cell>
        </row>
        <row r="1737">
          <cell r="A1737" t="str">
            <v>555955V</v>
          </cell>
          <cell r="B1737" t="str">
            <v>LY-CT725U-2B</v>
          </cell>
          <cell r="C1737" t="str">
            <v>CTAS II HI</v>
          </cell>
          <cell r="D1737" t="str">
            <v>皮</v>
          </cell>
        </row>
        <row r="1738">
          <cell r="A1738" t="str">
            <v>555956C</v>
          </cell>
          <cell r="B1738" t="str">
            <v>LY-CT726U-2B-2</v>
          </cell>
          <cell r="C1738" t="str">
            <v>CTAS II OX</v>
          </cell>
          <cell r="D1738" t="str">
            <v>皮</v>
          </cell>
        </row>
        <row r="1739">
          <cell r="A1739" t="str">
            <v>555957C</v>
          </cell>
          <cell r="B1739" t="str">
            <v>LY-CT726U-2B-1</v>
          </cell>
          <cell r="C1739" t="str">
            <v>CTAS II OX</v>
          </cell>
          <cell r="D1739" t="str">
            <v>皮</v>
          </cell>
        </row>
        <row r="1740">
          <cell r="A1740" t="str">
            <v>555958C</v>
          </cell>
          <cell r="B1740" t="str">
            <v>LY-CT726U-2B-1</v>
          </cell>
          <cell r="C1740" t="str">
            <v>CTAS II OX</v>
          </cell>
          <cell r="D1740" t="str">
            <v>皮</v>
          </cell>
        </row>
        <row r="1741">
          <cell r="A1741" t="str">
            <v>555958V</v>
          </cell>
          <cell r="B1741" t="str">
            <v>LY-CT726U-2B-1</v>
          </cell>
          <cell r="C1741" t="str">
            <v>CTAS II OX</v>
          </cell>
          <cell r="D1741" t="str">
            <v>皮</v>
          </cell>
        </row>
        <row r="1742">
          <cell r="A1742" t="str">
            <v>555961C</v>
          </cell>
          <cell r="B1742" t="str">
            <v>LY-CT AS HI CR-XXX-4B</v>
          </cell>
          <cell r="C1742" t="str">
            <v>CTAS HI</v>
          </cell>
          <cell r="D1742" t="str">
            <v>PU</v>
          </cell>
        </row>
        <row r="1743">
          <cell r="A1743" t="str">
            <v>555962C</v>
          </cell>
          <cell r="B1743" t="str">
            <v>LY-CT AS HI CR-XXX-4B</v>
          </cell>
          <cell r="C1743" t="str">
            <v>CTAS HI</v>
          </cell>
          <cell r="D1743" t="str">
            <v>PU</v>
          </cell>
        </row>
        <row r="1744">
          <cell r="A1744" t="str">
            <v>555963C</v>
          </cell>
          <cell r="B1744" t="str">
            <v>LY-CT AS OX CR-XXX-4B</v>
          </cell>
          <cell r="C1744" t="str">
            <v>CTAS OX</v>
          </cell>
          <cell r="D1744" t="str">
            <v>PU</v>
          </cell>
        </row>
        <row r="1745">
          <cell r="A1745" t="str">
            <v>555964C</v>
          </cell>
          <cell r="B1745" t="str">
            <v>LY-CT AS OX CR-XXX-4B</v>
          </cell>
          <cell r="C1745" t="str">
            <v>CTAS OX</v>
          </cell>
          <cell r="D1745" t="str">
            <v>PU</v>
          </cell>
        </row>
        <row r="1746">
          <cell r="A1746" t="str">
            <v>555965C</v>
          </cell>
          <cell r="B1746" t="str">
            <v>LY-CT AS HI CR-XXX-5B</v>
          </cell>
          <cell r="C1746" t="str">
            <v>CTAS HI</v>
          </cell>
          <cell r="D1746" t="str">
            <v>皮</v>
          </cell>
        </row>
        <row r="1747">
          <cell r="A1747" t="str">
            <v>555966C</v>
          </cell>
          <cell r="B1747" t="str">
            <v>LY-CT AS HI CR-XXX-5B</v>
          </cell>
          <cell r="C1747" t="str">
            <v>CTAS HI</v>
          </cell>
          <cell r="D1747" t="str">
            <v>皮</v>
          </cell>
        </row>
        <row r="1748">
          <cell r="A1748" t="str">
            <v>555967C</v>
          </cell>
          <cell r="B1748" t="str">
            <v>LY-CT AS OX CR-XXX-5B</v>
          </cell>
          <cell r="C1748" t="str">
            <v>CTAS OX</v>
          </cell>
          <cell r="D1748" t="str">
            <v>皮</v>
          </cell>
        </row>
        <row r="1749">
          <cell r="A1749" t="str">
            <v>555971C</v>
          </cell>
          <cell r="B1749" t="str">
            <v>LY-CT725U-2A-4</v>
          </cell>
          <cell r="C1749" t="str">
            <v>CTAS II HI</v>
          </cell>
          <cell r="D1749" t="str">
            <v>布</v>
          </cell>
        </row>
        <row r="1750">
          <cell r="A1750" t="str">
            <v>555972C</v>
          </cell>
          <cell r="B1750" t="str">
            <v>LY-CT725U-2A-4</v>
          </cell>
          <cell r="C1750" t="str">
            <v>CTAS II HI</v>
          </cell>
          <cell r="D1750" t="str">
            <v>布</v>
          </cell>
        </row>
        <row r="1751">
          <cell r="A1751" t="str">
            <v>555973C</v>
          </cell>
          <cell r="B1751" t="str">
            <v>LY-CT726U-2A-4</v>
          </cell>
          <cell r="C1751" t="str">
            <v>CTAS II OX</v>
          </cell>
          <cell r="D1751" t="str">
            <v>布</v>
          </cell>
        </row>
        <row r="1752">
          <cell r="A1752" t="str">
            <v>555983C</v>
          </cell>
          <cell r="B1752" t="str">
            <v>LY-CT725U-7A-3A</v>
          </cell>
          <cell r="C1752" t="str">
            <v>CTAS II HI</v>
          </cell>
          <cell r="D1752" t="str">
            <v>布</v>
          </cell>
        </row>
        <row r="1753">
          <cell r="A1753" t="str">
            <v>555984C</v>
          </cell>
          <cell r="B1753" t="str">
            <v>LY-CT726U-7A-1</v>
          </cell>
          <cell r="C1753" t="str">
            <v>CTAS II OX</v>
          </cell>
          <cell r="D1753" t="str">
            <v>布</v>
          </cell>
        </row>
        <row r="1754">
          <cell r="A1754" t="str">
            <v>556831C</v>
          </cell>
          <cell r="B1754" t="str">
            <v>LY-CT763U-4A</v>
          </cell>
          <cell r="C1754" t="str">
            <v>CTAS MADISION OX</v>
          </cell>
          <cell r="D1754" t="str">
            <v>布</v>
          </cell>
        </row>
        <row r="1755">
          <cell r="A1755" t="str">
            <v>556831F</v>
          </cell>
          <cell r="B1755" t="str">
            <v>LY-CT763U-4A</v>
          </cell>
          <cell r="C1755" t="str">
            <v>CTAS MADISION OX</v>
          </cell>
          <cell r="D1755" t="str">
            <v>布</v>
          </cell>
        </row>
        <row r="1756">
          <cell r="A1756" t="str">
            <v>557295C</v>
          </cell>
          <cell r="B1756" t="str">
            <v>LY-CT AS OX CR-XXX-1A</v>
          </cell>
          <cell r="C1756" t="str">
            <v>CTAS OX</v>
          </cell>
          <cell r="D1756" t="str">
            <v>布</v>
          </cell>
        </row>
        <row r="1757">
          <cell r="A1757" t="str">
            <v>557317C</v>
          </cell>
          <cell r="B1757" t="str">
            <v>LY-CT AS OX CR-XXX-A</v>
          </cell>
          <cell r="C1757" t="str">
            <v>CTAS OX</v>
          </cell>
          <cell r="D1757" t="str">
            <v>布</v>
          </cell>
        </row>
        <row r="1758">
          <cell r="A1758" t="str">
            <v>557318C</v>
          </cell>
          <cell r="B1758" t="str">
            <v>LY-CT AS OX CR-XXX-A</v>
          </cell>
          <cell r="C1758" t="str">
            <v>CTAS OX</v>
          </cell>
          <cell r="D1758" t="str">
            <v>布</v>
          </cell>
        </row>
        <row r="1759">
          <cell r="A1759" t="str">
            <v>557319C</v>
          </cell>
          <cell r="B1759" t="str">
            <v>LY-CT AS OX CR-XXX-5B</v>
          </cell>
          <cell r="C1759" t="str">
            <v>CTAS OX</v>
          </cell>
          <cell r="D1759" t="str">
            <v>皮</v>
          </cell>
        </row>
        <row r="1760">
          <cell r="A1760" t="str">
            <v>557380C</v>
          </cell>
          <cell r="B1760" t="str">
            <v>LY-CT AS OX CR-XXX-6B</v>
          </cell>
          <cell r="C1760" t="str">
            <v>CTAS OX</v>
          </cell>
          <cell r="D1760" t="str">
            <v>皮</v>
          </cell>
        </row>
        <row r="1761">
          <cell r="A1761" t="str">
            <v>557919C</v>
          </cell>
          <cell r="B1761" t="str">
            <v>LY-CT AS HI CR-XXX-9B</v>
          </cell>
          <cell r="C1761" t="str">
            <v>CTAS HI</v>
          </cell>
          <cell r="D1761" t="str">
            <v>皮</v>
          </cell>
        </row>
        <row r="1762">
          <cell r="A1762" t="str">
            <v>557920C</v>
          </cell>
          <cell r="B1762" t="str">
            <v>LY-CT AS HI CR-XXX-9B</v>
          </cell>
          <cell r="C1762" t="str">
            <v>CTAS HI</v>
          </cell>
          <cell r="D1762" t="str">
            <v>皮</v>
          </cell>
        </row>
        <row r="1763">
          <cell r="A1763" t="str">
            <v>557943C</v>
          </cell>
          <cell r="B1763" t="str">
            <v>LY-CT840U-1B-1</v>
          </cell>
          <cell r="C1763" t="str">
            <v>CTAS WP BOOT HI</v>
          </cell>
          <cell r="D1763" t="str">
            <v>皮</v>
          </cell>
        </row>
        <row r="1764">
          <cell r="A1764" t="str">
            <v>557944C</v>
          </cell>
          <cell r="B1764" t="str">
            <v>LY-CT840U-1B-1</v>
          </cell>
          <cell r="C1764" t="str">
            <v>CTAS WP BOOT HI</v>
          </cell>
          <cell r="D1764" t="str">
            <v>皮</v>
          </cell>
        </row>
        <row r="1765">
          <cell r="A1765" t="str">
            <v>557945C</v>
          </cell>
          <cell r="B1765" t="str">
            <v>LY-CT840U-1B-2</v>
          </cell>
          <cell r="C1765" t="str">
            <v>CTAS WP BOOT HI</v>
          </cell>
          <cell r="D1765" t="str">
            <v>皮</v>
          </cell>
        </row>
        <row r="1766">
          <cell r="A1766" t="str">
            <v>557946C</v>
          </cell>
          <cell r="B1766" t="str">
            <v>LY-CT840U-1B-2</v>
          </cell>
          <cell r="C1766" t="str">
            <v>CTAS WP BOOT HI</v>
          </cell>
          <cell r="D1766" t="str">
            <v>皮</v>
          </cell>
        </row>
        <row r="1767">
          <cell r="A1767" t="str">
            <v>557981C</v>
          </cell>
          <cell r="B1767" t="str">
            <v>LY-CT AS OX CR-XXX-9B</v>
          </cell>
          <cell r="C1767" t="str">
            <v>CTAS OX</v>
          </cell>
          <cell r="D1767" t="str">
            <v>皮</v>
          </cell>
        </row>
        <row r="1768">
          <cell r="A1768" t="str">
            <v>557982C</v>
          </cell>
          <cell r="B1768" t="str">
            <v>LY-CT AS OX CR-XXX-9B</v>
          </cell>
          <cell r="C1768" t="str">
            <v>CTAS OX</v>
          </cell>
          <cell r="D1768" t="str">
            <v>皮</v>
          </cell>
        </row>
        <row r="1769">
          <cell r="A1769" t="str">
            <v>557983C</v>
          </cell>
          <cell r="B1769" t="str">
            <v>LY-CT AS OX CR-XXX-9B</v>
          </cell>
          <cell r="C1769" t="str">
            <v>CTAS OX</v>
          </cell>
          <cell r="D1769" t="str">
            <v>皮</v>
          </cell>
        </row>
        <row r="1770">
          <cell r="A1770" t="str">
            <v>558373C</v>
          </cell>
          <cell r="B1770" t="str">
            <v>LY-CT AS HI CR-XXX-8B</v>
          </cell>
          <cell r="C1770" t="str">
            <v>CTAS HI</v>
          </cell>
          <cell r="D1770" t="str">
            <v>皮</v>
          </cell>
        </row>
        <row r="1771">
          <cell r="A1771" t="str">
            <v>558374C</v>
          </cell>
          <cell r="B1771" t="str">
            <v>LY-CT AS OX CR-XXX-8B</v>
          </cell>
          <cell r="C1771" t="str">
            <v>CTAS OX</v>
          </cell>
          <cell r="D1771" t="str">
            <v>皮</v>
          </cell>
        </row>
        <row r="1772">
          <cell r="A1772" t="str">
            <v>558644F</v>
          </cell>
          <cell r="B1772" t="str">
            <v>LY-CT AS OX CR-XXX-11A</v>
          </cell>
          <cell r="C1772" t="str">
            <v>CTAS OX</v>
          </cell>
          <cell r="D1772" t="str">
            <v>布</v>
          </cell>
        </row>
        <row r="1773">
          <cell r="A1773" t="str">
            <v>558819C</v>
          </cell>
          <cell r="B1773" t="str">
            <v>LY-CT840U-1B-2</v>
          </cell>
          <cell r="C1773" t="str">
            <v>CTAS WP BOOT HI</v>
          </cell>
          <cell r="D1773" t="str">
            <v>皮</v>
          </cell>
        </row>
        <row r="1774">
          <cell r="A1774" t="str">
            <v>558820C</v>
          </cell>
          <cell r="B1774" t="str">
            <v>LY-CT840U-1B-2</v>
          </cell>
          <cell r="C1774" t="str">
            <v>CTAS WP BOOT HI</v>
          </cell>
          <cell r="D1774" t="str">
            <v>皮</v>
          </cell>
        </row>
        <row r="1775">
          <cell r="A1775" t="str">
            <v>558830C</v>
          </cell>
          <cell r="B1775" t="str">
            <v>LY-CT840U-1B-4</v>
          </cell>
          <cell r="C1775" t="str">
            <v>CTAS WP BOOT HI</v>
          </cell>
          <cell r="D1775" t="str">
            <v>PU</v>
          </cell>
        </row>
        <row r="1776">
          <cell r="A1776" t="str">
            <v>558831C</v>
          </cell>
          <cell r="B1776" t="str">
            <v>LY-CT840U-1B-3</v>
          </cell>
          <cell r="C1776" t="str">
            <v>CTAS WP BOOT HI</v>
          </cell>
          <cell r="D1776" t="str">
            <v>皮</v>
          </cell>
        </row>
        <row r="1777">
          <cell r="A1777" t="str">
            <v>559824C</v>
          </cell>
          <cell r="B1777" t="str">
            <v>LY-CT AS HI CR-XXX-9A</v>
          </cell>
          <cell r="C1777" t="str">
            <v>CTAS HI</v>
          </cell>
          <cell r="D1777" t="str">
            <v>布</v>
          </cell>
        </row>
        <row r="1778">
          <cell r="A1778" t="str">
            <v>559825C</v>
          </cell>
          <cell r="B1778" t="str">
            <v>LY-CT AS HI CR-XXX-9A</v>
          </cell>
          <cell r="C1778" t="str">
            <v>CTAS HI</v>
          </cell>
          <cell r="D1778" t="str">
            <v>布</v>
          </cell>
        </row>
        <row r="1779">
          <cell r="A1779" t="str">
            <v>559828C</v>
          </cell>
          <cell r="B1779" t="str">
            <v>LY-CT AS HI CR-XXX-8A</v>
          </cell>
          <cell r="C1779" t="str">
            <v>CTAS HI</v>
          </cell>
          <cell r="D1779" t="str">
            <v>布</v>
          </cell>
        </row>
        <row r="1780">
          <cell r="A1780" t="str">
            <v>559828F</v>
          </cell>
          <cell r="B1780" t="str">
            <v>LY-CT AS HI CR-XXX-8A</v>
          </cell>
          <cell r="C1780" t="str">
            <v>CTAS HI</v>
          </cell>
          <cell r="D1780" t="str">
            <v>布</v>
          </cell>
        </row>
        <row r="1781">
          <cell r="A1781" t="str">
            <v>559829C</v>
          </cell>
          <cell r="B1781" t="str">
            <v>LY-CT AS OX CR-XXX-16A</v>
          </cell>
          <cell r="C1781" t="str">
            <v>CTAS OX</v>
          </cell>
          <cell r="D1781" t="str">
            <v>布</v>
          </cell>
        </row>
        <row r="1782">
          <cell r="A1782" t="str">
            <v>559830C</v>
          </cell>
          <cell r="B1782" t="str">
            <v>LY-CT AS OX CR-XXX-16A</v>
          </cell>
          <cell r="C1782" t="str">
            <v>CTAS OX</v>
          </cell>
          <cell r="D1782" t="str">
            <v>布</v>
          </cell>
        </row>
        <row r="1783">
          <cell r="A1783" t="str">
            <v>559830F</v>
          </cell>
          <cell r="B1783" t="str">
            <v>LY-CT AS OX CR-XXX-16A</v>
          </cell>
          <cell r="C1783" t="str">
            <v>CT AS OX</v>
          </cell>
          <cell r="D1783" t="str">
            <v>布</v>
          </cell>
        </row>
        <row r="1784">
          <cell r="A1784" t="str">
            <v>559837C</v>
          </cell>
          <cell r="B1784" t="str">
            <v>LY-CT AS HI CR-XXX-14A</v>
          </cell>
          <cell r="C1784" t="str">
            <v>CTAS HI</v>
          </cell>
          <cell r="D1784" t="str">
            <v>布</v>
          </cell>
        </row>
        <row r="1785">
          <cell r="A1785" t="str">
            <v>559837F</v>
          </cell>
          <cell r="B1785" t="str">
            <v>LY-CT AS HI CR-XXX-14A</v>
          </cell>
          <cell r="C1785" t="str">
            <v>CTAS HI</v>
          </cell>
          <cell r="D1785" t="str">
            <v>布</v>
          </cell>
        </row>
        <row r="1786">
          <cell r="A1786" t="str">
            <v>559838C</v>
          </cell>
          <cell r="B1786" t="str">
            <v>LY-CT AS OX CR-XXX-12A</v>
          </cell>
          <cell r="C1786" t="str">
            <v>CTAS OX</v>
          </cell>
          <cell r="D1786" t="str">
            <v>布</v>
          </cell>
        </row>
        <row r="1787">
          <cell r="A1787" t="str">
            <v>559838F</v>
          </cell>
          <cell r="B1787" t="str">
            <v>LY-CT AS OX CR-XXX-12A</v>
          </cell>
          <cell r="C1787" t="str">
            <v>CT AS OX</v>
          </cell>
          <cell r="D1787" t="str">
            <v>布</v>
          </cell>
        </row>
        <row r="1788">
          <cell r="A1788" t="str">
            <v>559863C</v>
          </cell>
          <cell r="B1788" t="str">
            <v>LY-CT AS HI CR-XXX-20A</v>
          </cell>
          <cell r="C1788" t="str">
            <v>CTAS HI</v>
          </cell>
          <cell r="D1788" t="str">
            <v>布</v>
          </cell>
        </row>
        <row r="1789">
          <cell r="A1789" t="str">
            <v>559864C</v>
          </cell>
          <cell r="B1789" t="str">
            <v>LY-CT AS OX CR-XXX-25A</v>
          </cell>
          <cell r="C1789" t="str">
            <v>CTAS OX</v>
          </cell>
          <cell r="D1789" t="str">
            <v>布</v>
          </cell>
        </row>
        <row r="1790">
          <cell r="A1790" t="str">
            <v>559865C</v>
          </cell>
          <cell r="B1790" t="str">
            <v>LY-CT AS OX CR-XXX-25A</v>
          </cell>
          <cell r="C1790" t="str">
            <v>CTAS OX</v>
          </cell>
          <cell r="D1790" t="str">
            <v>布</v>
          </cell>
        </row>
        <row r="1791">
          <cell r="A1791" t="str">
            <v>559866C</v>
          </cell>
          <cell r="B1791" t="str">
            <v>LY-CT AS HI CR-XXX-15B</v>
          </cell>
          <cell r="C1791" t="str">
            <v>CTAS HI</v>
          </cell>
          <cell r="D1791" t="str">
            <v>PU</v>
          </cell>
        </row>
        <row r="1792">
          <cell r="A1792" t="str">
            <v>559867C</v>
          </cell>
          <cell r="B1792" t="str">
            <v>LY-CT AS HI CR-XXX-15B</v>
          </cell>
          <cell r="C1792" t="str">
            <v>CTAS HI</v>
          </cell>
          <cell r="D1792" t="str">
            <v>PU</v>
          </cell>
        </row>
        <row r="1793">
          <cell r="A1793" t="str">
            <v>559868C</v>
          </cell>
          <cell r="B1793" t="str">
            <v>LY-CT AS OX CR-XXX-15B</v>
          </cell>
          <cell r="C1793" t="str">
            <v>CTAS OX</v>
          </cell>
          <cell r="D1793" t="str">
            <v>PU</v>
          </cell>
        </row>
        <row r="1794">
          <cell r="A1794" t="str">
            <v>559869C</v>
          </cell>
          <cell r="B1794" t="str">
            <v>LY-CT AS OX CR-XXX-15B</v>
          </cell>
          <cell r="C1794" t="str">
            <v>CTAS OX</v>
          </cell>
          <cell r="D1794" t="str">
            <v>PU</v>
          </cell>
        </row>
        <row r="1795">
          <cell r="A1795" t="str">
            <v>559880C</v>
          </cell>
          <cell r="B1795" t="str">
            <v>LY-CT AS OX CR-XXX-12A</v>
          </cell>
          <cell r="C1795" t="str">
            <v>CTAS OX</v>
          </cell>
          <cell r="D1795" t="str">
            <v>布</v>
          </cell>
        </row>
        <row r="1796">
          <cell r="A1796" t="str">
            <v>559880F</v>
          </cell>
          <cell r="B1796" t="str">
            <v>LY-CT AS OX CR-XXX-12A</v>
          </cell>
          <cell r="C1796" t="str">
            <v>CTAS OX</v>
          </cell>
          <cell r="D1796" t="str">
            <v>布</v>
          </cell>
        </row>
        <row r="1797">
          <cell r="A1797" t="str">
            <v>559881C</v>
          </cell>
          <cell r="B1797" t="str">
            <v>LY-CT AS HI CR-XXX-14B</v>
          </cell>
          <cell r="C1797" t="str">
            <v>CTAS HI</v>
          </cell>
          <cell r="D1797" t="str">
            <v>皮</v>
          </cell>
        </row>
        <row r="1798">
          <cell r="A1798" t="str">
            <v>559882C</v>
          </cell>
          <cell r="B1798" t="str">
            <v>LY-CT AS HI CR-XXX-14B</v>
          </cell>
          <cell r="C1798" t="str">
            <v>CTAS HI</v>
          </cell>
          <cell r="D1798" t="str">
            <v>皮</v>
          </cell>
        </row>
        <row r="1799">
          <cell r="A1799" t="str">
            <v>559883C</v>
          </cell>
          <cell r="B1799" t="str">
            <v>LY-CT AS OX CR-XXX-14B</v>
          </cell>
          <cell r="C1799" t="str">
            <v>CTAS OX</v>
          </cell>
          <cell r="D1799" t="str">
            <v>皮</v>
          </cell>
        </row>
        <row r="1800">
          <cell r="A1800" t="str">
            <v>559884C</v>
          </cell>
          <cell r="B1800" t="str">
            <v>LY-CT AS OX CR-XXX-14B</v>
          </cell>
          <cell r="C1800" t="str">
            <v>CTAS OX</v>
          </cell>
          <cell r="D1800" t="str">
            <v>皮</v>
          </cell>
        </row>
        <row r="1801">
          <cell r="A1801" t="str">
            <v>559885C</v>
          </cell>
          <cell r="B1801" t="str">
            <v>LY-CT AS HI CR-XXX-13A</v>
          </cell>
          <cell r="C1801" t="str">
            <v>CTAS HI</v>
          </cell>
          <cell r="D1801" t="str">
            <v>布</v>
          </cell>
        </row>
        <row r="1802">
          <cell r="A1802" t="str">
            <v>559886C</v>
          </cell>
          <cell r="B1802" t="str">
            <v>LY-CT AS HI CR-XXX-13A</v>
          </cell>
          <cell r="C1802" t="str">
            <v>CTAS HI</v>
          </cell>
          <cell r="D1802" t="str">
            <v>布</v>
          </cell>
        </row>
        <row r="1803">
          <cell r="A1803" t="str">
            <v>559887C</v>
          </cell>
          <cell r="B1803" t="str">
            <v>LY-CT AS OX CR-XXX-20A</v>
          </cell>
          <cell r="C1803" t="str">
            <v>CTAS OX</v>
          </cell>
          <cell r="D1803" t="str">
            <v>布</v>
          </cell>
        </row>
        <row r="1804">
          <cell r="A1804" t="str">
            <v>559888C</v>
          </cell>
          <cell r="B1804" t="str">
            <v>LY-CT AS OX CR-XXX-20A</v>
          </cell>
          <cell r="C1804" t="str">
            <v>CTAS OX</v>
          </cell>
          <cell r="D1804" t="str">
            <v>布</v>
          </cell>
        </row>
        <row r="1805">
          <cell r="A1805" t="str">
            <v>559889C</v>
          </cell>
          <cell r="B1805" t="str">
            <v>LY-CT AS OX CR-XXX-20A</v>
          </cell>
          <cell r="C1805" t="str">
            <v>CTAS OX</v>
          </cell>
          <cell r="D1805" t="str">
            <v>布</v>
          </cell>
        </row>
        <row r="1806">
          <cell r="A1806" t="str">
            <v>559905C</v>
          </cell>
          <cell r="B1806" t="str">
            <v>LY-CT973U-B-1</v>
          </cell>
          <cell r="C1806" t="str">
            <v>CTAS 3V OX</v>
          </cell>
          <cell r="D1806" t="str">
            <v>PU</v>
          </cell>
        </row>
        <row r="1807">
          <cell r="A1807" t="str">
            <v>559906C</v>
          </cell>
          <cell r="B1807" t="str">
            <v>LY-CT973U-B-1</v>
          </cell>
          <cell r="C1807" t="str">
            <v>CTAS 3V OX</v>
          </cell>
          <cell r="D1807" t="str">
            <v>PU</v>
          </cell>
        </row>
        <row r="1808">
          <cell r="A1808" t="str">
            <v>559910C</v>
          </cell>
          <cell r="B1808" t="str">
            <v>LY-CT973U-A</v>
          </cell>
          <cell r="C1808" t="str">
            <v>CTAS 3V OX</v>
          </cell>
          <cell r="D1808" t="str">
            <v>布</v>
          </cell>
        </row>
        <row r="1809">
          <cell r="A1809" t="str">
            <v>559911C</v>
          </cell>
          <cell r="B1809" t="str">
            <v>LY-CT973U-A</v>
          </cell>
          <cell r="C1809" t="str">
            <v>CTAS 3V OX</v>
          </cell>
          <cell r="D1809" t="str">
            <v>布</v>
          </cell>
        </row>
        <row r="1810">
          <cell r="A1810" t="str">
            <v>559917C</v>
          </cell>
          <cell r="B1810" t="str">
            <v>LY-CT AS HI CR-XXX-12A</v>
          </cell>
          <cell r="C1810" t="str">
            <v>CTAS BIG EYELETS HI</v>
          </cell>
          <cell r="D1810" t="str">
            <v>布</v>
          </cell>
        </row>
        <row r="1811">
          <cell r="A1811" t="str">
            <v>559918C</v>
          </cell>
          <cell r="B1811" t="str">
            <v>LY-CT AS HI CR-XXX-12A</v>
          </cell>
          <cell r="C1811" t="str">
            <v>CTAS BIG EYELETS HI</v>
          </cell>
          <cell r="D1811" t="str">
            <v>布</v>
          </cell>
        </row>
        <row r="1812">
          <cell r="A1812" t="str">
            <v>559919C</v>
          </cell>
          <cell r="B1812" t="str">
            <v>LY-CT AS OX CR-XXX-19A</v>
          </cell>
          <cell r="C1812" t="str">
            <v>CTAS BIG EYELETS OX</v>
          </cell>
          <cell r="D1812" t="str">
            <v>布</v>
          </cell>
        </row>
        <row r="1813">
          <cell r="A1813" t="str">
            <v>559920C</v>
          </cell>
          <cell r="B1813" t="str">
            <v>LY-CT AS OX CR-XXX-19A</v>
          </cell>
          <cell r="C1813" t="str">
            <v>CTAS BIG EYELETS OX</v>
          </cell>
          <cell r="D1813" t="str">
            <v>布</v>
          </cell>
        </row>
        <row r="1814">
          <cell r="A1814" t="str">
            <v>559921C</v>
          </cell>
          <cell r="B1814" t="str">
            <v>LY-CT AS OX CR-XXX-19A</v>
          </cell>
          <cell r="C1814" t="str">
            <v>CTAS BIG EYELETS OX</v>
          </cell>
          <cell r="D1814" t="str">
            <v>布</v>
          </cell>
        </row>
        <row r="1815">
          <cell r="A1815" t="str">
            <v>559922C</v>
          </cell>
          <cell r="B1815" t="str">
            <v>LY-CT AS HI CR-XXX-18A</v>
          </cell>
          <cell r="C1815" t="str">
            <v>CTAS BIG EYELETS HI</v>
          </cell>
          <cell r="D1815" t="str">
            <v>布</v>
          </cell>
        </row>
        <row r="1816">
          <cell r="A1816" t="str">
            <v>559923C</v>
          </cell>
          <cell r="B1816" t="str">
            <v>LY-CT AS OX CR-XXX-21A</v>
          </cell>
          <cell r="C1816" t="str">
            <v>CTAS BIG EYELETS OX</v>
          </cell>
          <cell r="D1816" t="str">
            <v>布</v>
          </cell>
        </row>
        <row r="1817">
          <cell r="A1817" t="str">
            <v>559925C</v>
          </cell>
          <cell r="B1817" t="str">
            <v>LY-CT973U-B</v>
          </cell>
          <cell r="C1817" t="str">
            <v>CTAS 3V OX</v>
          </cell>
          <cell r="D1817" t="str">
            <v>皮</v>
          </cell>
        </row>
        <row r="1818">
          <cell r="A1818" t="str">
            <v>559926C</v>
          </cell>
          <cell r="B1818" t="str">
            <v>LY-CT973U-A</v>
          </cell>
          <cell r="C1818" t="str">
            <v>CTAS 3V OX</v>
          </cell>
          <cell r="D1818" t="str">
            <v>布</v>
          </cell>
        </row>
        <row r="1819">
          <cell r="A1819" t="str">
            <v>559927C</v>
          </cell>
          <cell r="B1819" t="str">
            <v>LY-CT AS OX CR-XXX-21A</v>
          </cell>
          <cell r="C1819" t="str">
            <v>CTAS BIG EYELETS OX</v>
          </cell>
          <cell r="D1819" t="str">
            <v>布</v>
          </cell>
        </row>
        <row r="1820">
          <cell r="A1820" t="str">
            <v>559928C</v>
          </cell>
          <cell r="B1820" t="str">
            <v>LY-CT973U-B</v>
          </cell>
          <cell r="C1820" t="str">
            <v>CTAS 3V OX</v>
          </cell>
          <cell r="D1820" t="str">
            <v>皮</v>
          </cell>
        </row>
        <row r="1821">
          <cell r="A1821" t="str">
            <v>559933C</v>
          </cell>
          <cell r="B1821" t="str">
            <v>LY-CT AS HI CR-XXX-12A</v>
          </cell>
          <cell r="C1821" t="str">
            <v>CTAS BIG EYELETS HI</v>
          </cell>
          <cell r="D1821" t="str">
            <v>布</v>
          </cell>
        </row>
        <row r="1822">
          <cell r="A1822" t="str">
            <v>559934C</v>
          </cell>
          <cell r="B1822" t="str">
            <v>LY-CT AS HI CR-XXX-12A</v>
          </cell>
          <cell r="C1822" t="str">
            <v>CTAS BIG EYELETS HI</v>
          </cell>
          <cell r="D1822" t="str">
            <v>布</v>
          </cell>
        </row>
        <row r="1823">
          <cell r="A1823" t="str">
            <v>559935C</v>
          </cell>
          <cell r="B1823" t="str">
            <v>LY-CT AS OX CR-XXX-19A</v>
          </cell>
          <cell r="C1823" t="str">
            <v>CTAS BIG EYELETS OX</v>
          </cell>
          <cell r="D1823" t="str">
            <v>布</v>
          </cell>
        </row>
        <row r="1824">
          <cell r="A1824" t="str">
            <v>559936C</v>
          </cell>
          <cell r="B1824" t="str">
            <v>LY-CT AS OX CR-XXX-19A</v>
          </cell>
          <cell r="C1824" t="str">
            <v>CTAS BIG EYELETS OX</v>
          </cell>
          <cell r="D1824" t="str">
            <v>布</v>
          </cell>
        </row>
        <row r="1825">
          <cell r="A1825" t="str">
            <v>560627C</v>
          </cell>
          <cell r="B1825" t="str">
            <v>LY-CT AS HI CR-XXX-6A</v>
          </cell>
          <cell r="C1825" t="str">
            <v>CTAS HI</v>
          </cell>
          <cell r="D1825" t="str">
            <v>布</v>
          </cell>
        </row>
        <row r="1826">
          <cell r="A1826" t="str">
            <v>560627F</v>
          </cell>
          <cell r="B1826" t="str">
            <v>LY-CT AS HI CR-XXX-6A</v>
          </cell>
          <cell r="C1826" t="str">
            <v>CT AS HI</v>
          </cell>
          <cell r="D1826" t="str">
            <v>布</v>
          </cell>
        </row>
        <row r="1827">
          <cell r="A1827" t="str">
            <v>560628C</v>
          </cell>
          <cell r="B1827" t="str">
            <v>LY-CT AS OX CR-XXX-9A</v>
          </cell>
          <cell r="C1827" t="str">
            <v>CTAS OX</v>
          </cell>
          <cell r="D1827" t="str">
            <v>布</v>
          </cell>
        </row>
        <row r="1828">
          <cell r="A1828" t="str">
            <v>560628F</v>
          </cell>
          <cell r="B1828" t="str">
            <v>LY-CT AS OX CR-XXX-9A</v>
          </cell>
          <cell r="C1828" t="str">
            <v>CTAS OX</v>
          </cell>
          <cell r="D1828" t="str">
            <v>布</v>
          </cell>
        </row>
        <row r="1829">
          <cell r="A1829" t="str">
            <v>560629C</v>
          </cell>
          <cell r="B1829" t="str">
            <v>LY-CT AS OX CR-XXX-9A</v>
          </cell>
          <cell r="C1829" t="str">
            <v>CTAS OX</v>
          </cell>
          <cell r="D1829" t="str">
            <v>布</v>
          </cell>
        </row>
        <row r="1830">
          <cell r="A1830" t="str">
            <v>560629F</v>
          </cell>
          <cell r="B1830" t="str">
            <v>LY-CT AS OX CR-XXX-9A</v>
          </cell>
          <cell r="C1830" t="str">
            <v>CTAS OX</v>
          </cell>
          <cell r="D1830" t="str">
            <v>布</v>
          </cell>
        </row>
        <row r="1831">
          <cell r="A1831" t="str">
            <v>560630C</v>
          </cell>
          <cell r="B1831" t="str">
            <v>LY-CT AS HI CR-XXX-27A</v>
          </cell>
          <cell r="C1831" t="str">
            <v>CTAS HI</v>
          </cell>
          <cell r="D1831" t="str">
            <v>布</v>
          </cell>
        </row>
        <row r="1832">
          <cell r="A1832" t="str">
            <v>560631C</v>
          </cell>
          <cell r="B1832" t="str">
            <v>LY-CT AS HI CR-XXX-27A</v>
          </cell>
          <cell r="C1832" t="str">
            <v>CTAS HI</v>
          </cell>
          <cell r="D1832" t="str">
            <v>布</v>
          </cell>
        </row>
        <row r="1833">
          <cell r="A1833" t="str">
            <v>560632C</v>
          </cell>
          <cell r="B1833" t="str">
            <v>LY-CT AS OX CR-XXX-31A</v>
          </cell>
          <cell r="C1833" t="str">
            <v>CTAS OX</v>
          </cell>
          <cell r="D1833" t="str">
            <v>布</v>
          </cell>
        </row>
        <row r="1834">
          <cell r="A1834" t="str">
            <v>560633C</v>
          </cell>
          <cell r="B1834" t="str">
            <v>LY-CT AS OX CR-XXX-31A</v>
          </cell>
          <cell r="C1834" t="str">
            <v>CTAS OX</v>
          </cell>
          <cell r="D1834" t="str">
            <v>布</v>
          </cell>
        </row>
        <row r="1835">
          <cell r="A1835" t="str">
            <v>560643C</v>
          </cell>
          <cell r="B1835" t="str">
            <v>LY-CT AS OX CR-XXX-26A</v>
          </cell>
          <cell r="C1835" t="str">
            <v>CTAS OX</v>
          </cell>
          <cell r="D1835" t="str">
            <v>布</v>
          </cell>
        </row>
        <row r="1836">
          <cell r="A1836" t="str">
            <v>560644C</v>
          </cell>
          <cell r="B1836" t="str">
            <v>LY-CT AS OX CR-XXX-26A</v>
          </cell>
          <cell r="C1836" t="str">
            <v>CTAS OX</v>
          </cell>
          <cell r="D1836" t="str">
            <v>布</v>
          </cell>
        </row>
        <row r="1837">
          <cell r="A1837" t="str">
            <v>560656C</v>
          </cell>
          <cell r="B1837" t="str">
            <v>LY-CT AS HI CR-XXX-25A</v>
          </cell>
          <cell r="C1837" t="str">
            <v>CTAS BIG EYELETS HI</v>
          </cell>
          <cell r="D1837" t="str">
            <v>布</v>
          </cell>
        </row>
        <row r="1838">
          <cell r="A1838" t="str">
            <v>560657C</v>
          </cell>
          <cell r="B1838" t="str">
            <v>LY-CT AS HI CR-XXX-25A</v>
          </cell>
          <cell r="C1838" t="str">
            <v>CTAS BIG EYELETS HI</v>
          </cell>
          <cell r="D1838" t="str">
            <v>布</v>
          </cell>
        </row>
        <row r="1839">
          <cell r="A1839" t="str">
            <v>560658C</v>
          </cell>
          <cell r="B1839" t="str">
            <v>LY-CT AS OX CR-XXX-29A</v>
          </cell>
          <cell r="C1839" t="str">
            <v>CTAS BIG EYELETS OX</v>
          </cell>
          <cell r="D1839" t="str">
            <v>布</v>
          </cell>
        </row>
        <row r="1840">
          <cell r="A1840" t="str">
            <v>560659C</v>
          </cell>
          <cell r="B1840" t="str">
            <v>LY-CT AS OX CR-XXX-29A</v>
          </cell>
          <cell r="C1840" t="str">
            <v>CTAS BIG EYELETS OX</v>
          </cell>
          <cell r="D1840" t="str">
            <v>布</v>
          </cell>
        </row>
        <row r="1841">
          <cell r="A1841" t="str">
            <v>560669C</v>
          </cell>
          <cell r="B1841" t="str">
            <v>LY-CT AS HI CR-XXX-12A</v>
          </cell>
          <cell r="C1841" t="str">
            <v>CTAS BIG EYELETS HI</v>
          </cell>
          <cell r="D1841" t="str">
            <v>布</v>
          </cell>
        </row>
        <row r="1842">
          <cell r="A1842" t="str">
            <v>560670C</v>
          </cell>
          <cell r="B1842" t="str">
            <v>LY-CT AS OX CR-XXX-19A</v>
          </cell>
          <cell r="C1842" t="str">
            <v>CTAS BIG EYELETS OX</v>
          </cell>
          <cell r="D1842" t="str">
            <v>布</v>
          </cell>
        </row>
        <row r="1843">
          <cell r="A1843" t="str">
            <v>560671C</v>
          </cell>
          <cell r="B1843" t="str">
            <v>LY-CT AS OX CR-XXX-19A</v>
          </cell>
          <cell r="C1843" t="str">
            <v>CTAS BIG EYELETS OX</v>
          </cell>
          <cell r="D1843" t="str">
            <v>布</v>
          </cell>
        </row>
        <row r="1844">
          <cell r="A1844" t="str">
            <v>560977C</v>
          </cell>
          <cell r="B1844" t="str">
            <v>LY-CT AS HI CR-XXX-12A</v>
          </cell>
          <cell r="C1844" t="str">
            <v>CTAS BIG EYELET HI</v>
          </cell>
          <cell r="D1844" t="str">
            <v>布</v>
          </cell>
        </row>
        <row r="1845">
          <cell r="A1845" t="str">
            <v>560978C</v>
          </cell>
          <cell r="B1845" t="str">
            <v>LY-CT AS OX CR-XXX-19A</v>
          </cell>
          <cell r="C1845" t="str">
            <v>CTAS BIG EYELET OX</v>
          </cell>
          <cell r="D1845" t="str">
            <v>布</v>
          </cell>
        </row>
        <row r="1846">
          <cell r="A1846" t="str">
            <v>560979C</v>
          </cell>
          <cell r="B1846" t="str">
            <v>LY-CT AS OX CR-XXX-19A</v>
          </cell>
          <cell r="C1846" t="str">
            <v>CTAS BIG EYELET OX</v>
          </cell>
          <cell r="D1846" t="str">
            <v>布</v>
          </cell>
        </row>
        <row r="1847">
          <cell r="A1847" t="str">
            <v>560980C</v>
          </cell>
          <cell r="B1847" t="str">
            <v>LY-CT AS OX CR-XXX-19A</v>
          </cell>
          <cell r="C1847" t="str">
            <v>CTAS BIG EYELET OX</v>
          </cell>
          <cell r="D1847" t="str">
            <v>布</v>
          </cell>
        </row>
        <row r="1848">
          <cell r="A1848" t="str">
            <v>560995C</v>
          </cell>
          <cell r="B1848" t="str">
            <v>LY-CT AS HI CR-XXX-22A</v>
          </cell>
          <cell r="C1848" t="str">
            <v>CTAS BIG EYELET HI</v>
          </cell>
          <cell r="D1848" t="str">
            <v>布</v>
          </cell>
        </row>
        <row r="1849">
          <cell r="A1849" t="str">
            <v>561313C</v>
          </cell>
          <cell r="B1849" t="str">
            <v>LY-CT AS OX CR-XXX-32A</v>
          </cell>
          <cell r="C1849" t="str">
            <v>CTAS OX</v>
          </cell>
          <cell r="D1849" t="str">
            <v>布</v>
          </cell>
        </row>
        <row r="1850">
          <cell r="A1850" t="str">
            <v>561314C</v>
          </cell>
          <cell r="B1850" t="str">
            <v>LY-CT AS HI CR-XXX-28A</v>
          </cell>
          <cell r="C1850" t="str">
            <v>CTAS HI</v>
          </cell>
          <cell r="D1850" t="str">
            <v>布</v>
          </cell>
        </row>
        <row r="1851">
          <cell r="A1851" t="str">
            <v>561347C</v>
          </cell>
          <cell r="B1851" t="str">
            <v>LY-CT AS OX CR-XXX-17B</v>
          </cell>
          <cell r="C1851" t="str">
            <v>CTAS OX</v>
          </cell>
          <cell r="D1851" t="str">
            <v>皮</v>
          </cell>
        </row>
        <row r="1852">
          <cell r="A1852" t="str">
            <v>561348C</v>
          </cell>
          <cell r="B1852" t="str">
            <v>LY-CT AS OX CR-XXX-17B</v>
          </cell>
          <cell r="C1852" t="str">
            <v>CTAS OX</v>
          </cell>
          <cell r="D1852" t="str">
            <v>皮</v>
          </cell>
        </row>
        <row r="1853">
          <cell r="A1853" t="str">
            <v>561401C</v>
          </cell>
          <cell r="B1853" t="str">
            <v>LY-CT AS OX CR-XXX-18B</v>
          </cell>
          <cell r="C1853" t="str">
            <v>CTAS BIG EYELETS OX</v>
          </cell>
          <cell r="D1853" t="str">
            <v>PU</v>
          </cell>
        </row>
        <row r="1854">
          <cell r="A1854" t="str">
            <v>561402C</v>
          </cell>
          <cell r="B1854" t="str">
            <v>LY-CT AS OX CR-XXX-18B</v>
          </cell>
          <cell r="C1854" t="str">
            <v>CTAS BIG EYELETS OX</v>
          </cell>
          <cell r="D1854" t="str">
            <v>PU</v>
          </cell>
        </row>
        <row r="1855">
          <cell r="A1855" t="str">
            <v>561682C</v>
          </cell>
          <cell r="B1855" t="str">
            <v>LY-CT AS HI CR-XXX-21B</v>
          </cell>
          <cell r="C1855" t="str">
            <v>CTAS HI</v>
          </cell>
          <cell r="D1855" t="str">
            <v>皮</v>
          </cell>
        </row>
        <row r="1856">
          <cell r="A1856" t="str">
            <v>561683C</v>
          </cell>
          <cell r="B1856" t="str">
            <v>LY-CT AS HI CR-XXX-21B</v>
          </cell>
          <cell r="C1856" t="str">
            <v>CTAS HI</v>
          </cell>
          <cell r="D1856" t="str">
            <v>皮</v>
          </cell>
        </row>
        <row r="1857">
          <cell r="A1857" t="str">
            <v>561684C</v>
          </cell>
          <cell r="B1857" t="str">
            <v>LY-CT AS OX CR-XXX-22B</v>
          </cell>
          <cell r="C1857" t="str">
            <v>CT AS OX</v>
          </cell>
          <cell r="D1857" t="str">
            <v>皮</v>
          </cell>
        </row>
        <row r="1858">
          <cell r="A1858" t="str">
            <v>561685C</v>
          </cell>
          <cell r="B1858" t="str">
            <v>LY-CT AS OX CR-XXX-22B</v>
          </cell>
          <cell r="C1858" t="str">
            <v>CT AS OX</v>
          </cell>
          <cell r="D1858" t="str">
            <v>皮</v>
          </cell>
        </row>
        <row r="1859">
          <cell r="A1859" t="str">
            <v>561686C</v>
          </cell>
          <cell r="B1859" t="str">
            <v>LY-CT AS HI CR-XXX-20B</v>
          </cell>
          <cell r="C1859" t="str">
            <v>CTAS BIG EYELET HI</v>
          </cell>
          <cell r="D1859" t="str">
            <v>皮</v>
          </cell>
        </row>
        <row r="1860">
          <cell r="A1860" t="str">
            <v>561687C</v>
          </cell>
          <cell r="B1860" t="str">
            <v>LY-CT AS HI CR-XXX-20B</v>
          </cell>
          <cell r="C1860" t="str">
            <v>CTAS BIG EYELET HI</v>
          </cell>
          <cell r="D1860" t="str">
            <v>皮</v>
          </cell>
        </row>
        <row r="1861">
          <cell r="A1861" t="str">
            <v>561688C</v>
          </cell>
          <cell r="B1861" t="str">
            <v>LY-CT AS OX CR-XXX-21B</v>
          </cell>
          <cell r="C1861" t="str">
            <v>CTAS BIG EYELET OX</v>
          </cell>
          <cell r="D1861" t="str">
            <v>皮</v>
          </cell>
        </row>
        <row r="1862">
          <cell r="A1862" t="str">
            <v>561689C</v>
          </cell>
          <cell r="B1862" t="str">
            <v>LY-CT AS OX CR-XXX-21B</v>
          </cell>
          <cell r="C1862" t="str">
            <v>CTAS BIG EYELET OX</v>
          </cell>
          <cell r="D1862" t="str">
            <v>皮</v>
          </cell>
        </row>
        <row r="1863">
          <cell r="A1863" t="str">
            <v>561693C</v>
          </cell>
          <cell r="B1863" t="str">
            <v>LY-CT AS HI CR-XXX-19B</v>
          </cell>
          <cell r="C1863" t="str">
            <v>CTAS BIG EYELET HI</v>
          </cell>
          <cell r="D1863" t="str">
            <v>皮</v>
          </cell>
        </row>
        <row r="1864">
          <cell r="A1864" t="str">
            <v>561694C</v>
          </cell>
          <cell r="B1864" t="str">
            <v>LY-CT AS HI CR-XXX-19B</v>
          </cell>
          <cell r="C1864" t="str">
            <v>CTAS BIG EYELET HI</v>
          </cell>
          <cell r="D1864" t="str">
            <v>皮</v>
          </cell>
        </row>
        <row r="1865">
          <cell r="A1865" t="str">
            <v>561695C</v>
          </cell>
          <cell r="B1865" t="str">
            <v>LY-CT AS OX CR-XXX-20B</v>
          </cell>
          <cell r="C1865" t="str">
            <v>CTAS BIG EYELET OX</v>
          </cell>
          <cell r="D1865" t="str">
            <v>皮</v>
          </cell>
        </row>
        <row r="1866">
          <cell r="A1866" t="str">
            <v>561696C</v>
          </cell>
          <cell r="B1866" t="str">
            <v>LY-CT AS OX CR-XXX-20B</v>
          </cell>
          <cell r="C1866" t="str">
            <v>CTAS BIG EYELET OX</v>
          </cell>
          <cell r="D1866" t="str">
            <v>皮</v>
          </cell>
        </row>
        <row r="1867">
          <cell r="A1867" t="str">
            <v>561778C</v>
          </cell>
          <cell r="B1867" t="str">
            <v>LY-SA368U-A</v>
          </cell>
          <cell r="C1867" t="str">
            <v>CONVERSE POINT STAR OX</v>
          </cell>
          <cell r="D1867" t="str">
            <v>布+星星月亮</v>
          </cell>
        </row>
        <row r="1868">
          <cell r="A1868" t="str">
            <v>561779C</v>
          </cell>
          <cell r="B1868" t="str">
            <v>LY-SA368U-A</v>
          </cell>
          <cell r="C1868" t="str">
            <v>CONVERSE POINT STAR OX</v>
          </cell>
          <cell r="D1868" t="str">
            <v>布+星星月亮</v>
          </cell>
        </row>
        <row r="1869">
          <cell r="A1869" t="str">
            <v>561780C</v>
          </cell>
          <cell r="B1869" t="str">
            <v>LY-SA368U-A</v>
          </cell>
          <cell r="C1869" t="str">
            <v>CONVERSE POINT STAR OX</v>
          </cell>
          <cell r="D1869" t="str">
            <v>布+星星月亮</v>
          </cell>
        </row>
        <row r="1870">
          <cell r="A1870" t="str">
            <v>561781C</v>
          </cell>
          <cell r="B1870" t="str">
            <v>LY-SA368U-A</v>
          </cell>
          <cell r="C1870" t="str">
            <v>CONVERSE POINT STAR OX</v>
          </cell>
          <cell r="D1870" t="str">
            <v>布+星星月亮</v>
          </cell>
        </row>
        <row r="1871">
          <cell r="A1871" t="str">
            <v>561782C</v>
          </cell>
          <cell r="B1871" t="str">
            <v>LY-SA368U-A</v>
          </cell>
          <cell r="C1871" t="str">
            <v>CONVERSE POINT STAR OX</v>
          </cell>
          <cell r="D1871" t="str">
            <v>布+星星月亮</v>
          </cell>
        </row>
        <row r="1872">
          <cell r="A1872" t="str">
            <v>561783C</v>
          </cell>
          <cell r="B1872" t="str">
            <v>LY-SK032U-3A</v>
          </cell>
          <cell r="C1872" t="str">
            <v>CONVERSE EL DISTRITO OX</v>
          </cell>
          <cell r="D1872" t="str">
            <v>布+星星月亮</v>
          </cell>
        </row>
        <row r="1873">
          <cell r="A1873" t="str">
            <v>561784C</v>
          </cell>
          <cell r="B1873" t="str">
            <v>LY-SK032U-3A</v>
          </cell>
          <cell r="C1873" t="str">
            <v>EL DISTRITO</v>
          </cell>
          <cell r="D1873" t="str">
            <v>布+星星月亮</v>
          </cell>
        </row>
        <row r="1874">
          <cell r="A1874" t="str">
            <v>561785C</v>
          </cell>
          <cell r="B1874" t="str">
            <v>LY-SK032U-3A</v>
          </cell>
          <cell r="C1874" t="str">
            <v>EL DISTRITO</v>
          </cell>
          <cell r="D1874" t="str">
            <v>布+星星月亮</v>
          </cell>
        </row>
        <row r="1875">
          <cell r="A1875" t="str">
            <v>561786C</v>
          </cell>
          <cell r="B1875" t="str">
            <v>LY-SK032U-3A</v>
          </cell>
          <cell r="C1875" t="str">
            <v>CONVERSE EL DISTRITO OX</v>
          </cell>
          <cell r="D1875" t="str">
            <v>布+星星月亮</v>
          </cell>
        </row>
        <row r="1876">
          <cell r="A1876" t="str">
            <v>562024C</v>
          </cell>
          <cell r="B1876" t="str">
            <v>LY-OS119U-5A</v>
          </cell>
          <cell r="C1876" t="str">
            <v>ONE STAR OX</v>
          </cell>
          <cell r="D1876" t="str">
            <v>布</v>
          </cell>
        </row>
        <row r="1877">
          <cell r="A1877" t="str">
            <v>562025C</v>
          </cell>
          <cell r="B1877" t="str">
            <v>LY-OS119U-5A</v>
          </cell>
          <cell r="C1877" t="str">
            <v>ONE STAR OX</v>
          </cell>
          <cell r="D1877" t="str">
            <v>布</v>
          </cell>
        </row>
        <row r="1878">
          <cell r="A1878" t="str">
            <v>562111C</v>
          </cell>
          <cell r="B1878" t="str">
            <v>LY-CT AS OX CR-XXX-19B</v>
          </cell>
          <cell r="C1878" t="str">
            <v>CTAS BIG EYELETS OX</v>
          </cell>
          <cell r="D1878" t="str">
            <v>PU</v>
          </cell>
        </row>
        <row r="1879">
          <cell r="A1879" t="str">
            <v>562112C</v>
          </cell>
          <cell r="B1879" t="str">
            <v>LY-CT AS OX CR-XXX-33A</v>
          </cell>
          <cell r="C1879" t="str">
            <v>CTAS BIG EYELETS OX</v>
          </cell>
          <cell r="D1879" t="str">
            <v>布</v>
          </cell>
        </row>
        <row r="1880">
          <cell r="A1880" t="str">
            <v>562608C</v>
          </cell>
          <cell r="B1880" t="str">
            <v>LY-SA368U-1B</v>
          </cell>
          <cell r="C1880" t="str">
            <v>CONVERSE POINT STAR</v>
          </cell>
          <cell r="D1880" t="str">
            <v>皮+星星月亮</v>
          </cell>
        </row>
        <row r="1881">
          <cell r="A1881" t="str">
            <v>562609C</v>
          </cell>
          <cell r="B1881" t="str">
            <v>LY-SA368U-1B</v>
          </cell>
          <cell r="C1881" t="str">
            <v>CONVERSE POINT STAR</v>
          </cell>
          <cell r="D1881" t="str">
            <v>皮+星星月亮</v>
          </cell>
        </row>
        <row r="1882">
          <cell r="A1882" t="str">
            <v>562610C</v>
          </cell>
          <cell r="B1882" t="str">
            <v>LY-SA368U-1B</v>
          </cell>
          <cell r="C1882" t="str">
            <v>CONVERSE POINT STAR</v>
          </cell>
          <cell r="D1882" t="str">
            <v>皮+星星月亮</v>
          </cell>
        </row>
        <row r="1883">
          <cell r="A1883" t="str">
            <v>562620C</v>
          </cell>
          <cell r="B1883" t="str">
            <v>LY-SK032U-3A-1</v>
          </cell>
          <cell r="C1883" t="str">
            <v>EL DISTRITO</v>
          </cell>
          <cell r="D1883" t="str">
            <v>布+星星月亮</v>
          </cell>
        </row>
        <row r="1884">
          <cell r="A1884" t="str">
            <v>562621C</v>
          </cell>
          <cell r="B1884" t="str">
            <v>LY-SK032U-3A-1</v>
          </cell>
          <cell r="C1884" t="str">
            <v>EL DISTRITO</v>
          </cell>
          <cell r="D1884" t="str">
            <v>布+星星月亮</v>
          </cell>
        </row>
        <row r="1885">
          <cell r="A1885" t="str">
            <v>563046C</v>
          </cell>
          <cell r="B1885" t="str">
            <v>LY-OS119U-3B-2</v>
          </cell>
          <cell r="C1885" t="str">
            <v>ONE STAR</v>
          </cell>
          <cell r="D1885" t="str">
            <v xml:space="preserve">皮 </v>
          </cell>
        </row>
        <row r="1886">
          <cell r="A1886" t="str">
            <v>563425C</v>
          </cell>
          <cell r="B1886" t="str">
            <v>LY-OS119U-6A-2</v>
          </cell>
          <cell r="C1886" t="str">
            <v>ONE STAR LUGGED</v>
          </cell>
          <cell r="D1886" t="str">
            <v>布</v>
          </cell>
        </row>
        <row r="1887">
          <cell r="A1887" t="str">
            <v>563426C</v>
          </cell>
          <cell r="B1887" t="str">
            <v>LY-OS119U-6A-2</v>
          </cell>
          <cell r="C1887" t="str">
            <v>ONE STAR LUGGED</v>
          </cell>
          <cell r="D1887" t="str">
            <v>布</v>
          </cell>
        </row>
        <row r="1888">
          <cell r="A1888" t="str">
            <v>563428C</v>
          </cell>
          <cell r="B1888" t="str">
            <v>LY-SK032U-3A-1</v>
          </cell>
          <cell r="C1888" t="str">
            <v>CONVERSE EL DISTRITO</v>
          </cell>
          <cell r="D1888" t="str">
            <v>布+星星月亮</v>
          </cell>
        </row>
        <row r="1889">
          <cell r="A1889" t="str">
            <v>563429C</v>
          </cell>
          <cell r="B1889" t="str">
            <v>LY-SK032U-3A-1</v>
          </cell>
          <cell r="C1889" t="str">
            <v>CONVERSE EL DISTRITO</v>
          </cell>
          <cell r="D1889" t="str">
            <v>布+星星月亮</v>
          </cell>
        </row>
        <row r="1890">
          <cell r="A1890" t="str">
            <v>563430C</v>
          </cell>
          <cell r="B1890" t="str">
            <v>LY-SK032U-3A-1</v>
          </cell>
          <cell r="C1890" t="str">
            <v>CONVERSE EL DISTRITO</v>
          </cell>
          <cell r="D1890" t="str">
            <v>布+星星月亮</v>
          </cell>
        </row>
        <row r="1891">
          <cell r="A1891" t="str">
            <v>563431C</v>
          </cell>
          <cell r="B1891" t="str">
            <v>LY-SA368U-1A</v>
          </cell>
          <cell r="C1891" t="str">
            <v>CONVERSE POINT STAR</v>
          </cell>
          <cell r="D1891" t="str">
            <v>布+星星月亮</v>
          </cell>
        </row>
        <row r="1892">
          <cell r="A1892" t="str">
            <v>563432C</v>
          </cell>
          <cell r="B1892" t="str">
            <v>LY-SA368U-1A</v>
          </cell>
          <cell r="C1892" t="str">
            <v>CONVERSE POINT STAR</v>
          </cell>
          <cell r="D1892" t="str">
            <v>布+星星月亮</v>
          </cell>
        </row>
        <row r="1893">
          <cell r="A1893" t="str">
            <v>563433C</v>
          </cell>
          <cell r="B1893" t="str">
            <v>LY-SA368U-1A</v>
          </cell>
          <cell r="C1893" t="str">
            <v>CONVERSE POINT STAR</v>
          </cell>
          <cell r="D1893" t="str">
            <v>布+星星月亮</v>
          </cell>
        </row>
        <row r="1894">
          <cell r="A1894" t="str">
            <v>563838C</v>
          </cell>
          <cell r="B1894" t="str">
            <v>LY-OS119U-3B-3</v>
          </cell>
          <cell r="C1894" t="str">
            <v>ONE STAR</v>
          </cell>
          <cell r="D1894" t="str">
            <v>布</v>
          </cell>
        </row>
        <row r="1895">
          <cell r="A1895" t="str">
            <v>564070C</v>
          </cell>
          <cell r="B1895" t="str">
            <v>LY-SA368U-1A</v>
          </cell>
          <cell r="C1895" t="str">
            <v>CONVERSE POINT STAR</v>
          </cell>
          <cell r="D1895" t="str">
            <v>布+星星月亮</v>
          </cell>
        </row>
        <row r="1896">
          <cell r="A1896" t="str">
            <v>564071C</v>
          </cell>
          <cell r="B1896" t="str">
            <v>LY-SA368U-1A</v>
          </cell>
          <cell r="C1896" t="str">
            <v>CONVERSE POINT STAR</v>
          </cell>
          <cell r="D1896" t="str">
            <v>布+星星月亮</v>
          </cell>
        </row>
        <row r="1897">
          <cell r="A1897" t="str">
            <v>564072C</v>
          </cell>
          <cell r="B1897" t="str">
            <v>LY-SA368U-1A</v>
          </cell>
          <cell r="C1897" t="str">
            <v>CONVERSE POINT STAR</v>
          </cell>
          <cell r="D1897" t="str">
            <v>布+星星月亮</v>
          </cell>
        </row>
        <row r="1898">
          <cell r="A1898" t="str">
            <v>564150C</v>
          </cell>
          <cell r="B1898" t="str">
            <v>LY-OS119U-3A-3</v>
          </cell>
          <cell r="C1898" t="str">
            <v>ONE STAR</v>
          </cell>
          <cell r="D1898" t="str">
            <v>布</v>
          </cell>
        </row>
        <row r="1899">
          <cell r="A1899" t="str">
            <v>564151C</v>
          </cell>
          <cell r="B1899" t="str">
            <v>LY-OS119U-3A-3</v>
          </cell>
          <cell r="C1899" t="str">
            <v>ONE STAR</v>
          </cell>
          <cell r="D1899" t="str">
            <v>布</v>
          </cell>
        </row>
        <row r="1900">
          <cell r="A1900" t="str">
            <v>564152C</v>
          </cell>
          <cell r="B1900" t="str">
            <v>LY-OS119U-3A-3</v>
          </cell>
          <cell r="C1900" t="str">
            <v>ONE STAR</v>
          </cell>
          <cell r="D1900" t="str">
            <v>布</v>
          </cell>
        </row>
        <row r="1901">
          <cell r="A1901" t="str">
            <v>564153C</v>
          </cell>
          <cell r="B1901" t="str">
            <v>LY-OS119U-3A-3</v>
          </cell>
          <cell r="C1901" t="str">
            <v>ONE STAR</v>
          </cell>
          <cell r="D1901" t="str">
            <v>布</v>
          </cell>
        </row>
        <row r="1902">
          <cell r="A1902" t="str">
            <v>564154C</v>
          </cell>
          <cell r="B1902" t="str">
            <v>LY-OS119U-3A-3</v>
          </cell>
          <cell r="C1902" t="str">
            <v>ONE STAR</v>
          </cell>
          <cell r="D1902" t="str">
            <v>布</v>
          </cell>
        </row>
        <row r="1903">
          <cell r="A1903" t="str">
            <v>564204C</v>
          </cell>
          <cell r="B1903" t="str">
            <v>LY-OS144U-A</v>
          </cell>
          <cell r="C1903" t="str">
            <v>ONE STAR SLIP</v>
          </cell>
          <cell r="D1903" t="str">
            <v>布</v>
          </cell>
        </row>
        <row r="1904">
          <cell r="A1904" t="str">
            <v>564205C</v>
          </cell>
          <cell r="B1904" t="str">
            <v>LY-OS144U-A</v>
          </cell>
          <cell r="C1904" t="str">
            <v>ONE STAR SLIP</v>
          </cell>
          <cell r="D1904" t="str">
            <v>布</v>
          </cell>
        </row>
        <row r="1905">
          <cell r="A1905" t="str">
            <v>564206C</v>
          </cell>
          <cell r="B1905" t="str">
            <v>LY-OS144U-A</v>
          </cell>
          <cell r="C1905" t="str">
            <v>ONE STAR SLIP</v>
          </cell>
          <cell r="D1905" t="str">
            <v>布</v>
          </cell>
        </row>
        <row r="1906">
          <cell r="A1906" t="str">
            <v>564207C</v>
          </cell>
          <cell r="B1906" t="str">
            <v>LY-OS144U-A</v>
          </cell>
          <cell r="C1906" t="str">
            <v>ONE STAR SLIP</v>
          </cell>
          <cell r="D1906" t="str">
            <v>布</v>
          </cell>
        </row>
        <row r="1907">
          <cell r="A1907" t="str">
            <v>564608C</v>
          </cell>
          <cell r="B1907" t="str">
            <v>LY-CTAS OX CR-XXX-29A</v>
          </cell>
          <cell r="C1907" t="str">
            <v>CTAS BIG EYELET OX</v>
          </cell>
          <cell r="D1907" t="str">
            <v>布</v>
          </cell>
        </row>
        <row r="1908">
          <cell r="A1908" t="str">
            <v>564609C</v>
          </cell>
          <cell r="B1908" t="str">
            <v>LY-CTAS OX CR-XXX-29A</v>
          </cell>
          <cell r="C1908" t="str">
            <v>CTAS BIG EYELET OX</v>
          </cell>
          <cell r="D1908" t="str">
            <v>布</v>
          </cell>
        </row>
        <row r="1909">
          <cell r="A1909" t="str">
            <v>565536C</v>
          </cell>
          <cell r="B1909" t="str">
            <v>LY-OS145U-A</v>
          </cell>
          <cell r="C1909" t="str">
            <v>ONE STAR RAISED FOXING</v>
          </cell>
          <cell r="D1909" t="str">
            <v>水洗</v>
          </cell>
        </row>
        <row r="1910">
          <cell r="A1910" t="str">
            <v>565548C</v>
          </cell>
          <cell r="B1910" t="str">
            <v>LY-OS146U-A</v>
          </cell>
          <cell r="C1910" t="str">
            <v>ONE STAR RAISED FOXING</v>
          </cell>
          <cell r="D1910" t="str">
            <v>水洗</v>
          </cell>
        </row>
        <row r="1911">
          <cell r="A1911" t="str">
            <v>5J794</v>
          </cell>
          <cell r="B1911" t="str">
            <v>LY-CT AS OX CR-XXX</v>
          </cell>
          <cell r="C1911" t="str">
            <v>CT A/S SEASNL OX</v>
          </cell>
          <cell r="D1911" t="str">
            <v>基本型體</v>
          </cell>
        </row>
        <row r="1912">
          <cell r="A1912" t="str">
            <v>5NHS1023</v>
          </cell>
          <cell r="B1912" t="str">
            <v>LY-001-1B</v>
          </cell>
          <cell r="C1912" t="str">
            <v>CONVERSE LEATHER</v>
          </cell>
          <cell r="D1912" t="str">
            <v>皮</v>
          </cell>
        </row>
        <row r="1913">
          <cell r="A1913" t="str">
            <v>5NHS1040</v>
          </cell>
          <cell r="B1913" t="str">
            <v>LY-001-1B</v>
          </cell>
          <cell r="C1913" t="str">
            <v>DOTS PRINTS</v>
          </cell>
          <cell r="D1913" t="str">
            <v>布</v>
          </cell>
        </row>
        <row r="1914">
          <cell r="A1914" t="str">
            <v>5NHS1043</v>
          </cell>
          <cell r="B1914" t="str">
            <v>LY-001-1B</v>
          </cell>
          <cell r="C1914" t="str">
            <v>DOTS PRINTS</v>
          </cell>
          <cell r="D1914" t="str">
            <v>布</v>
          </cell>
        </row>
        <row r="1915">
          <cell r="A1915" t="str">
            <v>5NHS1082</v>
          </cell>
          <cell r="B1915" t="str">
            <v>LY-001-1B</v>
          </cell>
          <cell r="C1915" t="str">
            <v>SEASONAL COLOR</v>
          </cell>
          <cell r="D1915" t="str">
            <v>布</v>
          </cell>
        </row>
        <row r="1916">
          <cell r="A1916" t="str">
            <v>5NHS838</v>
          </cell>
          <cell r="B1916" t="str">
            <v>LY-001-1B</v>
          </cell>
          <cell r="C1916" t="str">
            <v>SEASONAL COLOR</v>
          </cell>
          <cell r="D1916" t="str">
            <v>布</v>
          </cell>
        </row>
        <row r="1917">
          <cell r="A1917" t="str">
            <v>5NHS909</v>
          </cell>
          <cell r="B1917" t="str">
            <v>LY-001-1B</v>
          </cell>
          <cell r="C1917" t="str">
            <v>SEASONAL COLOR</v>
          </cell>
          <cell r="D1917" t="str">
            <v>布</v>
          </cell>
        </row>
        <row r="1918">
          <cell r="A1918" t="str">
            <v>5NHS914</v>
          </cell>
          <cell r="B1918" t="str">
            <v>LY-001-1B</v>
          </cell>
          <cell r="C1918" t="str">
            <v>CONVERSE PRINT</v>
          </cell>
          <cell r="D1918" t="str">
            <v>布</v>
          </cell>
        </row>
        <row r="1919">
          <cell r="A1919" t="str">
            <v>5NHS915</v>
          </cell>
          <cell r="B1919" t="str">
            <v>LY-001-1B</v>
          </cell>
          <cell r="C1919" t="str">
            <v>CONVERSE PRINT</v>
          </cell>
          <cell r="D1919" t="str">
            <v>布</v>
          </cell>
        </row>
        <row r="1920">
          <cell r="A1920" t="str">
            <v>5NHS932</v>
          </cell>
          <cell r="B1920" t="str">
            <v>LY-001-1B</v>
          </cell>
          <cell r="C1920" t="str">
            <v>SEASONAL COLOR</v>
          </cell>
          <cell r="D1920" t="str">
            <v>布</v>
          </cell>
        </row>
        <row r="1921">
          <cell r="A1921" t="str">
            <v>5NHS933</v>
          </cell>
          <cell r="B1921" t="str">
            <v>LY-001-1B</v>
          </cell>
          <cell r="C1921" t="str">
            <v>SEASONAL COLOR</v>
          </cell>
          <cell r="D1921" t="str">
            <v>布</v>
          </cell>
        </row>
        <row r="1922">
          <cell r="A1922" t="str">
            <v>5NHS956</v>
          </cell>
          <cell r="B1922" t="str">
            <v>LY-001-1B</v>
          </cell>
          <cell r="C1922" t="str">
            <v>SEASONAL COLOR</v>
          </cell>
          <cell r="D1922" t="str">
            <v>布</v>
          </cell>
        </row>
        <row r="1923">
          <cell r="A1923" t="str">
            <v>5NHS981</v>
          </cell>
          <cell r="B1923" t="str">
            <v>LY-001-1B</v>
          </cell>
          <cell r="C1923" t="str">
            <v>CONVERSE PRINT</v>
          </cell>
          <cell r="D1923" t="str">
            <v>布</v>
          </cell>
        </row>
        <row r="1924">
          <cell r="A1924" t="str">
            <v>5NHS982</v>
          </cell>
          <cell r="B1924" t="str">
            <v>LY-001-1B</v>
          </cell>
          <cell r="C1924" t="str">
            <v>CONVERSE PRINT</v>
          </cell>
          <cell r="D1924" t="str">
            <v>布</v>
          </cell>
        </row>
        <row r="1925">
          <cell r="A1925" t="str">
            <v>617660F</v>
          </cell>
          <cell r="B1925" t="str">
            <v>LY-01H-D</v>
          </cell>
          <cell r="C1925" t="str">
            <v>CT EASY SLIP</v>
          </cell>
          <cell r="D1925" t="str">
            <v>布</v>
          </cell>
        </row>
        <row r="1926">
          <cell r="A1926" t="str">
            <v>617663F</v>
          </cell>
          <cell r="B1926" t="str">
            <v>LY-01H-D</v>
          </cell>
          <cell r="C1926" t="str">
            <v>CT EASY SLIP</v>
          </cell>
          <cell r="D1926" t="str">
            <v>布</v>
          </cell>
        </row>
        <row r="1927">
          <cell r="A1927" t="str">
            <v>636930C</v>
          </cell>
          <cell r="B1927" t="str">
            <v>LY-KD685B</v>
          </cell>
          <cell r="C1927" t="str">
            <v>STAR PLAYER EV OX</v>
          </cell>
          <cell r="D1927" t="str">
            <v>布+星星月亮</v>
          </cell>
        </row>
        <row r="1928">
          <cell r="A1928" t="str">
            <v>636951C</v>
          </cell>
          <cell r="B1928" t="str">
            <v>LY-KD685B</v>
          </cell>
          <cell r="C1928" t="str">
            <v>STAR PLAYER EV OX</v>
          </cell>
          <cell r="D1928" t="str">
            <v>布+星星月亮</v>
          </cell>
        </row>
        <row r="1929">
          <cell r="A1929" t="str">
            <v>637345C</v>
          </cell>
          <cell r="B1929" t="str">
            <v>LY-SA170J</v>
          </cell>
          <cell r="C1929" t="str">
            <v>STAR PLAYER 3V MID</v>
          </cell>
          <cell r="D1929" t="str">
            <v>布+星星月亮</v>
          </cell>
        </row>
        <row r="1930">
          <cell r="A1930" t="str">
            <v>638441C</v>
          </cell>
          <cell r="B1930" t="str">
            <v>LY-KD685B-3</v>
          </cell>
          <cell r="C1930" t="str">
            <v>SP OX</v>
          </cell>
          <cell r="D1930" t="str">
            <v>布+星星月亮</v>
          </cell>
        </row>
        <row r="1931">
          <cell r="A1931" t="str">
            <v>638443C</v>
          </cell>
          <cell r="B1931" t="str">
            <v>LY-KD685B-3</v>
          </cell>
          <cell r="C1931" t="str">
            <v>SP OX</v>
          </cell>
          <cell r="D1931" t="str">
            <v>布+星星月亮</v>
          </cell>
        </row>
        <row r="1932">
          <cell r="A1932" t="str">
            <v>642905F</v>
          </cell>
          <cell r="B1932" t="str">
            <v>LY-6G CTAS OX-3</v>
          </cell>
          <cell r="C1932" t="str">
            <v>CT DOUBLE TOUNGE OX</v>
          </cell>
          <cell r="D1932" t="str">
            <v>布</v>
          </cell>
        </row>
        <row r="1933">
          <cell r="A1933" t="str">
            <v>642935C</v>
          </cell>
          <cell r="B1933" t="str">
            <v>LY-SA216J-A</v>
          </cell>
          <cell r="C1933" t="str">
            <v>PRO BLAZE STRAP HI</v>
          </cell>
          <cell r="D1933" t="str">
            <v>布+星星月亮</v>
          </cell>
        </row>
        <row r="1934">
          <cell r="A1934" t="str">
            <v>644662C</v>
          </cell>
          <cell r="B1934" t="str">
            <v>LY-CT574J-A-1</v>
          </cell>
          <cell r="C1934" t="str">
            <v>CT GUARD HI</v>
          </cell>
          <cell r="D1934" t="str">
            <v>布</v>
          </cell>
        </row>
        <row r="1935">
          <cell r="A1935" t="str">
            <v>645236F</v>
          </cell>
          <cell r="B1935" t="str">
            <v>LY-CT653J</v>
          </cell>
          <cell r="C1935" t="str">
            <v>CT CHASE SLIP</v>
          </cell>
          <cell r="D1935" t="str">
            <v>布</v>
          </cell>
        </row>
        <row r="1936">
          <cell r="A1936" t="str">
            <v>645342C</v>
          </cell>
          <cell r="B1936" t="str">
            <v>LY-CT574J-A-1</v>
          </cell>
          <cell r="C1936" t="str">
            <v>CT GUARD HI</v>
          </cell>
          <cell r="D1936" t="str">
            <v>布</v>
          </cell>
        </row>
        <row r="1937">
          <cell r="A1937" t="str">
            <v>646139C</v>
          </cell>
          <cell r="B1937" t="str">
            <v>LY-KD686B</v>
          </cell>
          <cell r="C1937" t="str">
            <v>STAR PLYR 3V OX</v>
          </cell>
          <cell r="D1937" t="str">
            <v>皮+星星月亮</v>
          </cell>
        </row>
        <row r="1938">
          <cell r="A1938" t="str">
            <v>646140C</v>
          </cell>
          <cell r="B1938" t="str">
            <v>LY-KD686B</v>
          </cell>
          <cell r="C1938" t="str">
            <v>STAR PLYR 3V OX</v>
          </cell>
          <cell r="D1938" t="str">
            <v>皮+星星月亮</v>
          </cell>
        </row>
        <row r="1939">
          <cell r="A1939" t="str">
            <v>646141C</v>
          </cell>
          <cell r="B1939" t="str">
            <v>LY-KD686B</v>
          </cell>
          <cell r="C1939" t="str">
            <v>STAR PLYR 3V OX</v>
          </cell>
          <cell r="D1939" t="str">
            <v>皮+星星月亮</v>
          </cell>
        </row>
        <row r="1940">
          <cell r="A1940" t="str">
            <v>647675F</v>
          </cell>
          <cell r="B1940" t="str">
            <v>LY-CT646J-1A</v>
          </cell>
          <cell r="C1940" t="str">
            <v>CT BOLTZ HI</v>
          </cell>
          <cell r="D1940" t="str">
            <v>布</v>
          </cell>
        </row>
        <row r="1941">
          <cell r="A1941" t="str">
            <v>647692F</v>
          </cell>
          <cell r="B1941" t="str">
            <v>LY-01H-D</v>
          </cell>
          <cell r="C1941" t="str">
            <v>CT EASY HI</v>
          </cell>
          <cell r="D1941" t="str">
            <v>布</v>
          </cell>
        </row>
        <row r="1942">
          <cell r="A1942" t="str">
            <v>647773C</v>
          </cell>
          <cell r="B1942" t="str">
            <v>LY-SK110J-A</v>
          </cell>
          <cell r="C1942" t="str">
            <v>CONS TRE STAR OX</v>
          </cell>
          <cell r="D1942" t="str">
            <v>皮</v>
          </cell>
        </row>
        <row r="1943">
          <cell r="A1943" t="str">
            <v>649964F</v>
          </cell>
          <cell r="B1943" t="str">
            <v>LY-CT479J-1</v>
          </cell>
          <cell r="C1943" t="str">
            <v>CT PARTY HI</v>
          </cell>
          <cell r="D1943" t="str">
            <v>布</v>
          </cell>
        </row>
        <row r="1944">
          <cell r="A1944" t="str">
            <v>649979C</v>
          </cell>
          <cell r="B1944" t="str">
            <v>LY-CT005J-A-4</v>
          </cell>
          <cell r="C1944" t="str">
            <v>CT PARTY SLIP</v>
          </cell>
          <cell r="D1944" t="str">
            <v>布</v>
          </cell>
        </row>
        <row r="1945">
          <cell r="A1945" t="str">
            <v>650009C</v>
          </cell>
          <cell r="B1945" t="str">
            <v>LY-01H-3D</v>
          </cell>
          <cell r="C1945" t="str">
            <v>CT EASY HI</v>
          </cell>
          <cell r="D1945" t="str">
            <v>布</v>
          </cell>
        </row>
        <row r="1946">
          <cell r="A1946" t="str">
            <v>650026F</v>
          </cell>
          <cell r="B1946" t="str">
            <v>LY-01H-D</v>
          </cell>
          <cell r="C1946" t="str">
            <v>CT EASY HI</v>
          </cell>
          <cell r="D1946" t="str">
            <v>布</v>
          </cell>
        </row>
        <row r="1947">
          <cell r="A1947" t="str">
            <v>650027F</v>
          </cell>
          <cell r="B1947" t="str">
            <v>LY-01H-D</v>
          </cell>
          <cell r="C1947" t="str">
            <v>CT EASY HI</v>
          </cell>
          <cell r="D1947" t="str">
            <v>布</v>
          </cell>
        </row>
        <row r="1948">
          <cell r="A1948" t="str">
            <v>650087C</v>
          </cell>
          <cell r="B1948" t="str">
            <v>LY-SA221J-B</v>
          </cell>
          <cell r="C1948" t="str">
            <v>PRO BLAZE STRAP OX</v>
          </cell>
          <cell r="D1948" t="str">
            <v>皮+星星月亮</v>
          </cell>
        </row>
        <row r="1949">
          <cell r="A1949" t="str">
            <v>650089C</v>
          </cell>
          <cell r="B1949" t="str">
            <v>LY-SA221J-B</v>
          </cell>
          <cell r="C1949" t="str">
            <v>PRO BLAZE STRAP OX</v>
          </cell>
          <cell r="D1949" t="str">
            <v>皮+星星月亮</v>
          </cell>
        </row>
        <row r="1950">
          <cell r="A1950" t="str">
            <v>650107C</v>
          </cell>
          <cell r="B1950" t="str">
            <v>LY-SK110J-A-1</v>
          </cell>
          <cell r="C1950" t="str">
            <v>CONS TRE STAR OX</v>
          </cell>
          <cell r="D1950" t="str">
            <v>皮</v>
          </cell>
        </row>
        <row r="1951">
          <cell r="A1951" t="str">
            <v>650108C</v>
          </cell>
          <cell r="B1951" t="str">
            <v>LY-SK110J-A-1</v>
          </cell>
          <cell r="C1951" t="str">
            <v>CONS TRE STAR OX</v>
          </cell>
          <cell r="D1951" t="str">
            <v>皮</v>
          </cell>
        </row>
        <row r="1952">
          <cell r="A1952" t="str">
            <v>650137C</v>
          </cell>
          <cell r="B1952" t="str">
            <v>LY-SA216J-B-1</v>
          </cell>
          <cell r="C1952" t="str">
            <v>PRO BLAZE STRAP HI</v>
          </cell>
          <cell r="D1952" t="str">
            <v>皮+星星月亮</v>
          </cell>
        </row>
        <row r="1953">
          <cell r="A1953" t="str">
            <v>650138C</v>
          </cell>
          <cell r="B1953" t="str">
            <v>LY-SA216J-B-1</v>
          </cell>
          <cell r="C1953" t="str">
            <v>PRO BLAZE STRAP HI</v>
          </cell>
          <cell r="D1953" t="str">
            <v>皮+星星月亮</v>
          </cell>
        </row>
        <row r="1954">
          <cell r="A1954" t="str">
            <v>650502C</v>
          </cell>
          <cell r="B1954" t="str">
            <v>LY-KD685A-4</v>
          </cell>
          <cell r="C1954" t="str">
            <v>STAR PLAYER OX</v>
          </cell>
          <cell r="D1954" t="str">
            <v>皮+星星月亮</v>
          </cell>
        </row>
        <row r="1955">
          <cell r="A1955" t="str">
            <v>650516F</v>
          </cell>
          <cell r="B1955" t="str">
            <v>LY-CT602J-A</v>
          </cell>
          <cell r="C1955" t="str">
            <v>CT FRESH HI</v>
          </cell>
          <cell r="D1955" t="str">
            <v>布</v>
          </cell>
        </row>
        <row r="1956">
          <cell r="A1956" t="str">
            <v>650518F</v>
          </cell>
          <cell r="B1956" t="str">
            <v>LY-CT602J-A</v>
          </cell>
          <cell r="C1956" t="str">
            <v>CT FRESH HI</v>
          </cell>
          <cell r="D1956" t="str">
            <v>布</v>
          </cell>
        </row>
        <row r="1957">
          <cell r="A1957" t="str">
            <v>650538F</v>
          </cell>
          <cell r="B1957" t="str">
            <v>LY-SA192Y-2</v>
          </cell>
          <cell r="C1957" t="str">
            <v>STAR STREET 3V OX</v>
          </cell>
          <cell r="D1957" t="str">
            <v>布+星星月亮</v>
          </cell>
        </row>
        <row r="1958">
          <cell r="A1958" t="str">
            <v>650539F</v>
          </cell>
          <cell r="B1958" t="str">
            <v>LY-SA192Y-2</v>
          </cell>
          <cell r="C1958" t="str">
            <v>STAR STREET 3V OX</v>
          </cell>
          <cell r="D1958" t="str">
            <v>布+星星月亮</v>
          </cell>
        </row>
        <row r="1959">
          <cell r="A1959" t="str">
            <v>650841F</v>
          </cell>
          <cell r="B1959" t="str">
            <v>LY-CT479J-1B</v>
          </cell>
          <cell r="C1959" t="str">
            <v>CTAS PARTY HI</v>
          </cell>
          <cell r="D1959" t="str">
            <v>布</v>
          </cell>
        </row>
        <row r="1960">
          <cell r="A1960" t="str">
            <v>651688C</v>
          </cell>
          <cell r="B1960" t="str">
            <v>LY-CT788J-2A</v>
          </cell>
          <cell r="C1960" t="str">
            <v>CTAS LOOPHOLES SLIP</v>
          </cell>
          <cell r="D1960" t="str">
            <v>布</v>
          </cell>
        </row>
        <row r="1961">
          <cell r="A1961" t="str">
            <v>651688F</v>
          </cell>
          <cell r="B1961" t="str">
            <v>LY-CT788J-2A</v>
          </cell>
          <cell r="C1961" t="str">
            <v>CTAS LOOPHOLES SLIP</v>
          </cell>
          <cell r="D1961" t="str">
            <v>布</v>
          </cell>
        </row>
        <row r="1962">
          <cell r="A1962" t="str">
            <v>651689C</v>
          </cell>
          <cell r="B1962" t="str">
            <v>LY-CT788J-2A</v>
          </cell>
          <cell r="C1962" t="str">
            <v>CT AS LOOPHOLES</v>
          </cell>
          <cell r="D1962" t="str">
            <v>布</v>
          </cell>
        </row>
        <row r="1963">
          <cell r="A1963" t="str">
            <v>651698C</v>
          </cell>
          <cell r="B1963" t="str">
            <v>LY-6G CTAS OX-1A</v>
          </cell>
          <cell r="C1963" t="str">
            <v>CTAS OX</v>
          </cell>
          <cell r="D1963" t="str">
            <v>布</v>
          </cell>
        </row>
        <row r="1964">
          <cell r="A1964" t="str">
            <v>651698F</v>
          </cell>
          <cell r="B1964" t="str">
            <v>LY-6G CTAS OX-1A</v>
          </cell>
          <cell r="C1964" t="str">
            <v>CTAS OX</v>
          </cell>
          <cell r="D1964" t="str">
            <v>布</v>
          </cell>
        </row>
        <row r="1965">
          <cell r="A1965" t="str">
            <v>651702C</v>
          </cell>
          <cell r="B1965" t="str">
            <v>LY-CT788J-1A</v>
          </cell>
          <cell r="C1965" t="str">
            <v>CTAS LOOPHOLES SLIP</v>
          </cell>
          <cell r="D1965" t="str">
            <v>布</v>
          </cell>
        </row>
        <row r="1966">
          <cell r="A1966" t="str">
            <v>651703C</v>
          </cell>
          <cell r="B1966" t="str">
            <v>LY-CT479J-6</v>
          </cell>
          <cell r="C1966" t="str">
            <v>CTAS PARTY HI</v>
          </cell>
          <cell r="D1966" t="str">
            <v>布</v>
          </cell>
        </row>
        <row r="1967">
          <cell r="A1967" t="str">
            <v>651703F</v>
          </cell>
          <cell r="B1967" t="str">
            <v>LY-CT479J-6</v>
          </cell>
          <cell r="C1967" t="str">
            <v>CTAS PARTY HI</v>
          </cell>
          <cell r="D1967" t="str">
            <v>布</v>
          </cell>
        </row>
        <row r="1968">
          <cell r="A1968" t="str">
            <v>651707C</v>
          </cell>
          <cell r="B1968" t="str">
            <v>LY-6G CTAS OX-1A-2</v>
          </cell>
          <cell r="C1968" t="str">
            <v>CT AS OX</v>
          </cell>
          <cell r="D1968" t="str">
            <v>布</v>
          </cell>
        </row>
        <row r="1969">
          <cell r="A1969" t="str">
            <v>651707F</v>
          </cell>
          <cell r="B1969" t="str">
            <v>LY-6G CTAS OX-1A-2</v>
          </cell>
          <cell r="C1969" t="str">
            <v>CTAS OX</v>
          </cell>
          <cell r="D1969" t="str">
            <v>布</v>
          </cell>
        </row>
        <row r="1970">
          <cell r="A1970" t="str">
            <v>651715C</v>
          </cell>
          <cell r="B1970" t="str">
            <v>LY-CT479J-2</v>
          </cell>
          <cell r="C1970" t="str">
            <v>CTAS PARTY HI</v>
          </cell>
          <cell r="D1970" t="str">
            <v>布</v>
          </cell>
        </row>
        <row r="1971">
          <cell r="A1971" t="str">
            <v>651742C</v>
          </cell>
          <cell r="B1971" t="str">
            <v>LY-CT788J-A</v>
          </cell>
          <cell r="C1971" t="str">
            <v>CTAS LOOPHOLES SLIP</v>
          </cell>
          <cell r="D1971" t="str">
            <v>布</v>
          </cell>
        </row>
        <row r="1972">
          <cell r="A1972" t="str">
            <v>651742F</v>
          </cell>
          <cell r="B1972" t="str">
            <v>LY-CT788J-A</v>
          </cell>
          <cell r="C1972" t="str">
            <v>CTAS LOOPHOLES SLIP</v>
          </cell>
          <cell r="D1972" t="str">
            <v>布</v>
          </cell>
        </row>
        <row r="1973">
          <cell r="A1973" t="str">
            <v>651743C</v>
          </cell>
          <cell r="B1973" t="str">
            <v>LY-CT788J-A</v>
          </cell>
          <cell r="C1973" t="str">
            <v>CTAS LOOPHOLES SLIP</v>
          </cell>
          <cell r="D1973" t="str">
            <v>布</v>
          </cell>
        </row>
        <row r="1974">
          <cell r="A1974" t="str">
            <v>651743F</v>
          </cell>
          <cell r="B1974" t="str">
            <v>LY-CT788J-A</v>
          </cell>
          <cell r="C1974" t="str">
            <v>CTAS LOOPHOLES SLIP</v>
          </cell>
          <cell r="D1974" t="str">
            <v>布</v>
          </cell>
        </row>
        <row r="1975">
          <cell r="A1975" t="str">
            <v>651744C</v>
          </cell>
          <cell r="B1975" t="str">
            <v>LY-CT788J-A</v>
          </cell>
          <cell r="C1975" t="str">
            <v>CTAS LOOPHOLES SLIP</v>
          </cell>
          <cell r="D1975" t="str">
            <v>布</v>
          </cell>
        </row>
        <row r="1976">
          <cell r="A1976" t="str">
            <v>651744F</v>
          </cell>
          <cell r="B1976" t="str">
            <v>LY-CT788J-A</v>
          </cell>
          <cell r="C1976" t="str">
            <v>CTAS LOOPHOLES SLIP</v>
          </cell>
          <cell r="D1976" t="str">
            <v>布</v>
          </cell>
        </row>
        <row r="1977">
          <cell r="A1977" t="str">
            <v>651745C</v>
          </cell>
          <cell r="B1977" t="str">
            <v>LY-CT788J-A</v>
          </cell>
          <cell r="C1977" t="str">
            <v>CTAS LOOPHOLES SLIP</v>
          </cell>
          <cell r="D1977" t="str">
            <v>布</v>
          </cell>
        </row>
        <row r="1978">
          <cell r="A1978" t="str">
            <v>651745F</v>
          </cell>
          <cell r="B1978" t="str">
            <v>LY-CT788J-A</v>
          </cell>
          <cell r="C1978" t="str">
            <v>CTAS LOOPHOLES SLIP</v>
          </cell>
          <cell r="D1978" t="str">
            <v>布</v>
          </cell>
        </row>
        <row r="1979">
          <cell r="A1979" t="str">
            <v>651746C</v>
          </cell>
          <cell r="B1979" t="str">
            <v>LY-CT763J-A</v>
          </cell>
          <cell r="C1979" t="str">
            <v>CTAS MADISON OX</v>
          </cell>
          <cell r="D1979" t="str">
            <v>布</v>
          </cell>
        </row>
        <row r="1980">
          <cell r="A1980" t="str">
            <v>651746F</v>
          </cell>
          <cell r="B1980" t="str">
            <v>LY-CT763J-A</v>
          </cell>
          <cell r="C1980" t="str">
            <v>CT AS MADISON OX</v>
          </cell>
          <cell r="D1980" t="str">
            <v>布</v>
          </cell>
        </row>
        <row r="1981">
          <cell r="A1981" t="str">
            <v>651747F</v>
          </cell>
          <cell r="B1981" t="str">
            <v>LY-CT763J-A</v>
          </cell>
          <cell r="C1981" t="str">
            <v>CTAS MADISON OX</v>
          </cell>
          <cell r="D1981" t="str">
            <v>布</v>
          </cell>
        </row>
        <row r="1982">
          <cell r="A1982" t="str">
            <v>651748C</v>
          </cell>
          <cell r="B1982" t="str">
            <v>LY-CT763J-A</v>
          </cell>
          <cell r="C1982" t="str">
            <v>CTAS MADISON OX</v>
          </cell>
          <cell r="D1982" t="str">
            <v>布</v>
          </cell>
        </row>
        <row r="1983">
          <cell r="A1983" t="str">
            <v>651748F</v>
          </cell>
          <cell r="B1983" t="str">
            <v>LY-CT763J-A</v>
          </cell>
          <cell r="C1983" t="str">
            <v>CTAS MADISON OX</v>
          </cell>
          <cell r="D1983" t="str">
            <v>布</v>
          </cell>
        </row>
        <row r="1984">
          <cell r="A1984" t="str">
            <v>651749C</v>
          </cell>
          <cell r="B1984" t="str">
            <v>LY-CT763J-A</v>
          </cell>
          <cell r="C1984" t="str">
            <v>CTAS MADISON OX</v>
          </cell>
          <cell r="D1984" t="str">
            <v>布</v>
          </cell>
        </row>
        <row r="1985">
          <cell r="A1985" t="str">
            <v>651749F</v>
          </cell>
          <cell r="B1985" t="str">
            <v>LY-CT763J-A</v>
          </cell>
          <cell r="C1985" t="str">
            <v>CTAS MADISON OX</v>
          </cell>
          <cell r="D1985" t="str">
            <v>布</v>
          </cell>
        </row>
        <row r="1986">
          <cell r="A1986" t="str">
            <v>651750C</v>
          </cell>
          <cell r="B1986" t="str">
            <v>LY-CT479J-1</v>
          </cell>
          <cell r="C1986" t="str">
            <v>CTAS PARTY HI</v>
          </cell>
          <cell r="D1986" t="str">
            <v>布</v>
          </cell>
        </row>
        <row r="1987">
          <cell r="A1987" t="str">
            <v>651751C</v>
          </cell>
          <cell r="B1987" t="str">
            <v>LY-CT479J-1</v>
          </cell>
          <cell r="C1987" t="str">
            <v>CTAS PARTY HI</v>
          </cell>
          <cell r="D1987" t="str">
            <v>布</v>
          </cell>
        </row>
        <row r="1988">
          <cell r="A1988" t="str">
            <v>651758C</v>
          </cell>
          <cell r="B1988" t="str">
            <v>LY-CT787J-A</v>
          </cell>
          <cell r="C1988" t="str">
            <v>CTAS SIMPLE STEP HI</v>
          </cell>
          <cell r="D1988" t="str">
            <v>布</v>
          </cell>
        </row>
        <row r="1989">
          <cell r="A1989" t="str">
            <v>651760C</v>
          </cell>
          <cell r="B1989" t="str">
            <v>LY-CT787J-A</v>
          </cell>
          <cell r="C1989" t="str">
            <v>CTAS SIMPLE STEP HI</v>
          </cell>
          <cell r="D1989" t="str">
            <v>布</v>
          </cell>
        </row>
        <row r="1990">
          <cell r="A1990" t="str">
            <v>651811C</v>
          </cell>
          <cell r="B1990" t="str">
            <v>LY-6G CTAS HI</v>
          </cell>
          <cell r="C1990" t="str">
            <v>CTAS HI</v>
          </cell>
          <cell r="D1990" t="str">
            <v>布</v>
          </cell>
        </row>
        <row r="1991">
          <cell r="A1991" t="str">
            <v>651812C</v>
          </cell>
          <cell r="B1991" t="str">
            <v>LY-6G CTAS OX</v>
          </cell>
          <cell r="C1991" t="str">
            <v>CTAS OX</v>
          </cell>
          <cell r="D1991" t="str">
            <v>布</v>
          </cell>
        </row>
        <row r="1992">
          <cell r="A1992" t="str">
            <v>651815C</v>
          </cell>
          <cell r="B1992" t="str">
            <v>LY-6G CTAS HI</v>
          </cell>
          <cell r="C1992" t="str">
            <v>CTAS HI</v>
          </cell>
          <cell r="D1992" t="str">
            <v>布</v>
          </cell>
        </row>
        <row r="1993">
          <cell r="A1993" t="str">
            <v>651816C</v>
          </cell>
          <cell r="B1993" t="str">
            <v>LY-6G CTAS OX</v>
          </cell>
          <cell r="C1993" t="str">
            <v>CTAS OX</v>
          </cell>
          <cell r="D1993" t="str">
            <v>布</v>
          </cell>
        </row>
        <row r="1994">
          <cell r="A1994" t="str">
            <v>651819C</v>
          </cell>
          <cell r="B1994" t="str">
            <v>LY-KD686A</v>
          </cell>
          <cell r="C1994" t="str">
            <v>STAR PLAYER EV 3V OX</v>
          </cell>
          <cell r="D1994" t="str">
            <v>布+星星月亮</v>
          </cell>
        </row>
        <row r="1995">
          <cell r="A1995" t="str">
            <v>651820C</v>
          </cell>
          <cell r="B1995" t="str">
            <v>LY-KD686A</v>
          </cell>
          <cell r="C1995" t="str">
            <v>STAR PLAYER EV 3V OX</v>
          </cell>
          <cell r="D1995" t="str">
            <v>布+星星月亮</v>
          </cell>
        </row>
        <row r="1996">
          <cell r="A1996" t="str">
            <v>651821C</v>
          </cell>
          <cell r="B1996" t="str">
            <v>LY-KD686A</v>
          </cell>
          <cell r="C1996" t="str">
            <v>STAR PLAYER EV 3V OX</v>
          </cell>
          <cell r="D1996" t="str">
            <v>布+星星月亮</v>
          </cell>
        </row>
        <row r="1997">
          <cell r="A1997" t="str">
            <v>651822C</v>
          </cell>
          <cell r="B1997" t="str">
            <v>LY-KD686A</v>
          </cell>
          <cell r="C1997" t="str">
            <v>STAR PLAYER EV 3V OX</v>
          </cell>
          <cell r="D1997" t="str">
            <v>布+星星月亮</v>
          </cell>
        </row>
        <row r="1998">
          <cell r="A1998" t="str">
            <v>651824C</v>
          </cell>
          <cell r="B1998" t="str">
            <v>LY-KD686A</v>
          </cell>
          <cell r="C1998" t="str">
            <v>STAR PLAYER EV 3V OX</v>
          </cell>
          <cell r="D1998" t="str">
            <v>布+星星月亮</v>
          </cell>
        </row>
        <row r="1999">
          <cell r="A1999" t="str">
            <v>651825C</v>
          </cell>
          <cell r="B1999" t="str">
            <v>LY-SK110J-B</v>
          </cell>
          <cell r="C1999" t="str">
            <v>CONS TRE STAR OX</v>
          </cell>
          <cell r="D1999" t="str">
            <v>皮</v>
          </cell>
        </row>
        <row r="2000">
          <cell r="A2000" t="str">
            <v>651826C</v>
          </cell>
          <cell r="B2000" t="str">
            <v>LY-SK110J-B</v>
          </cell>
          <cell r="C2000" t="str">
            <v>CONS TRE STAR OX</v>
          </cell>
          <cell r="D2000" t="str">
            <v>皮</v>
          </cell>
        </row>
        <row r="2001">
          <cell r="A2001" t="str">
            <v>651827C</v>
          </cell>
          <cell r="B2001" t="str">
            <v>LY-KD685A-5</v>
          </cell>
          <cell r="C2001" t="str">
            <v>STAR PLAYER EV OX</v>
          </cell>
          <cell r="D2001" t="str">
            <v>PU+星星月亮</v>
          </cell>
        </row>
        <row r="2002">
          <cell r="A2002" t="str">
            <v>651828C</v>
          </cell>
          <cell r="B2002" t="str">
            <v>LY-KD685A-5</v>
          </cell>
          <cell r="C2002" t="str">
            <v>STAS PLAYER EV OX</v>
          </cell>
          <cell r="D2002" t="str">
            <v>PU+星星月亮</v>
          </cell>
        </row>
        <row r="2003">
          <cell r="A2003" t="str">
            <v>651829C</v>
          </cell>
          <cell r="B2003" t="str">
            <v>LY-KD686B-7A</v>
          </cell>
          <cell r="C2003" t="str">
            <v>STAR PLAYER EV 3V OX</v>
          </cell>
          <cell r="D2003" t="str">
            <v>PU+星星月亮</v>
          </cell>
        </row>
        <row r="2004">
          <cell r="A2004" t="str">
            <v>651830C</v>
          </cell>
          <cell r="B2004" t="str">
            <v>LY-KD686B-7A</v>
          </cell>
          <cell r="C2004" t="str">
            <v>STAR PLAYER EV 3V OX</v>
          </cell>
          <cell r="D2004" t="str">
            <v>PU+星星月亮</v>
          </cell>
        </row>
        <row r="2005">
          <cell r="A2005" t="str">
            <v>651834C</v>
          </cell>
          <cell r="B2005" t="str">
            <v>LY-SA231J-B-1</v>
          </cell>
          <cell r="C2005" t="str">
            <v>PRO BLAZE STRAP HI</v>
          </cell>
          <cell r="D2005" t="str">
            <v>皮+星星月亮</v>
          </cell>
        </row>
        <row r="2006">
          <cell r="A2006" t="str">
            <v>651835C</v>
          </cell>
          <cell r="B2006" t="str">
            <v>LY-SA231J-B-1</v>
          </cell>
          <cell r="C2006" t="str">
            <v>PRO BLAZE STRAP HI</v>
          </cell>
          <cell r="D2006" t="str">
            <v>皮+星星月亮</v>
          </cell>
        </row>
        <row r="2007">
          <cell r="A2007" t="str">
            <v>651842C</v>
          </cell>
          <cell r="B2007" t="str">
            <v>LY-KD685B</v>
          </cell>
          <cell r="C2007" t="str">
            <v>STAR PLAYER EV OX</v>
          </cell>
          <cell r="D2007" t="str">
            <v>布+星星月亮</v>
          </cell>
        </row>
        <row r="2008">
          <cell r="A2008" t="str">
            <v>651844C</v>
          </cell>
          <cell r="B2008" t="str">
            <v>LY-SK110J-B</v>
          </cell>
          <cell r="C2008" t="str">
            <v>CONS TRE STAR OX</v>
          </cell>
          <cell r="D2008" t="str">
            <v>皮</v>
          </cell>
        </row>
        <row r="2009">
          <cell r="A2009" t="str">
            <v>651846C</v>
          </cell>
          <cell r="B2009" t="str">
            <v>LY-SK110J-A-2</v>
          </cell>
          <cell r="C2009" t="str">
            <v>CONS TRE STAR OX</v>
          </cell>
          <cell r="D2009" t="str">
            <v>皮</v>
          </cell>
        </row>
        <row r="2010">
          <cell r="A2010" t="str">
            <v>651847C</v>
          </cell>
          <cell r="B2010" t="str">
            <v>LY-SK110J-A-2</v>
          </cell>
          <cell r="C2010" t="str">
            <v>CONS TRE STAR OX</v>
          </cell>
          <cell r="D2010" t="str">
            <v>皮</v>
          </cell>
        </row>
        <row r="2011">
          <cell r="A2011" t="str">
            <v>651848C</v>
          </cell>
          <cell r="B2011" t="str">
            <v>LY-KD685B</v>
          </cell>
          <cell r="C2011" t="str">
            <v>STAR PLAYER EV OX</v>
          </cell>
          <cell r="D2011" t="str">
            <v>布+星星月亮</v>
          </cell>
        </row>
        <row r="2012">
          <cell r="A2012" t="str">
            <v>651849C</v>
          </cell>
          <cell r="B2012" t="str">
            <v>LY-KD685B</v>
          </cell>
          <cell r="C2012" t="str">
            <v>CTAS STAR PLAYER EV OX</v>
          </cell>
          <cell r="D2012" t="str">
            <v>布+星星月亮</v>
          </cell>
        </row>
        <row r="2013">
          <cell r="A2013" t="str">
            <v>651850C</v>
          </cell>
          <cell r="B2013" t="str">
            <v>LY-KD685B</v>
          </cell>
          <cell r="C2013" t="str">
            <v>CTAS STAR PLAYER EV OX</v>
          </cell>
          <cell r="D2013" t="str">
            <v>布+星星月亮</v>
          </cell>
        </row>
        <row r="2014">
          <cell r="A2014" t="str">
            <v>651941C</v>
          </cell>
          <cell r="B2014" t="str">
            <v>LY-CT602J-B</v>
          </cell>
          <cell r="C2014" t="str">
            <v>CTAS FRESH HI</v>
          </cell>
          <cell r="D2014" t="str">
            <v>皮</v>
          </cell>
        </row>
        <row r="2015">
          <cell r="A2015" t="str">
            <v>651942C</v>
          </cell>
          <cell r="B2015" t="str">
            <v>LY-CT602J-B</v>
          </cell>
          <cell r="C2015" t="str">
            <v>CTAS FRESH HI</v>
          </cell>
          <cell r="D2015" t="str">
            <v>皮</v>
          </cell>
        </row>
        <row r="2016">
          <cell r="A2016" t="str">
            <v>652562F</v>
          </cell>
          <cell r="B2016" t="str">
            <v>LY-CT788J-3A</v>
          </cell>
          <cell r="C2016" t="str">
            <v>CTAS LOOPHOLES SLIP</v>
          </cell>
          <cell r="D2016" t="str">
            <v>布</v>
          </cell>
        </row>
        <row r="2017">
          <cell r="A2017" t="str">
            <v>652564F</v>
          </cell>
          <cell r="B2017" t="str">
            <v>LY-CT788J-3A</v>
          </cell>
          <cell r="C2017" t="str">
            <v>CTAS LOOPHOLES SLIP</v>
          </cell>
          <cell r="D2017" t="str">
            <v>布</v>
          </cell>
        </row>
        <row r="2018">
          <cell r="A2018" t="str">
            <v>652635F</v>
          </cell>
          <cell r="B2018" t="str">
            <v>LY-01H-D</v>
          </cell>
          <cell r="C2018" t="str">
            <v>CTAS EASY HI</v>
          </cell>
          <cell r="D2018" t="str">
            <v>布</v>
          </cell>
        </row>
        <row r="2019">
          <cell r="A2019" t="str">
            <v>652646C</v>
          </cell>
          <cell r="B2019" t="str">
            <v>LY-6G CTAS OX</v>
          </cell>
          <cell r="C2019" t="str">
            <v>CTAS OX</v>
          </cell>
          <cell r="D2019" t="str">
            <v>布</v>
          </cell>
        </row>
        <row r="2020">
          <cell r="A2020" t="str">
            <v>652994C</v>
          </cell>
          <cell r="B2020" t="str">
            <v>LY-01H-4D</v>
          </cell>
          <cell r="C2020" t="str">
            <v>CTAS EASY HI</v>
          </cell>
          <cell r="D2020" t="str">
            <v>布</v>
          </cell>
        </row>
        <row r="2021">
          <cell r="A2021" t="str">
            <v>652995C</v>
          </cell>
          <cell r="B2021" t="str">
            <v>LY-01H-4D</v>
          </cell>
          <cell r="C2021" t="str">
            <v>CTAS EASY HI</v>
          </cell>
          <cell r="D2021" t="str">
            <v>布</v>
          </cell>
        </row>
        <row r="2022">
          <cell r="A2022" t="str">
            <v>653282C</v>
          </cell>
          <cell r="B2022" t="str">
            <v>LY-CT763J-1A</v>
          </cell>
          <cell r="C2022" t="str">
            <v>CTAS MADISON OX</v>
          </cell>
          <cell r="D2022" t="str">
            <v>布</v>
          </cell>
        </row>
        <row r="2023">
          <cell r="A2023" t="str">
            <v>653282F</v>
          </cell>
          <cell r="B2023" t="str">
            <v>LY-CT763J-1A</v>
          </cell>
          <cell r="C2023" t="str">
            <v>CTAS MADISON OX</v>
          </cell>
          <cell r="D2023" t="str">
            <v>布</v>
          </cell>
        </row>
        <row r="2024">
          <cell r="A2024" t="str">
            <v>653368C</v>
          </cell>
          <cell r="B2024" t="str">
            <v>LY-CT763J-A</v>
          </cell>
          <cell r="C2024" t="str">
            <v>CT AS MADISON OX</v>
          </cell>
          <cell r="D2024" t="str">
            <v>布</v>
          </cell>
        </row>
        <row r="2025">
          <cell r="A2025" t="str">
            <v>653368F</v>
          </cell>
          <cell r="B2025" t="str">
            <v>LY-CT763J-A</v>
          </cell>
          <cell r="C2025" t="str">
            <v>CT AS MADISON OX</v>
          </cell>
          <cell r="D2025" t="str">
            <v>布</v>
          </cell>
        </row>
        <row r="2026">
          <cell r="A2026" t="str">
            <v>653370C</v>
          </cell>
          <cell r="B2026" t="str">
            <v>LY-CT763J-A</v>
          </cell>
          <cell r="C2026" t="str">
            <v>CTAS MADISON OX</v>
          </cell>
          <cell r="D2026" t="str">
            <v>布</v>
          </cell>
        </row>
        <row r="2027">
          <cell r="A2027" t="str">
            <v>653370F</v>
          </cell>
          <cell r="B2027" t="str">
            <v>LY-CT763J-A</v>
          </cell>
          <cell r="C2027" t="str">
            <v>CTAS MADISON OX</v>
          </cell>
          <cell r="D2027" t="str">
            <v>布</v>
          </cell>
        </row>
        <row r="2028">
          <cell r="A2028" t="str">
            <v>653945C</v>
          </cell>
          <cell r="B2028" t="str">
            <v>LY-SA231J-B-1B</v>
          </cell>
          <cell r="C2028" t="str">
            <v>PRO BLAZE STRAP HI</v>
          </cell>
          <cell r="D2028" t="str">
            <v>皮+星星月亮</v>
          </cell>
        </row>
        <row r="2029">
          <cell r="A2029" t="str">
            <v>653946C</v>
          </cell>
          <cell r="B2029" t="str">
            <v>LY-SA231J-B-1B</v>
          </cell>
          <cell r="C2029" t="str">
            <v>PRO BLAZE STRAP HI</v>
          </cell>
          <cell r="D2029" t="str">
            <v>皮+星星月亮</v>
          </cell>
        </row>
        <row r="2030">
          <cell r="A2030" t="str">
            <v>654220C</v>
          </cell>
          <cell r="B2030" t="str">
            <v>LY-CT763J-B</v>
          </cell>
          <cell r="C2030" t="str">
            <v>CTAS MADISON OX</v>
          </cell>
          <cell r="D2030" t="str">
            <v>皮</v>
          </cell>
        </row>
        <row r="2031">
          <cell r="A2031" t="str">
            <v>654221C</v>
          </cell>
          <cell r="B2031" t="str">
            <v>LY-CT763J-B</v>
          </cell>
          <cell r="C2031" t="str">
            <v>CT AS MADISON OX</v>
          </cell>
          <cell r="D2031" t="str">
            <v>皮</v>
          </cell>
        </row>
        <row r="2032">
          <cell r="A2032" t="str">
            <v>654222C</v>
          </cell>
          <cell r="B2032" t="str">
            <v>LY-CT763J-A</v>
          </cell>
          <cell r="C2032" t="str">
            <v>CTAS MADISON OX</v>
          </cell>
          <cell r="D2032" t="str">
            <v>布</v>
          </cell>
        </row>
        <row r="2033">
          <cell r="A2033" t="str">
            <v>654222F</v>
          </cell>
          <cell r="B2033" t="str">
            <v>LY-CT763J-A</v>
          </cell>
          <cell r="C2033" t="str">
            <v>CTAS MADISON OX</v>
          </cell>
          <cell r="D2033" t="str">
            <v>布</v>
          </cell>
        </row>
        <row r="2034">
          <cell r="A2034" t="str">
            <v>654223C</v>
          </cell>
          <cell r="B2034" t="str">
            <v>LY-CT763J-A</v>
          </cell>
          <cell r="C2034" t="str">
            <v>CTAS MADISON OX</v>
          </cell>
          <cell r="D2034" t="str">
            <v>布</v>
          </cell>
        </row>
        <row r="2035">
          <cell r="A2035" t="str">
            <v>654223F</v>
          </cell>
          <cell r="B2035" t="str">
            <v>LY-CT763J-A</v>
          </cell>
          <cell r="C2035" t="str">
            <v>CTAS MADISON OX</v>
          </cell>
          <cell r="D2035" t="str">
            <v>布</v>
          </cell>
        </row>
        <row r="2036">
          <cell r="A2036" t="str">
            <v>654230C</v>
          </cell>
          <cell r="B2036" t="str">
            <v>LY-CT788J-A</v>
          </cell>
          <cell r="C2036" t="str">
            <v>CTAS LOOPHOLES OX</v>
          </cell>
          <cell r="D2036" t="str">
            <v>布</v>
          </cell>
        </row>
        <row r="2037">
          <cell r="A2037" t="str">
            <v>654230F</v>
          </cell>
          <cell r="B2037" t="str">
            <v>LY-CT788J-A</v>
          </cell>
          <cell r="C2037" t="str">
            <v>CT AS LOOPHOLES OX</v>
          </cell>
          <cell r="D2037" t="str">
            <v>布</v>
          </cell>
        </row>
        <row r="2038">
          <cell r="A2038" t="str">
            <v>654231C</v>
          </cell>
          <cell r="B2038" t="str">
            <v>LY-CT788J-1A</v>
          </cell>
          <cell r="C2038" t="str">
            <v>CTAS LOOPHOLES OX</v>
          </cell>
          <cell r="D2038" t="str">
            <v>布</v>
          </cell>
        </row>
        <row r="2039">
          <cell r="A2039" t="str">
            <v>654231F</v>
          </cell>
          <cell r="B2039" t="str">
            <v>LY-CT788J-1A</v>
          </cell>
          <cell r="C2039" t="str">
            <v>CTAS LOOPHOLES OX</v>
          </cell>
          <cell r="D2039" t="str">
            <v>布</v>
          </cell>
        </row>
        <row r="2040">
          <cell r="A2040" t="str">
            <v>654232C</v>
          </cell>
          <cell r="B2040" t="str">
            <v>LY-CT788J-4A</v>
          </cell>
          <cell r="C2040" t="str">
            <v>CTAS LOOPHOLES OX</v>
          </cell>
          <cell r="D2040" t="str">
            <v>布</v>
          </cell>
        </row>
        <row r="2041">
          <cell r="A2041" t="str">
            <v>654232F</v>
          </cell>
          <cell r="B2041" t="str">
            <v>LY-CT788J-4A</v>
          </cell>
          <cell r="C2041" t="str">
            <v>CTAS LOOPHOLES OX</v>
          </cell>
          <cell r="D2041" t="str">
            <v>布</v>
          </cell>
        </row>
        <row r="2042">
          <cell r="A2042" t="str">
            <v>654233C</v>
          </cell>
          <cell r="B2042" t="str">
            <v>LY-CT788J-1A</v>
          </cell>
          <cell r="C2042" t="str">
            <v>CTAS LOOPHOLES OX</v>
          </cell>
          <cell r="D2042" t="str">
            <v>布</v>
          </cell>
        </row>
        <row r="2043">
          <cell r="A2043" t="str">
            <v>654233F</v>
          </cell>
          <cell r="B2043" t="str">
            <v>LY-CT788J-1A</v>
          </cell>
          <cell r="C2043" t="str">
            <v>CTAS LOOPHOLES OX</v>
          </cell>
          <cell r="D2043" t="str">
            <v>布</v>
          </cell>
        </row>
        <row r="2044">
          <cell r="A2044" t="str">
            <v>654234C</v>
          </cell>
          <cell r="B2044" t="str">
            <v>LY-CT788J-1A</v>
          </cell>
          <cell r="C2044" t="str">
            <v>CTAS LOOPHOLES OX</v>
          </cell>
          <cell r="D2044" t="str">
            <v>布</v>
          </cell>
        </row>
        <row r="2045">
          <cell r="A2045" t="str">
            <v>654234F</v>
          </cell>
          <cell r="B2045" t="str">
            <v>LY-CT788J-1A</v>
          </cell>
          <cell r="C2045" t="str">
            <v>CTAS LOOPHOLES OX</v>
          </cell>
          <cell r="D2045" t="str">
            <v>布</v>
          </cell>
        </row>
        <row r="2046">
          <cell r="A2046" t="str">
            <v>654235C</v>
          </cell>
          <cell r="B2046" t="str">
            <v>LY-CT821J-3A</v>
          </cell>
          <cell r="C2046" t="str">
            <v>CTAS LOOPHOLES HI</v>
          </cell>
          <cell r="D2046" t="str">
            <v>布</v>
          </cell>
        </row>
        <row r="2047">
          <cell r="A2047" t="str">
            <v>654235F</v>
          </cell>
          <cell r="B2047" t="str">
            <v>LY-CT821J-3A</v>
          </cell>
          <cell r="C2047" t="str">
            <v>CTAS LOOPHOLES HI</v>
          </cell>
          <cell r="D2047" t="str">
            <v>布</v>
          </cell>
        </row>
        <row r="2048">
          <cell r="A2048" t="str">
            <v>654236C</v>
          </cell>
          <cell r="B2048" t="str">
            <v>LY-CT821J-A</v>
          </cell>
          <cell r="C2048" t="str">
            <v>CTAS LOOPHOLES HI</v>
          </cell>
          <cell r="D2048" t="str">
            <v>布</v>
          </cell>
        </row>
        <row r="2049">
          <cell r="A2049" t="str">
            <v>654236F</v>
          </cell>
          <cell r="B2049" t="str">
            <v>LY-CT821J-A</v>
          </cell>
          <cell r="C2049" t="str">
            <v>CTAS LOOPHOLES HI</v>
          </cell>
          <cell r="D2049" t="str">
            <v>布</v>
          </cell>
        </row>
        <row r="2050">
          <cell r="A2050" t="str">
            <v>654237C</v>
          </cell>
          <cell r="B2050" t="str">
            <v>LY-CT821J-1A</v>
          </cell>
          <cell r="C2050" t="str">
            <v>CTAS LOOPHOLES HI</v>
          </cell>
          <cell r="D2050" t="str">
            <v>布</v>
          </cell>
        </row>
        <row r="2051">
          <cell r="A2051" t="str">
            <v>654237F</v>
          </cell>
          <cell r="B2051" t="str">
            <v>LY-CT821J-1A</v>
          </cell>
          <cell r="C2051" t="str">
            <v>CTAS LOOPHOLES HI</v>
          </cell>
          <cell r="D2051" t="str">
            <v>布</v>
          </cell>
        </row>
        <row r="2052">
          <cell r="A2052" t="str">
            <v>654238C</v>
          </cell>
          <cell r="B2052" t="str">
            <v>LY-CT821J-2A</v>
          </cell>
          <cell r="C2052" t="str">
            <v>CTAS LOOPHOLES HI</v>
          </cell>
          <cell r="D2052" t="str">
            <v>布</v>
          </cell>
        </row>
        <row r="2053">
          <cell r="A2053" t="str">
            <v>654239C</v>
          </cell>
          <cell r="B2053" t="str">
            <v>LY-CT821J-2A</v>
          </cell>
          <cell r="C2053" t="str">
            <v>CTAS LOOPHOLES HI</v>
          </cell>
          <cell r="D2053" t="str">
            <v>布</v>
          </cell>
        </row>
        <row r="2054">
          <cell r="A2054" t="str">
            <v>654240C</v>
          </cell>
          <cell r="B2054" t="str">
            <v>LY-CT821J-2A</v>
          </cell>
          <cell r="C2054" t="str">
            <v>CTAS LOOPHOLES HI</v>
          </cell>
          <cell r="D2054" t="str">
            <v>布</v>
          </cell>
        </row>
        <row r="2055">
          <cell r="A2055" t="str">
            <v>654265F</v>
          </cell>
          <cell r="B2055" t="str">
            <v>LY-CT891J-A</v>
          </cell>
          <cell r="C2055" t="str">
            <v>CTAS LEGIT HI</v>
          </cell>
          <cell r="D2055" t="str">
            <v>布</v>
          </cell>
        </row>
        <row r="2056">
          <cell r="A2056" t="str">
            <v>654270C</v>
          </cell>
          <cell r="B2056" t="str">
            <v>LY-CT890J-A</v>
          </cell>
          <cell r="C2056" t="str">
            <v>CTAS LEGIT OX</v>
          </cell>
          <cell r="D2056" t="str">
            <v>布</v>
          </cell>
        </row>
        <row r="2057">
          <cell r="A2057" t="str">
            <v>654270F</v>
          </cell>
          <cell r="B2057" t="str">
            <v>LY-CT890J-A</v>
          </cell>
          <cell r="C2057" t="str">
            <v>CTAS LEGIT OX</v>
          </cell>
          <cell r="D2057" t="str">
            <v>布</v>
          </cell>
        </row>
        <row r="2058">
          <cell r="A2058" t="str">
            <v>654271C</v>
          </cell>
          <cell r="B2058" t="str">
            <v>LY-CT890J-A</v>
          </cell>
          <cell r="C2058" t="str">
            <v>CTAS LEGIT OX</v>
          </cell>
          <cell r="D2058" t="str">
            <v>布</v>
          </cell>
        </row>
        <row r="2059">
          <cell r="A2059" t="str">
            <v>654271F</v>
          </cell>
          <cell r="B2059" t="str">
            <v>LY-CT890J-A</v>
          </cell>
          <cell r="C2059" t="str">
            <v>CTAS LEGIT OX</v>
          </cell>
          <cell r="D2059" t="str">
            <v>布</v>
          </cell>
        </row>
        <row r="2060">
          <cell r="A2060" t="str">
            <v>654272C</v>
          </cell>
          <cell r="B2060" t="str">
            <v>LY-CT890J-B</v>
          </cell>
          <cell r="C2060" t="str">
            <v>CT AS LEGIT OX</v>
          </cell>
          <cell r="D2060" t="str">
            <v>PU</v>
          </cell>
        </row>
        <row r="2061">
          <cell r="A2061" t="str">
            <v>654316C</v>
          </cell>
          <cell r="B2061" t="str">
            <v>LY-SA170J-2B</v>
          </cell>
          <cell r="C2061" t="str">
            <v>STAR PLAYER 3V MID</v>
          </cell>
          <cell r="D2061" t="str">
            <v>皮+星星月亮</v>
          </cell>
        </row>
        <row r="2062">
          <cell r="A2062" t="str">
            <v>654317C</v>
          </cell>
          <cell r="B2062" t="str">
            <v>LY-SA170J-2B</v>
          </cell>
          <cell r="C2062" t="str">
            <v>STAR PLAYER 3V MID</v>
          </cell>
          <cell r="D2062" t="str">
            <v>皮+星星月亮</v>
          </cell>
        </row>
        <row r="2063">
          <cell r="A2063" t="str">
            <v>654319C</v>
          </cell>
          <cell r="B2063" t="str">
            <v>LY-KD686B-4</v>
          </cell>
          <cell r="C2063" t="str">
            <v>STAR PLAYER 3V OX</v>
          </cell>
          <cell r="D2063" t="str">
            <v>皮+星星月亮</v>
          </cell>
        </row>
        <row r="2064">
          <cell r="A2064" t="str">
            <v>654320C</v>
          </cell>
          <cell r="B2064" t="str">
            <v>LY-KD686B-4</v>
          </cell>
          <cell r="C2064" t="str">
            <v>STAR PLAYER 3V OX</v>
          </cell>
          <cell r="D2064" t="str">
            <v>皮+星星月亮</v>
          </cell>
        </row>
        <row r="2065">
          <cell r="A2065" t="str">
            <v>654321C</v>
          </cell>
          <cell r="B2065" t="str">
            <v>LY-KD686A</v>
          </cell>
          <cell r="C2065" t="str">
            <v>STAR PLAYER 3V OX</v>
          </cell>
          <cell r="D2065" t="str">
            <v>布+星星月亮</v>
          </cell>
        </row>
        <row r="2066">
          <cell r="A2066" t="str">
            <v>654322C</v>
          </cell>
          <cell r="B2066" t="str">
            <v>LY-KD686A</v>
          </cell>
          <cell r="C2066" t="str">
            <v>STAR PLAYER 3V OX</v>
          </cell>
          <cell r="D2066" t="str">
            <v>布+星星月亮</v>
          </cell>
        </row>
        <row r="2067">
          <cell r="A2067" t="str">
            <v>654323C</v>
          </cell>
          <cell r="B2067" t="str">
            <v>LY-KD686A</v>
          </cell>
          <cell r="C2067" t="str">
            <v>STAR PLAYER 3V OX</v>
          </cell>
          <cell r="D2067" t="str">
            <v>布+星星月亮</v>
          </cell>
        </row>
        <row r="2068">
          <cell r="A2068" t="str">
            <v>654350C</v>
          </cell>
          <cell r="B2068" t="str">
            <v>LY-CT787J-A</v>
          </cell>
          <cell r="C2068" t="str">
            <v>CTAS SIMPLE STEP HI</v>
          </cell>
          <cell r="D2068" t="str">
            <v>布</v>
          </cell>
        </row>
        <row r="2069">
          <cell r="A2069" t="str">
            <v>654350V</v>
          </cell>
          <cell r="B2069" t="str">
            <v>LY-CT787J-A</v>
          </cell>
          <cell r="C2069" t="str">
            <v>CT AS SIMPLE STEP</v>
          </cell>
          <cell r="D2069" t="str">
            <v>布</v>
          </cell>
        </row>
        <row r="2070">
          <cell r="A2070" t="str">
            <v>654351C</v>
          </cell>
          <cell r="B2070" t="str">
            <v>LY-CT787J-B</v>
          </cell>
          <cell r="C2070" t="str">
            <v>CTAS SIMPLE STEP HI</v>
          </cell>
          <cell r="D2070" t="str">
            <v>皮</v>
          </cell>
        </row>
        <row r="2071">
          <cell r="A2071" t="str">
            <v>654353C</v>
          </cell>
          <cell r="B2071" t="str">
            <v>LY-CT787J-B</v>
          </cell>
          <cell r="C2071" t="str">
            <v>CTAS SIMPLE STEP HI</v>
          </cell>
          <cell r="D2071" t="str">
            <v>皮</v>
          </cell>
        </row>
        <row r="2072">
          <cell r="A2072" t="str">
            <v>654354C</v>
          </cell>
          <cell r="B2072" t="str">
            <v>LY-SA170J-2B</v>
          </cell>
          <cell r="C2072" t="str">
            <v>STAR PLAYER 3V MID</v>
          </cell>
          <cell r="D2072" t="str">
            <v>皮+星星月亮</v>
          </cell>
        </row>
        <row r="2073">
          <cell r="A2073" t="str">
            <v>654355C</v>
          </cell>
          <cell r="B2073" t="str">
            <v>LY-SA170J-2B</v>
          </cell>
          <cell r="C2073" t="str">
            <v>STAR PLAYER 3V MID</v>
          </cell>
          <cell r="D2073" t="str">
            <v>皮+星星月亮</v>
          </cell>
        </row>
        <row r="2074">
          <cell r="A2074" t="str">
            <v>654356C</v>
          </cell>
          <cell r="B2074" t="str">
            <v>LY-SA170J-2B</v>
          </cell>
          <cell r="C2074" t="str">
            <v>STAR PLAYER 3V MID</v>
          </cell>
          <cell r="D2074" t="str">
            <v>皮+星星月亮</v>
          </cell>
        </row>
        <row r="2075">
          <cell r="A2075" t="str">
            <v>654357C</v>
          </cell>
          <cell r="B2075" t="str">
            <v>LY-SA170J-2B</v>
          </cell>
          <cell r="C2075" t="str">
            <v>STAR PLAYER 3V MID</v>
          </cell>
          <cell r="D2075" t="str">
            <v>皮+星星月亮</v>
          </cell>
        </row>
        <row r="2076">
          <cell r="A2076" t="str">
            <v>654358C</v>
          </cell>
          <cell r="B2076" t="str">
            <v>LY-KD686B</v>
          </cell>
          <cell r="C2076" t="str">
            <v>STAR PLAYER EV 3V OX</v>
          </cell>
          <cell r="D2076" t="str">
            <v>皮+星星月亮</v>
          </cell>
        </row>
        <row r="2077">
          <cell r="A2077" t="str">
            <v>654359C</v>
          </cell>
          <cell r="B2077" t="str">
            <v>LY-KD686B</v>
          </cell>
          <cell r="C2077" t="str">
            <v>STAR PLAYER EV 3V OX</v>
          </cell>
          <cell r="D2077" t="str">
            <v>皮+星星月亮</v>
          </cell>
        </row>
        <row r="2078">
          <cell r="A2078" t="str">
            <v>654360C</v>
          </cell>
          <cell r="B2078" t="str">
            <v>LY-KD686B</v>
          </cell>
          <cell r="C2078" t="str">
            <v>STAR PLAYER 3V OX</v>
          </cell>
          <cell r="D2078" t="str">
            <v>皮+星星月亮</v>
          </cell>
        </row>
        <row r="2079">
          <cell r="A2079" t="str">
            <v>654361C</v>
          </cell>
          <cell r="B2079" t="str">
            <v>LY-KD685A</v>
          </cell>
          <cell r="C2079" t="str">
            <v>STAR PLAYER EV OX</v>
          </cell>
          <cell r="D2079" t="str">
            <v>皮+星星月亮</v>
          </cell>
        </row>
        <row r="2080">
          <cell r="A2080" t="str">
            <v>654362C</v>
          </cell>
          <cell r="B2080" t="str">
            <v>LY-KD685A</v>
          </cell>
          <cell r="C2080" t="str">
            <v>STAR PLAYER EV OX</v>
          </cell>
          <cell r="D2080" t="str">
            <v>皮+星星月亮</v>
          </cell>
        </row>
        <row r="2081">
          <cell r="A2081" t="str">
            <v>654363C</v>
          </cell>
          <cell r="B2081" t="str">
            <v>LY-KD685A</v>
          </cell>
          <cell r="C2081" t="str">
            <v>STAR PLAYER EV OX</v>
          </cell>
          <cell r="D2081" t="str">
            <v>皮+星星月亮</v>
          </cell>
        </row>
        <row r="2082">
          <cell r="A2082" t="str">
            <v>654368F</v>
          </cell>
          <cell r="B2082" t="str">
            <v>LY-CT821J-A</v>
          </cell>
          <cell r="C2082" t="str">
            <v>CT AS LOOPHOLES HI</v>
          </cell>
          <cell r="D2082" t="str">
            <v>布</v>
          </cell>
        </row>
        <row r="2083">
          <cell r="A2083" t="str">
            <v>654371C</v>
          </cell>
          <cell r="B2083" t="str">
            <v>LY-SA216J-B-2</v>
          </cell>
          <cell r="C2083" t="str">
            <v>PRO BLAZE STRAP HI</v>
          </cell>
          <cell r="D2083" t="str">
            <v>皮+星星月亮</v>
          </cell>
        </row>
        <row r="2084">
          <cell r="A2084" t="str">
            <v>654372C</v>
          </cell>
          <cell r="B2084" t="str">
            <v>LY-SA216J-B-2</v>
          </cell>
          <cell r="C2084" t="str">
            <v>PRO BLAZE STRAP HI</v>
          </cell>
          <cell r="D2084" t="str">
            <v>皮+星星月亮</v>
          </cell>
        </row>
        <row r="2085">
          <cell r="A2085" t="str">
            <v>654853F</v>
          </cell>
          <cell r="B2085" t="str">
            <v>LY-CT787J-A</v>
          </cell>
          <cell r="C2085" t="str">
            <v>CT AS SIMPLE STEP</v>
          </cell>
          <cell r="D2085" t="str">
            <v>布</v>
          </cell>
        </row>
        <row r="2086">
          <cell r="A2086" t="str">
            <v>654886C</v>
          </cell>
          <cell r="B2086" t="str">
            <v>LY-CT763J-A</v>
          </cell>
          <cell r="C2086" t="str">
            <v>CTAS MADISON OX</v>
          </cell>
          <cell r="D2086" t="str">
            <v>布</v>
          </cell>
        </row>
        <row r="2087">
          <cell r="A2087" t="str">
            <v>654887F</v>
          </cell>
          <cell r="B2087" t="str">
            <v>LY-CT763J-A</v>
          </cell>
          <cell r="C2087" t="str">
            <v>CT AS MADISON OX</v>
          </cell>
          <cell r="D2087" t="str">
            <v>布</v>
          </cell>
        </row>
        <row r="2088">
          <cell r="A2088" t="str">
            <v>655093C</v>
          </cell>
          <cell r="B2088" t="str">
            <v>LY-SA216J-B-1A</v>
          </cell>
          <cell r="C2088" t="str">
            <v>PRO BLAZE STRAP HI</v>
          </cell>
          <cell r="D2088" t="str">
            <v>皮+星星月亮</v>
          </cell>
        </row>
        <row r="2089">
          <cell r="A2089" t="str">
            <v>655094C</v>
          </cell>
          <cell r="B2089" t="str">
            <v>LY-SA216J-B-1A</v>
          </cell>
          <cell r="C2089" t="str">
            <v>PRO BLAZE STRAP HI</v>
          </cell>
          <cell r="D2089" t="str">
            <v>皮+星星月亮</v>
          </cell>
        </row>
        <row r="2090">
          <cell r="A2090" t="str">
            <v>655095C</v>
          </cell>
          <cell r="B2090" t="str">
            <v>LY-SA216J-B-1A</v>
          </cell>
          <cell r="C2090" t="str">
            <v>PRO BLAZE STRAP HI</v>
          </cell>
          <cell r="D2090" t="str">
            <v>皮+星星月亮</v>
          </cell>
        </row>
        <row r="2091">
          <cell r="A2091" t="str">
            <v>655123C</v>
          </cell>
          <cell r="B2091" t="str">
            <v>LY-SA132J-B</v>
          </cell>
          <cell r="C2091" t="str">
            <v>PRO LEATHER VULC MID</v>
          </cell>
          <cell r="D2091" t="str">
            <v>皮+星星月亮</v>
          </cell>
        </row>
        <row r="2092">
          <cell r="A2092" t="str">
            <v>655124C</v>
          </cell>
          <cell r="B2092" t="str">
            <v>LY-SA132Y</v>
          </cell>
          <cell r="C2092" t="str">
            <v>PRO LEATHER VULC MID</v>
          </cell>
          <cell r="D2092" t="str">
            <v>皮+星星月亮</v>
          </cell>
        </row>
        <row r="2093">
          <cell r="A2093" t="str">
            <v>655167C</v>
          </cell>
          <cell r="B2093" t="str">
            <v>LY-KD711A-5</v>
          </cell>
          <cell r="C2093" t="str">
            <v>STAR PLAYER EV MID</v>
          </cell>
          <cell r="D2093" t="str">
            <v>皮+星星月亮</v>
          </cell>
        </row>
        <row r="2094">
          <cell r="A2094" t="str">
            <v>655168C</v>
          </cell>
          <cell r="B2094" t="str">
            <v>LY-KD711A-6</v>
          </cell>
          <cell r="C2094" t="str">
            <v>STAR PLAYER EV MID</v>
          </cell>
          <cell r="D2094" t="str">
            <v>皮+星星月亮</v>
          </cell>
        </row>
        <row r="2095">
          <cell r="A2095" t="str">
            <v>655303F</v>
          </cell>
          <cell r="B2095" t="str">
            <v>LY-CT763J-A</v>
          </cell>
          <cell r="C2095" t="str">
            <v>CTAS MADISON OX</v>
          </cell>
          <cell r="D2095" t="str">
            <v>布</v>
          </cell>
        </row>
        <row r="2096">
          <cell r="A2096" t="str">
            <v>655304F</v>
          </cell>
          <cell r="B2096" t="str">
            <v>LY-CT788J-A</v>
          </cell>
          <cell r="C2096" t="str">
            <v>CTAS LOOPHOLE OX</v>
          </cell>
          <cell r="D2096" t="str">
            <v>布</v>
          </cell>
        </row>
        <row r="2097">
          <cell r="A2097" t="str">
            <v>655305F</v>
          </cell>
          <cell r="B2097" t="str">
            <v>LY-CT821J-3A</v>
          </cell>
          <cell r="C2097" t="str">
            <v>CTAS LOOPHOLE HI</v>
          </cell>
          <cell r="D2097" t="str">
            <v>布</v>
          </cell>
        </row>
        <row r="2098">
          <cell r="A2098" t="str">
            <v>655408C</v>
          </cell>
          <cell r="B2098" t="str">
            <v>LY-KD685B-9</v>
          </cell>
          <cell r="C2098" t="str">
            <v>STAR PLAYER EV OX</v>
          </cell>
          <cell r="D2098" t="str">
            <v>布+星星月亮</v>
          </cell>
        </row>
        <row r="2099">
          <cell r="A2099" t="str">
            <v>655409C</v>
          </cell>
          <cell r="B2099" t="str">
            <v>LY-KD685B-9</v>
          </cell>
          <cell r="C2099" t="str">
            <v>STAR PLAYER EV OX</v>
          </cell>
          <cell r="D2099" t="str">
            <v>布+星星月亮</v>
          </cell>
        </row>
        <row r="2100">
          <cell r="A2100" t="str">
            <v>655410C</v>
          </cell>
          <cell r="B2100" t="str">
            <v>LY-KD685B-9</v>
          </cell>
          <cell r="C2100" t="str">
            <v>STAR PLAYER EV OX</v>
          </cell>
          <cell r="D2100" t="str">
            <v>布+星星月亮</v>
          </cell>
        </row>
        <row r="2101">
          <cell r="A2101" t="str">
            <v>656007C</v>
          </cell>
          <cell r="B2101" t="str">
            <v>LY-CT788J-1A</v>
          </cell>
          <cell r="C2101" t="str">
            <v>CTAS LOOPHOLES OX</v>
          </cell>
          <cell r="D2101" t="str">
            <v>布</v>
          </cell>
        </row>
        <row r="2102">
          <cell r="A2102" t="str">
            <v>656007F</v>
          </cell>
          <cell r="B2102" t="str">
            <v>LY-CT788J-1A</v>
          </cell>
          <cell r="C2102" t="str">
            <v>CT AS LOOPHOLES OX</v>
          </cell>
          <cell r="D2102" t="str">
            <v>布</v>
          </cell>
        </row>
        <row r="2103">
          <cell r="A2103" t="str">
            <v>656008C</v>
          </cell>
          <cell r="B2103" t="str">
            <v>LY-CT821J-3A</v>
          </cell>
          <cell r="C2103" t="str">
            <v>CTAS LOOPHOLES HI</v>
          </cell>
          <cell r="D2103" t="str">
            <v>布</v>
          </cell>
        </row>
        <row r="2104">
          <cell r="A2104" t="str">
            <v>656008F</v>
          </cell>
          <cell r="B2104" t="str">
            <v>LY-CT821J-3A</v>
          </cell>
          <cell r="C2104" t="str">
            <v>CT AS LOOPHOLES HI</v>
          </cell>
          <cell r="D2104" t="str">
            <v>布</v>
          </cell>
        </row>
        <row r="2105">
          <cell r="A2105" t="str">
            <v>656036C</v>
          </cell>
          <cell r="B2105" t="str">
            <v>LY-CT788J-1A</v>
          </cell>
          <cell r="C2105" t="str">
            <v>CTAS LOOPHOLES OX</v>
          </cell>
          <cell r="D2105" t="str">
            <v>布</v>
          </cell>
        </row>
        <row r="2106">
          <cell r="A2106" t="str">
            <v>656036F</v>
          </cell>
          <cell r="B2106" t="str">
            <v>LY-CT788J-1A</v>
          </cell>
          <cell r="C2106" t="str">
            <v>CT AS LOOPHOLES OX</v>
          </cell>
          <cell r="D2106" t="str">
            <v>布</v>
          </cell>
        </row>
        <row r="2107">
          <cell r="A2107" t="str">
            <v>656043C</v>
          </cell>
          <cell r="B2107" t="str">
            <v>LY-CT788J-6A</v>
          </cell>
          <cell r="C2107" t="str">
            <v>CTAS LOOPHOLES OX</v>
          </cell>
          <cell r="D2107" t="str">
            <v>布</v>
          </cell>
        </row>
        <row r="2108">
          <cell r="A2108" t="str">
            <v>656043F</v>
          </cell>
          <cell r="B2108" t="str">
            <v>LY-CT788J-6A</v>
          </cell>
          <cell r="C2108" t="str">
            <v>CT AS LOOPHOLES</v>
          </cell>
          <cell r="D2108" t="str">
            <v>布</v>
          </cell>
        </row>
        <row r="2109">
          <cell r="A2109" t="str">
            <v>656044C</v>
          </cell>
          <cell r="B2109" t="str">
            <v>LY-CT788J-7A</v>
          </cell>
          <cell r="C2109" t="str">
            <v>CTAS LOOPHOLES OX</v>
          </cell>
          <cell r="D2109" t="str">
            <v>布</v>
          </cell>
        </row>
        <row r="2110">
          <cell r="A2110" t="str">
            <v>656044F</v>
          </cell>
          <cell r="B2110" t="str">
            <v>LY-CT788J-7A</v>
          </cell>
          <cell r="C2110" t="str">
            <v>CTAS LOOPHOLES OX</v>
          </cell>
          <cell r="D2110" t="str">
            <v>布</v>
          </cell>
        </row>
        <row r="2111">
          <cell r="A2111" t="str">
            <v>656046C</v>
          </cell>
          <cell r="B2111" t="str">
            <v>LY-CT821J-5A</v>
          </cell>
          <cell r="C2111" t="str">
            <v>CTAS LOOPHOLES HI</v>
          </cell>
          <cell r="D2111" t="str">
            <v>布</v>
          </cell>
        </row>
        <row r="2112">
          <cell r="A2112" t="str">
            <v>656046F</v>
          </cell>
          <cell r="B2112" t="str">
            <v>LY-CT821J-5A</v>
          </cell>
          <cell r="C2112" t="str">
            <v>CT AS LOOPHOLES HI</v>
          </cell>
          <cell r="D2112" t="str">
            <v>布</v>
          </cell>
        </row>
        <row r="2113">
          <cell r="A2113" t="str">
            <v>656047C</v>
          </cell>
          <cell r="B2113" t="str">
            <v>LY-CT821J-6A</v>
          </cell>
          <cell r="C2113" t="str">
            <v>CTAS LOOPHOLES HI</v>
          </cell>
          <cell r="D2113" t="str">
            <v>布</v>
          </cell>
        </row>
        <row r="2114">
          <cell r="A2114" t="str">
            <v>656047F</v>
          </cell>
          <cell r="B2114" t="str">
            <v>LY-CT821J-6A</v>
          </cell>
          <cell r="C2114" t="str">
            <v>CTAS LOOPHOLES HI</v>
          </cell>
          <cell r="D2114" t="str">
            <v>布</v>
          </cell>
        </row>
        <row r="2115">
          <cell r="A2115" t="str">
            <v>656066C</v>
          </cell>
          <cell r="B2115" t="str">
            <v>LY-CT788J-8A</v>
          </cell>
          <cell r="C2115" t="str">
            <v>CTAS LOOPHOLES OX</v>
          </cell>
          <cell r="D2115" t="str">
            <v>布</v>
          </cell>
        </row>
        <row r="2116">
          <cell r="A2116" t="str">
            <v>656066F</v>
          </cell>
          <cell r="B2116" t="str">
            <v>LY-CT788J-8A</v>
          </cell>
          <cell r="C2116" t="str">
            <v>CTAS LOOPHOLES OX</v>
          </cell>
          <cell r="D2116" t="str">
            <v>布</v>
          </cell>
        </row>
        <row r="2117">
          <cell r="A2117" t="str">
            <v>656084C</v>
          </cell>
          <cell r="B2117" t="str">
            <v>LY-CT763J-2A</v>
          </cell>
          <cell r="C2117" t="str">
            <v>CTAS MADISION OX</v>
          </cell>
          <cell r="D2117" t="str">
            <v>布+星星月亮</v>
          </cell>
        </row>
        <row r="2118">
          <cell r="A2118" t="str">
            <v>656084F</v>
          </cell>
          <cell r="B2118" t="str">
            <v>LY-CT763J-2A</v>
          </cell>
          <cell r="C2118" t="str">
            <v>CTAS MADISION OX</v>
          </cell>
          <cell r="D2118" t="str">
            <v>布+星星月亮</v>
          </cell>
        </row>
        <row r="2119">
          <cell r="A2119" t="str">
            <v>656086C</v>
          </cell>
          <cell r="B2119" t="str">
            <v>LY-CT763J-3A</v>
          </cell>
          <cell r="C2119" t="str">
            <v>CTAS MADISION OX</v>
          </cell>
          <cell r="D2119" t="str">
            <v>布</v>
          </cell>
        </row>
        <row r="2120">
          <cell r="A2120" t="str">
            <v>656086F</v>
          </cell>
          <cell r="B2120" t="str">
            <v>LY-CT763J-3A</v>
          </cell>
          <cell r="C2120" t="str">
            <v>CTAS MADISION OX</v>
          </cell>
          <cell r="D2120" t="str">
            <v xml:space="preserve">布  </v>
          </cell>
        </row>
        <row r="2121">
          <cell r="A2121" t="str">
            <v>656091C</v>
          </cell>
          <cell r="B2121" t="str">
            <v>LY-CT763J-1B</v>
          </cell>
          <cell r="C2121" t="str">
            <v>CTAS MADISION OX</v>
          </cell>
          <cell r="D2121" t="str">
            <v>皮</v>
          </cell>
        </row>
        <row r="2122">
          <cell r="A2122" t="str">
            <v>656095C</v>
          </cell>
          <cell r="B2122" t="str">
            <v>LY-CT763J-2A</v>
          </cell>
          <cell r="C2122" t="str">
            <v>CTAS MADISON OX</v>
          </cell>
          <cell r="D2122" t="str">
            <v>布</v>
          </cell>
        </row>
        <row r="2123">
          <cell r="A2123" t="str">
            <v>656095F</v>
          </cell>
          <cell r="B2123" t="str">
            <v>LY-CT763J-2A</v>
          </cell>
          <cell r="C2123" t="str">
            <v>CTAS MADISON OX</v>
          </cell>
          <cell r="D2123" t="str">
            <v xml:space="preserve">布  </v>
          </cell>
        </row>
        <row r="2124">
          <cell r="A2124" t="str">
            <v>656099C</v>
          </cell>
          <cell r="B2124" t="str">
            <v>LY-SA231J-B-1B</v>
          </cell>
          <cell r="C2124" t="str">
            <v>PRO BLAZE STRAP STRETCH HI</v>
          </cell>
          <cell r="D2124" t="str">
            <v>皮+星星月亮</v>
          </cell>
        </row>
        <row r="2125">
          <cell r="A2125" t="str">
            <v>656100C</v>
          </cell>
          <cell r="B2125" t="str">
            <v>LY-SA231J-B-1B</v>
          </cell>
          <cell r="C2125" t="str">
            <v>PRO BLAZE STRAP STRETCH HI</v>
          </cell>
          <cell r="D2125" t="str">
            <v>皮+星星月亮</v>
          </cell>
        </row>
        <row r="2126">
          <cell r="A2126" t="str">
            <v>656101C</v>
          </cell>
          <cell r="B2126" t="str">
            <v>LY-SA231J-B-1B</v>
          </cell>
          <cell r="C2126" t="str">
            <v>PRO BLAZE STRAP STRETCH HI</v>
          </cell>
          <cell r="D2126" t="str">
            <v>皮+星星月亮</v>
          </cell>
        </row>
        <row r="2127">
          <cell r="A2127" t="str">
            <v>656102C</v>
          </cell>
          <cell r="B2127" t="str">
            <v>LY-SA221J-B</v>
          </cell>
          <cell r="C2127" t="str">
            <v>PRO BLAZE OX</v>
          </cell>
          <cell r="D2127" t="str">
            <v>皮+星星月亮</v>
          </cell>
        </row>
        <row r="2128">
          <cell r="A2128" t="str">
            <v>656103C</v>
          </cell>
          <cell r="B2128" t="str">
            <v>LY-SA221J-B</v>
          </cell>
          <cell r="C2128" t="str">
            <v>PRO BLAZE OX</v>
          </cell>
          <cell r="D2128" t="str">
            <v>皮+星星月亮</v>
          </cell>
        </row>
        <row r="2129">
          <cell r="A2129" t="str">
            <v>656131C</v>
          </cell>
          <cell r="B2129" t="str">
            <v>LY-SA313J-B</v>
          </cell>
          <cell r="C2129" t="str">
            <v>ONE STAR 3V OX</v>
          </cell>
          <cell r="D2129" t="str">
            <v>皮</v>
          </cell>
        </row>
        <row r="2130">
          <cell r="A2130" t="str">
            <v>656132C</v>
          </cell>
          <cell r="B2130" t="str">
            <v>LY-SA313J-B</v>
          </cell>
          <cell r="C2130" t="str">
            <v>ONE STAR 3V OX</v>
          </cell>
          <cell r="D2130" t="str">
            <v>皮</v>
          </cell>
        </row>
        <row r="2131">
          <cell r="A2131" t="str">
            <v>656133C</v>
          </cell>
          <cell r="B2131" t="str">
            <v>LY-SA313J-B</v>
          </cell>
          <cell r="C2131" t="str">
            <v>ONE STAR 3V OX</v>
          </cell>
          <cell r="D2131" t="str">
            <v>皮</v>
          </cell>
        </row>
        <row r="2132">
          <cell r="A2132" t="str">
            <v>656145C</v>
          </cell>
          <cell r="B2132" t="str">
            <v>LY-KD685A-6</v>
          </cell>
          <cell r="C2132" t="str">
            <v>STAR PLAYER EV OX</v>
          </cell>
          <cell r="D2132" t="str">
            <v>皮+星星月亮</v>
          </cell>
        </row>
        <row r="2133">
          <cell r="A2133" t="str">
            <v>656146C</v>
          </cell>
          <cell r="B2133" t="str">
            <v>LY-KD685A-6</v>
          </cell>
          <cell r="C2133" t="str">
            <v>STAR PLAYER EV OX</v>
          </cell>
          <cell r="D2133" t="str">
            <v>皮+星星月亮</v>
          </cell>
        </row>
        <row r="2134">
          <cell r="A2134" t="str">
            <v>656147C</v>
          </cell>
          <cell r="B2134" t="str">
            <v>LY-KD685A-6</v>
          </cell>
          <cell r="C2134" t="str">
            <v>STAR PLAYER EV OX</v>
          </cell>
          <cell r="D2134" t="str">
            <v>皮+星星月亮</v>
          </cell>
        </row>
        <row r="2135">
          <cell r="A2135" t="str">
            <v>656148C</v>
          </cell>
          <cell r="B2135" t="str">
            <v>LY-KD686A</v>
          </cell>
          <cell r="C2135" t="str">
            <v>STAR PLAYER 3V OX</v>
          </cell>
          <cell r="D2135" t="str">
            <v>布+星星月亮</v>
          </cell>
        </row>
        <row r="2136">
          <cell r="A2136" t="str">
            <v>656149C</v>
          </cell>
          <cell r="B2136" t="str">
            <v>LY-KD686A</v>
          </cell>
          <cell r="C2136" t="str">
            <v>STAR PLAYER 3V OX</v>
          </cell>
          <cell r="D2136" t="str">
            <v>布+星星月亮</v>
          </cell>
        </row>
        <row r="2137">
          <cell r="A2137" t="str">
            <v>656150C</v>
          </cell>
          <cell r="B2137" t="str">
            <v>LY-KD686A</v>
          </cell>
          <cell r="C2137" t="str">
            <v>STAR PLAYER 3V OX</v>
          </cell>
          <cell r="D2137" t="str">
            <v>布+星星月亮</v>
          </cell>
        </row>
        <row r="2138">
          <cell r="A2138" t="str">
            <v>656151C</v>
          </cell>
          <cell r="B2138" t="str">
            <v>LY-KD686A</v>
          </cell>
          <cell r="C2138" t="str">
            <v>STAR PLAYER 3V OX</v>
          </cell>
          <cell r="D2138" t="str">
            <v>布+星星月亮</v>
          </cell>
        </row>
        <row r="2139">
          <cell r="A2139" t="str">
            <v>656152C</v>
          </cell>
          <cell r="B2139" t="str">
            <v>LY-KD686A</v>
          </cell>
          <cell r="C2139" t="str">
            <v>STAR PLAYER 3V OX</v>
          </cell>
          <cell r="D2139" t="str">
            <v>布+星星月亮</v>
          </cell>
        </row>
        <row r="2140">
          <cell r="A2140" t="str">
            <v>656153C</v>
          </cell>
          <cell r="B2140" t="str">
            <v>LY-KD686A</v>
          </cell>
          <cell r="C2140" t="str">
            <v>STAR PLAYER 3V OX</v>
          </cell>
          <cell r="D2140" t="str">
            <v>布+星星月亮</v>
          </cell>
        </row>
        <row r="2141">
          <cell r="A2141" t="str">
            <v>656623C</v>
          </cell>
          <cell r="B2141" t="str">
            <v>LY-KD686A</v>
          </cell>
          <cell r="C2141" t="str">
            <v>STAR PLAYER 3V OX</v>
          </cell>
          <cell r="D2141" t="str">
            <v>布+星星月亮</v>
          </cell>
        </row>
        <row r="2142">
          <cell r="A2142" t="str">
            <v>656624C</v>
          </cell>
          <cell r="B2142" t="str">
            <v>LY-KD686A</v>
          </cell>
          <cell r="C2142" t="str">
            <v>STAR PLAYER 3V OX</v>
          </cell>
          <cell r="D2142" t="str">
            <v>布+星星月亮</v>
          </cell>
        </row>
        <row r="2143">
          <cell r="A2143" t="str">
            <v>656625C</v>
          </cell>
          <cell r="B2143" t="str">
            <v>LY-KD686A</v>
          </cell>
          <cell r="C2143" t="str">
            <v>STAR PLAYER 3V OX</v>
          </cell>
          <cell r="D2143" t="str">
            <v>布+星星月亮</v>
          </cell>
        </row>
        <row r="2144">
          <cell r="A2144" t="str">
            <v>656626C</v>
          </cell>
          <cell r="B2144" t="str">
            <v>LY-KD686A</v>
          </cell>
          <cell r="C2144" t="str">
            <v>STAR PLAYER 3V OX</v>
          </cell>
          <cell r="D2144" t="str">
            <v>布+星星月亮</v>
          </cell>
        </row>
        <row r="2145">
          <cell r="A2145" t="str">
            <v>656627C</v>
          </cell>
          <cell r="B2145" t="str">
            <v>LY-KD685B-8</v>
          </cell>
          <cell r="C2145" t="str">
            <v>STAR PLAYER EV OX</v>
          </cell>
          <cell r="D2145" t="str">
            <v>布+星星月亮</v>
          </cell>
        </row>
        <row r="2146">
          <cell r="A2146" t="str">
            <v>656628C</v>
          </cell>
          <cell r="B2146" t="str">
            <v>LY-KD685B-8</v>
          </cell>
          <cell r="C2146" t="str">
            <v>STAR PLAYER EV OX</v>
          </cell>
          <cell r="D2146" t="str">
            <v>布+星星月亮</v>
          </cell>
        </row>
        <row r="2147">
          <cell r="A2147" t="str">
            <v>656629C</v>
          </cell>
          <cell r="B2147" t="str">
            <v>LY-KD685B-8</v>
          </cell>
          <cell r="C2147" t="str">
            <v>STAR PLAYER EV OX</v>
          </cell>
          <cell r="D2147" t="str">
            <v>布+星星月亮</v>
          </cell>
        </row>
        <row r="2148">
          <cell r="A2148" t="str">
            <v>656680F</v>
          </cell>
          <cell r="B2148" t="str">
            <v>LY-CT763J-A</v>
          </cell>
          <cell r="C2148" t="str">
            <v>CT AS MADISION OX</v>
          </cell>
          <cell r="D2148" t="str">
            <v>布</v>
          </cell>
        </row>
        <row r="2149">
          <cell r="A2149" t="str">
            <v>656839C</v>
          </cell>
          <cell r="B2149" t="str">
            <v>LY-KD685B-7-A</v>
          </cell>
          <cell r="C2149" t="str">
            <v>STAR PLAYER EV OX</v>
          </cell>
          <cell r="D2149" t="str">
            <v>布+星星月亮</v>
          </cell>
        </row>
        <row r="2150">
          <cell r="A2150" t="str">
            <v>656841C</v>
          </cell>
          <cell r="B2150" t="str">
            <v>LY-KD685A-3-A</v>
          </cell>
          <cell r="C2150" t="str">
            <v>STAR PLAYER EV OX</v>
          </cell>
          <cell r="D2150" t="str">
            <v>皮+星星月亮</v>
          </cell>
        </row>
        <row r="2151">
          <cell r="A2151" t="str">
            <v>656844C</v>
          </cell>
          <cell r="B2151" t="str">
            <v>LY-KD686A-5-A</v>
          </cell>
          <cell r="C2151" t="str">
            <v>STAR PLAYER EV 3V OX</v>
          </cell>
          <cell r="D2151" t="str">
            <v>布+星星月亮</v>
          </cell>
        </row>
        <row r="2152">
          <cell r="A2152" t="str">
            <v>658146C</v>
          </cell>
          <cell r="B2152" t="str">
            <v>LY-SA170J-4B</v>
          </cell>
          <cell r="C2152" t="str">
            <v>STAR PLAYER EV 3V MID</v>
          </cell>
          <cell r="D2152" t="str">
            <v>皮+星星月亮</v>
          </cell>
        </row>
        <row r="2153">
          <cell r="A2153" t="str">
            <v>658147C</v>
          </cell>
          <cell r="B2153" t="str">
            <v>LY-SA170J-4B</v>
          </cell>
          <cell r="C2153" t="str">
            <v>STAR PLAYER EV 3V MID</v>
          </cell>
          <cell r="D2153" t="str">
            <v>皮+星星月亮</v>
          </cell>
        </row>
        <row r="2154">
          <cell r="A2154" t="str">
            <v>658148C</v>
          </cell>
          <cell r="B2154" t="str">
            <v>LY-SA170J-4B</v>
          </cell>
          <cell r="C2154" t="str">
            <v>STAR PLAYER EV 3V MID</v>
          </cell>
          <cell r="D2154" t="str">
            <v>皮+星星月亮</v>
          </cell>
        </row>
        <row r="2155">
          <cell r="A2155" t="str">
            <v>658149C</v>
          </cell>
          <cell r="B2155" t="str">
            <v>LY-SA170J-3B</v>
          </cell>
          <cell r="C2155" t="str">
            <v>STAR PLAYER EV 3V MID</v>
          </cell>
          <cell r="D2155" t="str">
            <v>皮+星星月亮</v>
          </cell>
        </row>
        <row r="2156">
          <cell r="A2156" t="str">
            <v>658150C</v>
          </cell>
          <cell r="B2156" t="str">
            <v>LY-SA170J-3B</v>
          </cell>
          <cell r="C2156" t="str">
            <v>STAR PLAYER EV 3V MID</v>
          </cell>
          <cell r="D2156" t="str">
            <v>皮+星星月亮</v>
          </cell>
        </row>
        <row r="2157">
          <cell r="A2157" t="str">
            <v>658151C</v>
          </cell>
          <cell r="B2157" t="str">
            <v>LY-SA170J-3B</v>
          </cell>
          <cell r="C2157" t="str">
            <v>STAR PLAYER EV 3V MID</v>
          </cell>
          <cell r="D2157" t="str">
            <v>皮+星星月亮</v>
          </cell>
        </row>
        <row r="2158">
          <cell r="A2158" t="str">
            <v>658152C</v>
          </cell>
          <cell r="B2158" t="str">
            <v>LY-SA170J-5B</v>
          </cell>
          <cell r="C2158" t="str">
            <v>STAR PLAYER EV 3V MID</v>
          </cell>
          <cell r="D2158" t="str">
            <v>皮+星星月亮</v>
          </cell>
        </row>
        <row r="2159">
          <cell r="A2159" t="str">
            <v>658153C</v>
          </cell>
          <cell r="B2159" t="str">
            <v>LY-SA170J-5B</v>
          </cell>
          <cell r="C2159" t="str">
            <v>STAR PLAYER EV 3V MID</v>
          </cell>
          <cell r="D2159" t="str">
            <v>皮+星星月亮</v>
          </cell>
        </row>
        <row r="2160">
          <cell r="A2160" t="str">
            <v>658154C</v>
          </cell>
          <cell r="B2160" t="str">
            <v>LY-SA170J-5B</v>
          </cell>
          <cell r="C2160" t="str">
            <v>STAR PLAYER EV 3V MID</v>
          </cell>
          <cell r="D2160" t="str">
            <v>皮+星星月亮</v>
          </cell>
        </row>
        <row r="2161">
          <cell r="A2161" t="str">
            <v>658155C</v>
          </cell>
          <cell r="B2161" t="str">
            <v>LY-KD686B-4B</v>
          </cell>
          <cell r="C2161" t="str">
            <v>STAR PLAYER EV 3V OX</v>
          </cell>
          <cell r="D2161" t="str">
            <v>皮+星星月亮</v>
          </cell>
        </row>
        <row r="2162">
          <cell r="A2162" t="str">
            <v>658156C</v>
          </cell>
          <cell r="B2162" t="str">
            <v>LY-KD686B-4B</v>
          </cell>
          <cell r="C2162" t="str">
            <v>STAR PLAYER EV 3V OX</v>
          </cell>
          <cell r="D2162" t="str">
            <v>皮+星星月亮</v>
          </cell>
        </row>
        <row r="2163">
          <cell r="A2163" t="str">
            <v>658157C</v>
          </cell>
          <cell r="B2163" t="str">
            <v>LY-KD686B-4B</v>
          </cell>
          <cell r="C2163" t="str">
            <v>STAR PLAYER EV 3V OX</v>
          </cell>
          <cell r="D2163" t="str">
            <v>皮+星星月亮</v>
          </cell>
        </row>
        <row r="2164">
          <cell r="A2164" t="str">
            <v>658158C</v>
          </cell>
          <cell r="B2164" t="str">
            <v>LY-KD686B-1B</v>
          </cell>
          <cell r="C2164" t="str">
            <v>STAR PLAYER EV 3V OX</v>
          </cell>
          <cell r="D2164" t="str">
            <v>皮+星星月亮</v>
          </cell>
        </row>
        <row r="2165">
          <cell r="A2165" t="str">
            <v>658159C</v>
          </cell>
          <cell r="B2165" t="str">
            <v>LY-KD686B-1B</v>
          </cell>
          <cell r="C2165" t="str">
            <v>STAR PLAYER EV 3V OX</v>
          </cell>
          <cell r="D2165" t="str">
            <v>皮+星星月亮</v>
          </cell>
        </row>
        <row r="2166">
          <cell r="A2166" t="str">
            <v>658160C</v>
          </cell>
          <cell r="B2166" t="str">
            <v>LY-KD686B-1B</v>
          </cell>
          <cell r="C2166" t="str">
            <v>STAR PLAYER EV 3V OX</v>
          </cell>
          <cell r="D2166" t="str">
            <v>皮+星星月亮</v>
          </cell>
        </row>
        <row r="2167">
          <cell r="A2167" t="str">
            <v>658164C</v>
          </cell>
          <cell r="B2167" t="str">
            <v>LY-SA216J-B-3</v>
          </cell>
          <cell r="C2167" t="str">
            <v>PRO BLAZE STRAP HI</v>
          </cell>
          <cell r="D2167" t="str">
            <v>皮+星星月亮</v>
          </cell>
        </row>
        <row r="2168">
          <cell r="A2168" t="str">
            <v>658165C</v>
          </cell>
          <cell r="B2168" t="str">
            <v>LY-SA216J-B-3</v>
          </cell>
          <cell r="C2168" t="str">
            <v>PRO BLAZE STRAP HI</v>
          </cell>
          <cell r="D2168" t="str">
            <v>皮+星星月亮</v>
          </cell>
        </row>
        <row r="2169">
          <cell r="A2169" t="str">
            <v>658166C</v>
          </cell>
          <cell r="B2169" t="str">
            <v>LY-SA216J-B-3</v>
          </cell>
          <cell r="C2169" t="str">
            <v>PRO BLAZE STRAP HI</v>
          </cell>
          <cell r="D2169" t="str">
            <v>皮+星星月亮</v>
          </cell>
        </row>
        <row r="2170">
          <cell r="A2170" t="str">
            <v>658167C</v>
          </cell>
          <cell r="B2170" t="str">
            <v>LY-SA216J-B-3</v>
          </cell>
          <cell r="C2170" t="str">
            <v>PRO BLAZE STRAP HI</v>
          </cell>
          <cell r="D2170" t="str">
            <v>皮+星星月亮</v>
          </cell>
        </row>
        <row r="2171">
          <cell r="A2171" t="str">
            <v>658168C</v>
          </cell>
          <cell r="B2171" t="str">
            <v>LY-SA216J-B-3</v>
          </cell>
          <cell r="C2171" t="str">
            <v>PRO BLAZE STRAP HI</v>
          </cell>
          <cell r="D2171" t="str">
            <v>皮+星星月亮</v>
          </cell>
        </row>
        <row r="2172">
          <cell r="A2172" t="str">
            <v>658169C</v>
          </cell>
          <cell r="B2172" t="str">
            <v>LY-SA216J-B-3</v>
          </cell>
          <cell r="C2172" t="str">
            <v>PRO BLAZE STRAP HI</v>
          </cell>
          <cell r="D2172" t="str">
            <v>皮+星星月亮</v>
          </cell>
        </row>
        <row r="2173">
          <cell r="A2173" t="str">
            <v>658205C</v>
          </cell>
          <cell r="B2173" t="str">
            <v>LY-SA345J-3B</v>
          </cell>
          <cell r="C2173" t="str">
            <v>BREAKPOINT OX</v>
          </cell>
          <cell r="D2173" t="str">
            <v>皮+星星月亮</v>
          </cell>
        </row>
        <row r="2174">
          <cell r="A2174" t="str">
            <v>658206C</v>
          </cell>
          <cell r="B2174" t="str">
            <v>LY-SA345J-3B</v>
          </cell>
          <cell r="C2174" t="str">
            <v>BREAKPOINT OX</v>
          </cell>
          <cell r="D2174" t="str">
            <v>皮+星星月亮</v>
          </cell>
        </row>
        <row r="2175">
          <cell r="A2175" t="str">
            <v>658207C</v>
          </cell>
          <cell r="B2175" t="str">
            <v>LY-SA345J-3B</v>
          </cell>
          <cell r="C2175" t="str">
            <v>BREAKPOINT OX</v>
          </cell>
          <cell r="D2175" t="str">
            <v>皮+星星月亮</v>
          </cell>
        </row>
        <row r="2176">
          <cell r="A2176" t="str">
            <v>658278C</v>
          </cell>
          <cell r="B2176" t="str">
            <v>LY-SA345J-2B</v>
          </cell>
          <cell r="C2176" t="str">
            <v>BREAKPOINT OX</v>
          </cell>
          <cell r="D2176" t="str">
            <v>皮+星星月亮</v>
          </cell>
        </row>
        <row r="2177">
          <cell r="A2177" t="str">
            <v>658279C</v>
          </cell>
          <cell r="B2177" t="str">
            <v>LY-SA345J-2B</v>
          </cell>
          <cell r="C2177" t="str">
            <v>BREAKPOINT OX</v>
          </cell>
          <cell r="D2177" t="str">
            <v>皮+星星月亮</v>
          </cell>
        </row>
        <row r="2178">
          <cell r="A2178" t="str">
            <v>658280C</v>
          </cell>
          <cell r="B2178" t="str">
            <v>LY-SA345J-2B</v>
          </cell>
          <cell r="C2178" t="str">
            <v>BREAKPOINT OX</v>
          </cell>
          <cell r="D2178" t="str">
            <v>皮+星星月亮</v>
          </cell>
        </row>
        <row r="2179">
          <cell r="A2179" t="str">
            <v>658369C</v>
          </cell>
          <cell r="B2179" t="str">
            <v>LY-OS119J-B</v>
          </cell>
          <cell r="C2179" t="str">
            <v>ONE STAR OX</v>
          </cell>
          <cell r="D2179" t="str">
            <v>皮</v>
          </cell>
        </row>
        <row r="2180">
          <cell r="A2180" t="str">
            <v>658371C</v>
          </cell>
          <cell r="B2180" t="str">
            <v>LY-OS119J-B</v>
          </cell>
          <cell r="C2180" t="str">
            <v>ONE STAR OX</v>
          </cell>
          <cell r="D2180" t="str">
            <v>皮</v>
          </cell>
        </row>
        <row r="2181">
          <cell r="A2181" t="str">
            <v>658434C</v>
          </cell>
          <cell r="B2181" t="str">
            <v>LY-OS119J-B</v>
          </cell>
          <cell r="C2181" t="str">
            <v>ONE STAR OX</v>
          </cell>
          <cell r="D2181" t="str">
            <v>皮</v>
          </cell>
        </row>
        <row r="2182">
          <cell r="A2182" t="str">
            <v>658463C</v>
          </cell>
          <cell r="B2182" t="str">
            <v>LY-OS119J-B</v>
          </cell>
          <cell r="C2182" t="str">
            <v>ONE STAR OX</v>
          </cell>
          <cell r="D2182" t="str">
            <v>皮</v>
          </cell>
        </row>
        <row r="2183">
          <cell r="A2183" t="str">
            <v>658464C</v>
          </cell>
          <cell r="B2183" t="str">
            <v>LY-OS119J-B</v>
          </cell>
          <cell r="C2183" t="str">
            <v>ONE STAR OX</v>
          </cell>
          <cell r="D2183" t="str">
            <v>皮</v>
          </cell>
        </row>
        <row r="2184">
          <cell r="A2184" t="str">
            <v>658465C</v>
          </cell>
          <cell r="B2184" t="str">
            <v>LY-OS119J-B</v>
          </cell>
          <cell r="C2184" t="str">
            <v>ONE STAR OX</v>
          </cell>
          <cell r="D2184" t="str">
            <v>皮</v>
          </cell>
        </row>
        <row r="2185">
          <cell r="A2185" t="str">
            <v>658466C</v>
          </cell>
          <cell r="B2185" t="str">
            <v>LY-OS119J-B</v>
          </cell>
          <cell r="C2185" t="str">
            <v>ONE STAR OX</v>
          </cell>
          <cell r="D2185" t="str">
            <v>皮</v>
          </cell>
        </row>
        <row r="2186">
          <cell r="A2186" t="str">
            <v>658491C</v>
          </cell>
          <cell r="B2186" t="str">
            <v>LY-OS119J-1B</v>
          </cell>
          <cell r="C2186" t="str">
            <v>ONE STAR 3V OX</v>
          </cell>
          <cell r="D2186" t="str">
            <v>皮</v>
          </cell>
        </row>
        <row r="2187">
          <cell r="A2187" t="str">
            <v>658492C</v>
          </cell>
          <cell r="B2187" t="str">
            <v>LY-OS119J-1B</v>
          </cell>
          <cell r="C2187" t="str">
            <v>ONE STAR 3V OX</v>
          </cell>
          <cell r="D2187" t="str">
            <v>皮</v>
          </cell>
        </row>
        <row r="2188">
          <cell r="A2188" t="str">
            <v>658494C</v>
          </cell>
          <cell r="B2188" t="str">
            <v>LY-OS119J-1B</v>
          </cell>
          <cell r="C2188" t="str">
            <v>ONE STAR 3V OX</v>
          </cell>
          <cell r="D2188" t="str">
            <v>皮</v>
          </cell>
        </row>
        <row r="2189">
          <cell r="A2189" t="str">
            <v>658495C</v>
          </cell>
          <cell r="B2189" t="str">
            <v>LY-OS119J-1B</v>
          </cell>
          <cell r="C2189" t="str">
            <v>ONE STAR 3V OX</v>
          </cell>
          <cell r="D2189" t="str">
            <v>皮</v>
          </cell>
        </row>
        <row r="2190">
          <cell r="A2190" t="str">
            <v>658496C</v>
          </cell>
          <cell r="B2190" t="str">
            <v>LY-OS119J-1B</v>
          </cell>
          <cell r="C2190" t="str">
            <v>ONE STAR 3V OX</v>
          </cell>
          <cell r="D2190" t="str">
            <v>皮</v>
          </cell>
        </row>
        <row r="2191">
          <cell r="A2191" t="str">
            <v>658631C</v>
          </cell>
          <cell r="B2191" t="str">
            <v>LY-OS119J-1B</v>
          </cell>
          <cell r="C2191" t="str">
            <v>ONE STAR 3V OX</v>
          </cell>
          <cell r="D2191" t="str">
            <v>皮</v>
          </cell>
        </row>
        <row r="2192">
          <cell r="A2192" t="str">
            <v>658876C</v>
          </cell>
          <cell r="B2192" t="str">
            <v>LY-SA216J-B-4</v>
          </cell>
          <cell r="C2192" t="str">
            <v>PRO BLAZE STRAP HI</v>
          </cell>
          <cell r="D2192" t="str">
            <v>皮+星星月亮</v>
          </cell>
        </row>
        <row r="2193">
          <cell r="A2193" t="str">
            <v>658881C</v>
          </cell>
          <cell r="B2193" t="str">
            <v>LY-6G CTAS HI-2A</v>
          </cell>
          <cell r="C2193" t="str">
            <v>CTAS HI</v>
          </cell>
          <cell r="D2193" t="str">
            <v>布</v>
          </cell>
        </row>
        <row r="2194">
          <cell r="A2194" t="str">
            <v>658882C</v>
          </cell>
          <cell r="B2194" t="str">
            <v>LY-6G CTAS HI-2A</v>
          </cell>
          <cell r="C2194" t="str">
            <v>CTAS HI</v>
          </cell>
          <cell r="D2194" t="str">
            <v>布</v>
          </cell>
        </row>
        <row r="2195">
          <cell r="A2195" t="str">
            <v>658883C</v>
          </cell>
          <cell r="B2195" t="str">
            <v>LY-SA216J-B-4</v>
          </cell>
          <cell r="C2195" t="str">
            <v>PRO BLAZE STRAP HI</v>
          </cell>
          <cell r="D2195" t="str">
            <v>皮+星星月亮</v>
          </cell>
        </row>
        <row r="2196">
          <cell r="A2196" t="str">
            <v>658884C</v>
          </cell>
          <cell r="B2196" t="str">
            <v>LY-SA216J-B-4</v>
          </cell>
          <cell r="C2196" t="str">
            <v>PRO BLAZE STRAP HI</v>
          </cell>
          <cell r="D2196" t="str">
            <v>皮+星星月亮</v>
          </cell>
        </row>
        <row r="2197">
          <cell r="A2197" t="str">
            <v>659146C</v>
          </cell>
          <cell r="B2197" t="str">
            <v>LY-SK110J-1B</v>
          </cell>
          <cell r="C2197" t="str">
            <v>CONS TRE STAR OX</v>
          </cell>
          <cell r="D2197" t="str">
            <v>皮</v>
          </cell>
        </row>
        <row r="2198">
          <cell r="A2198" t="str">
            <v>659148C</v>
          </cell>
          <cell r="B2198" t="str">
            <v>LY-SK110J-1B</v>
          </cell>
          <cell r="C2198" t="str">
            <v>CONS TRE STAR OX</v>
          </cell>
          <cell r="D2198" t="str">
            <v>皮</v>
          </cell>
        </row>
        <row r="2199">
          <cell r="A2199" t="str">
            <v>659159C</v>
          </cell>
          <cell r="B2199" t="str">
            <v>LY-SK032J-B-1</v>
          </cell>
          <cell r="C2199" t="str">
            <v>CONS EL DISTRITO OX</v>
          </cell>
          <cell r="D2199" t="str">
            <v>皮+星星月亮</v>
          </cell>
        </row>
        <row r="2200">
          <cell r="A2200" t="str">
            <v>659161C</v>
          </cell>
          <cell r="B2200" t="str">
            <v>LY-SK032J-B-1</v>
          </cell>
          <cell r="C2200" t="str">
            <v>CONS EL DISTRITO OX</v>
          </cell>
          <cell r="D2200" t="str">
            <v>皮+星星月亮</v>
          </cell>
        </row>
        <row r="2201">
          <cell r="A2201" t="str">
            <v>659163C</v>
          </cell>
          <cell r="B2201" t="str">
            <v>LY-SA287J-1B</v>
          </cell>
          <cell r="C2201" t="str">
            <v>CONS ZAKIM OX</v>
          </cell>
          <cell r="D2201" t="str">
            <v>皮+星星月亮</v>
          </cell>
        </row>
        <row r="2202">
          <cell r="A2202" t="str">
            <v>659164C</v>
          </cell>
          <cell r="B2202" t="str">
            <v>LY-SA287J-1B</v>
          </cell>
          <cell r="C2202" t="str">
            <v>CONS ZAKIM OX</v>
          </cell>
          <cell r="D2202" t="str">
            <v>皮+星星月亮</v>
          </cell>
        </row>
        <row r="2203">
          <cell r="A2203" t="str">
            <v>659165C</v>
          </cell>
          <cell r="B2203" t="str">
            <v>LY-SA287J-1B</v>
          </cell>
          <cell r="C2203" t="str">
            <v>CONS ZAKIM OX</v>
          </cell>
          <cell r="D2203" t="str">
            <v>皮+星星月亮</v>
          </cell>
        </row>
        <row r="2204">
          <cell r="A2204" t="str">
            <v>660002C</v>
          </cell>
          <cell r="B2204" t="str">
            <v>LY-KD685A</v>
          </cell>
          <cell r="C2204" t="str">
            <v>STAR PLAYER OX</v>
          </cell>
          <cell r="D2204" t="str">
            <v>皮+星星月亮</v>
          </cell>
        </row>
        <row r="2205">
          <cell r="A2205" t="str">
            <v>660003C</v>
          </cell>
          <cell r="B2205" t="str">
            <v>LY-KD685A</v>
          </cell>
          <cell r="C2205" t="str">
            <v>STAR PLAYER OX</v>
          </cell>
          <cell r="D2205" t="str">
            <v>皮+星星月亮</v>
          </cell>
        </row>
        <row r="2206">
          <cell r="A2206" t="str">
            <v>660004C</v>
          </cell>
          <cell r="B2206" t="str">
            <v>LY-KD685A</v>
          </cell>
          <cell r="C2206" t="str">
            <v>STAR PLAYER OX</v>
          </cell>
          <cell r="D2206" t="str">
            <v>皮+星星月亮</v>
          </cell>
        </row>
        <row r="2207">
          <cell r="A2207" t="str">
            <v>660005C</v>
          </cell>
          <cell r="B2207" t="str">
            <v>LY-SA216J-B-5</v>
          </cell>
          <cell r="C2207" t="str">
            <v>PRO BLAZE STRAP HI</v>
          </cell>
          <cell r="D2207" t="str">
            <v>皮+星星月亮</v>
          </cell>
        </row>
        <row r="2208">
          <cell r="A2208" t="str">
            <v>660006C</v>
          </cell>
          <cell r="B2208" t="str">
            <v>LY-SA216J-B-5</v>
          </cell>
          <cell r="C2208" t="str">
            <v>PRO BLAZE STRAP HI</v>
          </cell>
          <cell r="D2208" t="str">
            <v>皮+星星月亮</v>
          </cell>
        </row>
        <row r="2209">
          <cell r="A2209" t="str">
            <v>660007C</v>
          </cell>
          <cell r="B2209" t="str">
            <v>LY-SA216J-B-5</v>
          </cell>
          <cell r="C2209" t="str">
            <v>PRO BLAZE STRAP HI</v>
          </cell>
          <cell r="D2209" t="str">
            <v>皮+星星月亮</v>
          </cell>
        </row>
        <row r="2210">
          <cell r="A2210" t="str">
            <v>660008C</v>
          </cell>
          <cell r="B2210" t="str">
            <v>LY-OS119J-1B-1</v>
          </cell>
          <cell r="C2210" t="str">
            <v>ONE STAR 3V OX</v>
          </cell>
          <cell r="D2210" t="str">
            <v>皮</v>
          </cell>
        </row>
        <row r="2211">
          <cell r="A2211" t="str">
            <v>660009C</v>
          </cell>
          <cell r="B2211" t="str">
            <v>LY-OS119J-1B-1</v>
          </cell>
          <cell r="C2211" t="str">
            <v>ONE STAR 3V OX</v>
          </cell>
          <cell r="D2211" t="str">
            <v>皮</v>
          </cell>
        </row>
        <row r="2212">
          <cell r="A2212" t="str">
            <v>660010C</v>
          </cell>
          <cell r="B2212" t="str">
            <v>LY-SA345J-A-1</v>
          </cell>
          <cell r="C2212" t="str">
            <v>BREAKPOINT OX</v>
          </cell>
          <cell r="D2212" t="str">
            <v>布+星星月亮</v>
          </cell>
        </row>
        <row r="2213">
          <cell r="A2213" t="str">
            <v>660010F</v>
          </cell>
          <cell r="B2213" t="str">
            <v>LY-SA345J-A-1</v>
          </cell>
          <cell r="C2213" t="str">
            <v>BREAK POINT OX</v>
          </cell>
          <cell r="D2213" t="str">
            <v>布+星星月亮</v>
          </cell>
        </row>
        <row r="2214">
          <cell r="A2214" t="str">
            <v>660011C</v>
          </cell>
          <cell r="B2214" t="str">
            <v>LY-SA345J-A</v>
          </cell>
          <cell r="C2214" t="str">
            <v>BREAKPOINT OX</v>
          </cell>
          <cell r="D2214" t="str">
            <v>布+星星月亮</v>
          </cell>
        </row>
        <row r="2215">
          <cell r="A2215" t="str">
            <v>660012C</v>
          </cell>
          <cell r="B2215" t="str">
            <v>LY-SA345J-A</v>
          </cell>
          <cell r="C2215" t="str">
            <v>BREAKPOINT OX</v>
          </cell>
          <cell r="D2215" t="str">
            <v>布+星星月亮</v>
          </cell>
        </row>
        <row r="2216">
          <cell r="A2216" t="str">
            <v>660014C</v>
          </cell>
          <cell r="B2216" t="str">
            <v>LY-SA345J-2B</v>
          </cell>
          <cell r="C2216" t="str">
            <v>BREAKPOINT OX</v>
          </cell>
          <cell r="D2216" t="str">
            <v>皮+星星月亮</v>
          </cell>
        </row>
        <row r="2217">
          <cell r="A2217" t="str">
            <v>660015C</v>
          </cell>
          <cell r="B2217" t="str">
            <v>LY-SA345J-2B</v>
          </cell>
          <cell r="C2217" t="str">
            <v>BREAKPOINT OX</v>
          </cell>
          <cell r="D2217" t="str">
            <v>皮+星星月亮</v>
          </cell>
        </row>
        <row r="2218">
          <cell r="A2218" t="str">
            <v>660016C</v>
          </cell>
          <cell r="B2218" t="str">
            <v>LY-SA345J-2B</v>
          </cell>
          <cell r="C2218" t="str">
            <v>BREAKPOINT OX</v>
          </cell>
          <cell r="D2218" t="str">
            <v>皮+星星月亮</v>
          </cell>
        </row>
        <row r="2219">
          <cell r="A2219" t="str">
            <v>660017C</v>
          </cell>
          <cell r="B2219" t="str">
            <v>LY-SA345J-2B</v>
          </cell>
          <cell r="C2219" t="str">
            <v>BREAKPOINT OX</v>
          </cell>
          <cell r="D2219" t="str">
            <v>皮+星星月亮</v>
          </cell>
        </row>
        <row r="2220">
          <cell r="A2220" t="str">
            <v>660031C</v>
          </cell>
          <cell r="B2220" t="str">
            <v>LY-KD686A-6</v>
          </cell>
          <cell r="C2220" t="str">
            <v>STAR PLAYER EV 3V OX</v>
          </cell>
          <cell r="D2220" t="str">
            <v>布+星星月亮</v>
          </cell>
        </row>
        <row r="2221">
          <cell r="A2221" t="str">
            <v>660032C</v>
          </cell>
          <cell r="B2221" t="str">
            <v>LY-KD686A-6</v>
          </cell>
          <cell r="C2221" t="str">
            <v>STAR PLAYER EV 3V OX</v>
          </cell>
          <cell r="D2221" t="str">
            <v>布+星星月亮</v>
          </cell>
        </row>
        <row r="2222">
          <cell r="A2222" t="str">
            <v>660033C</v>
          </cell>
          <cell r="B2222" t="str">
            <v>LY-KD686A-6</v>
          </cell>
          <cell r="C2222" t="str">
            <v>STAR PLAYER EV 2V OX</v>
          </cell>
          <cell r="D2222" t="str">
            <v>布+星星月亮</v>
          </cell>
        </row>
        <row r="2223">
          <cell r="A2223" t="str">
            <v>660034C</v>
          </cell>
          <cell r="B2223" t="str">
            <v>LY-KD686A</v>
          </cell>
          <cell r="C2223" t="str">
            <v>STAR PLAYER EV 3V OX</v>
          </cell>
          <cell r="D2223" t="str">
            <v>布+星星月亮</v>
          </cell>
        </row>
        <row r="2224">
          <cell r="A2224" t="str">
            <v>660035C</v>
          </cell>
          <cell r="B2224" t="str">
            <v>LY-KD686A</v>
          </cell>
          <cell r="C2224" t="str">
            <v>STAR PLAYER EV 3V OX</v>
          </cell>
          <cell r="D2224" t="str">
            <v>布+星星月亮</v>
          </cell>
        </row>
        <row r="2225">
          <cell r="A2225" t="str">
            <v>660036C</v>
          </cell>
          <cell r="B2225" t="str">
            <v>LY-KD686A</v>
          </cell>
          <cell r="C2225" t="str">
            <v>STAR PLAYER EV 3V OX</v>
          </cell>
          <cell r="D2225" t="str">
            <v>布+星星月亮</v>
          </cell>
        </row>
        <row r="2226">
          <cell r="A2226" t="str">
            <v>660037C</v>
          </cell>
          <cell r="B2226" t="str">
            <v>LY-OS119J-1B-2</v>
          </cell>
          <cell r="C2226" t="str">
            <v>ONE STAR 3V OX</v>
          </cell>
          <cell r="D2226" t="str">
            <v xml:space="preserve">皮 </v>
          </cell>
        </row>
        <row r="2227">
          <cell r="A2227" t="str">
            <v>660038C</v>
          </cell>
          <cell r="B2227" t="str">
            <v>LY-OS119J-1B-2</v>
          </cell>
          <cell r="C2227" t="str">
            <v>ONE STAR 3V OX</v>
          </cell>
          <cell r="D2227" t="str">
            <v>皮</v>
          </cell>
        </row>
        <row r="2228">
          <cell r="A2228" t="str">
            <v>660352C</v>
          </cell>
          <cell r="B2228" t="str">
            <v>LY-OS119J-A</v>
          </cell>
          <cell r="C2228" t="str">
            <v>ONE STAR OX</v>
          </cell>
          <cell r="D2228" t="str">
            <v>布</v>
          </cell>
        </row>
        <row r="2229">
          <cell r="A2229" t="str">
            <v>660353C</v>
          </cell>
          <cell r="B2229" t="str">
            <v>LY-OS119J-A</v>
          </cell>
          <cell r="C2229" t="str">
            <v>ONE STAR OX</v>
          </cell>
          <cell r="D2229" t="str">
            <v>布</v>
          </cell>
        </row>
        <row r="2230">
          <cell r="A2230" t="str">
            <v>660354C</v>
          </cell>
          <cell r="B2230" t="str">
            <v>LY-OS119J-A</v>
          </cell>
          <cell r="C2230" t="str">
            <v>ONE STAR OX</v>
          </cell>
          <cell r="D2230" t="str">
            <v>布</v>
          </cell>
        </row>
        <row r="2231">
          <cell r="A2231" t="str">
            <v>660727C</v>
          </cell>
          <cell r="B2231" t="str">
            <v>LY-6G CTAS OX-1J</v>
          </cell>
          <cell r="C2231" t="str">
            <v>CTAS BIG EYELET OX</v>
          </cell>
          <cell r="D2231" t="str">
            <v>布</v>
          </cell>
        </row>
        <row r="2232">
          <cell r="A2232" t="str">
            <v>660727F</v>
          </cell>
          <cell r="B2232" t="str">
            <v>LY-6G CTAS OX-1J</v>
          </cell>
          <cell r="C2232" t="str">
            <v>CTAS BIG EYELET OX</v>
          </cell>
          <cell r="D2232" t="str">
            <v>布</v>
          </cell>
        </row>
        <row r="2233">
          <cell r="A2233" t="str">
            <v>660728C</v>
          </cell>
          <cell r="B2233" t="str">
            <v>LY-6G CTAS OX-1J</v>
          </cell>
          <cell r="C2233" t="str">
            <v>CTAS BIG EYELET OX</v>
          </cell>
          <cell r="D2233" t="str">
            <v>布</v>
          </cell>
        </row>
        <row r="2234">
          <cell r="A2234" t="str">
            <v>660728F</v>
          </cell>
          <cell r="B2234" t="str">
            <v>LY-6G CTAS OX-1J</v>
          </cell>
          <cell r="C2234" t="str">
            <v>CTAS BIG EYELET OX</v>
          </cell>
          <cell r="D2234" t="str">
            <v>布</v>
          </cell>
        </row>
        <row r="2235">
          <cell r="A2235" t="str">
            <v>660729C</v>
          </cell>
          <cell r="B2235" t="str">
            <v>LY-6G CTAS OX-5A</v>
          </cell>
          <cell r="C2235" t="str">
            <v>CTAS BIG EYELET OX</v>
          </cell>
          <cell r="D2235" t="str">
            <v>布</v>
          </cell>
        </row>
        <row r="2236">
          <cell r="A2236" t="str">
            <v>660729F</v>
          </cell>
          <cell r="B2236" t="str">
            <v>LY-6G CTAS OX-5A</v>
          </cell>
          <cell r="C2236" t="str">
            <v>CTAS BIG EYELET OX</v>
          </cell>
          <cell r="D2236" t="str">
            <v>布</v>
          </cell>
        </row>
        <row r="2237">
          <cell r="A2237" t="str">
            <v>660730C</v>
          </cell>
          <cell r="B2237" t="str">
            <v>LY-6G CTAS OX-5A</v>
          </cell>
          <cell r="C2237" t="str">
            <v>CTAS BIG EYELET OX</v>
          </cell>
          <cell r="D2237" t="str">
            <v>布</v>
          </cell>
        </row>
        <row r="2238">
          <cell r="A2238" t="str">
            <v>660730F</v>
          </cell>
          <cell r="B2238" t="str">
            <v>LY-6G CTAS OX-5A</v>
          </cell>
          <cell r="C2238" t="str">
            <v>CTAS BIG EYELET OX</v>
          </cell>
          <cell r="D2238" t="str">
            <v>布</v>
          </cell>
        </row>
        <row r="2239">
          <cell r="A2239" t="str">
            <v>660731C</v>
          </cell>
          <cell r="B2239" t="str">
            <v>LY-6G CTAS OX-5A</v>
          </cell>
          <cell r="C2239" t="str">
            <v>CTAS BIG EYELET OX</v>
          </cell>
          <cell r="D2239" t="str">
            <v>布</v>
          </cell>
        </row>
        <row r="2240">
          <cell r="A2240" t="str">
            <v>660731F</v>
          </cell>
          <cell r="B2240" t="str">
            <v>LY-6G CTAS OX-5A</v>
          </cell>
          <cell r="C2240" t="str">
            <v>CT AS BIG EYELET OX</v>
          </cell>
          <cell r="D2240" t="str">
            <v>布</v>
          </cell>
        </row>
        <row r="2241">
          <cell r="A2241" t="str">
            <v>660736C</v>
          </cell>
          <cell r="B2241" t="str">
            <v>LY-SA345J-A</v>
          </cell>
          <cell r="C2241" t="str">
            <v>BREAKPOINT OX</v>
          </cell>
          <cell r="D2241" t="str">
            <v>布+星星月亮</v>
          </cell>
        </row>
        <row r="2242">
          <cell r="A2242" t="str">
            <v>660736F</v>
          </cell>
          <cell r="B2242" t="str">
            <v>LY-SA345J-A</v>
          </cell>
          <cell r="C2242" t="str">
            <v>BREAKPOINT OX</v>
          </cell>
          <cell r="D2242" t="str">
            <v>布+星星月亮</v>
          </cell>
        </row>
        <row r="2243">
          <cell r="A2243" t="str">
            <v>660737C</v>
          </cell>
          <cell r="B2243" t="str">
            <v>LY-SA345J-A</v>
          </cell>
          <cell r="C2243" t="str">
            <v>BREAKPOINT OX</v>
          </cell>
          <cell r="D2243" t="str">
            <v>布+星星月亮</v>
          </cell>
        </row>
        <row r="2244">
          <cell r="A2244" t="str">
            <v>660737F</v>
          </cell>
          <cell r="B2244" t="str">
            <v>LY-SA345J-A</v>
          </cell>
          <cell r="C2244" t="str">
            <v>BREAKPOINT OX</v>
          </cell>
          <cell r="D2244" t="str">
            <v>布+星星月亮</v>
          </cell>
        </row>
        <row r="2245">
          <cell r="A2245" t="str">
            <v>660738C</v>
          </cell>
          <cell r="B2245" t="str">
            <v>LY-SA345J-A</v>
          </cell>
          <cell r="C2245" t="str">
            <v>BREAKPOINT OX</v>
          </cell>
          <cell r="D2245" t="str">
            <v>布+星星月亮</v>
          </cell>
        </row>
        <row r="2246">
          <cell r="A2246" t="str">
            <v>660738F</v>
          </cell>
          <cell r="B2246" t="str">
            <v>LY-SA345J-A</v>
          </cell>
          <cell r="C2246" t="str">
            <v>BREAKPOINT OX</v>
          </cell>
          <cell r="D2246" t="str">
            <v>布+星星月亮</v>
          </cell>
        </row>
        <row r="2247">
          <cell r="A2247" t="str">
            <v>660739C</v>
          </cell>
          <cell r="B2247" t="str">
            <v>LY-SA345J-A</v>
          </cell>
          <cell r="C2247" t="str">
            <v>BREAKPOINT OX</v>
          </cell>
          <cell r="D2247" t="str">
            <v>布+星星月亮</v>
          </cell>
        </row>
        <row r="2248">
          <cell r="A2248" t="str">
            <v>660739F</v>
          </cell>
          <cell r="B2248" t="str">
            <v>LY-SA345J-A</v>
          </cell>
          <cell r="C2248" t="str">
            <v>BREAKPOINT OX</v>
          </cell>
          <cell r="D2248" t="str">
            <v>布+星星月亮</v>
          </cell>
        </row>
        <row r="2249">
          <cell r="A2249" t="str">
            <v>660740C</v>
          </cell>
          <cell r="B2249" t="str">
            <v>LY-KD686A</v>
          </cell>
          <cell r="C2249" t="str">
            <v>STAR PLAYER 3V OX</v>
          </cell>
          <cell r="D2249" t="str">
            <v>布+星星月亮</v>
          </cell>
        </row>
        <row r="2250">
          <cell r="A2250" t="str">
            <v>660741C</v>
          </cell>
          <cell r="B2250" t="str">
            <v>LY-KD686A</v>
          </cell>
          <cell r="C2250" t="str">
            <v>STAR PLAYER 3V OX</v>
          </cell>
          <cell r="D2250" t="str">
            <v>布+星星月亮</v>
          </cell>
        </row>
        <row r="2251">
          <cell r="A2251" t="str">
            <v>660742C</v>
          </cell>
          <cell r="B2251" t="str">
            <v>LY-KD686A</v>
          </cell>
          <cell r="C2251" t="str">
            <v>STAR PLAYER 3V OX</v>
          </cell>
          <cell r="D2251" t="str">
            <v>布+星星月亮</v>
          </cell>
        </row>
        <row r="2252">
          <cell r="A2252" t="str">
            <v>660743C</v>
          </cell>
          <cell r="B2252" t="str">
            <v>LY-KD686A</v>
          </cell>
          <cell r="C2252" t="str">
            <v>STAR PLAYER 3V OX</v>
          </cell>
          <cell r="D2252" t="str">
            <v>布+星星月亮</v>
          </cell>
        </row>
        <row r="2253">
          <cell r="A2253" t="str">
            <v>660747C</v>
          </cell>
          <cell r="B2253" t="str">
            <v>LY-SA216J-A-2</v>
          </cell>
          <cell r="C2253" t="str">
            <v>PRO BLAZE STRAP HI</v>
          </cell>
          <cell r="D2253" t="str">
            <v>布+星星月亮</v>
          </cell>
        </row>
        <row r="2254">
          <cell r="A2254" t="str">
            <v>660747F</v>
          </cell>
          <cell r="B2254" t="str">
            <v>LY-SA216J-A-2</v>
          </cell>
          <cell r="C2254" t="str">
            <v>PRO BLAZE STRAP HI</v>
          </cell>
          <cell r="D2254" t="str">
            <v>布+星星月亮</v>
          </cell>
        </row>
        <row r="2255">
          <cell r="A2255" t="str">
            <v>660748C</v>
          </cell>
          <cell r="B2255" t="str">
            <v>LY-SA216J-A-2</v>
          </cell>
          <cell r="C2255" t="str">
            <v>PRO BLAZE STRAP HI</v>
          </cell>
          <cell r="D2255" t="str">
            <v>布+星星月亮</v>
          </cell>
        </row>
        <row r="2256">
          <cell r="A2256" t="str">
            <v>660748F</v>
          </cell>
          <cell r="B2256" t="str">
            <v>LY-SA216J-A-2</v>
          </cell>
          <cell r="C2256" t="str">
            <v>PRO BLAZE STRAP HI</v>
          </cell>
          <cell r="D2256" t="str">
            <v>布+星星月亮</v>
          </cell>
        </row>
        <row r="2257">
          <cell r="A2257" t="str">
            <v>660763C</v>
          </cell>
          <cell r="B2257" t="str">
            <v>LY-OS119J-1A-1</v>
          </cell>
          <cell r="C2257" t="str">
            <v>ONE STAR 3V OX</v>
          </cell>
          <cell r="D2257" t="str">
            <v>布</v>
          </cell>
        </row>
        <row r="2258">
          <cell r="A2258" t="str">
            <v>660765C</v>
          </cell>
          <cell r="B2258" t="str">
            <v>LY-OS119J-1A-1</v>
          </cell>
          <cell r="C2258" t="str">
            <v>ONE STAR 3V OX</v>
          </cell>
          <cell r="D2258" t="str">
            <v>布</v>
          </cell>
        </row>
        <row r="2259">
          <cell r="A2259" t="str">
            <v>660962C</v>
          </cell>
          <cell r="B2259" t="str">
            <v>LY-KD685B</v>
          </cell>
          <cell r="C2259" t="str">
            <v>STAR PLAYER EV OX</v>
          </cell>
          <cell r="D2259" t="str">
            <v>布+星星月亮</v>
          </cell>
        </row>
        <row r="2260">
          <cell r="A2260" t="str">
            <v>660963C</v>
          </cell>
          <cell r="B2260" t="str">
            <v>LY-KD685B</v>
          </cell>
          <cell r="C2260" t="str">
            <v>STAR PLAYER EV OX</v>
          </cell>
          <cell r="D2260" t="str">
            <v>布+星星月亮</v>
          </cell>
        </row>
        <row r="2261">
          <cell r="A2261" t="str">
            <v>660964C</v>
          </cell>
          <cell r="B2261" t="str">
            <v>LY-KD685B</v>
          </cell>
          <cell r="C2261" t="str">
            <v>STAR PLAYER EV OX</v>
          </cell>
          <cell r="D2261" t="str">
            <v>布+星星月亮</v>
          </cell>
        </row>
        <row r="2262">
          <cell r="A2262" t="str">
            <v>660971C</v>
          </cell>
          <cell r="B2262" t="str">
            <v>LY-6G CTAS HI</v>
          </cell>
          <cell r="C2262" t="str">
            <v>CTAS HI</v>
          </cell>
          <cell r="D2262" t="str">
            <v>布</v>
          </cell>
        </row>
        <row r="2263">
          <cell r="A2263" t="str">
            <v>660972C</v>
          </cell>
          <cell r="B2263" t="str">
            <v>LY-6G CTAS HI-4A</v>
          </cell>
          <cell r="C2263" t="str">
            <v>CTAS HI</v>
          </cell>
          <cell r="D2263" t="str">
            <v>布</v>
          </cell>
        </row>
        <row r="2264">
          <cell r="A2264" t="str">
            <v>660973C</v>
          </cell>
          <cell r="B2264" t="str">
            <v>LY-6G CTAS OX-1J</v>
          </cell>
          <cell r="C2264" t="str">
            <v>CTAS BIG EYELET OX</v>
          </cell>
          <cell r="D2264" t="str">
            <v>布</v>
          </cell>
        </row>
        <row r="2265">
          <cell r="A2265" t="str">
            <v>660974C</v>
          </cell>
          <cell r="B2265" t="str">
            <v>LY-6G CTAS OX-1J</v>
          </cell>
          <cell r="C2265" t="str">
            <v>CTAS BIG EYELET OX</v>
          </cell>
          <cell r="D2265" t="str">
            <v>布</v>
          </cell>
        </row>
        <row r="2266">
          <cell r="A2266" t="str">
            <v>661014C</v>
          </cell>
          <cell r="B2266" t="str">
            <v>LY-6G CTAS HI-5A</v>
          </cell>
          <cell r="C2266" t="str">
            <v>CTAS HI</v>
          </cell>
          <cell r="D2266" t="str">
            <v>水洗</v>
          </cell>
        </row>
        <row r="2267">
          <cell r="A2267" t="str">
            <v>661072C</v>
          </cell>
          <cell r="B2267" t="str">
            <v>LY-KD685B-9B</v>
          </cell>
          <cell r="C2267" t="str">
            <v>STAR PLAYER OX</v>
          </cell>
          <cell r="D2267" t="str">
            <v>布+星星月亮</v>
          </cell>
        </row>
        <row r="2268">
          <cell r="A2268" t="str">
            <v>661073C</v>
          </cell>
          <cell r="B2268" t="str">
            <v>LY-KD685B-9B</v>
          </cell>
          <cell r="C2268" t="str">
            <v>STAR PLAYER OX</v>
          </cell>
          <cell r="D2268" t="str">
            <v>布+星星月亮</v>
          </cell>
        </row>
        <row r="2269">
          <cell r="A2269" t="str">
            <v>661075C</v>
          </cell>
          <cell r="B2269" t="str">
            <v>LY-KD685B-9B</v>
          </cell>
          <cell r="C2269" t="str">
            <v>STAR PLAYER OX</v>
          </cell>
          <cell r="D2269" t="str">
            <v>布+星星月亮</v>
          </cell>
        </row>
        <row r="2270">
          <cell r="A2270" t="str">
            <v>661827C</v>
          </cell>
          <cell r="B2270" t="str">
            <v>LY-6G CTAS HI-5B</v>
          </cell>
          <cell r="C2270" t="str">
            <v>CTAS HI</v>
          </cell>
          <cell r="D2270" t="str">
            <v>皮</v>
          </cell>
        </row>
        <row r="2271">
          <cell r="A2271" t="str">
            <v>661828C</v>
          </cell>
          <cell r="B2271" t="str">
            <v>LY-6G CTAS HI-6A</v>
          </cell>
          <cell r="C2271" t="str">
            <v>CTAS</v>
          </cell>
          <cell r="D2271" t="str">
            <v>布</v>
          </cell>
        </row>
        <row r="2272">
          <cell r="A2272" t="str">
            <v>661828F</v>
          </cell>
          <cell r="B2272" t="str">
            <v>LY-6G CTAS HI-6A</v>
          </cell>
          <cell r="C2272" t="str">
            <v>CTAS</v>
          </cell>
          <cell r="D2272" t="str">
            <v>布</v>
          </cell>
        </row>
        <row r="2273">
          <cell r="A2273" t="str">
            <v>661829C</v>
          </cell>
          <cell r="B2273" t="str">
            <v>LY-6G CTAS HI-6A</v>
          </cell>
          <cell r="C2273" t="str">
            <v>CTAS HI</v>
          </cell>
          <cell r="D2273" t="str">
            <v>布</v>
          </cell>
        </row>
        <row r="2274">
          <cell r="A2274" t="str">
            <v>661829F</v>
          </cell>
          <cell r="B2274" t="str">
            <v>LY-6G CTAS HI-6A</v>
          </cell>
          <cell r="C2274" t="str">
            <v>CTAS</v>
          </cell>
          <cell r="D2274" t="str">
            <v>布</v>
          </cell>
        </row>
        <row r="2275">
          <cell r="A2275" t="str">
            <v>661834C</v>
          </cell>
          <cell r="B2275" t="str">
            <v>LY-6G CTAS OX-6A</v>
          </cell>
          <cell r="C2275" t="str">
            <v>CTAS OX</v>
          </cell>
          <cell r="D2275" t="str">
            <v>布</v>
          </cell>
        </row>
        <row r="2276">
          <cell r="A2276" t="str">
            <v>661834F</v>
          </cell>
          <cell r="B2276" t="str">
            <v>LY-6G CTAS OX-6A</v>
          </cell>
          <cell r="C2276" t="str">
            <v>CTAS OX</v>
          </cell>
          <cell r="D2276" t="str">
            <v>布</v>
          </cell>
        </row>
        <row r="2277">
          <cell r="A2277" t="str">
            <v>661835C</v>
          </cell>
          <cell r="B2277" t="str">
            <v>LY-6G CTAS OX-6A</v>
          </cell>
          <cell r="C2277" t="str">
            <v>CTAS OX</v>
          </cell>
          <cell r="D2277" t="str">
            <v>布</v>
          </cell>
        </row>
        <row r="2278">
          <cell r="A2278" t="str">
            <v>661835F</v>
          </cell>
          <cell r="B2278" t="str">
            <v>LY-6G CTAS OX-6A</v>
          </cell>
          <cell r="C2278" t="str">
            <v>CTAS OX</v>
          </cell>
          <cell r="D2278" t="str">
            <v>布</v>
          </cell>
        </row>
        <row r="2279">
          <cell r="A2279" t="str">
            <v>661872C</v>
          </cell>
          <cell r="B2279" t="str">
            <v>LY-6G CTAS OX-5B</v>
          </cell>
          <cell r="C2279" t="str">
            <v>CTAS OX</v>
          </cell>
          <cell r="D2279" t="str">
            <v>皮</v>
          </cell>
        </row>
        <row r="2280">
          <cell r="A2280" t="str">
            <v>661873C</v>
          </cell>
          <cell r="B2280" t="str">
            <v>LY-6G CTAS OX-5B</v>
          </cell>
          <cell r="C2280" t="str">
            <v>CTAS OX</v>
          </cell>
          <cell r="D2280" t="str">
            <v>皮</v>
          </cell>
        </row>
        <row r="2281">
          <cell r="A2281" t="str">
            <v>661874C</v>
          </cell>
          <cell r="B2281" t="str">
            <v>LY-6G CTAS OX-2J</v>
          </cell>
          <cell r="C2281" t="str">
            <v>CTAS BIG EYELETS OX</v>
          </cell>
          <cell r="D2281" t="str">
            <v>布</v>
          </cell>
        </row>
        <row r="2282">
          <cell r="A2282" t="str">
            <v>661874F</v>
          </cell>
          <cell r="B2282" t="str">
            <v>LY-6G CTAS OX-2J</v>
          </cell>
          <cell r="C2282" t="str">
            <v>CTAS BIG EYELETS OX</v>
          </cell>
          <cell r="D2282" t="str">
            <v>布</v>
          </cell>
        </row>
        <row r="2283">
          <cell r="A2283" t="str">
            <v>661875C</v>
          </cell>
          <cell r="B2283" t="str">
            <v>LY-6G CTAS OX-2J</v>
          </cell>
          <cell r="C2283" t="str">
            <v>CTAS BIG EYELETS OX</v>
          </cell>
          <cell r="D2283" t="str">
            <v>布</v>
          </cell>
        </row>
        <row r="2284">
          <cell r="A2284" t="str">
            <v>661875F</v>
          </cell>
          <cell r="B2284" t="str">
            <v>LY-6G CTAS OX-2J</v>
          </cell>
          <cell r="C2284" t="str">
            <v>CTAS BIG EYELETS OX</v>
          </cell>
          <cell r="D2284" t="str">
            <v>布</v>
          </cell>
        </row>
        <row r="2285">
          <cell r="A2285" t="str">
            <v>661876C</v>
          </cell>
          <cell r="B2285" t="str">
            <v>LY-6G CTAS OX-2J</v>
          </cell>
          <cell r="C2285" t="str">
            <v>CT AS BIG EYELETS OX</v>
          </cell>
          <cell r="D2285" t="str">
            <v>布</v>
          </cell>
        </row>
        <row r="2286">
          <cell r="A2286" t="str">
            <v>661877C</v>
          </cell>
          <cell r="B2286" t="str">
            <v>LY-6G CTAS OX-6B</v>
          </cell>
          <cell r="C2286" t="str">
            <v>CT AS OX</v>
          </cell>
          <cell r="D2286" t="str">
            <v>皮</v>
          </cell>
        </row>
        <row r="2287">
          <cell r="A2287" t="str">
            <v>661878C</v>
          </cell>
          <cell r="B2287" t="str">
            <v>LY-6G CTAS OX-6B</v>
          </cell>
          <cell r="C2287" t="str">
            <v>CT AS OX</v>
          </cell>
          <cell r="D2287" t="str">
            <v>皮</v>
          </cell>
        </row>
        <row r="2288">
          <cell r="A2288" t="str">
            <v>661879C</v>
          </cell>
          <cell r="B2288" t="str">
            <v>LY-6G CTAS OX-6B</v>
          </cell>
          <cell r="C2288" t="str">
            <v>CT AS OX</v>
          </cell>
          <cell r="D2288" t="str">
            <v>皮</v>
          </cell>
        </row>
        <row r="2289">
          <cell r="A2289" t="str">
            <v>661916C</v>
          </cell>
          <cell r="B2289" t="str">
            <v>LY-KD685B-10</v>
          </cell>
          <cell r="C2289" t="str">
            <v>STAR PLAYER OX</v>
          </cell>
          <cell r="D2289" t="str">
            <v>皮+星星月亮</v>
          </cell>
        </row>
        <row r="2290">
          <cell r="A2290" t="str">
            <v>661917C</v>
          </cell>
          <cell r="B2290" t="str">
            <v>LY-KD685B-10</v>
          </cell>
          <cell r="C2290" t="str">
            <v>STAR PLAYER EV OX</v>
          </cell>
          <cell r="D2290" t="str">
            <v>皮+星星月亮</v>
          </cell>
        </row>
        <row r="2291">
          <cell r="A2291" t="str">
            <v>661918C</v>
          </cell>
          <cell r="B2291" t="str">
            <v>LY-KD685B-10</v>
          </cell>
          <cell r="C2291" t="str">
            <v>STAR PLAYER OX</v>
          </cell>
          <cell r="D2291" t="str">
            <v>皮+星星月亮</v>
          </cell>
        </row>
        <row r="2292">
          <cell r="A2292" t="str">
            <v>661919C</v>
          </cell>
          <cell r="B2292" t="str">
            <v>LY-KD686B-4</v>
          </cell>
          <cell r="C2292" t="str">
            <v>STAR PLAYER 3V OX</v>
          </cell>
          <cell r="D2292" t="str">
            <v>皮+星星月亮</v>
          </cell>
        </row>
        <row r="2293">
          <cell r="A2293" t="str">
            <v>661922C</v>
          </cell>
          <cell r="B2293" t="str">
            <v>LY-SA170J-6B</v>
          </cell>
          <cell r="C2293" t="str">
            <v>STAR PLAYER EV 3V MID</v>
          </cell>
          <cell r="D2293" t="str">
            <v>皮+星星月亮</v>
          </cell>
        </row>
        <row r="2294">
          <cell r="A2294" t="str">
            <v>661923C</v>
          </cell>
          <cell r="B2294" t="str">
            <v>LY-SA170J-6B</v>
          </cell>
          <cell r="C2294" t="str">
            <v>STAR PLAYER EV 3V MID</v>
          </cell>
          <cell r="D2294" t="str">
            <v>皮+星星月亮</v>
          </cell>
        </row>
        <row r="2295">
          <cell r="A2295" t="str">
            <v>661925C</v>
          </cell>
          <cell r="B2295" t="str">
            <v>LY-SA170J-6B</v>
          </cell>
          <cell r="C2295" t="str">
            <v>STAR PLAYER EV 3V MID</v>
          </cell>
          <cell r="D2295" t="str">
            <v>皮+星星月亮</v>
          </cell>
        </row>
        <row r="2296">
          <cell r="A2296" t="str">
            <v>661926C</v>
          </cell>
          <cell r="B2296" t="str">
            <v>LY-SA216J-B-3</v>
          </cell>
          <cell r="C2296" t="str">
            <v>PRO BLAZE STRAP HI</v>
          </cell>
          <cell r="D2296" t="str">
            <v>皮+星星月亮</v>
          </cell>
        </row>
        <row r="2297">
          <cell r="A2297" t="str">
            <v>661927C</v>
          </cell>
          <cell r="B2297" t="str">
            <v>LY-SA216J-B-3</v>
          </cell>
          <cell r="C2297" t="str">
            <v>PRO BLAZE STRAP HI</v>
          </cell>
          <cell r="D2297" t="str">
            <v>皮+星星月亮</v>
          </cell>
        </row>
        <row r="2298">
          <cell r="A2298" t="str">
            <v>661928C</v>
          </cell>
          <cell r="B2298" t="str">
            <v>LY-SA216J-B-3</v>
          </cell>
          <cell r="C2298" t="str">
            <v>PRO BLAZE STRAP HI</v>
          </cell>
          <cell r="D2298" t="str">
            <v>皮+星星月亮</v>
          </cell>
        </row>
        <row r="2299">
          <cell r="A2299" t="str">
            <v>661929C</v>
          </cell>
          <cell r="B2299" t="str">
            <v>LY-SA216J-B-3</v>
          </cell>
          <cell r="C2299" t="str">
            <v>PRO BLAZE STRAP HI</v>
          </cell>
          <cell r="D2299" t="str">
            <v>皮+星星月亮</v>
          </cell>
        </row>
        <row r="2300">
          <cell r="A2300" t="str">
            <v>661936C</v>
          </cell>
          <cell r="B2300" t="str">
            <v>LY-KD686B-4</v>
          </cell>
          <cell r="C2300" t="str">
            <v>STAR PLAYER 3V OX</v>
          </cell>
          <cell r="D2300" t="str">
            <v>皮+星星月亮</v>
          </cell>
        </row>
        <row r="2301">
          <cell r="A2301" t="str">
            <v>661937C</v>
          </cell>
          <cell r="B2301" t="str">
            <v>LY-KD686B-4</v>
          </cell>
          <cell r="C2301" t="str">
            <v>STAR PLAYER 3V OX</v>
          </cell>
          <cell r="D2301" t="str">
            <v>皮+星星月亮</v>
          </cell>
        </row>
        <row r="2302">
          <cell r="A2302" t="str">
            <v>662306C</v>
          </cell>
          <cell r="B2302" t="str">
            <v>LY-6G CTAS OX-3J</v>
          </cell>
          <cell r="C2302" t="str">
            <v>CTAS BIG EYELETS</v>
          </cell>
          <cell r="D2302" t="str">
            <v>布</v>
          </cell>
        </row>
        <row r="2303">
          <cell r="A2303" t="str">
            <v>662307C</v>
          </cell>
          <cell r="B2303" t="str">
            <v>LY-6G CTAS OX-3J</v>
          </cell>
          <cell r="C2303" t="str">
            <v>CTAS BIG EYELETS</v>
          </cell>
          <cell r="D2303" t="str">
            <v>布</v>
          </cell>
        </row>
        <row r="2304">
          <cell r="A2304" t="str">
            <v>662308C</v>
          </cell>
          <cell r="B2304" t="str">
            <v>LY-6G CTAS OX-3J</v>
          </cell>
          <cell r="C2304" t="str">
            <v>CTAS BIG EYELETS</v>
          </cell>
          <cell r="D2304" t="str">
            <v>布</v>
          </cell>
        </row>
        <row r="2305">
          <cell r="A2305" t="str">
            <v>662756C</v>
          </cell>
          <cell r="B2305" t="str">
            <v>LY-SA216J-B-4B</v>
          </cell>
          <cell r="C2305" t="str">
            <v>PRO BLAZE STRAP</v>
          </cell>
          <cell r="D2305" t="str">
            <v>皮+星星月亮</v>
          </cell>
        </row>
        <row r="2306">
          <cell r="A2306" t="str">
            <v>662757C</v>
          </cell>
          <cell r="B2306" t="str">
            <v>LY-SA216J-B-4B</v>
          </cell>
          <cell r="C2306" t="str">
            <v>PRO BLAZE STRAP</v>
          </cell>
          <cell r="D2306" t="str">
            <v>皮+星星月亮</v>
          </cell>
        </row>
        <row r="2307">
          <cell r="A2307" t="str">
            <v>662758C</v>
          </cell>
          <cell r="B2307" t="str">
            <v>LY-SA216J-B-4B</v>
          </cell>
          <cell r="C2307" t="str">
            <v>PRO BLAZE STRAP</v>
          </cell>
          <cell r="D2307" t="str">
            <v>皮+星星月亮</v>
          </cell>
        </row>
        <row r="2308">
          <cell r="A2308" t="str">
            <v>662759C</v>
          </cell>
          <cell r="B2308" t="str">
            <v>LY-SA216J-B-4B</v>
          </cell>
          <cell r="C2308" t="str">
            <v>PRO BLAZE STRAP</v>
          </cell>
          <cell r="D2308" t="str">
            <v>皮+星星月亮</v>
          </cell>
        </row>
        <row r="2309">
          <cell r="A2309" t="str">
            <v>662764C</v>
          </cell>
          <cell r="B2309" t="str">
            <v>LY-KD685A-7</v>
          </cell>
          <cell r="C2309" t="str">
            <v>STAR PLAYER EV OX</v>
          </cell>
          <cell r="D2309" t="str">
            <v>皮+星星月亮</v>
          </cell>
        </row>
        <row r="2310">
          <cell r="A2310" t="str">
            <v>662766C</v>
          </cell>
          <cell r="B2310" t="str">
            <v>LY-KD685A-3-A</v>
          </cell>
          <cell r="C2310" t="str">
            <v>STAR PLAYER EV OX</v>
          </cell>
          <cell r="D2310" t="str">
            <v>皮+星星月亮</v>
          </cell>
        </row>
        <row r="2311">
          <cell r="A2311" t="str">
            <v>662769C</v>
          </cell>
          <cell r="B2311" t="str">
            <v>LY-KD685A-3-1A</v>
          </cell>
          <cell r="C2311" t="str">
            <v>STAR PLAYER EV OX</v>
          </cell>
          <cell r="D2311" t="str">
            <v>皮+星星月亮</v>
          </cell>
        </row>
        <row r="2312">
          <cell r="A2312" t="str">
            <v>662771C</v>
          </cell>
          <cell r="B2312" t="str">
            <v>LY-KD685A-3-1A</v>
          </cell>
          <cell r="C2312" t="str">
            <v>STAR PLAYER EV OX</v>
          </cell>
          <cell r="D2312" t="str">
            <v>皮+星星月亮</v>
          </cell>
        </row>
        <row r="2313">
          <cell r="A2313" t="str">
            <v>662798C</v>
          </cell>
          <cell r="B2313" t="str">
            <v>LY-6G CTAS HI-6B</v>
          </cell>
          <cell r="C2313" t="str">
            <v>CT AS HI</v>
          </cell>
          <cell r="D2313" t="str">
            <v>皮</v>
          </cell>
        </row>
        <row r="2314">
          <cell r="A2314" t="str">
            <v>662802C</v>
          </cell>
          <cell r="B2314" t="str">
            <v>LY-6G CTAS HI-7A</v>
          </cell>
          <cell r="C2314" t="str">
            <v>CT AS HI</v>
          </cell>
          <cell r="D2314" t="str">
            <v>布</v>
          </cell>
        </row>
        <row r="2315">
          <cell r="A2315" t="str">
            <v>662817C</v>
          </cell>
          <cell r="B2315" t="str">
            <v>LY-SA216J-B-3</v>
          </cell>
          <cell r="C2315" t="str">
            <v>PRO BLAZE STRAP HI</v>
          </cell>
          <cell r="D2315" t="str">
            <v>皮+星星月亮</v>
          </cell>
        </row>
        <row r="2316">
          <cell r="A2316" t="str">
            <v>663002C</v>
          </cell>
          <cell r="B2316" t="str">
            <v>LY-SA400J-A</v>
          </cell>
          <cell r="C2316" t="str">
            <v>SONNY</v>
          </cell>
          <cell r="D2316" t="str">
            <v>布</v>
          </cell>
        </row>
        <row r="2317">
          <cell r="A2317" t="str">
            <v>663004C</v>
          </cell>
          <cell r="B2317" t="str">
            <v>LY-SA400J-A</v>
          </cell>
          <cell r="C2317" t="str">
            <v>SONNY</v>
          </cell>
          <cell r="D2317" t="str">
            <v>布</v>
          </cell>
        </row>
        <row r="2318">
          <cell r="A2318" t="str">
            <v>663005C</v>
          </cell>
          <cell r="B2318" t="str">
            <v>LY-SA400J-A</v>
          </cell>
          <cell r="C2318" t="str">
            <v>SONNY</v>
          </cell>
          <cell r="D2318" t="str">
            <v>布</v>
          </cell>
        </row>
        <row r="2319">
          <cell r="A2319" t="str">
            <v>663588C</v>
          </cell>
          <cell r="B2319" t="str">
            <v>LY-OS119J-B-9</v>
          </cell>
          <cell r="C2319" t="str">
            <v>ONE STAR</v>
          </cell>
          <cell r="D2319" t="str">
            <v>皮</v>
          </cell>
        </row>
        <row r="2320">
          <cell r="A2320" t="str">
            <v>663589C</v>
          </cell>
          <cell r="B2320" t="str">
            <v>LY-OS119J-B-9</v>
          </cell>
          <cell r="C2320" t="str">
            <v>ONE STAR</v>
          </cell>
          <cell r="D2320" t="str">
            <v>皮</v>
          </cell>
        </row>
        <row r="2321">
          <cell r="A2321" t="str">
            <v>663590C</v>
          </cell>
          <cell r="B2321" t="str">
            <v>LY-OS119J-B-9</v>
          </cell>
          <cell r="C2321" t="str">
            <v>ONE STAR</v>
          </cell>
          <cell r="D2321" t="str">
            <v>皮</v>
          </cell>
        </row>
        <row r="2322">
          <cell r="A2322" t="str">
            <v>663599C</v>
          </cell>
          <cell r="B2322" t="str">
            <v>LY-KD686A-8</v>
          </cell>
          <cell r="C2322" t="str">
            <v>STAR PLAYER 3V</v>
          </cell>
          <cell r="D2322" t="str">
            <v>布+星星月亮</v>
          </cell>
        </row>
        <row r="2323">
          <cell r="A2323" t="str">
            <v>663600C</v>
          </cell>
          <cell r="B2323" t="str">
            <v>LY-KD686A-8</v>
          </cell>
          <cell r="C2323" t="str">
            <v>STAR PLAYER 3V</v>
          </cell>
          <cell r="D2323" t="str">
            <v>布+星星月亮</v>
          </cell>
        </row>
        <row r="2324">
          <cell r="A2324" t="str">
            <v>663601C</v>
          </cell>
          <cell r="B2324" t="str">
            <v>LY-KD686A-8</v>
          </cell>
          <cell r="C2324" t="str">
            <v>STAR PLAYER 3V</v>
          </cell>
          <cell r="D2324" t="str">
            <v>布+星星月亮</v>
          </cell>
        </row>
        <row r="2325">
          <cell r="A2325" t="str">
            <v>663601F</v>
          </cell>
          <cell r="B2325" t="str">
            <v>LY-KD686A-8</v>
          </cell>
          <cell r="C2325" t="str">
            <v>STAR PLAYER 3V</v>
          </cell>
          <cell r="D2325" t="str">
            <v>布+星星月亮</v>
          </cell>
        </row>
        <row r="2326">
          <cell r="A2326" t="str">
            <v>663602C</v>
          </cell>
          <cell r="B2326" t="str">
            <v>LY-SA216J-3A</v>
          </cell>
          <cell r="C2326" t="str">
            <v>PRO BLAZE STRAP</v>
          </cell>
          <cell r="D2326" t="str">
            <v>布+星星月亮</v>
          </cell>
        </row>
        <row r="2327">
          <cell r="A2327" t="str">
            <v>663603C</v>
          </cell>
          <cell r="B2327" t="str">
            <v>LY-SA216J-3A</v>
          </cell>
          <cell r="C2327" t="str">
            <v>PRO BLAZE STRAP</v>
          </cell>
          <cell r="D2327" t="str">
            <v>布+星星月亮</v>
          </cell>
        </row>
        <row r="2328">
          <cell r="A2328" t="str">
            <v>663604C</v>
          </cell>
          <cell r="B2328" t="str">
            <v>LY-SA216J-3A</v>
          </cell>
          <cell r="C2328" t="str">
            <v>PRO BLAZE STRAP</v>
          </cell>
          <cell r="D2328" t="str">
            <v>布+星星月亮</v>
          </cell>
        </row>
        <row r="2329">
          <cell r="A2329" t="str">
            <v>663605C</v>
          </cell>
          <cell r="B2329" t="str">
            <v>LY-SA216J-3B</v>
          </cell>
          <cell r="C2329" t="str">
            <v>PRO BLAZE STRAP</v>
          </cell>
          <cell r="D2329" t="str">
            <v>皮+星星月亮</v>
          </cell>
        </row>
        <row r="2330">
          <cell r="A2330" t="str">
            <v>663606C</v>
          </cell>
          <cell r="B2330" t="str">
            <v>LY-SA216J-3B</v>
          </cell>
          <cell r="C2330" t="str">
            <v>PRO BLAZE STRAP</v>
          </cell>
          <cell r="D2330" t="str">
            <v>皮+星星月亮</v>
          </cell>
        </row>
        <row r="2331">
          <cell r="A2331" t="str">
            <v>663607C</v>
          </cell>
          <cell r="B2331" t="str">
            <v>LY-SA216J-3B</v>
          </cell>
          <cell r="C2331" t="str">
            <v>PRO BLAZE STRAP HI</v>
          </cell>
          <cell r="D2331" t="str">
            <v>皮+星星月亮</v>
          </cell>
        </row>
        <row r="2332">
          <cell r="A2332" t="str">
            <v>663608C</v>
          </cell>
          <cell r="B2332" t="str">
            <v>LY-SA216J-3B</v>
          </cell>
          <cell r="C2332" t="str">
            <v>PRO BLAZE STRAP</v>
          </cell>
          <cell r="D2332" t="str">
            <v>皮+星星月亮</v>
          </cell>
        </row>
        <row r="2333">
          <cell r="A2333" t="str">
            <v>663653C</v>
          </cell>
          <cell r="B2333" t="str">
            <v>LY-SA216J-3A</v>
          </cell>
          <cell r="C2333" t="str">
            <v>PRO BLAZE STRAP</v>
          </cell>
          <cell r="D2333" t="str">
            <v>布+星星月亮</v>
          </cell>
        </row>
        <row r="2334">
          <cell r="A2334" t="str">
            <v>663654C</v>
          </cell>
          <cell r="B2334" t="str">
            <v>LY-SA216J-3A</v>
          </cell>
          <cell r="C2334" t="str">
            <v>PRO BLAZE STRAP</v>
          </cell>
          <cell r="D2334" t="str">
            <v>皮+星星月亮</v>
          </cell>
        </row>
        <row r="2335">
          <cell r="A2335" t="str">
            <v>663655C</v>
          </cell>
          <cell r="B2335" t="str">
            <v>LY-KD685A-8</v>
          </cell>
          <cell r="C2335" t="str">
            <v>STAR PLAYER EV</v>
          </cell>
          <cell r="D2335" t="str">
            <v>布+星星月亮</v>
          </cell>
        </row>
        <row r="2336">
          <cell r="A2336" t="str">
            <v>663656C</v>
          </cell>
          <cell r="B2336" t="str">
            <v>LY-KD685A-8</v>
          </cell>
          <cell r="C2336" t="str">
            <v>STAR PLAYER EV</v>
          </cell>
          <cell r="D2336" t="str">
            <v>布+星星月亮</v>
          </cell>
        </row>
        <row r="2337">
          <cell r="A2337" t="str">
            <v>663656F</v>
          </cell>
          <cell r="B2337" t="str">
            <v>LY-KD685A-8</v>
          </cell>
          <cell r="C2337" t="str">
            <v>STAR PLAYER EV</v>
          </cell>
          <cell r="D2337" t="str">
            <v>布+星星月亮</v>
          </cell>
        </row>
        <row r="2338">
          <cell r="A2338" t="str">
            <v>663657C</v>
          </cell>
          <cell r="B2338" t="str">
            <v>LY-KD685A-8</v>
          </cell>
          <cell r="C2338" t="str">
            <v>STAR PLAYER EV</v>
          </cell>
          <cell r="D2338" t="str">
            <v>布+星星月亮</v>
          </cell>
        </row>
        <row r="2339">
          <cell r="A2339" t="str">
            <v>663657F</v>
          </cell>
          <cell r="B2339" t="str">
            <v>LY-KD685A-8</v>
          </cell>
          <cell r="C2339" t="str">
            <v>STAR PLAYER EV</v>
          </cell>
          <cell r="D2339" t="str">
            <v>布+星星月亮</v>
          </cell>
        </row>
        <row r="2340">
          <cell r="A2340" t="str">
            <v>663858C</v>
          </cell>
          <cell r="B2340" t="str">
            <v>LY-6G CTAS HI-7A-1</v>
          </cell>
          <cell r="C2340" t="str">
            <v>CHUCK TAYLOR ALL STAR</v>
          </cell>
          <cell r="D2340" t="str">
            <v>布</v>
          </cell>
        </row>
        <row r="2341">
          <cell r="A2341" t="str">
            <v>663989C</v>
          </cell>
          <cell r="B2341" t="str">
            <v>LY-KD685B-11</v>
          </cell>
          <cell r="C2341" t="str">
            <v>STAR PLAYER EV</v>
          </cell>
          <cell r="D2341" t="str">
            <v>皮+星星月亮</v>
          </cell>
        </row>
        <row r="2342">
          <cell r="A2342" t="str">
            <v>663991C</v>
          </cell>
          <cell r="B2342" t="str">
            <v>LY-KD685B-11</v>
          </cell>
          <cell r="C2342" t="str">
            <v>STAR PLAYER EV</v>
          </cell>
          <cell r="D2342" t="str">
            <v>皮+星星月亮</v>
          </cell>
        </row>
        <row r="2343">
          <cell r="A2343" t="str">
            <v>663992C</v>
          </cell>
          <cell r="B2343" t="str">
            <v>LY-KD685B-11</v>
          </cell>
          <cell r="C2343" t="str">
            <v>STAR PLAYER EV</v>
          </cell>
          <cell r="D2343" t="str">
            <v>皮+星星月亮</v>
          </cell>
        </row>
        <row r="2344">
          <cell r="A2344" t="str">
            <v>663998C</v>
          </cell>
          <cell r="B2344" t="str">
            <v>LY-6G CTAS OX-5J</v>
          </cell>
          <cell r="C2344" t="str">
            <v>CHUCK TAYLOR ALL STAR BIG EYELET</v>
          </cell>
          <cell r="D2344" t="str">
            <v>布</v>
          </cell>
        </row>
        <row r="2345">
          <cell r="A2345" t="str">
            <v>663999C</v>
          </cell>
          <cell r="B2345" t="str">
            <v>LY-6G CTAS OX-4J</v>
          </cell>
          <cell r="C2345" t="str">
            <v>CHUCK TAYLOR ALL STAR BIG EYELETS</v>
          </cell>
          <cell r="D2345" t="str">
            <v>布</v>
          </cell>
        </row>
        <row r="2346">
          <cell r="A2346" t="str">
            <v>664184C</v>
          </cell>
          <cell r="B2346" t="str">
            <v>LY- KD686A-8</v>
          </cell>
          <cell r="C2346" t="str">
            <v>STAR PLAYER 3V</v>
          </cell>
          <cell r="D2346" t="str">
            <v>布+星星月亮</v>
          </cell>
        </row>
        <row r="2347">
          <cell r="A2347" t="str">
            <v>664184F</v>
          </cell>
          <cell r="B2347" t="str">
            <v>LY- KD686A-8</v>
          </cell>
          <cell r="C2347" t="str">
            <v>STAR PLAYER 3V</v>
          </cell>
          <cell r="D2347" t="str">
            <v>布+星星月亮</v>
          </cell>
        </row>
        <row r="2348">
          <cell r="A2348" t="str">
            <v>664434C</v>
          </cell>
          <cell r="B2348" t="str">
            <v>LY-KD686A-8</v>
          </cell>
          <cell r="C2348" t="str">
            <v>STAR PLAYER 3V</v>
          </cell>
          <cell r="D2348" t="str">
            <v>布+星星月亮</v>
          </cell>
        </row>
        <row r="2349">
          <cell r="A2349" t="str">
            <v>664435C</v>
          </cell>
          <cell r="B2349" t="str">
            <v>LY-KD686A-8</v>
          </cell>
          <cell r="C2349" t="str">
            <v>STAR PLAYER 3V OX</v>
          </cell>
          <cell r="D2349" t="str">
            <v>布+星星月亮</v>
          </cell>
        </row>
        <row r="2350">
          <cell r="A2350" t="str">
            <v>664436C</v>
          </cell>
          <cell r="B2350" t="str">
            <v>LY-KD686A-8</v>
          </cell>
          <cell r="C2350" t="str">
            <v>STAR PLAYER 3V</v>
          </cell>
          <cell r="D2350" t="str">
            <v>布+星星月亮</v>
          </cell>
        </row>
        <row r="2351">
          <cell r="A2351" t="str">
            <v>664859C</v>
          </cell>
          <cell r="B2351" t="str">
            <v>LY-KD685B-13</v>
          </cell>
          <cell r="C2351" t="str">
            <v>STAR PLAYER EV</v>
          </cell>
          <cell r="D2351" t="str">
            <v>布+星星月亮</v>
          </cell>
        </row>
        <row r="2352">
          <cell r="A2352" t="str">
            <v>664860C</v>
          </cell>
          <cell r="B2352" t="str">
            <v>LY-KD685B-13</v>
          </cell>
          <cell r="C2352" t="str">
            <v>STAR PLAYER EV</v>
          </cell>
          <cell r="D2352" t="str">
            <v>布+星星月亮</v>
          </cell>
        </row>
        <row r="2353">
          <cell r="A2353" t="str">
            <v>715467</v>
          </cell>
          <cell r="B2353" t="str">
            <v>LY-KD251B-1</v>
          </cell>
          <cell r="C2353" t="str">
            <v>STAR PLYR 3V OX</v>
          </cell>
          <cell r="D2353" t="str">
            <v>布</v>
          </cell>
        </row>
        <row r="2354">
          <cell r="A2354" t="str">
            <v>715660</v>
          </cell>
          <cell r="B2354" t="str">
            <v>LY-KD251B-1</v>
          </cell>
          <cell r="C2354" t="str">
            <v>STAR PLYR 3V OX</v>
          </cell>
          <cell r="D2354" t="str">
            <v>布</v>
          </cell>
        </row>
        <row r="2355">
          <cell r="A2355" t="str">
            <v>716828C</v>
          </cell>
          <cell r="B2355" t="str">
            <v>LY-497C</v>
          </cell>
          <cell r="C2355" t="str">
            <v>CT AS OX</v>
          </cell>
          <cell r="D2355" t="str">
            <v>布</v>
          </cell>
        </row>
        <row r="2356">
          <cell r="A2356" t="str">
            <v>742935C</v>
          </cell>
          <cell r="B2356" t="str">
            <v>LY-SA216N-A</v>
          </cell>
          <cell r="C2356" t="str">
            <v>PRO BLAZE STRAP HI</v>
          </cell>
          <cell r="D2356" t="str">
            <v>布</v>
          </cell>
        </row>
        <row r="2357">
          <cell r="A2357" t="str">
            <v>744239C</v>
          </cell>
          <cell r="B2357" t="str">
            <v>LY-SK032N-A</v>
          </cell>
          <cell r="C2357" t="str">
            <v>GATES OX</v>
          </cell>
          <cell r="D2357" t="str">
            <v>布+星星月亮</v>
          </cell>
        </row>
        <row r="2358">
          <cell r="A2358" t="str">
            <v>744241C</v>
          </cell>
          <cell r="B2358" t="str">
            <v>LY-SK032N-A</v>
          </cell>
          <cell r="C2358" t="str">
            <v>GATES OX</v>
          </cell>
          <cell r="D2358" t="str">
            <v>布+星星月亮</v>
          </cell>
        </row>
        <row r="2359">
          <cell r="A2359" t="str">
            <v>744243C</v>
          </cell>
          <cell r="B2359" t="str">
            <v>LY-SK032N-A</v>
          </cell>
          <cell r="C2359" t="str">
            <v>GATES OX</v>
          </cell>
          <cell r="D2359" t="str">
            <v>布+星星月亮</v>
          </cell>
        </row>
        <row r="2360">
          <cell r="A2360" t="str">
            <v>744244C</v>
          </cell>
          <cell r="B2360" t="str">
            <v>LY-SK032N-A</v>
          </cell>
          <cell r="C2360" t="str">
            <v>GATES OX</v>
          </cell>
          <cell r="D2360" t="str">
            <v>布+星星月亮</v>
          </cell>
        </row>
        <row r="2361">
          <cell r="A2361" t="str">
            <v>745215F</v>
          </cell>
          <cell r="B2361" t="str">
            <v>LY-CT479N</v>
          </cell>
          <cell r="C2361" t="str">
            <v>CT PARTY HI</v>
          </cell>
          <cell r="D2361" t="str">
            <v>布</v>
          </cell>
        </row>
        <row r="2362">
          <cell r="A2362" t="str">
            <v>745255C</v>
          </cell>
          <cell r="B2362" t="str">
            <v>LY-KD251A</v>
          </cell>
          <cell r="C2362" t="str">
            <v>STAR PLYR EV 2V OX</v>
          </cell>
          <cell r="D2362" t="str">
            <v>皮+星星月亮</v>
          </cell>
        </row>
        <row r="2363">
          <cell r="A2363" t="str">
            <v>745262C</v>
          </cell>
          <cell r="B2363" t="str">
            <v>LY-SA216N-B</v>
          </cell>
          <cell r="C2363" t="str">
            <v>PRO BLAZE STRAP HI</v>
          </cell>
          <cell r="D2363" t="str">
            <v>皮+星星月亮</v>
          </cell>
        </row>
        <row r="2364">
          <cell r="A2364" t="str">
            <v>746139C</v>
          </cell>
          <cell r="B2364" t="str">
            <v>LY-KD251A</v>
          </cell>
          <cell r="C2364" t="str">
            <v>STAR PLYR 2V OX</v>
          </cell>
          <cell r="D2364" t="str">
            <v>皮+星星月亮</v>
          </cell>
        </row>
        <row r="2365">
          <cell r="A2365" t="str">
            <v>746140C</v>
          </cell>
          <cell r="B2365" t="str">
            <v>LY-KD251A</v>
          </cell>
          <cell r="C2365" t="str">
            <v>STAR PLAYER 2V OX</v>
          </cell>
          <cell r="D2365" t="str">
            <v>皮+星星月亮</v>
          </cell>
        </row>
        <row r="2366">
          <cell r="A2366" t="str">
            <v>746141C</v>
          </cell>
          <cell r="B2366" t="str">
            <v>LY-KD251A</v>
          </cell>
          <cell r="C2366" t="str">
            <v>STAR PLAYER 2V OX</v>
          </cell>
          <cell r="D2366" t="str">
            <v>皮+星星月亮</v>
          </cell>
        </row>
        <row r="2367">
          <cell r="A2367" t="str">
            <v>747620F</v>
          </cell>
          <cell r="B2367" t="str">
            <v>LY-CT561N-2A</v>
          </cell>
          <cell r="C2367" t="str">
            <v>CT CREATURES OX</v>
          </cell>
          <cell r="D2367" t="str">
            <v>布</v>
          </cell>
        </row>
        <row r="2368">
          <cell r="A2368" t="str">
            <v>747671F</v>
          </cell>
          <cell r="B2368" t="str">
            <v>LY-CT001N-3</v>
          </cell>
          <cell r="C2368" t="str">
            <v>CT PARTY SLIP</v>
          </cell>
          <cell r="D2368" t="str">
            <v>布</v>
          </cell>
        </row>
        <row r="2369">
          <cell r="A2369" t="str">
            <v>747692F</v>
          </cell>
          <cell r="B2369" t="str">
            <v>LY-497B-18A</v>
          </cell>
          <cell r="C2369" t="str">
            <v>CT EASY HI</v>
          </cell>
          <cell r="D2369" t="str">
            <v>布</v>
          </cell>
        </row>
        <row r="2370">
          <cell r="A2370" t="str">
            <v>747710C</v>
          </cell>
          <cell r="B2370" t="str">
            <v>LY-SA170N</v>
          </cell>
          <cell r="C2370" t="str">
            <v>STAR PLAYER EV 2V MID</v>
          </cell>
          <cell r="D2370" t="str">
            <v>布+星星月亮</v>
          </cell>
        </row>
        <row r="2371">
          <cell r="A2371" t="str">
            <v>749978F</v>
          </cell>
          <cell r="B2371" t="str">
            <v>LY-CT479N-4A</v>
          </cell>
          <cell r="C2371" t="str">
            <v>CT PARTY HI</v>
          </cell>
          <cell r="D2371" t="str">
            <v>布</v>
          </cell>
        </row>
        <row r="2372">
          <cell r="A2372" t="str">
            <v>750019C</v>
          </cell>
          <cell r="B2372" t="str">
            <v>LY-CT561N-6A</v>
          </cell>
          <cell r="C2372" t="str">
            <v>CT CREATURES OX</v>
          </cell>
          <cell r="D2372" t="str">
            <v>布</v>
          </cell>
        </row>
        <row r="2373">
          <cell r="A2373" t="str">
            <v>750021C</v>
          </cell>
          <cell r="B2373" t="str">
            <v>LY-CT561N-8A</v>
          </cell>
          <cell r="C2373" t="str">
            <v>CT CREATURES OX</v>
          </cell>
          <cell r="D2373" t="str">
            <v>布</v>
          </cell>
        </row>
        <row r="2374">
          <cell r="A2374" t="str">
            <v>750026F</v>
          </cell>
          <cell r="B2374" t="str">
            <v>LY-497B-18A</v>
          </cell>
          <cell r="C2374" t="str">
            <v>CT EASY HI</v>
          </cell>
          <cell r="D2374" t="str">
            <v>布</v>
          </cell>
        </row>
        <row r="2375">
          <cell r="A2375" t="str">
            <v>750027F</v>
          </cell>
          <cell r="B2375" t="str">
            <v>LY-497B-18A</v>
          </cell>
          <cell r="C2375" t="str">
            <v>CT EASY HI</v>
          </cell>
          <cell r="D2375" t="str">
            <v>布</v>
          </cell>
        </row>
        <row r="2376">
          <cell r="A2376" t="str">
            <v>750080C</v>
          </cell>
          <cell r="B2376" t="str">
            <v>LY-KD251A</v>
          </cell>
          <cell r="C2376" t="str">
            <v>STAR PLYR EV 2V OX</v>
          </cell>
          <cell r="D2376" t="str">
            <v>皮+星星月亮</v>
          </cell>
        </row>
        <row r="2377">
          <cell r="A2377" t="str">
            <v>750081C</v>
          </cell>
          <cell r="B2377" t="str">
            <v>LY-KD251A</v>
          </cell>
          <cell r="C2377" t="str">
            <v>STAR PLYR EV 2V OX</v>
          </cell>
          <cell r="D2377" t="str">
            <v>皮+星星月亮</v>
          </cell>
        </row>
        <row r="2378">
          <cell r="A2378" t="str">
            <v>750143C</v>
          </cell>
          <cell r="B2378" t="str">
            <v>LY-CT725N-A</v>
          </cell>
          <cell r="C2378" t="str">
            <v>CTAS II HI</v>
          </cell>
          <cell r="D2378" t="str">
            <v>布</v>
          </cell>
        </row>
        <row r="2379">
          <cell r="A2379" t="str">
            <v>750145C</v>
          </cell>
          <cell r="B2379" t="str">
            <v>LY-CT725N-A</v>
          </cell>
          <cell r="C2379" t="str">
            <v>CTAS II HI</v>
          </cell>
          <cell r="D2379" t="str">
            <v>布</v>
          </cell>
        </row>
        <row r="2380">
          <cell r="A2380" t="str">
            <v>750146C</v>
          </cell>
          <cell r="B2380" t="str">
            <v>LY-CT725N-A</v>
          </cell>
          <cell r="C2380" t="str">
            <v>CTAS II HI</v>
          </cell>
          <cell r="D2380" t="str">
            <v>布</v>
          </cell>
        </row>
        <row r="2381">
          <cell r="A2381" t="str">
            <v>750148C</v>
          </cell>
          <cell r="B2381" t="str">
            <v>LY-CT725N-A</v>
          </cell>
          <cell r="C2381" t="str">
            <v>CTAS II HI</v>
          </cell>
          <cell r="D2381" t="str">
            <v>布</v>
          </cell>
        </row>
        <row r="2382">
          <cell r="A2382" t="str">
            <v>750149C</v>
          </cell>
          <cell r="B2382" t="str">
            <v>LY-CT726N-A</v>
          </cell>
          <cell r="C2382" t="str">
            <v>CTAS II OX</v>
          </cell>
          <cell r="D2382" t="str">
            <v>布</v>
          </cell>
        </row>
        <row r="2383">
          <cell r="A2383" t="str">
            <v>750151C</v>
          </cell>
          <cell r="B2383" t="str">
            <v>LY-CT726N-A</v>
          </cell>
          <cell r="C2383" t="str">
            <v>CTAS II OX</v>
          </cell>
          <cell r="D2383" t="str">
            <v>布</v>
          </cell>
        </row>
        <row r="2384">
          <cell r="A2384" t="str">
            <v>750152C</v>
          </cell>
          <cell r="B2384" t="str">
            <v>LY-CT726N-A</v>
          </cell>
          <cell r="C2384" t="str">
            <v>CTAS II OX</v>
          </cell>
          <cell r="D2384" t="str">
            <v>布</v>
          </cell>
        </row>
        <row r="2385">
          <cell r="A2385" t="str">
            <v>750154C</v>
          </cell>
          <cell r="B2385" t="str">
            <v>LY-CT726N-A</v>
          </cell>
          <cell r="C2385" t="str">
            <v>CTAS II OX</v>
          </cell>
          <cell r="D2385" t="str">
            <v>布</v>
          </cell>
        </row>
        <row r="2386">
          <cell r="A2386" t="str">
            <v>750292F</v>
          </cell>
          <cell r="B2386" t="str">
            <v>LY-497B-18A</v>
          </cell>
          <cell r="C2386" t="str">
            <v>CT EASY SLIP HI</v>
          </cell>
          <cell r="D2386" t="str">
            <v>布</v>
          </cell>
        </row>
        <row r="2387">
          <cell r="A2387" t="str">
            <v>750516F</v>
          </cell>
          <cell r="B2387" t="str">
            <v>LY-CT602N-A</v>
          </cell>
          <cell r="C2387" t="str">
            <v>CT FRESH HI</v>
          </cell>
          <cell r="D2387" t="str">
            <v>布</v>
          </cell>
        </row>
        <row r="2388">
          <cell r="A2388" t="str">
            <v>750518F</v>
          </cell>
          <cell r="B2388" t="str">
            <v>LY-CT602N-A</v>
          </cell>
          <cell r="C2388" t="str">
            <v>CT FRESH HI</v>
          </cell>
          <cell r="D2388" t="str">
            <v>布</v>
          </cell>
        </row>
        <row r="2389">
          <cell r="A2389" t="str">
            <v>750538F</v>
          </cell>
          <cell r="B2389" t="str">
            <v>LY-SA192N-2</v>
          </cell>
          <cell r="C2389" t="str">
            <v>STAR STREET OX</v>
          </cell>
          <cell r="D2389" t="str">
            <v>布+星星月亮</v>
          </cell>
        </row>
        <row r="2390">
          <cell r="A2390" t="str">
            <v>750539F</v>
          </cell>
          <cell r="B2390" t="str">
            <v>LY-SA192N-2</v>
          </cell>
          <cell r="C2390" t="str">
            <v>STAR STREET 2V OX</v>
          </cell>
          <cell r="D2390" t="str">
            <v>布+星星月亮</v>
          </cell>
        </row>
        <row r="2391">
          <cell r="A2391" t="str">
            <v>751221C</v>
          </cell>
          <cell r="B2391" t="str">
            <v>LY-CT725N-A</v>
          </cell>
          <cell r="C2391" t="str">
            <v>CTAS II HI</v>
          </cell>
          <cell r="D2391" t="str">
            <v>布</v>
          </cell>
        </row>
        <row r="2392">
          <cell r="A2392" t="str">
            <v>751223C</v>
          </cell>
          <cell r="B2392" t="str">
            <v>LY-CT726N-A</v>
          </cell>
          <cell r="C2392" t="str">
            <v>CTAS II OX</v>
          </cell>
          <cell r="D2392" t="str">
            <v>布</v>
          </cell>
        </row>
        <row r="2393">
          <cell r="A2393" t="str">
            <v>751691F</v>
          </cell>
          <cell r="B2393" t="str">
            <v>LY-CT787N-1A</v>
          </cell>
          <cell r="C2393" t="str">
            <v>CTAS SIMPLE STEP HI</v>
          </cell>
          <cell r="D2393" t="str">
            <v>布</v>
          </cell>
        </row>
        <row r="2394">
          <cell r="A2394" t="str">
            <v>751703C</v>
          </cell>
          <cell r="B2394" t="str">
            <v>LY-CT479N-5A</v>
          </cell>
          <cell r="C2394" t="str">
            <v>CTAS PARTY HI</v>
          </cell>
          <cell r="D2394" t="str">
            <v>布</v>
          </cell>
        </row>
        <row r="2395">
          <cell r="A2395" t="str">
            <v>751703F</v>
          </cell>
          <cell r="B2395" t="str">
            <v>LY-CT479N-5A</v>
          </cell>
          <cell r="C2395" t="str">
            <v>CTAS PARTY HI</v>
          </cell>
          <cell r="D2395" t="str">
            <v>布</v>
          </cell>
        </row>
        <row r="2396">
          <cell r="A2396" t="str">
            <v>751734C</v>
          </cell>
          <cell r="B2396" t="str">
            <v>LY-497B-18A</v>
          </cell>
          <cell r="C2396" t="str">
            <v>CTAS EASY HI</v>
          </cell>
          <cell r="D2396" t="str">
            <v>布</v>
          </cell>
        </row>
        <row r="2397">
          <cell r="A2397" t="str">
            <v>751751C</v>
          </cell>
          <cell r="B2397" t="str">
            <v>LY-CT479N-3A</v>
          </cell>
          <cell r="C2397" t="str">
            <v>CTAS PARTY HI</v>
          </cell>
          <cell r="D2397" t="str">
            <v>布</v>
          </cell>
        </row>
        <row r="2398">
          <cell r="A2398" t="str">
            <v>751751F</v>
          </cell>
          <cell r="B2398" t="str">
            <v>LY-CT479N-3A</v>
          </cell>
          <cell r="C2398" t="str">
            <v>CT AS PARTY HI</v>
          </cell>
          <cell r="D2398" t="str">
            <v>布</v>
          </cell>
        </row>
        <row r="2399">
          <cell r="A2399" t="str">
            <v>751759C</v>
          </cell>
          <cell r="B2399" t="str">
            <v>LY-CT787N-A</v>
          </cell>
          <cell r="C2399" t="str">
            <v>CTAS SIMPLE STEP HI</v>
          </cell>
          <cell r="D2399" t="str">
            <v>布</v>
          </cell>
        </row>
        <row r="2400">
          <cell r="A2400" t="str">
            <v>751760C</v>
          </cell>
          <cell r="B2400" t="str">
            <v>LY-CT787N-A</v>
          </cell>
          <cell r="C2400" t="str">
            <v>CTAS SIMPLE STEP HI</v>
          </cell>
          <cell r="D2400" t="str">
            <v>布</v>
          </cell>
        </row>
        <row r="2401">
          <cell r="A2401" t="str">
            <v>751760F</v>
          </cell>
          <cell r="B2401" t="str">
            <v>LY-CT787N-A</v>
          </cell>
          <cell r="C2401" t="str">
            <v>CTAS SIMPLE STEP HI</v>
          </cell>
          <cell r="D2401" t="str">
            <v>布</v>
          </cell>
        </row>
        <row r="2402">
          <cell r="A2402" t="str">
            <v>751819C</v>
          </cell>
          <cell r="B2402" t="str">
            <v>LY-KD251B</v>
          </cell>
          <cell r="C2402" t="str">
            <v>STAR PLAYER EV 2V OX</v>
          </cell>
          <cell r="D2402" t="str">
            <v>布+星星月亮</v>
          </cell>
        </row>
        <row r="2403">
          <cell r="A2403" t="str">
            <v>751820C</v>
          </cell>
          <cell r="B2403" t="str">
            <v>LY-KD251B</v>
          </cell>
          <cell r="C2403" t="str">
            <v>STAR PLAYER EV 2V OX</v>
          </cell>
          <cell r="D2403" t="str">
            <v>布+星星月亮</v>
          </cell>
        </row>
        <row r="2404">
          <cell r="A2404" t="str">
            <v>751821C</v>
          </cell>
          <cell r="B2404" t="str">
            <v>LY-KD251B</v>
          </cell>
          <cell r="C2404" t="str">
            <v>STAR PLAYER EV 2V OX</v>
          </cell>
          <cell r="D2404" t="str">
            <v>布+星星月亮</v>
          </cell>
        </row>
        <row r="2405">
          <cell r="A2405" t="str">
            <v>751822C</v>
          </cell>
          <cell r="B2405" t="str">
            <v>LY-KD251B</v>
          </cell>
          <cell r="C2405" t="str">
            <v>STAR PLAYER EV 2V OX</v>
          </cell>
          <cell r="D2405" t="str">
            <v>布+星星月亮</v>
          </cell>
        </row>
        <row r="2406">
          <cell r="A2406" t="str">
            <v>751823C</v>
          </cell>
          <cell r="B2406" t="str">
            <v>LY-KD251B</v>
          </cell>
          <cell r="C2406" t="str">
            <v>STAR PLAYER EV 2V OX</v>
          </cell>
          <cell r="D2406" t="str">
            <v>布+星星月亮</v>
          </cell>
        </row>
        <row r="2407">
          <cell r="A2407" t="str">
            <v>751824C</v>
          </cell>
          <cell r="B2407" t="str">
            <v>LY-KD251B</v>
          </cell>
          <cell r="C2407" t="str">
            <v>STAR PLAYER EV 2V OX</v>
          </cell>
          <cell r="D2407" t="str">
            <v>布+星星月亮</v>
          </cell>
        </row>
        <row r="2408">
          <cell r="A2408" t="str">
            <v>751852C</v>
          </cell>
          <cell r="B2408" t="str">
            <v>LY-CT787N-A-1</v>
          </cell>
          <cell r="C2408" t="str">
            <v>CTAS CREATURES HI</v>
          </cell>
          <cell r="D2408" t="str">
            <v>布</v>
          </cell>
        </row>
        <row r="2409">
          <cell r="A2409" t="str">
            <v>751857C</v>
          </cell>
          <cell r="B2409" t="str">
            <v>LY-CT787N-A-3</v>
          </cell>
          <cell r="C2409" t="str">
            <v>CTAS CREATURES HI</v>
          </cell>
          <cell r="D2409" t="str">
            <v>布</v>
          </cell>
        </row>
        <row r="2410">
          <cell r="A2410" t="str">
            <v>751858F</v>
          </cell>
          <cell r="B2410" t="str">
            <v>LY-CT787N-A</v>
          </cell>
          <cell r="C2410" t="str">
            <v>CTAS SIMPLE STEP HI</v>
          </cell>
          <cell r="D2410" t="str">
            <v>布</v>
          </cell>
        </row>
        <row r="2411">
          <cell r="A2411" t="str">
            <v>751863C</v>
          </cell>
          <cell r="B2411" t="str">
            <v>LY-CT787N-2A</v>
          </cell>
          <cell r="C2411" t="str">
            <v>CTAS SIMPLE STEP HI</v>
          </cell>
          <cell r="D2411" t="str">
            <v>布</v>
          </cell>
        </row>
        <row r="2412">
          <cell r="A2412" t="str">
            <v>751878C</v>
          </cell>
          <cell r="B2412" t="str">
            <v>LY-KD251A</v>
          </cell>
          <cell r="C2412" t="str">
            <v>STAR PLAYER EV 2V OX</v>
          </cell>
          <cell r="D2412" t="str">
            <v>PU+星星月亮</v>
          </cell>
        </row>
        <row r="2413">
          <cell r="A2413" t="str">
            <v>751879C</v>
          </cell>
          <cell r="B2413" t="str">
            <v>LY-KD251A</v>
          </cell>
          <cell r="C2413" t="str">
            <v>STAR PLAYER EV 2V OX</v>
          </cell>
          <cell r="D2413" t="str">
            <v>PU+星星月亮</v>
          </cell>
        </row>
        <row r="2414">
          <cell r="A2414" t="str">
            <v>752584F</v>
          </cell>
          <cell r="B2414" t="str">
            <v>LY-497B-18A</v>
          </cell>
          <cell r="C2414" t="str">
            <v>CTAS EASY HI</v>
          </cell>
          <cell r="D2414" t="str">
            <v>布</v>
          </cell>
        </row>
        <row r="2415">
          <cell r="A2415" t="str">
            <v>752646C</v>
          </cell>
          <cell r="B2415" t="str">
            <v>LY-497C</v>
          </cell>
          <cell r="C2415" t="str">
            <v>CTAS OX</v>
          </cell>
          <cell r="D2415" t="str">
            <v>布</v>
          </cell>
        </row>
        <row r="2416">
          <cell r="A2416" t="str">
            <v>752770C</v>
          </cell>
          <cell r="B2416" t="str">
            <v>LY-KD251B</v>
          </cell>
          <cell r="C2416" t="str">
            <v>STAR PLAYER EV 2V OX</v>
          </cell>
          <cell r="D2416" t="str">
            <v>布+星星月亮</v>
          </cell>
        </row>
        <row r="2417">
          <cell r="A2417" t="str">
            <v>752771C</v>
          </cell>
          <cell r="B2417" t="str">
            <v>LY-KD251B</v>
          </cell>
          <cell r="C2417" t="str">
            <v>STAR PLAYER EV 2V OX</v>
          </cell>
          <cell r="D2417" t="str">
            <v>布+星星月亮</v>
          </cell>
        </row>
        <row r="2418">
          <cell r="A2418" t="str">
            <v>753061C</v>
          </cell>
          <cell r="B2418" t="str">
            <v>LY-SA286N-B</v>
          </cell>
          <cell r="C2418" t="str">
            <v>ONE STAR OX</v>
          </cell>
          <cell r="D2418" t="str">
            <v>皮</v>
          </cell>
        </row>
        <row r="2419">
          <cell r="A2419" t="str">
            <v>753282F</v>
          </cell>
          <cell r="B2419" t="str">
            <v>LY-CT763N-1A</v>
          </cell>
          <cell r="C2419" t="str">
            <v>CTAS MADISON OX</v>
          </cell>
          <cell r="D2419" t="str">
            <v>布</v>
          </cell>
        </row>
        <row r="2420">
          <cell r="A2420" t="str">
            <v>753945C</v>
          </cell>
          <cell r="B2420" t="str">
            <v>LY-SA216N-B-2B</v>
          </cell>
          <cell r="C2420" t="str">
            <v>PRO BLAZE STRAP HI</v>
          </cell>
          <cell r="D2420" t="str">
            <v>皮+星星月亮</v>
          </cell>
        </row>
        <row r="2421">
          <cell r="A2421" t="str">
            <v>753946C</v>
          </cell>
          <cell r="B2421" t="str">
            <v>LY-SA216N-B-2B</v>
          </cell>
          <cell r="C2421" t="str">
            <v>PRO BLAZE STRAP HI</v>
          </cell>
          <cell r="D2421" t="str">
            <v>皮+星星月亮</v>
          </cell>
        </row>
        <row r="2422">
          <cell r="A2422" t="str">
            <v>754194C</v>
          </cell>
          <cell r="B2422" t="str">
            <v>LY-CT725N-1A</v>
          </cell>
          <cell r="C2422" t="str">
            <v>CTAS II 2V HI</v>
          </cell>
          <cell r="D2422" t="str">
            <v>布</v>
          </cell>
        </row>
        <row r="2423">
          <cell r="A2423" t="str">
            <v>754195C</v>
          </cell>
          <cell r="B2423" t="str">
            <v>LY-CT725N-1A</v>
          </cell>
          <cell r="C2423" t="str">
            <v>CTAS II 2V HI</v>
          </cell>
          <cell r="D2423" t="str">
            <v>布</v>
          </cell>
        </row>
        <row r="2424">
          <cell r="A2424" t="str">
            <v>754196C</v>
          </cell>
          <cell r="B2424" t="str">
            <v>LY-CT725N-1A</v>
          </cell>
          <cell r="C2424" t="str">
            <v>CTAS II 2V HI</v>
          </cell>
          <cell r="D2424" t="str">
            <v>布</v>
          </cell>
        </row>
        <row r="2425">
          <cell r="A2425" t="str">
            <v>754197C</v>
          </cell>
          <cell r="B2425" t="str">
            <v>LY-CT725N-1A</v>
          </cell>
          <cell r="C2425" t="str">
            <v>CTAS II 2V HI</v>
          </cell>
          <cell r="D2425" t="str">
            <v>布</v>
          </cell>
        </row>
        <row r="2426">
          <cell r="A2426" t="str">
            <v>754198C</v>
          </cell>
          <cell r="B2426" t="str">
            <v>LY-CT726N-1A</v>
          </cell>
          <cell r="C2426" t="str">
            <v>CTAS II 2V OX</v>
          </cell>
          <cell r="D2426" t="str">
            <v>布</v>
          </cell>
        </row>
        <row r="2427">
          <cell r="A2427" t="str">
            <v>754199C</v>
          </cell>
          <cell r="B2427" t="str">
            <v>LY-CT726N-1A</v>
          </cell>
          <cell r="C2427" t="str">
            <v>CTAS II 2V OX</v>
          </cell>
          <cell r="D2427" t="str">
            <v>布</v>
          </cell>
        </row>
        <row r="2428">
          <cell r="A2428" t="str">
            <v>754200C</v>
          </cell>
          <cell r="B2428" t="str">
            <v>LY-CT726N-1A</v>
          </cell>
          <cell r="C2428" t="str">
            <v>CTAS II 2V OX</v>
          </cell>
          <cell r="D2428" t="str">
            <v>布</v>
          </cell>
        </row>
        <row r="2429">
          <cell r="A2429" t="str">
            <v>754201C</v>
          </cell>
          <cell r="B2429" t="str">
            <v>LY-CT726N-1A</v>
          </cell>
          <cell r="C2429" t="str">
            <v>CTAS II 2V OX</v>
          </cell>
          <cell r="D2429" t="str">
            <v>布</v>
          </cell>
        </row>
        <row r="2430">
          <cell r="A2430" t="str">
            <v>754202C</v>
          </cell>
          <cell r="B2430" t="str">
            <v>LY-CT725N-2A-1</v>
          </cell>
          <cell r="C2430" t="str">
            <v>CTAS II 2V HI</v>
          </cell>
          <cell r="D2430" t="str">
            <v>布</v>
          </cell>
        </row>
        <row r="2431">
          <cell r="A2431" t="str">
            <v>754203C</v>
          </cell>
          <cell r="B2431" t="str">
            <v>LY-CT725N-2A-1</v>
          </cell>
          <cell r="C2431" t="str">
            <v>CTAS II 2V HI</v>
          </cell>
          <cell r="D2431" t="str">
            <v>布</v>
          </cell>
        </row>
        <row r="2432">
          <cell r="A2432" t="str">
            <v>754204C</v>
          </cell>
          <cell r="B2432" t="str">
            <v>LY-CT726N-2A-1</v>
          </cell>
          <cell r="C2432" t="str">
            <v>CTAS II 2V OX</v>
          </cell>
          <cell r="D2432" t="str">
            <v>布</v>
          </cell>
        </row>
        <row r="2433">
          <cell r="A2433" t="str">
            <v>754205C</v>
          </cell>
          <cell r="B2433" t="str">
            <v>LY-CT726N-2A-1</v>
          </cell>
          <cell r="C2433" t="str">
            <v>CTAS II 2V OX</v>
          </cell>
          <cell r="D2433" t="str">
            <v>布</v>
          </cell>
        </row>
        <row r="2434">
          <cell r="A2434" t="str">
            <v>754223F</v>
          </cell>
          <cell r="B2434" t="str">
            <v>LY-CT763N-A</v>
          </cell>
          <cell r="C2434" t="str">
            <v>CTAS MADISON OX</v>
          </cell>
          <cell r="D2434" t="str">
            <v>布</v>
          </cell>
        </row>
        <row r="2435">
          <cell r="A2435" t="str">
            <v>754319C</v>
          </cell>
          <cell r="B2435" t="str">
            <v>LY-KD251A</v>
          </cell>
          <cell r="C2435" t="str">
            <v>STAR PLAYER 2V OX</v>
          </cell>
          <cell r="D2435" t="str">
            <v>皮+星星月亮</v>
          </cell>
        </row>
        <row r="2436">
          <cell r="A2436" t="str">
            <v>754320C</v>
          </cell>
          <cell r="B2436" t="str">
            <v>LY-KD251A</v>
          </cell>
          <cell r="C2436" t="str">
            <v>STAR PLAYER 2V OX</v>
          </cell>
          <cell r="D2436" t="str">
            <v>皮+星星月亮</v>
          </cell>
        </row>
        <row r="2437">
          <cell r="A2437" t="str">
            <v>754322C</v>
          </cell>
          <cell r="B2437" t="str">
            <v>LY-KD251B</v>
          </cell>
          <cell r="C2437" t="str">
            <v>STAR PLAYER 2V OX</v>
          </cell>
          <cell r="D2437" t="str">
            <v>布+星星月亮</v>
          </cell>
        </row>
        <row r="2438">
          <cell r="A2438" t="str">
            <v>754323C</v>
          </cell>
          <cell r="B2438" t="str">
            <v>LY-KD251B</v>
          </cell>
          <cell r="C2438" t="str">
            <v>STAR PLAYER 2V OX</v>
          </cell>
          <cell r="D2438" t="str">
            <v>布+星星月亮</v>
          </cell>
        </row>
        <row r="2439">
          <cell r="A2439" t="str">
            <v>754347F</v>
          </cell>
          <cell r="B2439" t="str">
            <v>LY-CT787N-3A</v>
          </cell>
          <cell r="C2439" t="str">
            <v>CT AS SIMPLE STEP HI</v>
          </cell>
          <cell r="D2439" t="str">
            <v>布</v>
          </cell>
        </row>
        <row r="2440">
          <cell r="A2440" t="str">
            <v>754348C</v>
          </cell>
          <cell r="B2440" t="str">
            <v>LY-CT787N-A</v>
          </cell>
          <cell r="C2440" t="str">
            <v>CTAS SIMPLE STEP HI</v>
          </cell>
          <cell r="D2440" t="str">
            <v>布</v>
          </cell>
        </row>
        <row r="2441">
          <cell r="A2441" t="str">
            <v>754349C</v>
          </cell>
          <cell r="B2441" t="str">
            <v>LY-CT787N-A</v>
          </cell>
          <cell r="C2441" t="str">
            <v>CTAS SIMPLE STEP HI</v>
          </cell>
          <cell r="D2441" t="str">
            <v>布</v>
          </cell>
        </row>
        <row r="2442">
          <cell r="A2442" t="str">
            <v>754350C</v>
          </cell>
          <cell r="B2442" t="str">
            <v>LY-CT787N-A</v>
          </cell>
          <cell r="C2442" t="str">
            <v>CTAS SIMPLE STEP HI</v>
          </cell>
          <cell r="D2442" t="str">
            <v>布</v>
          </cell>
        </row>
        <row r="2443">
          <cell r="A2443" t="str">
            <v>754351C</v>
          </cell>
          <cell r="B2443" t="str">
            <v>LY-CT787N-4A</v>
          </cell>
          <cell r="C2443" t="str">
            <v>CT AS SIMPLE STEP HI</v>
          </cell>
          <cell r="D2443" t="str">
            <v>皮</v>
          </cell>
        </row>
        <row r="2444">
          <cell r="A2444" t="str">
            <v>754353C</v>
          </cell>
          <cell r="B2444" t="str">
            <v>LY-CT787N-4A</v>
          </cell>
          <cell r="C2444" t="str">
            <v>CT AS SIMPLE STEP HI</v>
          </cell>
          <cell r="D2444" t="str">
            <v>皮</v>
          </cell>
        </row>
        <row r="2445">
          <cell r="A2445" t="str">
            <v>754354C</v>
          </cell>
          <cell r="B2445" t="str">
            <v>LY-SA170N-B</v>
          </cell>
          <cell r="C2445" t="str">
            <v>STAR PLAYER 2V MID</v>
          </cell>
          <cell r="D2445" t="str">
            <v>皮+星星月亮</v>
          </cell>
        </row>
        <row r="2446">
          <cell r="A2446" t="str">
            <v>754355C</v>
          </cell>
          <cell r="B2446" t="str">
            <v>LY-SA170N-B</v>
          </cell>
          <cell r="C2446" t="str">
            <v>STAR PLAYER 2V MID</v>
          </cell>
          <cell r="D2446" t="str">
            <v>皮+星星月亮</v>
          </cell>
        </row>
        <row r="2447">
          <cell r="A2447" t="str">
            <v>754356C</v>
          </cell>
          <cell r="B2447" t="str">
            <v>LY-SA170N-B</v>
          </cell>
          <cell r="C2447" t="str">
            <v>STAR PLAYER 2V MID</v>
          </cell>
          <cell r="D2447" t="str">
            <v>皮+星星月亮</v>
          </cell>
        </row>
        <row r="2448">
          <cell r="A2448" t="str">
            <v>754357C</v>
          </cell>
          <cell r="B2448" t="str">
            <v>LY-SA170N-B</v>
          </cell>
          <cell r="C2448" t="str">
            <v>STAR PLAYER 2V MID</v>
          </cell>
          <cell r="D2448" t="str">
            <v>皮+星星月亮</v>
          </cell>
        </row>
        <row r="2449">
          <cell r="A2449" t="str">
            <v>754358C</v>
          </cell>
          <cell r="B2449" t="str">
            <v>LY-KD251A</v>
          </cell>
          <cell r="C2449" t="str">
            <v>STAR PLAYER 2V OX</v>
          </cell>
          <cell r="D2449" t="str">
            <v>皮+星星月亮</v>
          </cell>
        </row>
        <row r="2450">
          <cell r="A2450" t="str">
            <v>754359C</v>
          </cell>
          <cell r="B2450" t="str">
            <v>LY-KD251A</v>
          </cell>
          <cell r="C2450" t="str">
            <v>STAR PLAYER 2V OX</v>
          </cell>
          <cell r="D2450" t="str">
            <v>皮+星星月亮</v>
          </cell>
        </row>
        <row r="2451">
          <cell r="A2451" t="str">
            <v>754360C</v>
          </cell>
          <cell r="B2451" t="str">
            <v>LY-KD251A</v>
          </cell>
          <cell r="C2451" t="str">
            <v>STAR PLAYER 2V OX</v>
          </cell>
          <cell r="D2451" t="str">
            <v>皮+星星月亮</v>
          </cell>
        </row>
        <row r="2452">
          <cell r="A2452" t="str">
            <v>754371C</v>
          </cell>
          <cell r="B2452" t="str">
            <v>LY-SA216N-B-1B</v>
          </cell>
          <cell r="C2452" t="str">
            <v>PRO BLAZE STRAP HI</v>
          </cell>
          <cell r="D2452" t="str">
            <v>皮+星星月亮</v>
          </cell>
        </row>
        <row r="2453">
          <cell r="A2453" t="str">
            <v>754372C</v>
          </cell>
          <cell r="B2453" t="str">
            <v>LY-SA216N-B-1B</v>
          </cell>
          <cell r="C2453" t="str">
            <v>PRO BLAZE STRAP HI</v>
          </cell>
          <cell r="D2453" t="str">
            <v>皮+星星月亮</v>
          </cell>
        </row>
        <row r="2454">
          <cell r="A2454" t="str">
            <v>754378C</v>
          </cell>
          <cell r="B2454" t="str">
            <v>LY-CT725N-B</v>
          </cell>
          <cell r="C2454" t="str">
            <v>CTAS II HI</v>
          </cell>
          <cell r="D2454" t="str">
            <v>布</v>
          </cell>
        </row>
        <row r="2455">
          <cell r="A2455" t="str">
            <v>754413F</v>
          </cell>
          <cell r="B2455" t="str">
            <v>LY-CT561N-9A</v>
          </cell>
          <cell r="C2455" t="str">
            <v>CT AS CREATURES OX</v>
          </cell>
          <cell r="D2455" t="str">
            <v>布</v>
          </cell>
        </row>
        <row r="2456">
          <cell r="A2456" t="str">
            <v>754414F</v>
          </cell>
          <cell r="B2456" t="str">
            <v>LY-CT561N-10A</v>
          </cell>
          <cell r="C2456" t="str">
            <v>CT AS CREATURES OX</v>
          </cell>
          <cell r="D2456" t="str">
            <v>布</v>
          </cell>
        </row>
        <row r="2457">
          <cell r="A2457" t="str">
            <v>754415C</v>
          </cell>
          <cell r="B2457" t="str">
            <v>LY-CT787N-A</v>
          </cell>
          <cell r="C2457" t="str">
            <v>CTAS SIMPLE STEP HI</v>
          </cell>
          <cell r="D2457" t="str">
            <v>布</v>
          </cell>
        </row>
        <row r="2458">
          <cell r="A2458" t="str">
            <v>754415F</v>
          </cell>
          <cell r="B2458" t="str">
            <v>LY-CT787N-A</v>
          </cell>
          <cell r="C2458" t="str">
            <v>CT AS SIMPLE STEP HI</v>
          </cell>
          <cell r="D2458" t="str">
            <v>布</v>
          </cell>
        </row>
        <row r="2459">
          <cell r="A2459" t="str">
            <v>754415V</v>
          </cell>
          <cell r="B2459" t="str">
            <v>LY-CT787N-A</v>
          </cell>
          <cell r="C2459" t="str">
            <v>CT AS SIMPLE STEP</v>
          </cell>
          <cell r="D2459" t="str">
            <v>布</v>
          </cell>
        </row>
        <row r="2460">
          <cell r="A2460" t="str">
            <v>754416C</v>
          </cell>
          <cell r="B2460" t="str">
            <v>LY-CT787N-A</v>
          </cell>
          <cell r="C2460" t="str">
            <v>CTAS SIMPLE STEP HI</v>
          </cell>
          <cell r="D2460" t="str">
            <v>布</v>
          </cell>
        </row>
        <row r="2461">
          <cell r="A2461" t="str">
            <v>754416F</v>
          </cell>
          <cell r="B2461" t="str">
            <v>LY-CT787N-A</v>
          </cell>
          <cell r="C2461" t="str">
            <v>CTAS SIMPLE STEP HI</v>
          </cell>
          <cell r="D2461" t="str">
            <v>布</v>
          </cell>
        </row>
        <row r="2462">
          <cell r="A2462" t="str">
            <v>754416V</v>
          </cell>
          <cell r="B2462" t="str">
            <v>LY-CT787N-A</v>
          </cell>
          <cell r="C2462" t="str">
            <v>CT AS SIMPLE STEP</v>
          </cell>
          <cell r="D2462" t="str">
            <v>布</v>
          </cell>
        </row>
        <row r="2463">
          <cell r="A2463" t="str">
            <v>754831C</v>
          </cell>
          <cell r="B2463" t="str">
            <v>LY-KD251B</v>
          </cell>
          <cell r="C2463" t="str">
            <v>STAR PLAYER 2V OX</v>
          </cell>
          <cell r="D2463" t="str">
            <v>布+星星月亮</v>
          </cell>
        </row>
        <row r="2464">
          <cell r="A2464" t="str">
            <v>754854F</v>
          </cell>
          <cell r="B2464" t="str">
            <v>LY-CT787N-A</v>
          </cell>
          <cell r="C2464" t="str">
            <v>CT AS SIMPLE STEP HI</v>
          </cell>
          <cell r="D2464" t="str">
            <v>布</v>
          </cell>
        </row>
        <row r="2465">
          <cell r="A2465" t="str">
            <v>754886F</v>
          </cell>
          <cell r="B2465" t="str">
            <v>LY-CT763N-A</v>
          </cell>
          <cell r="C2465" t="str">
            <v>CT AS MADISON OX</v>
          </cell>
          <cell r="D2465" t="str">
            <v>布</v>
          </cell>
        </row>
        <row r="2466">
          <cell r="A2466" t="str">
            <v>755109C</v>
          </cell>
          <cell r="B2466" t="str">
            <v>LY-497B-2</v>
          </cell>
          <cell r="C2466" t="str">
            <v>CT AS HI</v>
          </cell>
          <cell r="D2466" t="str">
            <v>布</v>
          </cell>
        </row>
        <row r="2467">
          <cell r="A2467" t="str">
            <v>755169C</v>
          </cell>
          <cell r="B2467" t="str">
            <v>LY-KD763-7B-9</v>
          </cell>
          <cell r="C2467" t="str">
            <v>STAR PLAYER EV 4V MID</v>
          </cell>
          <cell r="D2467" t="str">
            <v>皮+星星月亮</v>
          </cell>
        </row>
        <row r="2468">
          <cell r="A2468" t="str">
            <v>755249C</v>
          </cell>
          <cell r="B2468" t="str">
            <v>LY-SA216N-2B</v>
          </cell>
          <cell r="C2468" t="str">
            <v>PRO BLAZE STRAP HI</v>
          </cell>
          <cell r="D2468" t="str">
            <v>皮+星星月亮</v>
          </cell>
        </row>
        <row r="2469">
          <cell r="A2469" t="str">
            <v>755303F</v>
          </cell>
          <cell r="B2469" t="str">
            <v>LY-CT763N-A</v>
          </cell>
          <cell r="C2469" t="str">
            <v>CT AS MADISON OX</v>
          </cell>
          <cell r="D2469" t="str">
            <v>布</v>
          </cell>
        </row>
        <row r="2470">
          <cell r="A2470" t="str">
            <v>755327F</v>
          </cell>
          <cell r="B2470" t="str">
            <v>LY-CT787N-A</v>
          </cell>
          <cell r="C2470" t="str">
            <v>CTAS SIMPLE STEP HI</v>
          </cell>
          <cell r="D2470" t="str">
            <v>布</v>
          </cell>
        </row>
        <row r="2471">
          <cell r="A2471" t="str">
            <v>755328F</v>
          </cell>
          <cell r="B2471" t="str">
            <v>LY-CT787N-A</v>
          </cell>
          <cell r="C2471" t="str">
            <v>CT AS SIMPLE STEP HI</v>
          </cell>
          <cell r="D2471" t="str">
            <v>布</v>
          </cell>
        </row>
        <row r="2472">
          <cell r="A2472" t="str">
            <v>755496C</v>
          </cell>
          <cell r="B2472" t="str">
            <v>LY-CT725N-A</v>
          </cell>
          <cell r="C2472" t="str">
            <v>CTAS II HI</v>
          </cell>
          <cell r="D2472" t="str">
            <v>布</v>
          </cell>
        </row>
        <row r="2473">
          <cell r="A2473" t="str">
            <v>755499C</v>
          </cell>
          <cell r="B2473" t="str">
            <v>LY-CT726N-A</v>
          </cell>
          <cell r="C2473" t="str">
            <v>CTAS II OX</v>
          </cell>
          <cell r="D2473" t="str">
            <v>布</v>
          </cell>
        </row>
        <row r="2474">
          <cell r="A2474" t="str">
            <v>755500C</v>
          </cell>
          <cell r="B2474" t="str">
            <v>LY-CT726N-A</v>
          </cell>
          <cell r="C2474" t="str">
            <v>CT AS II OX</v>
          </cell>
          <cell r="D2474" t="str">
            <v>布</v>
          </cell>
        </row>
        <row r="2475">
          <cell r="A2475" t="str">
            <v>755723C</v>
          </cell>
          <cell r="B2475" t="str">
            <v>LY-CT725N-A-1</v>
          </cell>
          <cell r="C2475" t="str">
            <v>CTAS II HI</v>
          </cell>
          <cell r="D2475" t="str">
            <v>布</v>
          </cell>
        </row>
        <row r="2476">
          <cell r="A2476" t="str">
            <v>755725C</v>
          </cell>
          <cell r="B2476" t="str">
            <v>LY-CT725N-A-1</v>
          </cell>
          <cell r="C2476" t="str">
            <v>CTAS II HI</v>
          </cell>
          <cell r="D2476" t="str">
            <v>布</v>
          </cell>
        </row>
        <row r="2477">
          <cell r="A2477" t="str">
            <v>756086C</v>
          </cell>
          <cell r="B2477" t="str">
            <v>LY-CT763N-3A</v>
          </cell>
          <cell r="C2477" t="str">
            <v>CT AS MADISON OX</v>
          </cell>
          <cell r="D2477" t="str">
            <v>布</v>
          </cell>
        </row>
        <row r="2478">
          <cell r="A2478" t="str">
            <v>756086F</v>
          </cell>
          <cell r="B2478" t="str">
            <v>LY-CT763N-3A</v>
          </cell>
          <cell r="C2478" t="str">
            <v>CT AS MADISON OX</v>
          </cell>
          <cell r="D2478" t="str">
            <v>布</v>
          </cell>
        </row>
        <row r="2479">
          <cell r="A2479" t="str">
            <v>756095C</v>
          </cell>
          <cell r="B2479" t="str">
            <v>LY-CT763N-2A</v>
          </cell>
          <cell r="C2479" t="str">
            <v>CTAS MADISION OX</v>
          </cell>
          <cell r="D2479" t="str">
            <v>布</v>
          </cell>
        </row>
        <row r="2480">
          <cell r="A2480" t="str">
            <v>756095F</v>
          </cell>
          <cell r="B2480" t="str">
            <v>LY-CT763N-2A</v>
          </cell>
          <cell r="C2480" t="str">
            <v>CT AS MADISION OX</v>
          </cell>
          <cell r="D2480" t="str">
            <v>布</v>
          </cell>
        </row>
        <row r="2481">
          <cell r="A2481" t="str">
            <v>756131C</v>
          </cell>
          <cell r="B2481" t="str">
            <v>LY-SA314N-B</v>
          </cell>
          <cell r="C2481" t="str">
            <v>ONE STAR 2V OX</v>
          </cell>
          <cell r="D2481" t="str">
            <v>皮</v>
          </cell>
        </row>
        <row r="2482">
          <cell r="A2482" t="str">
            <v>756132C</v>
          </cell>
          <cell r="B2482" t="str">
            <v>LY-SA314N-B</v>
          </cell>
          <cell r="C2482" t="str">
            <v>ONE STAR 2V OX</v>
          </cell>
          <cell r="D2482" t="str">
            <v>皮</v>
          </cell>
        </row>
        <row r="2483">
          <cell r="A2483" t="str">
            <v>756133C</v>
          </cell>
          <cell r="B2483" t="str">
            <v>LY-SA314N-B</v>
          </cell>
          <cell r="C2483" t="str">
            <v>ONE STAR 2V OX</v>
          </cell>
          <cell r="D2483" t="str">
            <v>皮</v>
          </cell>
        </row>
        <row r="2484">
          <cell r="A2484" t="str">
            <v>756135C</v>
          </cell>
          <cell r="B2484" t="str">
            <v>LY-CT726N-1A</v>
          </cell>
          <cell r="C2484" t="str">
            <v>CTAS II 2V OX</v>
          </cell>
          <cell r="D2484" t="str">
            <v>布</v>
          </cell>
        </row>
        <row r="2485">
          <cell r="A2485" t="str">
            <v>756136C</v>
          </cell>
          <cell r="B2485" t="str">
            <v>LY-CT726N-3A-1</v>
          </cell>
          <cell r="C2485" t="str">
            <v>CTAS II 2V OX</v>
          </cell>
          <cell r="D2485" t="str">
            <v>布</v>
          </cell>
        </row>
        <row r="2486">
          <cell r="A2486" t="str">
            <v>756137C</v>
          </cell>
          <cell r="B2486" t="str">
            <v>LY-CT726N-3A-1</v>
          </cell>
          <cell r="C2486" t="str">
            <v>CTAS II 2V OX</v>
          </cell>
          <cell r="D2486" t="str">
            <v>布</v>
          </cell>
        </row>
        <row r="2487">
          <cell r="A2487" t="str">
            <v>756142C</v>
          </cell>
          <cell r="B2487" t="str">
            <v>LY-CT726N-3A-1A</v>
          </cell>
          <cell r="C2487" t="str">
            <v>CTAS II 2V OX</v>
          </cell>
          <cell r="D2487" t="str">
            <v>布</v>
          </cell>
        </row>
        <row r="2488">
          <cell r="A2488" t="str">
            <v>756143C</v>
          </cell>
          <cell r="B2488" t="str">
            <v>LY-CT726N-3A-1A</v>
          </cell>
          <cell r="C2488" t="str">
            <v>CTAS II 2V OX</v>
          </cell>
          <cell r="D2488" t="str">
            <v>布</v>
          </cell>
        </row>
        <row r="2489">
          <cell r="A2489" t="str">
            <v>756148C</v>
          </cell>
          <cell r="B2489" t="str">
            <v>LY-KD251B</v>
          </cell>
          <cell r="C2489" t="str">
            <v>STAR PLAYER 2V OX</v>
          </cell>
          <cell r="D2489" t="str">
            <v>布+星星月亮</v>
          </cell>
        </row>
        <row r="2490">
          <cell r="A2490" t="str">
            <v>756149C</v>
          </cell>
          <cell r="B2490" t="str">
            <v>LY-KD251B</v>
          </cell>
          <cell r="C2490" t="str">
            <v>STAR PLAYER 2V OX</v>
          </cell>
          <cell r="D2490" t="str">
            <v>布+星星月亮</v>
          </cell>
        </row>
        <row r="2491">
          <cell r="A2491" t="str">
            <v>756152C</v>
          </cell>
          <cell r="B2491" t="str">
            <v>LY-KD251B</v>
          </cell>
          <cell r="C2491" t="str">
            <v>STAR PLAYER 2V OX</v>
          </cell>
          <cell r="D2491" t="str">
            <v>皮+星星月亮</v>
          </cell>
        </row>
        <row r="2492">
          <cell r="A2492" t="str">
            <v>756153C</v>
          </cell>
          <cell r="B2492" t="str">
            <v>LY-KD251B</v>
          </cell>
          <cell r="C2492" t="str">
            <v>STAR PLAYER 2V OX</v>
          </cell>
          <cell r="D2492" t="str">
            <v>皮+星星月亮</v>
          </cell>
        </row>
        <row r="2493">
          <cell r="A2493" t="str">
            <v>756601F</v>
          </cell>
          <cell r="B2493" t="str">
            <v>LY-497C-4A</v>
          </cell>
          <cell r="C2493" t="str">
            <v>CTAS OX</v>
          </cell>
          <cell r="D2493" t="str">
            <v>布</v>
          </cell>
        </row>
        <row r="2494">
          <cell r="A2494" t="str">
            <v>756623C</v>
          </cell>
          <cell r="B2494" t="str">
            <v>LY-KD251B</v>
          </cell>
          <cell r="C2494" t="str">
            <v>STAR PLAYER 2V OX</v>
          </cell>
          <cell r="D2494" t="str">
            <v>布+星星月亮</v>
          </cell>
        </row>
        <row r="2495">
          <cell r="A2495" t="str">
            <v>756624C</v>
          </cell>
          <cell r="B2495" t="str">
            <v>LY-KD251B</v>
          </cell>
          <cell r="C2495" t="str">
            <v>STAR PLAYER 2V OX</v>
          </cell>
          <cell r="D2495" t="str">
            <v>布+星星月亮</v>
          </cell>
        </row>
        <row r="2496">
          <cell r="A2496" t="str">
            <v>756625C</v>
          </cell>
          <cell r="B2496" t="str">
            <v>LY-KD251B</v>
          </cell>
          <cell r="C2496" t="str">
            <v>STAR PLAYER 2V OX</v>
          </cell>
          <cell r="D2496" t="str">
            <v>布+星星月亮</v>
          </cell>
        </row>
        <row r="2497">
          <cell r="A2497" t="str">
            <v>756626C</v>
          </cell>
          <cell r="B2497" t="str">
            <v>LY-KD251B</v>
          </cell>
          <cell r="C2497" t="str">
            <v>STAR PLAYER 2V OX</v>
          </cell>
          <cell r="D2497" t="str">
            <v>布+星星月亮</v>
          </cell>
        </row>
        <row r="2498">
          <cell r="A2498" t="str">
            <v>756681F</v>
          </cell>
          <cell r="B2498" t="str">
            <v>LY-CT763N-A</v>
          </cell>
          <cell r="C2498" t="str">
            <v>CT AS MADISON OX</v>
          </cell>
          <cell r="D2498" t="str">
            <v>布</v>
          </cell>
        </row>
        <row r="2499">
          <cell r="A2499" t="str">
            <v>756836C</v>
          </cell>
          <cell r="B2499" t="str">
            <v>LY-497B-3</v>
          </cell>
          <cell r="C2499" t="str">
            <v>CTAS HI</v>
          </cell>
          <cell r="D2499" t="str">
            <v>布</v>
          </cell>
        </row>
        <row r="2500">
          <cell r="A2500" t="str">
            <v>756846C</v>
          </cell>
          <cell r="B2500" t="str">
            <v>LY-KD251B-6</v>
          </cell>
          <cell r="C2500" t="str">
            <v>STAR PLAYER EV 2V OX</v>
          </cell>
          <cell r="D2500" t="str">
            <v>皮+星星月亮</v>
          </cell>
        </row>
        <row r="2501">
          <cell r="A2501" t="str">
            <v>758149C</v>
          </cell>
          <cell r="B2501" t="str">
            <v>LY-SA170N-2B</v>
          </cell>
          <cell r="C2501" t="str">
            <v>STAR PLAYER EV 2V MID</v>
          </cell>
          <cell r="D2501" t="str">
            <v>皮+星星月亮</v>
          </cell>
        </row>
        <row r="2502">
          <cell r="A2502" t="str">
            <v>758150C</v>
          </cell>
          <cell r="B2502" t="str">
            <v>LY-SA170N-2B</v>
          </cell>
          <cell r="C2502" t="str">
            <v>STAR PLAYER EV 2V MID</v>
          </cell>
          <cell r="D2502" t="str">
            <v>皮+星星月亮</v>
          </cell>
        </row>
        <row r="2503">
          <cell r="A2503" t="str">
            <v>758151C</v>
          </cell>
          <cell r="B2503" t="str">
            <v>LY-SA170N-2B</v>
          </cell>
          <cell r="C2503" t="str">
            <v>STAR PLAYER EV 2V MID</v>
          </cell>
          <cell r="D2503" t="str">
            <v>皮+星星月亮</v>
          </cell>
        </row>
        <row r="2504">
          <cell r="A2504" t="str">
            <v>758155C</v>
          </cell>
          <cell r="B2504" t="str">
            <v>LY-KD251A-3</v>
          </cell>
          <cell r="C2504" t="str">
            <v>STAR PLAYER EV 2V OX</v>
          </cell>
          <cell r="D2504" t="str">
            <v>皮+星星月亮</v>
          </cell>
        </row>
        <row r="2505">
          <cell r="A2505" t="str">
            <v>758156C</v>
          </cell>
          <cell r="B2505" t="str">
            <v>LY-KD251A-3</v>
          </cell>
          <cell r="C2505" t="str">
            <v>STAR PLAYER EV 2V OX</v>
          </cell>
          <cell r="D2505" t="str">
            <v>皮+星星月亮</v>
          </cell>
        </row>
        <row r="2506">
          <cell r="A2506" t="str">
            <v>758157C</v>
          </cell>
          <cell r="B2506" t="str">
            <v>LY-KD251A-3</v>
          </cell>
          <cell r="C2506" t="str">
            <v>STAR PLAYER EV 2V OX</v>
          </cell>
          <cell r="D2506" t="str">
            <v>皮+星星月亮</v>
          </cell>
        </row>
        <row r="2507">
          <cell r="A2507" t="str">
            <v>758160C</v>
          </cell>
          <cell r="B2507" t="str">
            <v>LY-KD251A</v>
          </cell>
          <cell r="C2507" t="str">
            <v>STAR PLAYER 2V OX</v>
          </cell>
          <cell r="D2507" t="str">
            <v>皮+星星月亮</v>
          </cell>
        </row>
        <row r="2508">
          <cell r="A2508" t="str">
            <v>758164C</v>
          </cell>
          <cell r="B2508" t="str">
            <v>LY-SA216N-13B</v>
          </cell>
          <cell r="C2508" t="str">
            <v>PRO BLAZE STRAP HI</v>
          </cell>
          <cell r="D2508" t="str">
            <v>皮+星星月亮</v>
          </cell>
        </row>
        <row r="2509">
          <cell r="A2509" t="str">
            <v>758165C</v>
          </cell>
          <cell r="B2509" t="str">
            <v>LY-SA216N-13B</v>
          </cell>
          <cell r="C2509" t="str">
            <v>PRO BLAZE STRAP HI</v>
          </cell>
          <cell r="D2509" t="str">
            <v>皮+星星月亮</v>
          </cell>
        </row>
        <row r="2510">
          <cell r="A2510" t="str">
            <v>758166C</v>
          </cell>
          <cell r="B2510" t="str">
            <v>LY-SA216N-13B</v>
          </cell>
          <cell r="C2510" t="str">
            <v>PRO BLAZE STRAP HI</v>
          </cell>
          <cell r="D2510" t="str">
            <v>皮+星星月亮</v>
          </cell>
        </row>
        <row r="2511">
          <cell r="A2511" t="str">
            <v>758167C</v>
          </cell>
          <cell r="B2511" t="str">
            <v>LY-SA216N-13B</v>
          </cell>
          <cell r="C2511" t="str">
            <v>PRO BLAZE STRAP HI</v>
          </cell>
          <cell r="D2511" t="str">
            <v>皮+星星月亮</v>
          </cell>
        </row>
        <row r="2512">
          <cell r="A2512" t="str">
            <v>758168C</v>
          </cell>
          <cell r="B2512" t="str">
            <v>LY-SA216N-13B</v>
          </cell>
          <cell r="C2512" t="str">
            <v>PRO BLAZE STRAP HI</v>
          </cell>
          <cell r="D2512" t="str">
            <v>皮+星星月亮</v>
          </cell>
        </row>
        <row r="2513">
          <cell r="A2513" t="str">
            <v>758169C</v>
          </cell>
          <cell r="B2513" t="str">
            <v>LY-SA216N-13B</v>
          </cell>
          <cell r="C2513" t="str">
            <v>PRO BLAZE STRAP HI</v>
          </cell>
          <cell r="D2513" t="str">
            <v>皮+星星月亮</v>
          </cell>
        </row>
        <row r="2514">
          <cell r="A2514" t="str">
            <v>758189C</v>
          </cell>
          <cell r="B2514" t="str">
            <v>LY-CT561N-11A</v>
          </cell>
          <cell r="C2514" t="str">
            <v>CTAS CREATURES OX</v>
          </cell>
          <cell r="D2514" t="str">
            <v>布</v>
          </cell>
        </row>
        <row r="2515">
          <cell r="A2515" t="str">
            <v>758189F</v>
          </cell>
          <cell r="B2515" t="str">
            <v>LY-CT561N-11A</v>
          </cell>
          <cell r="C2515" t="str">
            <v>CT AS CREATURES OX</v>
          </cell>
          <cell r="D2515" t="str">
            <v>布</v>
          </cell>
        </row>
        <row r="2516">
          <cell r="A2516" t="str">
            <v>758189V</v>
          </cell>
          <cell r="B2516" t="str">
            <v>LY-CT561N-11A</v>
          </cell>
          <cell r="C2516" t="str">
            <v>CT AS CREATURES</v>
          </cell>
          <cell r="D2516" t="str">
            <v>布</v>
          </cell>
        </row>
        <row r="2517">
          <cell r="A2517" t="str">
            <v>758190C</v>
          </cell>
          <cell r="B2517" t="str">
            <v>LY-CT561N-12A</v>
          </cell>
          <cell r="C2517" t="str">
            <v>CTAS CREATURES OX</v>
          </cell>
          <cell r="D2517" t="str">
            <v>布</v>
          </cell>
        </row>
        <row r="2518">
          <cell r="A2518" t="str">
            <v>758190F</v>
          </cell>
          <cell r="B2518" t="str">
            <v>LY-CT561N-12A</v>
          </cell>
          <cell r="C2518" t="str">
            <v>CT AS CREATURES OX</v>
          </cell>
          <cell r="D2518" t="str">
            <v>布</v>
          </cell>
        </row>
        <row r="2519">
          <cell r="A2519" t="str">
            <v>758190V</v>
          </cell>
          <cell r="B2519" t="str">
            <v>LY-CT561N-12A</v>
          </cell>
          <cell r="C2519" t="str">
            <v>CT AS CREATURES</v>
          </cell>
          <cell r="D2519" t="str">
            <v>布</v>
          </cell>
        </row>
        <row r="2520">
          <cell r="A2520" t="str">
            <v>758191C</v>
          </cell>
          <cell r="B2520" t="str">
            <v>LY-CT561N-13A</v>
          </cell>
          <cell r="C2520" t="str">
            <v>CTAS CREATURES OX</v>
          </cell>
          <cell r="D2520" t="str">
            <v>布</v>
          </cell>
        </row>
        <row r="2521">
          <cell r="A2521" t="str">
            <v>758191F</v>
          </cell>
          <cell r="B2521" t="str">
            <v>LY-CT561N-13A</v>
          </cell>
          <cell r="C2521" t="str">
            <v>CT AS CREATURES OX</v>
          </cell>
          <cell r="D2521" t="str">
            <v>布</v>
          </cell>
        </row>
        <row r="2522">
          <cell r="A2522" t="str">
            <v>758202C</v>
          </cell>
          <cell r="B2522" t="str">
            <v>LY-SA346N-B</v>
          </cell>
          <cell r="C2522" t="str">
            <v>BREAKPOINT 2V OX</v>
          </cell>
          <cell r="D2522" t="str">
            <v>皮+星星月亮</v>
          </cell>
        </row>
        <row r="2523">
          <cell r="A2523" t="str">
            <v>758203C</v>
          </cell>
          <cell r="B2523" t="str">
            <v>LY-SA346N-B</v>
          </cell>
          <cell r="C2523" t="str">
            <v>BREAKPOINT 2V OX</v>
          </cell>
          <cell r="D2523" t="str">
            <v>皮+星星月亮</v>
          </cell>
        </row>
        <row r="2524">
          <cell r="A2524" t="str">
            <v>758204C</v>
          </cell>
          <cell r="B2524" t="str">
            <v>LY-SA346N-B</v>
          </cell>
          <cell r="C2524" t="str">
            <v>BREAKPOINT 2V OX</v>
          </cell>
          <cell r="D2524" t="str">
            <v>皮+星星月亮</v>
          </cell>
        </row>
        <row r="2525">
          <cell r="A2525" t="str">
            <v>758281C</v>
          </cell>
          <cell r="B2525" t="str">
            <v>LY-SA346N-B</v>
          </cell>
          <cell r="C2525" t="str">
            <v>BREAKPOINT 2V OX</v>
          </cell>
          <cell r="D2525" t="str">
            <v>皮+星星月亮</v>
          </cell>
        </row>
        <row r="2526">
          <cell r="A2526" t="str">
            <v>758282C</v>
          </cell>
          <cell r="B2526" t="str">
            <v>LY-SA346N-B</v>
          </cell>
          <cell r="C2526" t="str">
            <v>BREAKPOINT 2V OX</v>
          </cell>
          <cell r="D2526" t="str">
            <v>皮+星星月亮</v>
          </cell>
        </row>
        <row r="2527">
          <cell r="A2527" t="str">
            <v>758283C</v>
          </cell>
          <cell r="B2527" t="str">
            <v>LY-SA346N-B</v>
          </cell>
          <cell r="C2527" t="str">
            <v>BREAKPOINT 2V OX</v>
          </cell>
          <cell r="D2527" t="str">
            <v>皮+星星月亮</v>
          </cell>
        </row>
        <row r="2528">
          <cell r="A2528" t="str">
            <v>758359C</v>
          </cell>
          <cell r="B2528" t="str">
            <v>LY-KD251B-7</v>
          </cell>
          <cell r="C2528" t="str">
            <v>STAR PLAYER EV 2V OX</v>
          </cell>
          <cell r="D2528" t="str">
            <v>布+星星月亮</v>
          </cell>
        </row>
        <row r="2529">
          <cell r="A2529" t="str">
            <v>758362C</v>
          </cell>
          <cell r="B2529" t="str">
            <v>LY-KD251B-7</v>
          </cell>
          <cell r="C2529" t="str">
            <v>STAR PLAYER EV 2V OX</v>
          </cell>
          <cell r="D2529" t="str">
            <v>布+星星月亮</v>
          </cell>
        </row>
        <row r="2530">
          <cell r="A2530" t="str">
            <v>758369C</v>
          </cell>
          <cell r="B2530" t="str">
            <v>LY-OS119N-B</v>
          </cell>
          <cell r="C2530" t="str">
            <v>ONE STAR OX</v>
          </cell>
          <cell r="D2530" t="str">
            <v>皮</v>
          </cell>
        </row>
        <row r="2531">
          <cell r="A2531" t="str">
            <v>758371C</v>
          </cell>
          <cell r="B2531" t="str">
            <v>LY-OS119N-B</v>
          </cell>
          <cell r="C2531" t="str">
            <v>ONE STAR OX</v>
          </cell>
          <cell r="D2531" t="str">
            <v>皮</v>
          </cell>
        </row>
        <row r="2532">
          <cell r="A2532" t="str">
            <v>758414C</v>
          </cell>
          <cell r="B2532" t="str">
            <v>LY-497C-5A-1</v>
          </cell>
          <cell r="C2532" t="str">
            <v>CTAS OX</v>
          </cell>
          <cell r="D2532" t="str">
            <v>皮</v>
          </cell>
        </row>
        <row r="2533">
          <cell r="A2533" t="str">
            <v>758416C</v>
          </cell>
          <cell r="B2533" t="str">
            <v>LY-497C-5A-1</v>
          </cell>
          <cell r="C2533" t="str">
            <v>CTAS OX</v>
          </cell>
          <cell r="D2533" t="str">
            <v>皮</v>
          </cell>
        </row>
        <row r="2534">
          <cell r="A2534" t="str">
            <v>758434C</v>
          </cell>
          <cell r="B2534" t="str">
            <v>LY-OS119N-B</v>
          </cell>
          <cell r="C2534" t="str">
            <v>ONE STAR OX</v>
          </cell>
          <cell r="D2534" t="str">
            <v>皮</v>
          </cell>
        </row>
        <row r="2535">
          <cell r="A2535" t="str">
            <v>758464C</v>
          </cell>
          <cell r="B2535" t="str">
            <v>LY-OS119N-B</v>
          </cell>
          <cell r="C2535" t="str">
            <v>ONE STAR OX</v>
          </cell>
          <cell r="D2535" t="str">
            <v>皮</v>
          </cell>
        </row>
        <row r="2536">
          <cell r="A2536" t="str">
            <v>758465C</v>
          </cell>
          <cell r="B2536" t="str">
            <v>LY-OS119N-B</v>
          </cell>
          <cell r="C2536" t="str">
            <v>ONE STAR OX</v>
          </cell>
          <cell r="D2536" t="str">
            <v>皮</v>
          </cell>
        </row>
        <row r="2537">
          <cell r="A2537" t="str">
            <v>758466C</v>
          </cell>
          <cell r="B2537" t="str">
            <v>LY-OS119N-B</v>
          </cell>
          <cell r="C2537" t="str">
            <v>ONE STAR OX</v>
          </cell>
          <cell r="D2537" t="str">
            <v>皮</v>
          </cell>
        </row>
        <row r="2538">
          <cell r="A2538" t="str">
            <v>758491C</v>
          </cell>
          <cell r="B2538" t="str">
            <v>LY-OS119N-1B</v>
          </cell>
          <cell r="C2538" t="str">
            <v>ONE STAR 2V OX</v>
          </cell>
          <cell r="D2538" t="str">
            <v>皮</v>
          </cell>
        </row>
        <row r="2539">
          <cell r="A2539" t="str">
            <v>758492C</v>
          </cell>
          <cell r="B2539" t="str">
            <v>LY-OS119N-1B</v>
          </cell>
          <cell r="C2539" t="str">
            <v>ONE STAR 2V OX</v>
          </cell>
          <cell r="D2539" t="str">
            <v>皮</v>
          </cell>
        </row>
        <row r="2540">
          <cell r="A2540" t="str">
            <v>758493C</v>
          </cell>
          <cell r="B2540" t="str">
            <v>LY-OS119N-1B</v>
          </cell>
          <cell r="C2540" t="str">
            <v>ONE STAR 2V</v>
          </cell>
          <cell r="D2540" t="str">
            <v>皮</v>
          </cell>
        </row>
        <row r="2541">
          <cell r="A2541" t="str">
            <v>758494C</v>
          </cell>
          <cell r="B2541" t="str">
            <v>LY-OS119N-1B</v>
          </cell>
          <cell r="C2541" t="str">
            <v>ONE STAR 2V OX</v>
          </cell>
          <cell r="D2541" t="str">
            <v>皮</v>
          </cell>
        </row>
        <row r="2542">
          <cell r="A2542" t="str">
            <v>758495C</v>
          </cell>
          <cell r="B2542" t="str">
            <v>LY-OS119N-1B</v>
          </cell>
          <cell r="C2542" t="str">
            <v>ONE STAR 2V OX</v>
          </cell>
          <cell r="D2542" t="str">
            <v>皮</v>
          </cell>
        </row>
        <row r="2543">
          <cell r="A2543" t="str">
            <v>758496C</v>
          </cell>
          <cell r="B2543" t="str">
            <v>LY-OS119N-1B</v>
          </cell>
          <cell r="C2543" t="str">
            <v>ONE STAR 2V OX</v>
          </cell>
          <cell r="D2543" t="str">
            <v>皮</v>
          </cell>
        </row>
        <row r="2544">
          <cell r="A2544" t="str">
            <v>758568C</v>
          </cell>
          <cell r="B2544" t="str">
            <v>LY-497C-5A</v>
          </cell>
          <cell r="C2544" t="str">
            <v>CTAS OX</v>
          </cell>
          <cell r="D2544" t="str">
            <v>皮</v>
          </cell>
        </row>
        <row r="2545">
          <cell r="A2545" t="str">
            <v>758569C</v>
          </cell>
          <cell r="B2545" t="str">
            <v>LY-497C-5A</v>
          </cell>
          <cell r="C2545" t="str">
            <v>CTAS OX</v>
          </cell>
          <cell r="D2545" t="str">
            <v>皮</v>
          </cell>
        </row>
        <row r="2546">
          <cell r="A2546" t="str">
            <v>758631C</v>
          </cell>
          <cell r="B2546" t="str">
            <v>LY-OS119N-1B</v>
          </cell>
          <cell r="C2546" t="str">
            <v>ONE STAR 2V OX</v>
          </cell>
          <cell r="D2546" t="str">
            <v>皮</v>
          </cell>
        </row>
        <row r="2547">
          <cell r="A2547" t="str">
            <v>758632F</v>
          </cell>
          <cell r="B2547" t="str">
            <v>LY-497C-A</v>
          </cell>
          <cell r="C2547" t="str">
            <v>CTAS OX</v>
          </cell>
          <cell r="D2547" t="str">
            <v>布</v>
          </cell>
        </row>
        <row r="2548">
          <cell r="A2548" t="str">
            <v>758876C</v>
          </cell>
          <cell r="B2548" t="str">
            <v>LY-SA216N-3B</v>
          </cell>
          <cell r="C2548" t="str">
            <v>PRO BLAZE STRAP HI</v>
          </cell>
          <cell r="D2548" t="str">
            <v>皮+星星月亮</v>
          </cell>
        </row>
        <row r="2549">
          <cell r="A2549" t="str">
            <v>759159C</v>
          </cell>
          <cell r="B2549" t="str">
            <v>LY-SK032N-B</v>
          </cell>
          <cell r="C2549" t="str">
            <v>CONS EL DISTRITO OX</v>
          </cell>
          <cell r="D2549" t="str">
            <v>皮+星星月亮</v>
          </cell>
        </row>
        <row r="2550">
          <cell r="A2550" t="str">
            <v>759161C</v>
          </cell>
          <cell r="B2550" t="str">
            <v>LY-SK032N-B</v>
          </cell>
          <cell r="C2550" t="str">
            <v>CONS EL DISTRITO OX</v>
          </cell>
          <cell r="D2550" t="str">
            <v>皮+星星月亮</v>
          </cell>
        </row>
        <row r="2551">
          <cell r="A2551" t="str">
            <v>759223C</v>
          </cell>
          <cell r="B2551" t="str">
            <v>LY-497C-6A</v>
          </cell>
          <cell r="C2551" t="str">
            <v>CTAS OX</v>
          </cell>
          <cell r="D2551" t="str">
            <v>布</v>
          </cell>
        </row>
        <row r="2552">
          <cell r="A2552" t="str">
            <v>759475F</v>
          </cell>
          <cell r="B2552" t="str">
            <v>LY-497C</v>
          </cell>
          <cell r="C2552" t="str">
            <v>CT AS OX</v>
          </cell>
          <cell r="D2552" t="str">
            <v>布</v>
          </cell>
        </row>
        <row r="2553">
          <cell r="A2553" t="str">
            <v>759786C</v>
          </cell>
          <cell r="B2553" t="str">
            <v>LY-SK032N-A-1</v>
          </cell>
          <cell r="C2553" t="str">
            <v>CONVERSE EL DISTRITO</v>
          </cell>
          <cell r="D2553" t="str">
            <v>布+星星月亮</v>
          </cell>
        </row>
        <row r="2554">
          <cell r="A2554" t="str">
            <v>759786F</v>
          </cell>
          <cell r="B2554" t="str">
            <v>LY-SK032N-A-1</v>
          </cell>
          <cell r="C2554" t="str">
            <v>CONVERSE EL DISTRITO</v>
          </cell>
          <cell r="D2554" t="str">
            <v>布+星星月亮</v>
          </cell>
        </row>
        <row r="2555">
          <cell r="A2555" t="str">
            <v>759792C</v>
          </cell>
          <cell r="B2555" t="str">
            <v>LY-SK032N-A-1</v>
          </cell>
          <cell r="C2555" t="str">
            <v>CONVERSE EL DISTRITO</v>
          </cell>
          <cell r="D2555" t="str">
            <v>布+星星月亮</v>
          </cell>
        </row>
        <row r="2556">
          <cell r="A2556" t="str">
            <v>759792F</v>
          </cell>
          <cell r="B2556" t="str">
            <v>LY-SK032N-A-1</v>
          </cell>
          <cell r="C2556" t="str">
            <v>CONS EL DISTRITO OX</v>
          </cell>
          <cell r="D2556" t="str">
            <v>布+星星月亮</v>
          </cell>
        </row>
        <row r="2557">
          <cell r="A2557" t="str">
            <v>759796C</v>
          </cell>
          <cell r="B2557" t="str">
            <v>LY-SA368N-B</v>
          </cell>
          <cell r="C2557" t="str">
            <v>CONVERSE POINT STAR OX</v>
          </cell>
          <cell r="D2557" t="str">
            <v>皮+星星月亮</v>
          </cell>
        </row>
        <row r="2558">
          <cell r="A2558" t="str">
            <v>759798C</v>
          </cell>
          <cell r="B2558" t="str">
            <v>LY-SA368N-B</v>
          </cell>
          <cell r="C2558" t="str">
            <v>CONVERSE POINT STAR OX</v>
          </cell>
          <cell r="D2558" t="str">
            <v>皮+星星月亮</v>
          </cell>
        </row>
        <row r="2559">
          <cell r="A2559" t="str">
            <v>759813C</v>
          </cell>
          <cell r="B2559" t="str">
            <v>LY-OS119N-B-1</v>
          </cell>
          <cell r="C2559" t="str">
            <v>ONE STAR OX</v>
          </cell>
          <cell r="D2559" t="str">
            <v>皮</v>
          </cell>
        </row>
        <row r="2560">
          <cell r="A2560" t="str">
            <v>759815C</v>
          </cell>
          <cell r="B2560" t="str">
            <v>LY-OS119N-B-1</v>
          </cell>
          <cell r="C2560" t="str">
            <v>ONE STAR OX</v>
          </cell>
          <cell r="D2560" t="str">
            <v>皮</v>
          </cell>
        </row>
        <row r="2561">
          <cell r="A2561" t="str">
            <v>760008C</v>
          </cell>
          <cell r="B2561" t="str">
            <v>LY-OS119N-1B-2</v>
          </cell>
          <cell r="C2561" t="str">
            <v>ONE STAR 2V OX</v>
          </cell>
          <cell r="D2561" t="str">
            <v>皮</v>
          </cell>
        </row>
        <row r="2562">
          <cell r="A2562" t="str">
            <v>760009C</v>
          </cell>
          <cell r="B2562" t="str">
            <v>LY-OS119N-1B-2</v>
          </cell>
          <cell r="C2562" t="str">
            <v>ONE STAR 2V OX</v>
          </cell>
          <cell r="D2562" t="str">
            <v>皮</v>
          </cell>
        </row>
        <row r="2563">
          <cell r="A2563" t="str">
            <v>760031C</v>
          </cell>
          <cell r="B2563" t="str">
            <v>LY-KD251B-8</v>
          </cell>
          <cell r="C2563" t="str">
            <v>STAR PLAYER EV 2V OX</v>
          </cell>
          <cell r="D2563" t="str">
            <v>布+星星月亮</v>
          </cell>
        </row>
        <row r="2564">
          <cell r="A2564" t="str">
            <v>760032C</v>
          </cell>
          <cell r="B2564" t="str">
            <v>LY-KD251B-8</v>
          </cell>
          <cell r="C2564" t="str">
            <v>STAR PLAYER EV 2V OX</v>
          </cell>
          <cell r="D2564" t="str">
            <v>布+星星月亮</v>
          </cell>
        </row>
        <row r="2565">
          <cell r="A2565" t="str">
            <v>760033C</v>
          </cell>
          <cell r="B2565" t="str">
            <v>LY-KD251B-8</v>
          </cell>
          <cell r="C2565" t="str">
            <v>STAR PLAYER EV 2V OX</v>
          </cell>
          <cell r="D2565" t="str">
            <v>布+星星月亮</v>
          </cell>
        </row>
        <row r="2566">
          <cell r="A2566" t="str">
            <v>760034C</v>
          </cell>
          <cell r="B2566" t="str">
            <v>LY-KD251B-7</v>
          </cell>
          <cell r="C2566" t="str">
            <v>STAR PLAYER EV 2V OX</v>
          </cell>
          <cell r="D2566" t="str">
            <v>布+星星月亮</v>
          </cell>
        </row>
        <row r="2567">
          <cell r="A2567" t="str">
            <v>760035C</v>
          </cell>
          <cell r="B2567" t="str">
            <v>LY-KD251B-7</v>
          </cell>
          <cell r="C2567" t="str">
            <v>STAR PLAYER EV 2V OX</v>
          </cell>
          <cell r="D2567" t="str">
            <v>布+星星月亮</v>
          </cell>
        </row>
        <row r="2568">
          <cell r="A2568" t="str">
            <v>760036C</v>
          </cell>
          <cell r="B2568" t="str">
            <v>LY-KD251B-7</v>
          </cell>
          <cell r="C2568" t="str">
            <v>STAR PLAYER EV 2V OX</v>
          </cell>
          <cell r="D2568" t="str">
            <v>布+星星月亮</v>
          </cell>
        </row>
        <row r="2569">
          <cell r="A2569" t="str">
            <v>760037C</v>
          </cell>
          <cell r="B2569" t="str">
            <v>LY-OS119N-1B-1</v>
          </cell>
          <cell r="C2569" t="str">
            <v>ONE STAR 2V OX</v>
          </cell>
          <cell r="D2569" t="str">
            <v>皮</v>
          </cell>
        </row>
        <row r="2570">
          <cell r="A2570" t="str">
            <v>760038C</v>
          </cell>
          <cell r="B2570" t="str">
            <v>LY-OS119N-1B-1</v>
          </cell>
          <cell r="C2570" t="str">
            <v>ONE STAR 2V OX</v>
          </cell>
          <cell r="D2570" t="str">
            <v>皮</v>
          </cell>
        </row>
        <row r="2571">
          <cell r="A2571" t="str">
            <v>760039C</v>
          </cell>
          <cell r="B2571" t="str">
            <v>LY-OS119N-1A</v>
          </cell>
          <cell r="C2571" t="str">
            <v>ONE STAR 2V OX</v>
          </cell>
          <cell r="D2571" t="str">
            <v>布</v>
          </cell>
        </row>
        <row r="2572">
          <cell r="A2572" t="str">
            <v>760039F</v>
          </cell>
          <cell r="B2572" t="str">
            <v>LY-OS119N-1A</v>
          </cell>
          <cell r="C2572" t="str">
            <v>ONE STAR 2V OX</v>
          </cell>
          <cell r="D2572" t="str">
            <v>布</v>
          </cell>
        </row>
        <row r="2573">
          <cell r="A2573" t="str">
            <v>760040C</v>
          </cell>
          <cell r="B2573" t="str">
            <v>LY-OS119N-1A</v>
          </cell>
          <cell r="C2573" t="str">
            <v>ONE STAR 2V OX</v>
          </cell>
          <cell r="D2573" t="str">
            <v>布</v>
          </cell>
        </row>
        <row r="2574">
          <cell r="A2574" t="str">
            <v>760040F</v>
          </cell>
          <cell r="B2574" t="str">
            <v>LY-OS119N-1A</v>
          </cell>
          <cell r="C2574" t="str">
            <v>ONE STAR 2V OX</v>
          </cell>
          <cell r="D2574" t="str">
            <v>布</v>
          </cell>
        </row>
        <row r="2575">
          <cell r="A2575" t="str">
            <v>760052C</v>
          </cell>
          <cell r="B2575" t="str">
            <v>LY-SA346N-A-1</v>
          </cell>
          <cell r="C2575" t="str">
            <v>BREAKPOINT 2V OX</v>
          </cell>
          <cell r="D2575" t="str">
            <v>布+星星月亮</v>
          </cell>
        </row>
        <row r="2576">
          <cell r="A2576" t="str">
            <v>760053C</v>
          </cell>
          <cell r="B2576" t="str">
            <v>LY-SA346N-A</v>
          </cell>
          <cell r="C2576" t="str">
            <v>BREAKPOINT 2V OX</v>
          </cell>
          <cell r="D2576" t="str">
            <v>布+星星月亮</v>
          </cell>
        </row>
        <row r="2577">
          <cell r="A2577" t="str">
            <v>760053F</v>
          </cell>
          <cell r="B2577" t="str">
            <v>LY-SA346N-A</v>
          </cell>
          <cell r="C2577" t="str">
            <v>BREAKPOINT 2V OX</v>
          </cell>
          <cell r="D2577" t="str">
            <v>布+星星月亮</v>
          </cell>
        </row>
        <row r="2578">
          <cell r="A2578" t="str">
            <v>760055C</v>
          </cell>
          <cell r="B2578" t="str">
            <v>LY-SA346N-A</v>
          </cell>
          <cell r="C2578" t="str">
            <v>BREAKPOINT 2V OX</v>
          </cell>
          <cell r="D2578" t="str">
            <v>布+星星月亮</v>
          </cell>
        </row>
        <row r="2579">
          <cell r="A2579" t="str">
            <v>760057C</v>
          </cell>
          <cell r="B2579" t="str">
            <v>LY-SA346N-B</v>
          </cell>
          <cell r="C2579" t="str">
            <v>BREAKPOINT 2V OX</v>
          </cell>
          <cell r="D2579" t="str">
            <v>皮+星星月亮</v>
          </cell>
        </row>
        <row r="2580">
          <cell r="A2580" t="str">
            <v>760058C</v>
          </cell>
          <cell r="B2580" t="str">
            <v>LY-SA346N-B</v>
          </cell>
          <cell r="C2580" t="str">
            <v>BREAKPOINT 2V OX</v>
          </cell>
          <cell r="D2580" t="str">
            <v>皮+星星月亮</v>
          </cell>
        </row>
        <row r="2581">
          <cell r="A2581" t="str">
            <v>760074C</v>
          </cell>
          <cell r="B2581" t="str">
            <v>LY-SA216N-4B</v>
          </cell>
          <cell r="C2581" t="str">
            <v>PRO BLAZE STRAP HI</v>
          </cell>
          <cell r="D2581" t="str">
            <v>皮+星星月亮</v>
          </cell>
        </row>
        <row r="2582">
          <cell r="A2582" t="str">
            <v>760075C</v>
          </cell>
          <cell r="B2582" t="str">
            <v>LY-KD251A</v>
          </cell>
          <cell r="C2582" t="str">
            <v>STAR PLAYER EV 2V OX</v>
          </cell>
          <cell r="D2582" t="str">
            <v>皮+星星月亮</v>
          </cell>
        </row>
        <row r="2583">
          <cell r="A2583" t="str">
            <v>760076C</v>
          </cell>
          <cell r="B2583" t="str">
            <v>LY-KD251A</v>
          </cell>
          <cell r="C2583" t="str">
            <v>STAR PLAYER EV 2V OX</v>
          </cell>
          <cell r="D2583" t="str">
            <v>皮+星星月亮</v>
          </cell>
        </row>
        <row r="2584">
          <cell r="A2584" t="str">
            <v>760077C</v>
          </cell>
          <cell r="B2584" t="str">
            <v>LY-KD251A</v>
          </cell>
          <cell r="C2584" t="str">
            <v>STAR PLAYER EV 2V OX</v>
          </cell>
          <cell r="D2584" t="str">
            <v>皮+星星月亮</v>
          </cell>
        </row>
        <row r="2585">
          <cell r="A2585" t="str">
            <v>760245C</v>
          </cell>
          <cell r="B2585" t="str">
            <v>LY-KD251A</v>
          </cell>
          <cell r="C2585" t="str">
            <v>STAR PLAYER EV 2V OX</v>
          </cell>
          <cell r="D2585" t="str">
            <v>皮+星星月亮</v>
          </cell>
        </row>
        <row r="2586">
          <cell r="A2586" t="str">
            <v>760246C</v>
          </cell>
          <cell r="B2586" t="str">
            <v>LY-KD251A</v>
          </cell>
          <cell r="C2586" t="str">
            <v>STAR PLAYER EV 2V OX</v>
          </cell>
          <cell r="D2586" t="str">
            <v>皮+星星月亮</v>
          </cell>
        </row>
        <row r="2587">
          <cell r="A2587" t="str">
            <v>760595C</v>
          </cell>
          <cell r="B2587" t="str">
            <v>LY-OS119N-A-1</v>
          </cell>
          <cell r="C2587" t="str">
            <v>ONE STAR OX</v>
          </cell>
          <cell r="D2587" t="str">
            <v>布</v>
          </cell>
        </row>
        <row r="2588">
          <cell r="A2588" t="str">
            <v>760595F</v>
          </cell>
          <cell r="B2588" t="str">
            <v>LY-OS119N-A-1</v>
          </cell>
          <cell r="C2588" t="str">
            <v>ONE STAR OX</v>
          </cell>
          <cell r="D2588" t="str">
            <v>布</v>
          </cell>
        </row>
        <row r="2589">
          <cell r="A2589" t="str">
            <v>760596C</v>
          </cell>
          <cell r="B2589" t="str">
            <v>LY-OS119N-A-1</v>
          </cell>
          <cell r="C2589" t="str">
            <v>ONE STAR OX</v>
          </cell>
          <cell r="D2589" t="str">
            <v>布</v>
          </cell>
        </row>
        <row r="2590">
          <cell r="A2590" t="str">
            <v>760596F</v>
          </cell>
          <cell r="B2590" t="str">
            <v>LY-OS119N-A-1</v>
          </cell>
          <cell r="C2590" t="str">
            <v>ONE STAR OX</v>
          </cell>
          <cell r="D2590" t="str">
            <v>布</v>
          </cell>
        </row>
        <row r="2591">
          <cell r="A2591" t="str">
            <v>760598C</v>
          </cell>
          <cell r="B2591" t="str">
            <v>LY-OS119N-A-1</v>
          </cell>
          <cell r="C2591" t="str">
            <v>ONE STAR OX</v>
          </cell>
          <cell r="D2591" t="str">
            <v>布</v>
          </cell>
        </row>
        <row r="2592">
          <cell r="A2592" t="str">
            <v>760598F</v>
          </cell>
          <cell r="B2592" t="str">
            <v>LY-OS119N-A-1</v>
          </cell>
          <cell r="C2592" t="str">
            <v>ONE STAR OX</v>
          </cell>
          <cell r="D2592" t="str">
            <v>布</v>
          </cell>
        </row>
        <row r="2593">
          <cell r="A2593" t="str">
            <v>760747C</v>
          </cell>
          <cell r="B2593" t="str">
            <v>LY-SA216N-A-1</v>
          </cell>
          <cell r="C2593" t="str">
            <v>PRO BLAZE STRAP HI</v>
          </cell>
          <cell r="D2593" t="str">
            <v>布+星星月亮</v>
          </cell>
        </row>
        <row r="2594">
          <cell r="A2594" t="str">
            <v>760747F</v>
          </cell>
          <cell r="B2594" t="str">
            <v>LY-SA216N-A-1</v>
          </cell>
          <cell r="C2594" t="str">
            <v>PRO BLAZE STRAP HI</v>
          </cell>
          <cell r="D2594" t="str">
            <v>布+星星月亮</v>
          </cell>
        </row>
        <row r="2595">
          <cell r="A2595" t="str">
            <v>760753C</v>
          </cell>
          <cell r="B2595" t="str">
            <v>LY-KD251B-7</v>
          </cell>
          <cell r="C2595" t="str">
            <v>STAR PLAYER 2V OX</v>
          </cell>
          <cell r="D2595" t="str">
            <v>布+星星月亮</v>
          </cell>
        </row>
        <row r="2596">
          <cell r="A2596" t="str">
            <v>760754C</v>
          </cell>
          <cell r="B2596" t="str">
            <v>LY-KD251B-7</v>
          </cell>
          <cell r="C2596" t="str">
            <v>STAR PLAYER 2V OX</v>
          </cell>
          <cell r="D2596" t="str">
            <v>布+星星月亮</v>
          </cell>
        </row>
        <row r="2597">
          <cell r="A2597" t="str">
            <v>760755C</v>
          </cell>
          <cell r="B2597" t="str">
            <v>LY-KD251B-7</v>
          </cell>
          <cell r="C2597" t="str">
            <v>STAR PLAYER 2V OX</v>
          </cell>
          <cell r="D2597" t="str">
            <v>布+星星月亮</v>
          </cell>
        </row>
        <row r="2598">
          <cell r="A2598" t="str">
            <v>760756C</v>
          </cell>
          <cell r="B2598" t="str">
            <v>LY-KD251B-7</v>
          </cell>
          <cell r="C2598" t="str">
            <v>STAR PLAYER 2V OX</v>
          </cell>
          <cell r="D2598" t="str">
            <v>布+星星月亮</v>
          </cell>
        </row>
        <row r="2599">
          <cell r="A2599" t="str">
            <v>760757C</v>
          </cell>
          <cell r="B2599" t="str">
            <v>LY-SA346N-A</v>
          </cell>
          <cell r="C2599" t="str">
            <v>BREAKPOINT 2V OX</v>
          </cell>
          <cell r="D2599" t="str">
            <v>布+星星月亮</v>
          </cell>
        </row>
        <row r="2600">
          <cell r="A2600" t="str">
            <v>760757F</v>
          </cell>
          <cell r="B2600" t="str">
            <v>LY-SA346N-A</v>
          </cell>
          <cell r="C2600" t="str">
            <v>BREAK POINT 2V OX</v>
          </cell>
          <cell r="D2600" t="str">
            <v>布+星星月亮</v>
          </cell>
        </row>
        <row r="2601">
          <cell r="A2601" t="str">
            <v>760758C</v>
          </cell>
          <cell r="B2601" t="str">
            <v>LY-SA346N-A</v>
          </cell>
          <cell r="C2601" t="str">
            <v>BREAKPOINT 2V OX</v>
          </cell>
          <cell r="D2601" t="str">
            <v>布+星星月亮</v>
          </cell>
        </row>
        <row r="2602">
          <cell r="A2602" t="str">
            <v>760758F</v>
          </cell>
          <cell r="B2602" t="str">
            <v>LY-SA346N-A</v>
          </cell>
          <cell r="C2602" t="str">
            <v>BREAKPOINT 2V OX</v>
          </cell>
          <cell r="D2602" t="str">
            <v>布+星星月亮</v>
          </cell>
        </row>
        <row r="2603">
          <cell r="A2603" t="str">
            <v>760759C</v>
          </cell>
          <cell r="B2603" t="str">
            <v>LY-SA346N-A</v>
          </cell>
          <cell r="C2603" t="str">
            <v>BREAK POINT 2V OX</v>
          </cell>
          <cell r="D2603" t="str">
            <v>布+星星月亮</v>
          </cell>
        </row>
        <row r="2604">
          <cell r="A2604" t="str">
            <v>760760C</v>
          </cell>
          <cell r="B2604" t="str">
            <v>LY-SA346N-A</v>
          </cell>
          <cell r="C2604" t="str">
            <v>BREAKPOINT 2V OX</v>
          </cell>
          <cell r="D2604" t="str">
            <v>布+星星月亮</v>
          </cell>
        </row>
        <row r="2605">
          <cell r="A2605" t="str">
            <v>760763C</v>
          </cell>
          <cell r="B2605" t="str">
            <v>LY-OS119N-1A-1</v>
          </cell>
          <cell r="C2605" t="str">
            <v>ONE STAR 2V OX</v>
          </cell>
          <cell r="D2605" t="str">
            <v>布</v>
          </cell>
        </row>
        <row r="2606">
          <cell r="A2606" t="str">
            <v>760763F</v>
          </cell>
          <cell r="B2606" t="str">
            <v>LY-OS119N-1A-1</v>
          </cell>
          <cell r="C2606" t="str">
            <v>ONE STAR 2V OX</v>
          </cell>
          <cell r="D2606" t="str">
            <v>布</v>
          </cell>
        </row>
        <row r="2607">
          <cell r="A2607" t="str">
            <v>760764C</v>
          </cell>
          <cell r="B2607" t="str">
            <v>LY-OS119N-1A-1</v>
          </cell>
          <cell r="C2607" t="str">
            <v>ONE STAR 2V OX</v>
          </cell>
          <cell r="D2607" t="str">
            <v>布</v>
          </cell>
        </row>
        <row r="2608">
          <cell r="A2608" t="str">
            <v>760765C</v>
          </cell>
          <cell r="B2608" t="str">
            <v>LY-OS119N-1A-1</v>
          </cell>
          <cell r="C2608" t="str">
            <v>ONE STAR 2V OX</v>
          </cell>
          <cell r="D2608" t="str">
            <v>布</v>
          </cell>
        </row>
        <row r="2609">
          <cell r="A2609" t="str">
            <v>760765F</v>
          </cell>
          <cell r="B2609" t="str">
            <v>LY-OS119N-1A-1</v>
          </cell>
          <cell r="C2609" t="str">
            <v>ONE STAR 2V OX</v>
          </cell>
          <cell r="D2609" t="str">
            <v>布</v>
          </cell>
        </row>
        <row r="2610">
          <cell r="A2610" t="str">
            <v>760914C</v>
          </cell>
          <cell r="B2610" t="str">
            <v>LY-OS119N-B-3</v>
          </cell>
          <cell r="C2610" t="str">
            <v>ONE STAR OX</v>
          </cell>
          <cell r="D2610" t="str">
            <v>皮</v>
          </cell>
        </row>
        <row r="2611">
          <cell r="A2611" t="str">
            <v>760971C</v>
          </cell>
          <cell r="B2611" t="str">
            <v>LY-497B-A</v>
          </cell>
          <cell r="C2611" t="str">
            <v>CT AS HI</v>
          </cell>
          <cell r="D2611" t="str">
            <v>布</v>
          </cell>
        </row>
        <row r="2612">
          <cell r="A2612" t="str">
            <v>760972C</v>
          </cell>
          <cell r="B2612" t="str">
            <v>LY-497B-A-1</v>
          </cell>
          <cell r="C2612" t="str">
            <v>CTAS HI</v>
          </cell>
          <cell r="D2612" t="str">
            <v>布</v>
          </cell>
        </row>
        <row r="2613">
          <cell r="A2613" t="str">
            <v>760999C</v>
          </cell>
          <cell r="B2613" t="str">
            <v>LY-KD251A-4</v>
          </cell>
          <cell r="C2613" t="str">
            <v>STAR PLAYER EV 2V OX</v>
          </cell>
          <cell r="D2613" t="str">
            <v>布+星星月亮</v>
          </cell>
        </row>
        <row r="2614">
          <cell r="A2614" t="str">
            <v>761199C</v>
          </cell>
          <cell r="B2614" t="str">
            <v>LY-OS119N-1A-2</v>
          </cell>
          <cell r="C2614" t="str">
            <v>ONE STAR 2V OX</v>
          </cell>
          <cell r="D2614" t="str">
            <v>布</v>
          </cell>
        </row>
        <row r="2615">
          <cell r="A2615" t="str">
            <v>761200C</v>
          </cell>
          <cell r="B2615" t="str">
            <v>LY-OS119N-1A-2</v>
          </cell>
          <cell r="C2615" t="str">
            <v>ONE STAR 2V OX</v>
          </cell>
          <cell r="D2615" t="str">
            <v>布</v>
          </cell>
        </row>
        <row r="2616">
          <cell r="A2616" t="str">
            <v>761201C</v>
          </cell>
          <cell r="B2616" t="str">
            <v>LY-OS119N-1B</v>
          </cell>
          <cell r="C2616" t="str">
            <v>ONE STAR 2V</v>
          </cell>
          <cell r="D2616" t="str">
            <v>皮</v>
          </cell>
        </row>
        <row r="2617">
          <cell r="A2617" t="str">
            <v>761202C</v>
          </cell>
          <cell r="B2617" t="str">
            <v>LY-OS119N-1B</v>
          </cell>
          <cell r="C2617" t="str">
            <v>ONE STAR 2V</v>
          </cell>
          <cell r="D2617" t="str">
            <v>皮</v>
          </cell>
        </row>
        <row r="2618">
          <cell r="A2618" t="str">
            <v>761276C</v>
          </cell>
          <cell r="B2618" t="str">
            <v>LY-KD251B-9</v>
          </cell>
          <cell r="C2618" t="str">
            <v>STAR PLAYER EV 2V</v>
          </cell>
          <cell r="D2618" t="str">
            <v>布+星星月亮</v>
          </cell>
        </row>
        <row r="2619">
          <cell r="A2619" t="str">
            <v>761277C</v>
          </cell>
          <cell r="B2619" t="str">
            <v>LY-KD251B-9</v>
          </cell>
          <cell r="C2619" t="str">
            <v>STAR PLAYER EV 2V</v>
          </cell>
          <cell r="D2619" t="str">
            <v>布+星星月亮</v>
          </cell>
        </row>
        <row r="2620">
          <cell r="A2620" t="str">
            <v>761279C</v>
          </cell>
          <cell r="B2620" t="str">
            <v>LY-KD251B-9</v>
          </cell>
          <cell r="C2620" t="str">
            <v>STAR PLAYER EV 2V</v>
          </cell>
          <cell r="D2620" t="str">
            <v>布+星星月亮</v>
          </cell>
        </row>
        <row r="2621">
          <cell r="A2621" t="str">
            <v>761307C</v>
          </cell>
          <cell r="B2621" t="str">
            <v>LY-JP134N-A</v>
          </cell>
          <cell r="C2621" t="str">
            <v>JP 2V OX</v>
          </cell>
          <cell r="D2621" t="str">
            <v>布</v>
          </cell>
        </row>
        <row r="2622">
          <cell r="A2622" t="str">
            <v>761308C</v>
          </cell>
          <cell r="B2622" t="str">
            <v>LY-JP134N-A</v>
          </cell>
          <cell r="C2622" t="str">
            <v>JP 2V OX</v>
          </cell>
          <cell r="D2622" t="str">
            <v>布</v>
          </cell>
        </row>
        <row r="2623">
          <cell r="A2623" t="str">
            <v>761338C</v>
          </cell>
          <cell r="B2623" t="str">
            <v>LY-SK032N-1A</v>
          </cell>
          <cell r="C2623" t="str">
            <v>CONVERSE EL DISTRITO</v>
          </cell>
          <cell r="D2623" t="str">
            <v>布+星星月亮</v>
          </cell>
        </row>
        <row r="2624">
          <cell r="A2624" t="str">
            <v>761338F</v>
          </cell>
          <cell r="B2624" t="str">
            <v>LY-SK032N-1A</v>
          </cell>
          <cell r="C2624" t="str">
            <v>CONVERSE EL DISTRITO</v>
          </cell>
          <cell r="D2624" t="str">
            <v>布+星星月亮</v>
          </cell>
        </row>
        <row r="2625">
          <cell r="A2625" t="str">
            <v>761339C</v>
          </cell>
          <cell r="B2625" t="str">
            <v>LY-SK032N-1A</v>
          </cell>
          <cell r="C2625" t="str">
            <v>CONVERSE EL DISTRITO</v>
          </cell>
          <cell r="D2625" t="str">
            <v>布+星星月亮</v>
          </cell>
        </row>
        <row r="2626">
          <cell r="A2626" t="str">
            <v>761340C</v>
          </cell>
          <cell r="B2626" t="str">
            <v>LY-SK032N-1A</v>
          </cell>
          <cell r="C2626" t="str">
            <v>CONVERSE EL DISTRITO</v>
          </cell>
          <cell r="D2626" t="str">
            <v>布+星星月亮</v>
          </cell>
        </row>
        <row r="2627">
          <cell r="A2627" t="str">
            <v>761340F</v>
          </cell>
          <cell r="B2627" t="str">
            <v>LY-SK032N-1A</v>
          </cell>
          <cell r="C2627" t="str">
            <v>CONVERSE EL DISTRITO</v>
          </cell>
          <cell r="D2627" t="str">
            <v>布+星星月亮</v>
          </cell>
        </row>
        <row r="2628">
          <cell r="A2628" t="str">
            <v>761360C</v>
          </cell>
          <cell r="B2628" t="str">
            <v>LY-SA368N-A</v>
          </cell>
          <cell r="C2628" t="str">
            <v>CONVERSE POINT STAR OX</v>
          </cell>
          <cell r="D2628" t="str">
            <v>布+星星月亮</v>
          </cell>
        </row>
        <row r="2629">
          <cell r="A2629" t="str">
            <v>761360F</v>
          </cell>
          <cell r="B2629" t="str">
            <v>LY-SA368N-A</v>
          </cell>
          <cell r="C2629" t="str">
            <v>CONVERSE POINT STAR OX</v>
          </cell>
          <cell r="D2629" t="str">
            <v>布+星星月亮</v>
          </cell>
        </row>
        <row r="2630">
          <cell r="A2630" t="str">
            <v>761363C</v>
          </cell>
          <cell r="B2630" t="str">
            <v>LY-SA368N-A</v>
          </cell>
          <cell r="C2630" t="str">
            <v>CONVERSE POINT STAR OX</v>
          </cell>
          <cell r="D2630" t="str">
            <v>布+星星月亮</v>
          </cell>
        </row>
        <row r="2631">
          <cell r="A2631" t="str">
            <v>761363F</v>
          </cell>
          <cell r="B2631" t="str">
            <v>LY-SA368N-A</v>
          </cell>
          <cell r="C2631" t="str">
            <v>CONVERSE POINT STAR OX</v>
          </cell>
          <cell r="D2631" t="str">
            <v>布+星星月亮</v>
          </cell>
        </row>
        <row r="2632">
          <cell r="A2632" t="str">
            <v>761364C</v>
          </cell>
          <cell r="B2632" t="str">
            <v>LY-SA368N-A</v>
          </cell>
          <cell r="C2632" t="str">
            <v>CONVERSE POINT STAR OX</v>
          </cell>
          <cell r="D2632" t="str">
            <v>布+星星月亮</v>
          </cell>
        </row>
        <row r="2633">
          <cell r="A2633" t="str">
            <v>761364F</v>
          </cell>
          <cell r="B2633" t="str">
            <v>LY-SA368N-A</v>
          </cell>
          <cell r="C2633" t="str">
            <v>CONVERSE POINT STAR OX</v>
          </cell>
          <cell r="D2633" t="str">
            <v>布+星星月亮</v>
          </cell>
        </row>
        <row r="2634">
          <cell r="A2634" t="str">
            <v>761962C</v>
          </cell>
          <cell r="B2634" t="str">
            <v>LY-CT974N-B</v>
          </cell>
          <cell r="C2634" t="str">
            <v>CT AS BIG EYELETS OX</v>
          </cell>
          <cell r="D2634" t="str">
            <v>皮</v>
          </cell>
        </row>
        <row r="2635">
          <cell r="A2635" t="str">
            <v>761984C</v>
          </cell>
          <cell r="B2635" t="str">
            <v>LY-CT974N-A</v>
          </cell>
          <cell r="C2635" t="str">
            <v>CT AS BIG EYELETS OX</v>
          </cell>
          <cell r="D2635" t="str">
            <v>布</v>
          </cell>
        </row>
        <row r="2636">
          <cell r="A2636" t="str">
            <v>761985C</v>
          </cell>
          <cell r="B2636" t="str">
            <v>LY-CT974N-A</v>
          </cell>
          <cell r="C2636" t="str">
            <v>CT AS BIG EYELETS OX</v>
          </cell>
          <cell r="D2636" t="str">
            <v>布</v>
          </cell>
        </row>
        <row r="2637">
          <cell r="A2637" t="str">
            <v>761985F</v>
          </cell>
          <cell r="B2637" t="str">
            <v>LY-CT974N-A</v>
          </cell>
          <cell r="C2637" t="str">
            <v>CT AS BIG EYELETS OX</v>
          </cell>
          <cell r="D2637" t="str">
            <v>布</v>
          </cell>
        </row>
        <row r="2638">
          <cell r="A2638" t="str">
            <v>761997C</v>
          </cell>
          <cell r="B2638" t="str">
            <v>LY-OS119N-1B-1</v>
          </cell>
          <cell r="C2638" t="str">
            <v>ONE STAR 2V OX</v>
          </cell>
          <cell r="D2638" t="str">
            <v>皮</v>
          </cell>
        </row>
        <row r="2639">
          <cell r="A2639" t="str">
            <v>761998C</v>
          </cell>
          <cell r="B2639" t="str">
            <v>LY-OS119N-1B-1</v>
          </cell>
          <cell r="C2639" t="str">
            <v>ONE STAR 2V OX</v>
          </cell>
          <cell r="D2639" t="str">
            <v>皮</v>
          </cell>
        </row>
        <row r="2640">
          <cell r="A2640" t="str">
            <v>761999C</v>
          </cell>
          <cell r="B2640" t="str">
            <v>LY-OS119N-1B-1</v>
          </cell>
          <cell r="C2640" t="str">
            <v>ONE STAR 2V</v>
          </cell>
          <cell r="D2640" t="str">
            <v>皮</v>
          </cell>
        </row>
        <row r="2641">
          <cell r="A2641" t="str">
            <v>762000C</v>
          </cell>
          <cell r="B2641" t="str">
            <v>LY-OS119N-1B-1</v>
          </cell>
          <cell r="C2641" t="str">
            <v>ONE STAR 2V OX</v>
          </cell>
          <cell r="D2641" t="str">
            <v>皮</v>
          </cell>
        </row>
        <row r="2642">
          <cell r="A2642" t="str">
            <v>762001C</v>
          </cell>
          <cell r="B2642" t="str">
            <v>LY-OS119N-B-1</v>
          </cell>
          <cell r="C2642" t="str">
            <v>ONE STAR OX</v>
          </cell>
          <cell r="D2642" t="str">
            <v>皮</v>
          </cell>
        </row>
        <row r="2643">
          <cell r="A2643" t="str">
            <v>762003C</v>
          </cell>
          <cell r="B2643" t="str">
            <v>LY-OS119N-B-1</v>
          </cell>
          <cell r="C2643" t="str">
            <v>ONE STAR OX</v>
          </cell>
          <cell r="D2643" t="str">
            <v>皮</v>
          </cell>
        </row>
        <row r="2644">
          <cell r="A2644" t="str">
            <v>762004C</v>
          </cell>
          <cell r="B2644" t="str">
            <v>LY-OS119N-1B-1</v>
          </cell>
          <cell r="C2644" t="str">
            <v>ONE STAR 2V OX</v>
          </cell>
          <cell r="D2644" t="str">
            <v>皮</v>
          </cell>
        </row>
        <row r="2645">
          <cell r="A2645" t="str">
            <v>762005C</v>
          </cell>
          <cell r="B2645" t="str">
            <v>LY-OS119N-1B-1</v>
          </cell>
          <cell r="C2645" t="str">
            <v>ONE STAR 2V OX</v>
          </cell>
          <cell r="D2645" t="str">
            <v>皮</v>
          </cell>
        </row>
        <row r="2646">
          <cell r="A2646" t="str">
            <v>762006C</v>
          </cell>
          <cell r="B2646" t="str">
            <v>LY-OS119N-1B-1</v>
          </cell>
          <cell r="C2646" t="str">
            <v>ONE STAR 2V OX</v>
          </cell>
          <cell r="D2646" t="str">
            <v>皮</v>
          </cell>
        </row>
        <row r="2647">
          <cell r="A2647" t="str">
            <v>762007C</v>
          </cell>
          <cell r="B2647" t="str">
            <v>LY-KD251A</v>
          </cell>
          <cell r="C2647" t="str">
            <v>STAR PLAYER 2V OX</v>
          </cell>
          <cell r="D2647" t="str">
            <v>皮+星星月亮</v>
          </cell>
        </row>
        <row r="2648">
          <cell r="A2648" t="str">
            <v>762008C</v>
          </cell>
          <cell r="B2648" t="str">
            <v>LY-KD251A</v>
          </cell>
          <cell r="C2648" t="str">
            <v>STAR PLAYER 2V OX</v>
          </cell>
          <cell r="D2648" t="str">
            <v>皮+星星月亮</v>
          </cell>
        </row>
        <row r="2649">
          <cell r="A2649" t="str">
            <v>762009C</v>
          </cell>
          <cell r="B2649" t="str">
            <v>LY-SA170N-3B</v>
          </cell>
          <cell r="C2649" t="str">
            <v>STAR PLAYER EV 2V MID</v>
          </cell>
          <cell r="D2649" t="str">
            <v>皮+星星月亮</v>
          </cell>
        </row>
        <row r="2650">
          <cell r="A2650" t="str">
            <v>762010C</v>
          </cell>
          <cell r="B2650" t="str">
            <v>LY-SA170N-3B</v>
          </cell>
          <cell r="C2650" t="str">
            <v>STAR PLAYER EV 2V MID</v>
          </cell>
          <cell r="D2650" t="str">
            <v>皮+星星月亮</v>
          </cell>
        </row>
        <row r="2651">
          <cell r="A2651" t="str">
            <v>762011C</v>
          </cell>
          <cell r="B2651" t="str">
            <v>LY-SA216N-13B</v>
          </cell>
          <cell r="C2651" t="str">
            <v>PRO BLAZE STRAP HI</v>
          </cell>
          <cell r="D2651" t="str">
            <v>皮+星星月亮</v>
          </cell>
        </row>
        <row r="2652">
          <cell r="A2652" t="str">
            <v>762012C</v>
          </cell>
          <cell r="B2652" t="str">
            <v>LY-SA216N-13B</v>
          </cell>
          <cell r="C2652" t="str">
            <v>PRO BLAZE STRAP HI</v>
          </cell>
          <cell r="D2652" t="str">
            <v>皮+星星月亮</v>
          </cell>
        </row>
        <row r="2653">
          <cell r="A2653" t="str">
            <v>762013C</v>
          </cell>
          <cell r="B2653" t="str">
            <v>LY-OS119N-B-1</v>
          </cell>
          <cell r="C2653" t="str">
            <v>ONE STAR</v>
          </cell>
          <cell r="D2653" t="str">
            <v>皮</v>
          </cell>
        </row>
        <row r="2654">
          <cell r="A2654" t="str">
            <v>762014C</v>
          </cell>
          <cell r="B2654" t="str">
            <v>LY-OS119N-A-3</v>
          </cell>
          <cell r="C2654" t="str">
            <v>ONE STAR</v>
          </cell>
          <cell r="D2654" t="str">
            <v>布</v>
          </cell>
        </row>
        <row r="2655">
          <cell r="A2655" t="str">
            <v>762014F</v>
          </cell>
          <cell r="B2655" t="str">
            <v>LY-OS119N-A-3</v>
          </cell>
          <cell r="C2655" t="str">
            <v>ONE STAR OX</v>
          </cell>
          <cell r="D2655" t="str">
            <v>布</v>
          </cell>
        </row>
        <row r="2656">
          <cell r="A2656" t="str">
            <v>762015C</v>
          </cell>
          <cell r="B2656" t="str">
            <v>LY-KD251A</v>
          </cell>
          <cell r="C2656" t="str">
            <v>STAR PLAYER 2V OX</v>
          </cell>
          <cell r="D2656" t="str">
            <v>皮+星星月亮</v>
          </cell>
        </row>
        <row r="2657">
          <cell r="A2657" t="str">
            <v>762016C</v>
          </cell>
          <cell r="B2657" t="str">
            <v>LY-KD251A</v>
          </cell>
          <cell r="C2657" t="str">
            <v>STAR PLAYER 2V OX</v>
          </cell>
          <cell r="D2657" t="str">
            <v>皮+星星月亮</v>
          </cell>
        </row>
        <row r="2658">
          <cell r="A2658" t="str">
            <v>762182C</v>
          </cell>
          <cell r="B2658" t="str">
            <v>LY-JP134N-1A</v>
          </cell>
          <cell r="C2658" t="str">
            <v>JACK PURCELL 2V</v>
          </cell>
          <cell r="D2658" t="str">
            <v>布</v>
          </cell>
        </row>
        <row r="2659">
          <cell r="A2659" t="str">
            <v>762183C</v>
          </cell>
          <cell r="B2659" t="str">
            <v>LY-JP134N-1A</v>
          </cell>
          <cell r="C2659" t="str">
            <v>JACK PURCELL 2V</v>
          </cell>
          <cell r="D2659" t="str">
            <v>布</v>
          </cell>
        </row>
        <row r="2660">
          <cell r="A2660" t="str">
            <v>762521C</v>
          </cell>
          <cell r="B2660" t="str">
            <v>LY-OS119N-1B-1</v>
          </cell>
          <cell r="C2660" t="str">
            <v>ONE STAR 2V</v>
          </cell>
          <cell r="D2660" t="str">
            <v>PU</v>
          </cell>
        </row>
        <row r="2661">
          <cell r="A2661" t="str">
            <v>762522C</v>
          </cell>
          <cell r="B2661" t="str">
            <v>LY-OS119N-1B-1</v>
          </cell>
          <cell r="C2661" t="str">
            <v>ONE STAR 2V</v>
          </cell>
          <cell r="D2661" t="str">
            <v>PU</v>
          </cell>
        </row>
        <row r="2662">
          <cell r="A2662" t="str">
            <v>762523C</v>
          </cell>
          <cell r="B2662" t="str">
            <v>LY-OS119N-1B-1</v>
          </cell>
          <cell r="C2662" t="str">
            <v>ONE STAR 2V</v>
          </cell>
          <cell r="D2662" t="str">
            <v>PU</v>
          </cell>
        </row>
        <row r="2663">
          <cell r="A2663" t="str">
            <v>762531C</v>
          </cell>
          <cell r="B2663" t="str">
            <v>LY-OS126N-B</v>
          </cell>
          <cell r="C2663" t="str">
            <v>ONE STAR SP(SPLIT COLLAR)</v>
          </cell>
          <cell r="D2663" t="str">
            <v>皮</v>
          </cell>
        </row>
        <row r="2664">
          <cell r="A2664" t="str">
            <v>762765C</v>
          </cell>
          <cell r="B2664" t="str">
            <v>LY-KD251A-5</v>
          </cell>
          <cell r="C2664" t="str">
            <v>STAR PLAYER EV 2V</v>
          </cell>
          <cell r="D2664" t="str">
            <v>皮+星星月亮</v>
          </cell>
        </row>
        <row r="2665">
          <cell r="A2665" t="str">
            <v>762767C</v>
          </cell>
          <cell r="B2665" t="str">
            <v>LY-KD251A-3-A</v>
          </cell>
          <cell r="C2665" t="str">
            <v>STAR PLAYER EV 2V</v>
          </cell>
          <cell r="D2665" t="str">
            <v>皮+星星月亮</v>
          </cell>
        </row>
        <row r="2666">
          <cell r="A2666" t="str">
            <v>762770C</v>
          </cell>
          <cell r="B2666" t="str">
            <v>LY-KD251A-3-A</v>
          </cell>
          <cell r="C2666" t="str">
            <v>STAR PLAYER EV 2V</v>
          </cell>
          <cell r="D2666" t="str">
            <v>皮+星星月亮</v>
          </cell>
        </row>
        <row r="2667">
          <cell r="A2667" t="str">
            <v>762818C</v>
          </cell>
          <cell r="B2667" t="str">
            <v>LY-SA216N-13B</v>
          </cell>
          <cell r="C2667" t="str">
            <v>PRO BLAZE STRAP STRETCH</v>
          </cell>
          <cell r="D2667" t="str">
            <v>皮+星星月亮</v>
          </cell>
        </row>
        <row r="2668">
          <cell r="A2668" t="str">
            <v>762825C</v>
          </cell>
          <cell r="B2668" t="str">
            <v>LY-OS119N-A-3</v>
          </cell>
          <cell r="C2668" t="str">
            <v>ONE STAR</v>
          </cell>
          <cell r="D2668" t="str">
            <v>布</v>
          </cell>
        </row>
        <row r="2669">
          <cell r="A2669" t="str">
            <v>762825F</v>
          </cell>
          <cell r="B2669" t="str">
            <v>LY-OS119N-A-3</v>
          </cell>
          <cell r="C2669" t="str">
            <v>ONE STAR OX</v>
          </cell>
          <cell r="D2669" t="str">
            <v>布</v>
          </cell>
        </row>
        <row r="2670">
          <cell r="A2670" t="str">
            <v>762826F</v>
          </cell>
          <cell r="B2670" t="str">
            <v>LY-OS119N-A-3</v>
          </cell>
          <cell r="C2670" t="str">
            <v>ONE STAR OX</v>
          </cell>
          <cell r="D2670" t="str">
            <v>布</v>
          </cell>
        </row>
        <row r="2671">
          <cell r="A2671" t="str">
            <v>762856C</v>
          </cell>
          <cell r="B2671" t="str">
            <v>LY-OS140N-B</v>
          </cell>
          <cell r="C2671" t="str">
            <v>ONE STAR 2V</v>
          </cell>
          <cell r="D2671" t="str">
            <v>皮</v>
          </cell>
        </row>
        <row r="2672">
          <cell r="A2672" t="str">
            <v>762857C</v>
          </cell>
          <cell r="B2672" t="str">
            <v>LY-OS140N-B</v>
          </cell>
          <cell r="C2672" t="str">
            <v>ONE STAR 2V</v>
          </cell>
          <cell r="D2672" t="str">
            <v>皮</v>
          </cell>
        </row>
        <row r="2673">
          <cell r="A2673" t="str">
            <v>762858C</v>
          </cell>
          <cell r="B2673" t="str">
            <v>LY-OS140N-B</v>
          </cell>
          <cell r="C2673" t="str">
            <v>ONE STAR 2V</v>
          </cell>
          <cell r="D2673" t="str">
            <v>皮</v>
          </cell>
        </row>
        <row r="2674">
          <cell r="A2674" t="str">
            <v>762942C</v>
          </cell>
          <cell r="B2674" t="str">
            <v>LY-OS119N-2B</v>
          </cell>
          <cell r="C2674" t="str">
            <v>ONE STAR</v>
          </cell>
          <cell r="D2674" t="str">
            <v>皮</v>
          </cell>
        </row>
        <row r="2675">
          <cell r="A2675" t="str">
            <v>762943C</v>
          </cell>
          <cell r="B2675" t="str">
            <v>LY-OS119N-2B</v>
          </cell>
          <cell r="C2675" t="str">
            <v>ONE STAR</v>
          </cell>
          <cell r="D2675" t="str">
            <v>皮</v>
          </cell>
        </row>
        <row r="2676">
          <cell r="A2676" t="str">
            <v>763006C</v>
          </cell>
          <cell r="B2676" t="str">
            <v>LY-SA400N-A</v>
          </cell>
          <cell r="C2676" t="str">
            <v>SONNY</v>
          </cell>
          <cell r="D2676" t="str">
            <v>布</v>
          </cell>
        </row>
        <row r="2677">
          <cell r="A2677" t="str">
            <v>763008C</v>
          </cell>
          <cell r="B2677" t="str">
            <v>LY-SA400N-A</v>
          </cell>
          <cell r="C2677" t="str">
            <v>SONNY</v>
          </cell>
          <cell r="D2677" t="str">
            <v>布</v>
          </cell>
        </row>
        <row r="2678">
          <cell r="A2678" t="str">
            <v>763009C</v>
          </cell>
          <cell r="B2678" t="str">
            <v>LY-SA400N-A</v>
          </cell>
          <cell r="C2678" t="str">
            <v>SONNY</v>
          </cell>
          <cell r="D2678" t="str">
            <v>布</v>
          </cell>
        </row>
        <row r="2679">
          <cell r="A2679" t="str">
            <v>763518C</v>
          </cell>
          <cell r="B2679" t="str">
            <v>LY-OS119N-1B-3</v>
          </cell>
          <cell r="C2679" t="str">
            <v>ONE STAR 2V</v>
          </cell>
          <cell r="D2679" t="str">
            <v>皮</v>
          </cell>
        </row>
        <row r="2680">
          <cell r="A2680" t="str">
            <v>763519C</v>
          </cell>
          <cell r="B2680" t="str">
            <v>LY-OS119N-1B-3</v>
          </cell>
          <cell r="C2680" t="str">
            <v>ONE STAR 2V</v>
          </cell>
          <cell r="D2680" t="str">
            <v>皮</v>
          </cell>
        </row>
        <row r="2681">
          <cell r="A2681" t="str">
            <v>763520C</v>
          </cell>
          <cell r="B2681" t="str">
            <v>LY-OS119N-1B-3</v>
          </cell>
          <cell r="C2681" t="str">
            <v>ONE STAR 2V</v>
          </cell>
          <cell r="D2681" t="str">
            <v>皮</v>
          </cell>
        </row>
        <row r="2682">
          <cell r="A2682" t="str">
            <v>763521C</v>
          </cell>
          <cell r="B2682" t="str">
            <v>LY-OS119N-1B-3</v>
          </cell>
          <cell r="C2682" t="str">
            <v>ONE STAR 2V</v>
          </cell>
          <cell r="D2682" t="str">
            <v>皮</v>
          </cell>
        </row>
        <row r="2683">
          <cell r="A2683" t="str">
            <v>763527C</v>
          </cell>
          <cell r="B2683" t="str">
            <v>LY-KD251B-10</v>
          </cell>
          <cell r="C2683" t="str">
            <v>STAR PLAYER 2V</v>
          </cell>
          <cell r="D2683" t="str">
            <v>布+星星月亮</v>
          </cell>
        </row>
        <row r="2684">
          <cell r="A2684" t="str">
            <v>763528C</v>
          </cell>
          <cell r="B2684" t="str">
            <v>LY-KD251B-10</v>
          </cell>
          <cell r="C2684" t="str">
            <v>STAR PLAYER 2V</v>
          </cell>
          <cell r="D2684" t="str">
            <v>布+星星月亮</v>
          </cell>
        </row>
        <row r="2685">
          <cell r="A2685" t="str">
            <v>763529C</v>
          </cell>
          <cell r="B2685" t="str">
            <v>LY-KD251B-10</v>
          </cell>
          <cell r="C2685" t="str">
            <v>STAR PLAYER 2V</v>
          </cell>
          <cell r="D2685" t="str">
            <v>布+星星月亮</v>
          </cell>
        </row>
        <row r="2686">
          <cell r="A2686" t="str">
            <v>763529F</v>
          </cell>
          <cell r="B2686" t="str">
            <v>LY-KD251B-10</v>
          </cell>
          <cell r="C2686" t="str">
            <v>STAR PLAYER 2V</v>
          </cell>
          <cell r="D2686" t="str">
            <v>布+星星月亮</v>
          </cell>
        </row>
        <row r="2687">
          <cell r="A2687" t="str">
            <v>763530C</v>
          </cell>
          <cell r="B2687" t="str">
            <v>LY-SA216N-2A</v>
          </cell>
          <cell r="C2687" t="str">
            <v>PRO BLAZE STRAP</v>
          </cell>
          <cell r="D2687" t="str">
            <v>布+星星月亮</v>
          </cell>
        </row>
        <row r="2688">
          <cell r="A2688" t="str">
            <v>763530F</v>
          </cell>
          <cell r="B2688" t="str">
            <v>LY-SA216N-2A</v>
          </cell>
          <cell r="C2688" t="str">
            <v>PRO BLAZE STRAP</v>
          </cell>
          <cell r="D2688" t="str">
            <v>布+星星月亮</v>
          </cell>
        </row>
        <row r="2689">
          <cell r="A2689" t="str">
            <v>763531C</v>
          </cell>
          <cell r="B2689" t="str">
            <v>LY-SA216N-5B</v>
          </cell>
          <cell r="C2689" t="str">
            <v>PRO BLAZE STRAP</v>
          </cell>
          <cell r="D2689" t="str">
            <v>皮+星星月亮</v>
          </cell>
        </row>
        <row r="2690">
          <cell r="A2690" t="str">
            <v>763532C</v>
          </cell>
          <cell r="B2690" t="str">
            <v>LY-SA216N-5B</v>
          </cell>
          <cell r="C2690" t="str">
            <v>PRO BLAZE STRAP</v>
          </cell>
          <cell r="D2690" t="str">
            <v>皮+星星月亮</v>
          </cell>
        </row>
        <row r="2691">
          <cell r="A2691" t="str">
            <v>763564C</v>
          </cell>
          <cell r="B2691" t="str">
            <v>LY-SA216N-2A</v>
          </cell>
          <cell r="C2691" t="str">
            <v>PRO BLAZE STRAP</v>
          </cell>
          <cell r="D2691" t="str">
            <v>布+星星月亮</v>
          </cell>
        </row>
        <row r="2692">
          <cell r="A2692" t="str">
            <v>763564F</v>
          </cell>
          <cell r="B2692" t="str">
            <v>LY-SA216N-2A</v>
          </cell>
          <cell r="C2692" t="str">
            <v>PRO BLAZE STRAP</v>
          </cell>
          <cell r="D2692" t="str">
            <v>布+星星月亮</v>
          </cell>
        </row>
        <row r="2693">
          <cell r="A2693" t="str">
            <v>763565C</v>
          </cell>
          <cell r="B2693" t="str">
            <v>LY-SA001N-A</v>
          </cell>
          <cell r="C2693" t="str">
            <v>STAR PLAYER EV</v>
          </cell>
          <cell r="D2693" t="str">
            <v>布+星星月亮</v>
          </cell>
        </row>
        <row r="2694">
          <cell r="A2694" t="str">
            <v>763566C</v>
          </cell>
          <cell r="B2694" t="str">
            <v>LY-SA001N-A</v>
          </cell>
          <cell r="C2694" t="str">
            <v>STAR PLAYER EV</v>
          </cell>
          <cell r="D2694" t="str">
            <v>布+星星月亮</v>
          </cell>
        </row>
        <row r="2695">
          <cell r="A2695" t="str">
            <v>763566F</v>
          </cell>
          <cell r="B2695" t="str">
            <v>LY-SA001N-A</v>
          </cell>
          <cell r="C2695" t="str">
            <v>STAR PLAYER EV</v>
          </cell>
          <cell r="D2695" t="str">
            <v>布+星星月亮</v>
          </cell>
        </row>
        <row r="2696">
          <cell r="A2696" t="str">
            <v>763768C</v>
          </cell>
          <cell r="B2696" t="str">
            <v>LY-SA406N-B</v>
          </cell>
          <cell r="C2696" t="str">
            <v>POINT STAR 2V</v>
          </cell>
          <cell r="D2696" t="str">
            <v>皮+星星月亮</v>
          </cell>
        </row>
        <row r="2697">
          <cell r="A2697" t="str">
            <v>763769C</v>
          </cell>
          <cell r="B2697" t="str">
            <v>LY-SA406N-B</v>
          </cell>
          <cell r="C2697" t="str">
            <v>POINT STAR 2V</v>
          </cell>
          <cell r="D2697" t="str">
            <v>皮+星星月亮</v>
          </cell>
        </row>
        <row r="2698">
          <cell r="A2698" t="str">
            <v>763770C</v>
          </cell>
          <cell r="B2698" t="str">
            <v>LY-SA406N-B</v>
          </cell>
          <cell r="C2698" t="str">
            <v>POINT STAR 2V</v>
          </cell>
          <cell r="D2698" t="str">
            <v>皮+星星月亮</v>
          </cell>
        </row>
        <row r="2699">
          <cell r="A2699" t="str">
            <v>763859C</v>
          </cell>
          <cell r="B2699" t="str">
            <v>LY-497B-3-A</v>
          </cell>
          <cell r="C2699" t="str">
            <v>CHUCK TAYLOR ALL STAR</v>
          </cell>
          <cell r="D2699" t="str">
            <v>布</v>
          </cell>
        </row>
        <row r="2700">
          <cell r="A2700" t="str">
            <v>763908C</v>
          </cell>
          <cell r="B2700" t="str">
            <v>LY-OS119N-3B-B</v>
          </cell>
          <cell r="C2700" t="str">
            <v>ONE STAR 2V</v>
          </cell>
          <cell r="D2700" t="str">
            <v>皮</v>
          </cell>
        </row>
        <row r="2701">
          <cell r="A2701" t="str">
            <v>763909C</v>
          </cell>
          <cell r="B2701" t="str">
            <v>LY-OS119N-3B-B</v>
          </cell>
          <cell r="C2701" t="str">
            <v>ONE STAR 2V</v>
          </cell>
          <cell r="D2701" t="str">
            <v>皮</v>
          </cell>
        </row>
        <row r="2702">
          <cell r="A2702" t="str">
            <v>764172C</v>
          </cell>
          <cell r="B2702" t="str">
            <v>LY-OS119N-1A-3</v>
          </cell>
          <cell r="C2702" t="str">
            <v>ONE STAR 2V</v>
          </cell>
          <cell r="D2702" t="str">
            <v>布</v>
          </cell>
        </row>
        <row r="2703">
          <cell r="A2703" t="str">
            <v>764173C</v>
          </cell>
          <cell r="B2703" t="str">
            <v>LY-OS119N-1A-3</v>
          </cell>
          <cell r="C2703" t="str">
            <v>ONE STAR 2V</v>
          </cell>
          <cell r="D2703" t="str">
            <v>布</v>
          </cell>
        </row>
        <row r="2704">
          <cell r="A2704" t="str">
            <v>764174C</v>
          </cell>
          <cell r="B2704" t="str">
            <v>LY-OS119N-1A-3</v>
          </cell>
          <cell r="C2704" t="str">
            <v>ONE STAR 2V</v>
          </cell>
          <cell r="D2704" t="str">
            <v>布</v>
          </cell>
        </row>
        <row r="2705">
          <cell r="A2705" t="str">
            <v>764236C</v>
          </cell>
          <cell r="B2705" t="str">
            <v>LY-OS119N-1A-5</v>
          </cell>
          <cell r="C2705" t="str">
            <v>ONE STAR 2V</v>
          </cell>
          <cell r="D2705" t="str">
            <v>布</v>
          </cell>
        </row>
        <row r="2706">
          <cell r="A2706" t="str">
            <v>764237C</v>
          </cell>
          <cell r="B2706" t="str">
            <v>LY-OS119N-1A-5</v>
          </cell>
          <cell r="C2706" t="str">
            <v>ONE STAR 2V</v>
          </cell>
          <cell r="D2706" t="str">
            <v>布</v>
          </cell>
        </row>
        <row r="2707">
          <cell r="A2707" t="str">
            <v>764238C</v>
          </cell>
          <cell r="B2707" t="str">
            <v>LY-OS119N-1A-5</v>
          </cell>
          <cell r="C2707" t="str">
            <v>ONE STAR 2V</v>
          </cell>
          <cell r="D2707" t="str">
            <v>布</v>
          </cell>
        </row>
        <row r="2708">
          <cell r="A2708" t="str">
            <v>764437C</v>
          </cell>
          <cell r="B2708" t="str">
            <v>LY-KD251B-10</v>
          </cell>
          <cell r="C2708" t="str">
            <v>STAR PLAYER 2V</v>
          </cell>
          <cell r="D2708" t="str">
            <v>布+星星月亮</v>
          </cell>
        </row>
        <row r="2709">
          <cell r="A2709" t="str">
            <v>764438C</v>
          </cell>
          <cell r="B2709" t="str">
            <v>LY-KD251B-10</v>
          </cell>
          <cell r="C2709" t="str">
            <v>STAR PLAYER 2V</v>
          </cell>
          <cell r="D2709" t="str">
            <v>布+星星月亮</v>
          </cell>
        </row>
        <row r="2710">
          <cell r="A2710" t="str">
            <v>764439C</v>
          </cell>
          <cell r="B2710" t="str">
            <v>LY-KD251B-10</v>
          </cell>
          <cell r="C2710" t="str">
            <v>STAR PLAYER 2V</v>
          </cell>
          <cell r="D2710" t="str">
            <v>布+星星月亮</v>
          </cell>
        </row>
        <row r="2711">
          <cell r="A2711" t="str">
            <v>764861C</v>
          </cell>
          <cell r="B2711" t="str">
            <v>LY-KD251B-12</v>
          </cell>
          <cell r="C2711" t="str">
            <v>STAR PLAYER 2V</v>
          </cell>
          <cell r="D2711" t="str">
            <v>布+星星月亮</v>
          </cell>
        </row>
        <row r="2712">
          <cell r="A2712" t="str">
            <v>764862C</v>
          </cell>
          <cell r="B2712" t="str">
            <v>LY-KD251B-12</v>
          </cell>
          <cell r="C2712" t="str">
            <v>STAR PLAYER EV 2V</v>
          </cell>
          <cell r="D2712" t="str">
            <v>布+星星月亮</v>
          </cell>
        </row>
        <row r="2713">
          <cell r="A2713" t="str">
            <v>7J231</v>
          </cell>
          <cell r="B2713" t="str">
            <v>LY-497B</v>
          </cell>
          <cell r="C2713" t="str">
            <v>INFT C/T ALLSTAR HI</v>
          </cell>
          <cell r="D2713" t="str">
            <v>基本型體</v>
          </cell>
        </row>
        <row r="2714">
          <cell r="A2714" t="str">
            <v>7J231C</v>
          </cell>
          <cell r="B2714" t="str">
            <v>LY-497B</v>
          </cell>
          <cell r="C2714" t="str">
            <v>INFT C/T ALLSTAR HI</v>
          </cell>
          <cell r="D2714" t="str">
            <v>基本型體</v>
          </cell>
        </row>
        <row r="2715">
          <cell r="A2715" t="str">
            <v>7J232</v>
          </cell>
          <cell r="B2715" t="str">
            <v>LY-497B</v>
          </cell>
          <cell r="C2715" t="str">
            <v>INFT C/T ALLSTAR HI</v>
          </cell>
          <cell r="D2715" t="str">
            <v>基本型體</v>
          </cell>
        </row>
        <row r="2716">
          <cell r="A2716" t="str">
            <v>7J232C</v>
          </cell>
          <cell r="B2716" t="str">
            <v>LY-497B</v>
          </cell>
          <cell r="C2716" t="str">
            <v>INFT C/T ALLSTAR HI</v>
          </cell>
          <cell r="D2716" t="str">
            <v>基本型體</v>
          </cell>
        </row>
        <row r="2717">
          <cell r="A2717" t="str">
            <v>7J233</v>
          </cell>
          <cell r="B2717" t="str">
            <v>LY-497B</v>
          </cell>
          <cell r="C2717" t="str">
            <v>INF C/T ALLSTAR HI</v>
          </cell>
          <cell r="D2717" t="str">
            <v>基本型體</v>
          </cell>
        </row>
        <row r="2718">
          <cell r="A2718" t="str">
            <v>7J233C</v>
          </cell>
          <cell r="B2718" t="str">
            <v>LY-497B</v>
          </cell>
          <cell r="C2718" t="str">
            <v>INF C/T ALLSTAR HI</v>
          </cell>
          <cell r="D2718" t="str">
            <v>基本型體</v>
          </cell>
        </row>
        <row r="2719">
          <cell r="A2719" t="str">
            <v>7J234</v>
          </cell>
          <cell r="B2719" t="str">
            <v>LY-497B</v>
          </cell>
          <cell r="C2719" t="str">
            <v>INFT C/T ALLSTAR HI</v>
          </cell>
          <cell r="D2719" t="str">
            <v>基本型體</v>
          </cell>
        </row>
        <row r="2720">
          <cell r="A2720" t="str">
            <v>7J234C</v>
          </cell>
          <cell r="B2720" t="str">
            <v>LY-497B</v>
          </cell>
          <cell r="C2720" t="str">
            <v>INFT C/T ALLSTAR HI</v>
          </cell>
          <cell r="D2720" t="str">
            <v>基本型體</v>
          </cell>
        </row>
        <row r="2721">
          <cell r="A2721" t="str">
            <v>7J235</v>
          </cell>
          <cell r="B2721" t="str">
            <v>LY-497C</v>
          </cell>
          <cell r="C2721" t="str">
            <v>INF C/T A/S OX</v>
          </cell>
          <cell r="D2721" t="str">
            <v>基本型體</v>
          </cell>
        </row>
        <row r="2722">
          <cell r="A2722" t="str">
            <v>7J235C</v>
          </cell>
          <cell r="B2722" t="str">
            <v>LY-497C</v>
          </cell>
          <cell r="C2722" t="str">
            <v>INF C/T A/S OX</v>
          </cell>
          <cell r="D2722" t="str">
            <v>基本型體</v>
          </cell>
        </row>
        <row r="2723">
          <cell r="A2723" t="str">
            <v>7J236</v>
          </cell>
          <cell r="B2723" t="str">
            <v>LY-497C</v>
          </cell>
          <cell r="C2723" t="str">
            <v>INF C/T A/S OX</v>
          </cell>
          <cell r="D2723" t="str">
            <v>基本型體</v>
          </cell>
        </row>
        <row r="2724">
          <cell r="A2724" t="str">
            <v>7J236C</v>
          </cell>
          <cell r="B2724" t="str">
            <v>LY-497C</v>
          </cell>
          <cell r="C2724" t="str">
            <v>INF C/T A/S OX</v>
          </cell>
          <cell r="D2724" t="str">
            <v>基本型體</v>
          </cell>
        </row>
        <row r="2725">
          <cell r="A2725" t="str">
            <v>7J237</v>
          </cell>
          <cell r="B2725" t="str">
            <v>LY-497C</v>
          </cell>
          <cell r="C2725" t="str">
            <v>INF C/T A/S OX</v>
          </cell>
          <cell r="D2725" t="str">
            <v>基本型體</v>
          </cell>
        </row>
        <row r="2726">
          <cell r="A2726" t="str">
            <v>7J237C</v>
          </cell>
          <cell r="B2726" t="str">
            <v>LY-497C</v>
          </cell>
          <cell r="C2726" t="str">
            <v>INF C/T A/S OX</v>
          </cell>
          <cell r="D2726" t="str">
            <v>基本型體</v>
          </cell>
        </row>
        <row r="2727">
          <cell r="A2727" t="str">
            <v>7J238</v>
          </cell>
          <cell r="B2727" t="str">
            <v>LY-497C</v>
          </cell>
          <cell r="C2727" t="str">
            <v>INF C/T A/S OX</v>
          </cell>
          <cell r="D2727" t="str">
            <v>基本型體</v>
          </cell>
        </row>
        <row r="2728">
          <cell r="A2728" t="str">
            <v>7J238C</v>
          </cell>
          <cell r="B2728" t="str">
            <v>LY-497C</v>
          </cell>
          <cell r="C2728" t="str">
            <v>INF C/T A/S OX</v>
          </cell>
          <cell r="D2728" t="str">
            <v>基本型體</v>
          </cell>
        </row>
        <row r="2729">
          <cell r="A2729" t="str">
            <v>7J253</v>
          </cell>
          <cell r="B2729" t="str">
            <v>LY-497B</v>
          </cell>
          <cell r="C2729" t="str">
            <v>INF C/T ALL STAR HI</v>
          </cell>
          <cell r="D2729" t="str">
            <v>基本型體</v>
          </cell>
        </row>
        <row r="2730">
          <cell r="A2730" t="str">
            <v>7J253C</v>
          </cell>
          <cell r="B2730" t="str">
            <v>LY-497B</v>
          </cell>
          <cell r="C2730" t="str">
            <v>INF C/T ALL STAR HI</v>
          </cell>
          <cell r="D2730" t="str">
            <v>基本型體</v>
          </cell>
        </row>
        <row r="2731">
          <cell r="A2731" t="str">
            <v>7J254</v>
          </cell>
          <cell r="B2731" t="str">
            <v>LY-497B</v>
          </cell>
          <cell r="C2731" t="str">
            <v>INF C/T A/S HI</v>
          </cell>
          <cell r="D2731" t="str">
            <v>基本型體</v>
          </cell>
        </row>
        <row r="2732">
          <cell r="A2732" t="str">
            <v>7J256</v>
          </cell>
          <cell r="B2732" t="str">
            <v>LY-497C</v>
          </cell>
          <cell r="C2732" t="str">
            <v>C/T A/S OX</v>
          </cell>
          <cell r="D2732" t="str">
            <v>基本型體</v>
          </cell>
        </row>
        <row r="2733">
          <cell r="A2733" t="str">
            <v>7J256C</v>
          </cell>
          <cell r="B2733" t="str">
            <v>LY-497C</v>
          </cell>
          <cell r="C2733" t="str">
            <v>C/T A/S OX</v>
          </cell>
          <cell r="D2733" t="str">
            <v>基本型體</v>
          </cell>
        </row>
        <row r="2734">
          <cell r="A2734" t="str">
            <v>7J793</v>
          </cell>
          <cell r="B2734" t="str">
            <v>LY-497B</v>
          </cell>
          <cell r="C2734" t="str">
            <v>CT A/S SP IN HI</v>
          </cell>
          <cell r="D2734" t="str">
            <v>基本型體</v>
          </cell>
        </row>
        <row r="2735">
          <cell r="A2735" t="str">
            <v>7J793C</v>
          </cell>
          <cell r="B2735" t="str">
            <v>LY-497B</v>
          </cell>
          <cell r="C2735" t="str">
            <v>CT A/S SP IN HI</v>
          </cell>
          <cell r="D2735" t="str">
            <v>基本型體</v>
          </cell>
        </row>
        <row r="2736">
          <cell r="A2736" t="str">
            <v>7J794</v>
          </cell>
          <cell r="B2736" t="str">
            <v>LY-497C</v>
          </cell>
          <cell r="C2736" t="str">
            <v>CT AS SP IN OX</v>
          </cell>
          <cell r="D2736" t="str">
            <v>基本型體</v>
          </cell>
        </row>
        <row r="2737">
          <cell r="A2737" t="str">
            <v>7J794C</v>
          </cell>
          <cell r="B2737" t="str">
            <v>LY-497C</v>
          </cell>
          <cell r="C2737" t="str">
            <v>CT AS SP IN OX</v>
          </cell>
          <cell r="D2737" t="str">
            <v>基本型體</v>
          </cell>
        </row>
        <row r="2738">
          <cell r="A2738" t="str">
            <v>7S121</v>
          </cell>
          <cell r="B2738" t="str">
            <v>LY-497B</v>
          </cell>
          <cell r="C2738" t="str">
            <v>CT AS HI</v>
          </cell>
          <cell r="D2738" t="str">
            <v>基本型體</v>
          </cell>
        </row>
        <row r="2739">
          <cell r="A2739" t="str">
            <v>7S121C</v>
          </cell>
          <cell r="B2739" t="str">
            <v>LY-497B</v>
          </cell>
          <cell r="C2739" t="str">
            <v>CT AS HI</v>
          </cell>
          <cell r="D2739" t="str">
            <v>基本型體</v>
          </cell>
        </row>
        <row r="2740">
          <cell r="A2740" t="str">
            <v>81229</v>
          </cell>
          <cell r="B2740" t="str">
            <v>LY-66001</v>
          </cell>
          <cell r="C2740" t="str">
            <v>FIRST STAR HI</v>
          </cell>
          <cell r="D2740" t="str">
            <v>BB鞋</v>
          </cell>
        </row>
        <row r="2741">
          <cell r="A2741" t="str">
            <v>837773C</v>
          </cell>
          <cell r="B2741" t="str">
            <v>LY-66001</v>
          </cell>
          <cell r="C2741" t="str">
            <v>CT FIRST STAR HI</v>
          </cell>
          <cell r="D2741" t="str">
            <v>BB鞋</v>
          </cell>
        </row>
        <row r="2742">
          <cell r="A2742" t="str">
            <v>848607C</v>
          </cell>
          <cell r="B2742" t="str">
            <v>LY-66011</v>
          </cell>
          <cell r="C2742" t="str">
            <v>CT FRST STAR ESY SLIP</v>
          </cell>
          <cell r="D2742" t="str">
            <v>BB鞋</v>
          </cell>
        </row>
        <row r="2743">
          <cell r="A2743" t="str">
            <v>850602C</v>
          </cell>
          <cell r="B2743" t="str">
            <v>LY-66001</v>
          </cell>
          <cell r="C2743" t="str">
            <v>CT FIRST STAR HI</v>
          </cell>
          <cell r="D2743" t="str">
            <v>BB鞋</v>
          </cell>
        </row>
        <row r="2744">
          <cell r="A2744" t="str">
            <v>850604C</v>
          </cell>
          <cell r="B2744" t="str">
            <v>LY-66001</v>
          </cell>
          <cell r="C2744" t="str">
            <v>CT FIRST STAR HI</v>
          </cell>
          <cell r="D2744" t="str">
            <v>BB鞋</v>
          </cell>
        </row>
        <row r="2745">
          <cell r="A2745" t="str">
            <v>851669C</v>
          </cell>
          <cell r="B2745" t="str">
            <v>LY-66011</v>
          </cell>
          <cell r="C2745" t="str">
            <v>CT FIRST STAR EASY SLIP HI</v>
          </cell>
          <cell r="D2745" t="str">
            <v>BB鞋</v>
          </cell>
        </row>
        <row r="2746">
          <cell r="A2746" t="str">
            <v>851670C</v>
          </cell>
          <cell r="B2746" t="str">
            <v>LY-66011</v>
          </cell>
          <cell r="C2746" t="str">
            <v>CTAS EASY SLIP HI</v>
          </cell>
          <cell r="D2746" t="str">
            <v>BB鞋</v>
          </cell>
        </row>
        <row r="2747">
          <cell r="A2747" t="str">
            <v>851671C</v>
          </cell>
          <cell r="B2747" t="str">
            <v>LY-66011</v>
          </cell>
          <cell r="C2747" t="str">
            <v>CTAS EASY SLIP HI</v>
          </cell>
          <cell r="D2747" t="str">
            <v>BB鞋</v>
          </cell>
        </row>
        <row r="2748">
          <cell r="A2748" t="str">
            <v>851672C</v>
          </cell>
          <cell r="B2748" t="str">
            <v>LY-66011</v>
          </cell>
          <cell r="C2748" t="str">
            <v>CTAS EASY SLIP HI</v>
          </cell>
          <cell r="D2748" t="str">
            <v>BB鞋</v>
          </cell>
        </row>
        <row r="2749">
          <cell r="A2749" t="str">
            <v>851673C</v>
          </cell>
          <cell r="B2749" t="str">
            <v>LY-66011</v>
          </cell>
          <cell r="C2749" t="str">
            <v>CTAS EASY SLIP HI</v>
          </cell>
          <cell r="D2749" t="str">
            <v>BB鞋</v>
          </cell>
        </row>
        <row r="2750">
          <cell r="A2750" t="str">
            <v>853070C</v>
          </cell>
          <cell r="B2750" t="str">
            <v>LY-66011</v>
          </cell>
          <cell r="C2750" t="str">
            <v>CTAS EASY SLIP</v>
          </cell>
          <cell r="D2750" t="str">
            <v>BB鞋</v>
          </cell>
        </row>
        <row r="2751">
          <cell r="A2751" t="str">
            <v>854006C</v>
          </cell>
          <cell r="B2751" t="str">
            <v>LY-66011</v>
          </cell>
          <cell r="C2751" t="str">
            <v>CTAS FIRST STAR EASY SLIP HI</v>
          </cell>
          <cell r="D2751" t="str">
            <v>BB鞋</v>
          </cell>
        </row>
        <row r="2752">
          <cell r="A2752" t="str">
            <v>854007C</v>
          </cell>
          <cell r="B2752" t="str">
            <v>LY-66011</v>
          </cell>
          <cell r="C2752" t="str">
            <v>CTAS FIRST STAR EASY SLIP HI</v>
          </cell>
          <cell r="D2752" t="str">
            <v>BB鞋</v>
          </cell>
        </row>
        <row r="2753">
          <cell r="A2753" t="str">
            <v>854009C</v>
          </cell>
          <cell r="B2753" t="str">
            <v>LY-66011</v>
          </cell>
          <cell r="C2753" t="str">
            <v>CTAS FIRST STAR EASY SLIP HI</v>
          </cell>
          <cell r="D2753" t="str">
            <v>BB鞋</v>
          </cell>
        </row>
        <row r="2754">
          <cell r="A2754" t="str">
            <v>854010C</v>
          </cell>
          <cell r="B2754" t="str">
            <v>LY-66011</v>
          </cell>
          <cell r="C2754" t="str">
            <v>CTAS FIRST STAR EASY SLIP HI</v>
          </cell>
          <cell r="D2754" t="str">
            <v>BB鞋</v>
          </cell>
        </row>
        <row r="2755">
          <cell r="A2755" t="str">
            <v>854011C</v>
          </cell>
          <cell r="B2755" t="str">
            <v>LY-66011</v>
          </cell>
          <cell r="C2755" t="str">
            <v>CTAS FIRST STAR EASY SLIP HI</v>
          </cell>
          <cell r="D2755" t="str">
            <v>BB鞋</v>
          </cell>
        </row>
        <row r="2756">
          <cell r="A2756" t="str">
            <v>854373C</v>
          </cell>
          <cell r="B2756" t="str">
            <v>LY-66011</v>
          </cell>
          <cell r="C2756" t="str">
            <v>CTAS FIRST STAR EASY SLIP HI</v>
          </cell>
          <cell r="D2756" t="str">
            <v>BB鞋</v>
          </cell>
        </row>
        <row r="2757">
          <cell r="A2757" t="str">
            <v>854376C</v>
          </cell>
          <cell r="B2757" t="str">
            <v>LY-66011</v>
          </cell>
          <cell r="C2757" t="str">
            <v>CTAS FIRST STAR EASY SLIP HI</v>
          </cell>
          <cell r="D2757" t="str">
            <v>BB鞋</v>
          </cell>
        </row>
        <row r="2758">
          <cell r="A2758" t="str">
            <v>855119C</v>
          </cell>
          <cell r="B2758" t="str">
            <v>LY-66001</v>
          </cell>
          <cell r="C2758" t="str">
            <v>CT AS FIRST STAR HI</v>
          </cell>
          <cell r="D2758" t="str">
            <v>BB鞋</v>
          </cell>
        </row>
        <row r="2759">
          <cell r="A2759" t="str">
            <v>855120C</v>
          </cell>
          <cell r="B2759" t="str">
            <v>LY-66001</v>
          </cell>
          <cell r="C2759" t="str">
            <v>CT AS FIRST STAR HI</v>
          </cell>
          <cell r="D2759" t="str">
            <v>BB鞋</v>
          </cell>
        </row>
        <row r="2760">
          <cell r="A2760" t="str">
            <v>855121C</v>
          </cell>
          <cell r="B2760" t="str">
            <v>LY-66001</v>
          </cell>
          <cell r="C2760" t="str">
            <v>CTAS FIRST STAR HI</v>
          </cell>
          <cell r="D2760" t="str">
            <v>BB鞋</v>
          </cell>
        </row>
        <row r="2761">
          <cell r="A2761" t="str">
            <v>855122C</v>
          </cell>
          <cell r="B2761" t="str">
            <v>LY-66001</v>
          </cell>
          <cell r="C2761" t="str">
            <v>CTAS FIRST STAR HI</v>
          </cell>
          <cell r="D2761" t="str">
            <v>BB鞋</v>
          </cell>
        </row>
        <row r="2762">
          <cell r="A2762" t="str">
            <v>855179C</v>
          </cell>
          <cell r="B2762" t="str">
            <v>LY-66001</v>
          </cell>
          <cell r="C2762" t="str">
            <v>CTAS FIRST STAR HI</v>
          </cell>
          <cell r="D2762" t="str">
            <v>BB鞋</v>
          </cell>
        </row>
        <row r="2763">
          <cell r="A2763" t="str">
            <v>856126C</v>
          </cell>
          <cell r="B2763" t="str">
            <v>LY-66011</v>
          </cell>
          <cell r="C2763" t="str">
            <v>CTAS FIRST STAR EASY SLIP HI</v>
          </cell>
          <cell r="D2763" t="str">
            <v>BB鞋</v>
          </cell>
        </row>
        <row r="2764">
          <cell r="A2764" t="str">
            <v>856130C</v>
          </cell>
          <cell r="B2764" t="str">
            <v>LY-66011</v>
          </cell>
          <cell r="C2764" t="str">
            <v>CTAS FIRST STAR EASY SLIP HI</v>
          </cell>
          <cell r="D2764" t="str">
            <v>BB鞋</v>
          </cell>
        </row>
        <row r="2765">
          <cell r="A2765" t="str">
            <v>856443C</v>
          </cell>
          <cell r="B2765" t="str">
            <v>LY-66011</v>
          </cell>
          <cell r="C2765" t="str">
            <v>CTAS FIRST STAR EASY SLIP HI</v>
          </cell>
          <cell r="D2765" t="str">
            <v>BB鞋</v>
          </cell>
        </row>
        <row r="2766">
          <cell r="A2766" t="str">
            <v>856444C</v>
          </cell>
          <cell r="B2766" t="str">
            <v>LY-66011</v>
          </cell>
          <cell r="C2766" t="str">
            <v>CTAS FIRST STAR EASY SLIP HI</v>
          </cell>
          <cell r="D2766" t="str">
            <v>BB鞋</v>
          </cell>
        </row>
        <row r="2767">
          <cell r="A2767" t="str">
            <v>856463C</v>
          </cell>
          <cell r="B2767" t="str">
            <v>LY-66011</v>
          </cell>
          <cell r="C2767" t="str">
            <v>CTAS FIRST STAR EASY SLIP HI</v>
          </cell>
          <cell r="D2767" t="str">
            <v>BB鞋</v>
          </cell>
        </row>
        <row r="2768">
          <cell r="A2768" t="str">
            <v>856607C</v>
          </cell>
          <cell r="B2768" t="str">
            <v>LY-66011</v>
          </cell>
          <cell r="C2768" t="str">
            <v>CTAS FIRST STAR EASY SLIP HI</v>
          </cell>
          <cell r="D2768" t="str">
            <v>BB鞋</v>
          </cell>
        </row>
        <row r="2769">
          <cell r="A2769" t="str">
            <v>856832C</v>
          </cell>
          <cell r="B2769" t="str">
            <v>LY-66001</v>
          </cell>
          <cell r="C2769" t="str">
            <v>CTAS FIRST STAR HI</v>
          </cell>
          <cell r="D2769" t="str">
            <v>BB鞋</v>
          </cell>
        </row>
        <row r="2770">
          <cell r="A2770" t="str">
            <v>856848C</v>
          </cell>
          <cell r="B2770" t="str">
            <v>LY-66001</v>
          </cell>
          <cell r="C2770" t="str">
            <v>CTAS FIRST STAR HI</v>
          </cell>
          <cell r="D2770" t="str">
            <v>BB鞋</v>
          </cell>
        </row>
        <row r="2771">
          <cell r="A2771" t="str">
            <v>856849C</v>
          </cell>
          <cell r="B2771" t="str">
            <v>LY-66001</v>
          </cell>
          <cell r="C2771" t="str">
            <v>CTAS FIRST STAR HI</v>
          </cell>
          <cell r="D2771" t="str">
            <v>BB鞋</v>
          </cell>
        </row>
        <row r="2772">
          <cell r="A2772" t="str">
            <v>856850C</v>
          </cell>
          <cell r="B2772" t="str">
            <v>LY-66001</v>
          </cell>
          <cell r="C2772" t="str">
            <v>CTAS FIRST STAR HI</v>
          </cell>
          <cell r="D2772" t="str">
            <v>BB鞋</v>
          </cell>
        </row>
        <row r="2773">
          <cell r="A2773" t="str">
            <v>857429C</v>
          </cell>
          <cell r="B2773" t="str">
            <v>LY-66011</v>
          </cell>
          <cell r="C2773" t="str">
            <v>CTAS FIRST STAR EASY SLIP HI</v>
          </cell>
          <cell r="D2773" t="str">
            <v>BB鞋</v>
          </cell>
        </row>
        <row r="2774">
          <cell r="A2774" t="str">
            <v>857430C</v>
          </cell>
          <cell r="B2774" t="str">
            <v>LY-66011</v>
          </cell>
          <cell r="C2774" t="str">
            <v>CTAS FIRST STAR EASY SLIP HI</v>
          </cell>
          <cell r="D2774" t="str">
            <v>BB鞋</v>
          </cell>
        </row>
        <row r="2775">
          <cell r="A2775" t="str">
            <v>857431C</v>
          </cell>
          <cell r="B2775" t="str">
            <v>LY-66011</v>
          </cell>
          <cell r="C2775" t="str">
            <v>CTAS FIRST STAR EASY SLIP HI</v>
          </cell>
          <cell r="D2775" t="str">
            <v>BB鞋</v>
          </cell>
        </row>
        <row r="2776">
          <cell r="A2776" t="str">
            <v>857433C</v>
          </cell>
          <cell r="B2776" t="str">
            <v>LY-66011</v>
          </cell>
          <cell r="C2776" t="str">
            <v>CTAS FIRST STAR EASY SLIP HI</v>
          </cell>
          <cell r="D2776" t="str">
            <v>BB鞋</v>
          </cell>
        </row>
        <row r="2777">
          <cell r="A2777" t="str">
            <v>857436C</v>
          </cell>
          <cell r="B2777" t="str">
            <v>LY-66011</v>
          </cell>
          <cell r="C2777" t="str">
            <v>CTAS FIRST STAR EASY SLIP HI</v>
          </cell>
          <cell r="D2777" t="str">
            <v>BB鞋</v>
          </cell>
        </row>
        <row r="2778">
          <cell r="A2778" t="str">
            <v>858877C</v>
          </cell>
          <cell r="B2778" t="str">
            <v>LY-66001</v>
          </cell>
          <cell r="C2778" t="str">
            <v>CTAS FIRST STAR HI</v>
          </cell>
          <cell r="D2778" t="str">
            <v>BB鞋</v>
          </cell>
        </row>
        <row r="2779">
          <cell r="A2779" t="str">
            <v>858878C</v>
          </cell>
          <cell r="B2779" t="str">
            <v>LY-66001</v>
          </cell>
          <cell r="C2779" t="str">
            <v>CTAS FIRST STAR HI</v>
          </cell>
          <cell r="D2779" t="str">
            <v>BB鞋</v>
          </cell>
        </row>
        <row r="2780">
          <cell r="A2780" t="str">
            <v>858879C</v>
          </cell>
          <cell r="B2780" t="str">
            <v>LY-66001</v>
          </cell>
          <cell r="C2780" t="str">
            <v>CTAS FIRST STAR HI</v>
          </cell>
          <cell r="D2780" t="str">
            <v>BB鞋</v>
          </cell>
        </row>
        <row r="2781">
          <cell r="A2781" t="str">
            <v>858880C</v>
          </cell>
          <cell r="B2781" t="str">
            <v>LY-66001</v>
          </cell>
          <cell r="C2781" t="str">
            <v>CTAS FIRST STAR HI</v>
          </cell>
          <cell r="D2781" t="str">
            <v>BB鞋</v>
          </cell>
        </row>
        <row r="2782">
          <cell r="A2782" t="str">
            <v>861011C</v>
          </cell>
          <cell r="B2782" t="str">
            <v>LY-66001</v>
          </cell>
          <cell r="C2782" t="str">
            <v>CTAS FIRST STAR HI</v>
          </cell>
          <cell r="D2782" t="str">
            <v>BB鞋</v>
          </cell>
        </row>
        <row r="2783">
          <cell r="A2783" t="str">
            <v>861017C</v>
          </cell>
          <cell r="B2783" t="str">
            <v>LY-66001</v>
          </cell>
          <cell r="C2783" t="str">
            <v>CTAS FIRST STAR HI</v>
          </cell>
          <cell r="D2783" t="str">
            <v>BB鞋</v>
          </cell>
        </row>
        <row r="2784">
          <cell r="A2784" t="str">
            <v>861018C</v>
          </cell>
          <cell r="B2784" t="str">
            <v>LY-66001</v>
          </cell>
          <cell r="C2784" t="str">
            <v>CTAS FIRST STAR HI</v>
          </cell>
          <cell r="D2784" t="str">
            <v>BB鞋</v>
          </cell>
        </row>
        <row r="2785">
          <cell r="A2785" t="str">
            <v>861020C</v>
          </cell>
          <cell r="B2785" t="str">
            <v>LY-66001</v>
          </cell>
          <cell r="C2785" t="str">
            <v>CTAS FIRST STAR HI</v>
          </cell>
          <cell r="D2785" t="str">
            <v>BB鞋</v>
          </cell>
        </row>
        <row r="2786">
          <cell r="A2786" t="str">
            <v>862718C</v>
          </cell>
          <cell r="B2786" t="str">
            <v>LY-66001</v>
          </cell>
          <cell r="C2786" t="str">
            <v>CT AS FIRST STAR HI</v>
          </cell>
          <cell r="D2786" t="str">
            <v>BB鞋</v>
          </cell>
        </row>
        <row r="2787">
          <cell r="A2787" t="str">
            <v>862719C</v>
          </cell>
          <cell r="B2787" t="str">
            <v>LY-66001</v>
          </cell>
          <cell r="C2787" t="str">
            <v>CT AS FIRST STAR HI</v>
          </cell>
          <cell r="D2787" t="str">
            <v>BB鞋</v>
          </cell>
        </row>
        <row r="2788">
          <cell r="A2788" t="str">
            <v>862720C</v>
          </cell>
          <cell r="B2788" t="str">
            <v>LY-66001</v>
          </cell>
          <cell r="C2788" t="str">
            <v>CT AS FIRST STAR HI</v>
          </cell>
          <cell r="D2788" t="str">
            <v>BB鞋</v>
          </cell>
        </row>
        <row r="2789">
          <cell r="A2789" t="str">
            <v>862721C</v>
          </cell>
          <cell r="B2789" t="str">
            <v>LY-66001</v>
          </cell>
          <cell r="C2789" t="str">
            <v>CT AS FIRST STAR HI</v>
          </cell>
          <cell r="D2789" t="str">
            <v>BB鞋</v>
          </cell>
        </row>
        <row r="2790">
          <cell r="A2790" t="str">
            <v>862810C</v>
          </cell>
          <cell r="B2790" t="str">
            <v>LY-66001</v>
          </cell>
          <cell r="C2790" t="str">
            <v>CT AS FIRST STAR HI</v>
          </cell>
          <cell r="D2790" t="str">
            <v>BB鞋</v>
          </cell>
        </row>
        <row r="2791">
          <cell r="A2791" t="str">
            <v>863860C</v>
          </cell>
          <cell r="B2791" t="str">
            <v>LY-66011-B</v>
          </cell>
          <cell r="C2791" t="str">
            <v>CHUCK TAYLOR ALL STAR FIRST STAR EASY SLIP</v>
          </cell>
          <cell r="D2791" t="str">
            <v>BB鞋</v>
          </cell>
        </row>
        <row r="2792">
          <cell r="A2792" t="str">
            <v>863997C</v>
          </cell>
          <cell r="B2792" t="str">
            <v>LY-66001</v>
          </cell>
          <cell r="C2792" t="str">
            <v>CHUCK TAYLOR FIRST STAR</v>
          </cell>
          <cell r="D2792" t="str">
            <v>BB鞋</v>
          </cell>
        </row>
        <row r="2793">
          <cell r="A2793" t="str">
            <v>864488C</v>
          </cell>
          <cell r="B2793" t="str">
            <v>LY-66001</v>
          </cell>
          <cell r="C2793" t="str">
            <v>CHUCK TAYLOR FIRST STAR</v>
          </cell>
          <cell r="D2793" t="str">
            <v>BB鞋</v>
          </cell>
        </row>
        <row r="2794">
          <cell r="A2794" t="str">
            <v>88865</v>
          </cell>
          <cell r="B2794" t="str">
            <v>LY-66001</v>
          </cell>
          <cell r="C2794" t="str">
            <v>FIRST STAR HI</v>
          </cell>
          <cell r="D2794" t="str">
            <v>BB鞋</v>
          </cell>
        </row>
        <row r="2795">
          <cell r="A2795" t="str">
            <v>88871</v>
          </cell>
          <cell r="B2795" t="str">
            <v>LY-66001</v>
          </cell>
          <cell r="C2795" t="str">
            <v>FIRST STAR HI</v>
          </cell>
          <cell r="D2795" t="str">
            <v>BB鞋</v>
          </cell>
        </row>
        <row r="2796">
          <cell r="A2796" t="str">
            <v>88875</v>
          </cell>
          <cell r="B2796" t="str">
            <v>LY-66001</v>
          </cell>
          <cell r="C2796" t="str">
            <v>FIRST STAR HI</v>
          </cell>
          <cell r="D2796" t="str">
            <v>BB鞋</v>
          </cell>
        </row>
        <row r="2797">
          <cell r="A2797" t="str">
            <v>88877</v>
          </cell>
          <cell r="B2797" t="str">
            <v>LY-66001</v>
          </cell>
          <cell r="C2797" t="str">
            <v>FIRST STAR</v>
          </cell>
          <cell r="D2797" t="str">
            <v>BB鞋</v>
          </cell>
        </row>
        <row r="2798">
          <cell r="A2798" t="str">
            <v>8J231</v>
          </cell>
          <cell r="B2798" t="str">
            <v>LY-66001</v>
          </cell>
          <cell r="C2798" t="str">
            <v>FIRST STAR HI</v>
          </cell>
          <cell r="D2798" t="str">
            <v>BB鞋</v>
          </cell>
        </row>
        <row r="2799">
          <cell r="A2799" t="str">
            <v>M3310</v>
          </cell>
          <cell r="B2799" t="str">
            <v>LY-CT AS HI CR-XXX</v>
          </cell>
          <cell r="C2799" t="str">
            <v>C TAYLOR A/S HI</v>
          </cell>
          <cell r="D2799" t="str">
            <v>基本型體</v>
          </cell>
        </row>
        <row r="2800">
          <cell r="A2800" t="str">
            <v>M3310/X3310</v>
          </cell>
          <cell r="B2800" t="str">
            <v>LY-CT AS HI CR-XXX</v>
          </cell>
          <cell r="C2800" t="str">
            <v>C TAYLOR A/S HI</v>
          </cell>
          <cell r="D2800" t="str">
            <v>基本型體</v>
          </cell>
        </row>
        <row r="2801">
          <cell r="A2801" t="str">
            <v>M3310C</v>
          </cell>
          <cell r="B2801" t="str">
            <v>LY-CT AS HI CR-XXX</v>
          </cell>
          <cell r="C2801" t="str">
            <v>C TAYLOR A/S HI</v>
          </cell>
          <cell r="D2801" t="str">
            <v>基本型體</v>
          </cell>
        </row>
        <row r="2802">
          <cell r="A2802" t="str">
            <v>M3310C/X3310C</v>
          </cell>
          <cell r="B2802" t="str">
            <v>LY-CT AS HI CR-XXX</v>
          </cell>
          <cell r="C2802" t="str">
            <v>C TAYLOR A/S HI</v>
          </cell>
          <cell r="D2802" t="str">
            <v>基本型體</v>
          </cell>
        </row>
        <row r="2803">
          <cell r="A2803" t="str">
            <v>M3310V/X3310V</v>
          </cell>
          <cell r="B2803" t="str">
            <v>LY-CT AS HI CR-XXX</v>
          </cell>
          <cell r="C2803" t="str">
            <v>C TAYLOR A/S HI</v>
          </cell>
          <cell r="D2803" t="str">
            <v>基本型體</v>
          </cell>
        </row>
        <row r="2804">
          <cell r="A2804" t="str">
            <v>M3494</v>
          </cell>
          <cell r="B2804" t="str">
            <v>LY-CT AS OX CR-XXX</v>
          </cell>
          <cell r="C2804" t="str">
            <v>ALL STAR STARS &amp; BARS OX</v>
          </cell>
          <cell r="D2804" t="str">
            <v>基本型體</v>
          </cell>
        </row>
        <row r="2805">
          <cell r="A2805" t="str">
            <v>M3494/X3494</v>
          </cell>
          <cell r="B2805" t="str">
            <v>LY-CT AS OX CR-XXX</v>
          </cell>
          <cell r="C2805" t="str">
            <v>ALL STAR STARS &amp; BARS OX</v>
          </cell>
          <cell r="D2805" t="str">
            <v>基本型體</v>
          </cell>
        </row>
        <row r="2806">
          <cell r="A2806" t="str">
            <v>M5039/X5039</v>
          </cell>
          <cell r="B2806" t="str">
            <v>LY-CT AS OX CR-XXX</v>
          </cell>
          <cell r="C2806" t="str">
            <v>C TAYLOR A/S OX</v>
          </cell>
          <cell r="D2806" t="str">
            <v>基本型體</v>
          </cell>
        </row>
        <row r="2807">
          <cell r="A2807" t="str">
            <v>M5039C</v>
          </cell>
          <cell r="B2807" t="str">
            <v>LY-CT AS OX CR-XXX</v>
          </cell>
          <cell r="C2807" t="str">
            <v>C TAYLOR A/S OX</v>
          </cell>
          <cell r="D2807" t="str">
            <v>基本型體</v>
          </cell>
        </row>
        <row r="2808">
          <cell r="A2808" t="str">
            <v>M5039C/X5039C</v>
          </cell>
          <cell r="B2808" t="str">
            <v>LY-CT AS OX CR-XXX</v>
          </cell>
          <cell r="C2808" t="str">
            <v>C TAYLOR A/S OX</v>
          </cell>
          <cell r="D2808" t="str">
            <v>基本型體</v>
          </cell>
        </row>
        <row r="2809">
          <cell r="A2809" t="str">
            <v>M5039V/X5039V</v>
          </cell>
          <cell r="B2809" t="str">
            <v>LY-CT AS OX CR-XXX</v>
          </cell>
          <cell r="C2809" t="str">
            <v>C TAYLOR A/S OX</v>
          </cell>
          <cell r="D2809" t="str">
            <v>基本型體</v>
          </cell>
        </row>
        <row r="2810">
          <cell r="A2810" t="str">
            <v>M7650</v>
          </cell>
          <cell r="B2810" t="str">
            <v>LY-CT AS HI CR-XXX</v>
          </cell>
          <cell r="C2810" t="str">
            <v>ALL STAR HI</v>
          </cell>
          <cell r="D2810" t="str">
            <v>基本型體</v>
          </cell>
        </row>
        <row r="2811">
          <cell r="A2811" t="str">
            <v>M7650/X7650</v>
          </cell>
          <cell r="B2811" t="str">
            <v>LY-CT AS HI CR-XXX</v>
          </cell>
          <cell r="C2811" t="str">
            <v>ALL STAR HI</v>
          </cell>
          <cell r="D2811" t="str">
            <v>基本型體</v>
          </cell>
        </row>
        <row r="2812">
          <cell r="A2812" t="str">
            <v>M7650C</v>
          </cell>
          <cell r="B2812" t="str">
            <v>LY-CT AS HI CR-XXX</v>
          </cell>
          <cell r="C2812" t="str">
            <v>ALL STAR HI</v>
          </cell>
          <cell r="D2812" t="str">
            <v>基本型體</v>
          </cell>
        </row>
        <row r="2813">
          <cell r="A2813" t="str">
            <v>M7650C/X7650C</v>
          </cell>
          <cell r="B2813" t="str">
            <v>LY-CT AS HI CR-XXX</v>
          </cell>
          <cell r="C2813" t="str">
            <v>ALL STAR HI</v>
          </cell>
          <cell r="D2813" t="str">
            <v>基本型體</v>
          </cell>
        </row>
        <row r="2814">
          <cell r="A2814" t="str">
            <v>M7652</v>
          </cell>
          <cell r="B2814" t="str">
            <v>LY-CT AS OX CR-XXX</v>
          </cell>
          <cell r="C2814" t="str">
            <v>ALL STAR OX</v>
          </cell>
          <cell r="D2814" t="str">
            <v>基本型體</v>
          </cell>
        </row>
        <row r="2815">
          <cell r="A2815" t="str">
            <v>M7652/X7652</v>
          </cell>
          <cell r="B2815" t="str">
            <v>LY-CT AS OX CR-XXX</v>
          </cell>
          <cell r="C2815" t="str">
            <v>ALL STAR OX</v>
          </cell>
          <cell r="D2815" t="str">
            <v>基本型體</v>
          </cell>
        </row>
        <row r="2816">
          <cell r="A2816" t="str">
            <v>M7652C</v>
          </cell>
          <cell r="B2816" t="str">
            <v>LY-CT AS OX CR-XXX</v>
          </cell>
          <cell r="C2816" t="str">
            <v>ALL STAR OX</v>
          </cell>
          <cell r="D2816" t="str">
            <v>基本型體</v>
          </cell>
        </row>
        <row r="2817">
          <cell r="A2817" t="str">
            <v>M7652C/X7652C</v>
          </cell>
          <cell r="B2817" t="str">
            <v>LY-CT AS OX CR-XXX</v>
          </cell>
          <cell r="C2817" t="str">
            <v>ALL STAR OX</v>
          </cell>
          <cell r="D2817" t="str">
            <v>基本型體</v>
          </cell>
        </row>
        <row r="2818">
          <cell r="A2818" t="str">
            <v>M8437</v>
          </cell>
          <cell r="B2818" t="str">
            <v>LY-CT AS HI CR-XXX</v>
          </cell>
          <cell r="C2818" t="str">
            <v>ALL STAR STARS &amp; BARS HI</v>
          </cell>
          <cell r="D2818" t="str">
            <v>基本型體</v>
          </cell>
        </row>
        <row r="2819">
          <cell r="A2819" t="str">
            <v>M8437/X8437</v>
          </cell>
          <cell r="B2819" t="str">
            <v>LY-CT AS HI CR-XXX</v>
          </cell>
          <cell r="C2819" t="str">
            <v>ALL STAR STARS &amp; BARS HI</v>
          </cell>
          <cell r="D2819" t="str">
            <v>基本型體</v>
          </cell>
        </row>
        <row r="2820">
          <cell r="A2820" t="str">
            <v>M8437C</v>
          </cell>
          <cell r="B2820" t="str">
            <v>LY-CT AS HI CR-XXX</v>
          </cell>
          <cell r="C2820" t="str">
            <v>ALL STAR STARS &amp; BARS HI</v>
          </cell>
          <cell r="D2820" t="str">
            <v>基本型體</v>
          </cell>
        </row>
        <row r="2821">
          <cell r="A2821" t="str">
            <v>M8437C/X8437C</v>
          </cell>
          <cell r="B2821" t="str">
            <v>LY-CT AS HI CR-XXX</v>
          </cell>
          <cell r="C2821" t="str">
            <v>ALL STAR STARS &amp; BARS HI</v>
          </cell>
          <cell r="D2821" t="str">
            <v>基本型體</v>
          </cell>
        </row>
        <row r="2822">
          <cell r="A2822" t="str">
            <v>M9006C/X9006C</v>
          </cell>
          <cell r="B2822" t="str">
            <v>LY-CT AS HI CR-XXX</v>
          </cell>
          <cell r="C2822" t="str">
            <v>A/S HI</v>
          </cell>
          <cell r="D2822" t="str">
            <v>基本型體</v>
          </cell>
        </row>
        <row r="2823">
          <cell r="A2823" t="str">
            <v>M9007</v>
          </cell>
          <cell r="B2823" t="str">
            <v>LY-CT AS OX CR-XXX</v>
          </cell>
          <cell r="C2823" t="str">
            <v>A/S OX</v>
          </cell>
          <cell r="D2823" t="str">
            <v>基本型體</v>
          </cell>
        </row>
        <row r="2824">
          <cell r="A2824" t="str">
            <v>M9007/X9007</v>
          </cell>
          <cell r="B2824" t="str">
            <v>LY-CT AS OX CR-XXX</v>
          </cell>
          <cell r="C2824" t="str">
            <v>A/S OX</v>
          </cell>
          <cell r="D2824" t="str">
            <v>基本型體</v>
          </cell>
        </row>
        <row r="2825">
          <cell r="A2825" t="str">
            <v>M9007C/X9007C</v>
          </cell>
          <cell r="B2825" t="str">
            <v>LY-CT AS OX CR-XXX</v>
          </cell>
          <cell r="C2825" t="str">
            <v>A/S OX</v>
          </cell>
          <cell r="D2825" t="str">
            <v>基本型體</v>
          </cell>
        </row>
        <row r="2826">
          <cell r="A2826" t="str">
            <v>M9160</v>
          </cell>
          <cell r="B2826" t="str">
            <v>LY-CT AS HI CR-XXX</v>
          </cell>
          <cell r="C2826" t="str">
            <v>ALL STAR HI</v>
          </cell>
          <cell r="D2826" t="str">
            <v>基本型體</v>
          </cell>
        </row>
        <row r="2827">
          <cell r="A2827" t="str">
            <v>M9160/X9160</v>
          </cell>
          <cell r="B2827" t="str">
            <v>LY-CT AS HI CR-XXX</v>
          </cell>
          <cell r="C2827" t="str">
            <v>ALL STAR HI</v>
          </cell>
          <cell r="D2827" t="str">
            <v>基本型體</v>
          </cell>
        </row>
        <row r="2828">
          <cell r="A2828" t="str">
            <v>M9160C</v>
          </cell>
          <cell r="B2828" t="str">
            <v>LY-CT AS HI CR-XXX</v>
          </cell>
          <cell r="C2828" t="str">
            <v>ALL STAR HI</v>
          </cell>
          <cell r="D2828" t="str">
            <v>基本型體</v>
          </cell>
        </row>
        <row r="2829">
          <cell r="A2829" t="str">
            <v>M9160C/X9160C</v>
          </cell>
          <cell r="B2829" t="str">
            <v>LY-CT AS HI CR-XXX</v>
          </cell>
          <cell r="C2829" t="str">
            <v>ALL STAR HI</v>
          </cell>
          <cell r="D2829" t="str">
            <v>基本型體</v>
          </cell>
        </row>
        <row r="2830">
          <cell r="A2830" t="str">
            <v>M9166/X9166</v>
          </cell>
          <cell r="B2830" t="str">
            <v>LY-CT AS OX CR-XXX</v>
          </cell>
          <cell r="C2830" t="str">
            <v>ALL STAR OX</v>
          </cell>
          <cell r="D2830" t="str">
            <v>基本型體</v>
          </cell>
        </row>
        <row r="2831">
          <cell r="A2831" t="str">
            <v>M9166C</v>
          </cell>
          <cell r="B2831" t="str">
            <v>LY-CT AS OX CR-XXX</v>
          </cell>
          <cell r="C2831" t="str">
            <v>ALL STAR OX</v>
          </cell>
          <cell r="D2831" t="str">
            <v>基本型體</v>
          </cell>
        </row>
        <row r="2832">
          <cell r="A2832" t="str">
            <v>M9166C/X9166C</v>
          </cell>
          <cell r="B2832" t="str">
            <v>LY-CT AS OX CR-XXX</v>
          </cell>
          <cell r="C2832" t="str">
            <v>ALL STAR OX</v>
          </cell>
          <cell r="D2832" t="str">
            <v>基本型體</v>
          </cell>
        </row>
        <row r="2833">
          <cell r="A2833" t="str">
            <v>M9613</v>
          </cell>
          <cell r="B2833" t="str">
            <v>LY-CT AS HI CR-XXX</v>
          </cell>
          <cell r="C2833" t="str">
            <v>ALL STAR HI</v>
          </cell>
          <cell r="D2833" t="str">
            <v>基本型體</v>
          </cell>
        </row>
        <row r="2834">
          <cell r="A2834" t="str">
            <v>M9613/X9613</v>
          </cell>
          <cell r="B2834" t="str">
            <v>LY-CT AS HI CR-XXX</v>
          </cell>
          <cell r="C2834" t="str">
            <v>ALL STAR HI</v>
          </cell>
          <cell r="D2834" t="str">
            <v>基本型體</v>
          </cell>
        </row>
        <row r="2835">
          <cell r="A2835" t="str">
            <v>M9613C</v>
          </cell>
          <cell r="B2835" t="str">
            <v>LY-CT AS HI CR-XXX</v>
          </cell>
          <cell r="C2835" t="str">
            <v>ALL STAR HI</v>
          </cell>
          <cell r="D2835" t="str">
            <v>基本型體</v>
          </cell>
        </row>
        <row r="2836">
          <cell r="A2836" t="str">
            <v>M9613C/X9613C</v>
          </cell>
          <cell r="B2836" t="str">
            <v>LY-CT AS HI CR-XXX</v>
          </cell>
          <cell r="C2836" t="str">
            <v>ALL STAR HI</v>
          </cell>
          <cell r="D2836" t="str">
            <v>基本型體</v>
          </cell>
        </row>
        <row r="2837">
          <cell r="A2837" t="str">
            <v>M9621</v>
          </cell>
          <cell r="B2837" t="str">
            <v>LY-CT AS HI CR-XXX</v>
          </cell>
          <cell r="C2837" t="str">
            <v>ALL STAR HI</v>
          </cell>
          <cell r="D2837" t="str">
            <v>基本型體</v>
          </cell>
        </row>
        <row r="2838">
          <cell r="A2838" t="str">
            <v>M9621/X9621</v>
          </cell>
          <cell r="B2838" t="str">
            <v>LY-CT AS HI CR-XXX</v>
          </cell>
          <cell r="C2838" t="str">
            <v>ALL STAR HI</v>
          </cell>
          <cell r="D2838" t="str">
            <v>基本型體</v>
          </cell>
        </row>
        <row r="2839">
          <cell r="A2839" t="str">
            <v>M9621C</v>
          </cell>
          <cell r="B2839" t="str">
            <v>LY-CT AS HI CR-XXX</v>
          </cell>
          <cell r="C2839" t="str">
            <v>ALL STAR HI</v>
          </cell>
          <cell r="D2839" t="str">
            <v>基本型體</v>
          </cell>
        </row>
        <row r="2840">
          <cell r="A2840" t="str">
            <v>M9621C/X9621C</v>
          </cell>
          <cell r="B2840" t="str">
            <v>LY-CT AS HI CR-XXX</v>
          </cell>
          <cell r="C2840" t="str">
            <v>ALL STAR HI</v>
          </cell>
          <cell r="D2840" t="str">
            <v>基本型體</v>
          </cell>
        </row>
        <row r="2841">
          <cell r="A2841" t="str">
            <v>M9622</v>
          </cell>
          <cell r="B2841" t="str">
            <v>LY-CT AS HI CR-XXX</v>
          </cell>
          <cell r="C2841" t="str">
            <v>ALL STAR HI</v>
          </cell>
          <cell r="D2841" t="str">
            <v>基本型體</v>
          </cell>
        </row>
        <row r="2842">
          <cell r="A2842" t="str">
            <v>M9622/X9622</v>
          </cell>
          <cell r="B2842" t="str">
            <v>LY-CT AS HI CR-XXX</v>
          </cell>
          <cell r="C2842" t="str">
            <v>ALL STAR HI</v>
          </cell>
          <cell r="D2842" t="str">
            <v>基本型體</v>
          </cell>
        </row>
        <row r="2843">
          <cell r="A2843" t="str">
            <v>M9622C</v>
          </cell>
          <cell r="B2843" t="str">
            <v>LY-CT AS HI CR-XXX</v>
          </cell>
          <cell r="C2843" t="str">
            <v>ALL STAR HI</v>
          </cell>
          <cell r="D2843" t="str">
            <v>基本型體</v>
          </cell>
        </row>
        <row r="2844">
          <cell r="A2844" t="str">
            <v>M9622C/X9622C</v>
          </cell>
          <cell r="B2844" t="str">
            <v>LY-CT AS HI CR-XXX</v>
          </cell>
          <cell r="C2844" t="str">
            <v>ALL STAR HI</v>
          </cell>
          <cell r="D2844" t="str">
            <v>基本型體</v>
          </cell>
        </row>
        <row r="2845">
          <cell r="A2845" t="str">
            <v>M9691/X9691</v>
          </cell>
          <cell r="B2845" t="str">
            <v>LY-CT AS OX CR-XXX</v>
          </cell>
          <cell r="C2845" t="str">
            <v>ALL STAR OX</v>
          </cell>
          <cell r="D2845" t="str">
            <v>基本型體</v>
          </cell>
        </row>
        <row r="2846">
          <cell r="A2846" t="str">
            <v>M9691C</v>
          </cell>
          <cell r="B2846" t="str">
            <v>LY-CT AS OX CR-XXX</v>
          </cell>
          <cell r="C2846" t="str">
            <v>ALL STAR OX</v>
          </cell>
          <cell r="D2846" t="str">
            <v>基本型體</v>
          </cell>
        </row>
        <row r="2847">
          <cell r="A2847" t="str">
            <v>M9691C/X9691C</v>
          </cell>
          <cell r="B2847" t="str">
            <v>LY-CT AS OX CR-XXX</v>
          </cell>
          <cell r="C2847" t="str">
            <v>ALL STAR OX</v>
          </cell>
          <cell r="D2847" t="str">
            <v>基本型體</v>
          </cell>
        </row>
        <row r="2848">
          <cell r="A2848" t="str">
            <v>M9696</v>
          </cell>
          <cell r="B2848" t="str">
            <v>LY-CT AS OX CR XXX</v>
          </cell>
          <cell r="C2848" t="str">
            <v>ALL STAR OX</v>
          </cell>
          <cell r="D2848" t="str">
            <v>基本型體</v>
          </cell>
        </row>
        <row r="2849">
          <cell r="A2849" t="str">
            <v>M9696/X9696</v>
          </cell>
          <cell r="B2849" t="str">
            <v>LY-CT AS OX CR-XXX</v>
          </cell>
          <cell r="C2849" t="str">
            <v>ALL STAR OX</v>
          </cell>
          <cell r="D2849" t="str">
            <v>基本型體</v>
          </cell>
        </row>
        <row r="2850">
          <cell r="A2850" t="str">
            <v>M9696C</v>
          </cell>
          <cell r="B2850" t="str">
            <v>LY-CT AS OX CR XXX</v>
          </cell>
          <cell r="C2850" t="str">
            <v>ALL STAR OX</v>
          </cell>
          <cell r="D2850" t="str">
            <v>基本型體</v>
          </cell>
        </row>
        <row r="2851">
          <cell r="A2851" t="str">
            <v>M9696C/X9696C</v>
          </cell>
          <cell r="B2851" t="str">
            <v>LY-CT AS OX CR-XXX</v>
          </cell>
          <cell r="C2851" t="str">
            <v>ALL STAR OX</v>
          </cell>
          <cell r="D2851" t="str">
            <v>基本型體</v>
          </cell>
        </row>
        <row r="2852">
          <cell r="A2852" t="str">
            <v>M9697</v>
          </cell>
          <cell r="B2852" t="str">
            <v>LY-CT AS OX CR-XXX</v>
          </cell>
          <cell r="C2852" t="str">
            <v>ALL STAR OX</v>
          </cell>
          <cell r="D2852" t="str">
            <v>基本型體</v>
          </cell>
        </row>
        <row r="2853">
          <cell r="A2853" t="str">
            <v>M9697/X9697</v>
          </cell>
          <cell r="B2853" t="str">
            <v>LY-CT AS OX CR-XXX</v>
          </cell>
          <cell r="C2853" t="str">
            <v>ALL STAR OX</v>
          </cell>
          <cell r="D2853" t="str">
            <v>基本型體</v>
          </cell>
        </row>
        <row r="2854">
          <cell r="A2854" t="str">
            <v>M9697C</v>
          </cell>
          <cell r="B2854" t="str">
            <v>LY-CT AS OX CR-XXX</v>
          </cell>
          <cell r="C2854" t="str">
            <v>ALL STAR OX</v>
          </cell>
          <cell r="D2854" t="str">
            <v>基本型體</v>
          </cell>
        </row>
        <row r="2855">
          <cell r="A2855" t="str">
            <v>M9697C/X9697C</v>
          </cell>
          <cell r="B2855" t="str">
            <v>LY-CT AS OX CR-XXX</v>
          </cell>
          <cell r="C2855" t="str">
            <v>ALL STAR OX</v>
          </cell>
          <cell r="D2855" t="str">
            <v>基本型體</v>
          </cell>
        </row>
        <row r="2856">
          <cell r="A2856" t="str">
            <v>W9160</v>
          </cell>
          <cell r="B2856" t="str">
            <v>LY-CT AS HI CR-XXX</v>
          </cell>
          <cell r="C2856" t="str">
            <v>CHUCK TAYLOR ALL STAR HI</v>
          </cell>
          <cell r="D2856" t="str">
            <v>基本型體</v>
          </cell>
        </row>
        <row r="2857">
          <cell r="A2857" t="str">
            <v>W9166</v>
          </cell>
          <cell r="B2857" t="str">
            <v>LY-CT AS OX CR-XXX</v>
          </cell>
          <cell r="C2857" t="str">
            <v>CHUCK TAYLOR ALL STAR OX</v>
          </cell>
          <cell r="D2857" t="str">
            <v>基本型體</v>
          </cell>
        </row>
        <row r="2858">
          <cell r="A2858" t="str">
            <v>107469F</v>
          </cell>
          <cell r="B2858" t="str">
            <v>LY-CT AS OX CR-XXX-13</v>
          </cell>
          <cell r="C2858" t="str">
            <v>CT DBL TNG FOIL OX</v>
          </cell>
          <cell r="D2858" t="str">
            <v>布</v>
          </cell>
        </row>
        <row r="2859">
          <cell r="A2859" t="str">
            <v>155064C</v>
          </cell>
          <cell r="B2859" t="str">
            <v>LY-SK032U-A</v>
          </cell>
          <cell r="C2859" t="str">
            <v>CONVERS EL DISTRITO OX</v>
          </cell>
          <cell r="D2859" t="str">
            <v>布+星星月亮</v>
          </cell>
        </row>
        <row r="2860">
          <cell r="A2860" t="str">
            <v>155065C</v>
          </cell>
          <cell r="B2860" t="str">
            <v>LY-SK032U-A</v>
          </cell>
          <cell r="C2860" t="str">
            <v>CONVERSE EL DISTRITO OX</v>
          </cell>
          <cell r="D2860" t="str">
            <v>布+星星月亮</v>
          </cell>
        </row>
        <row r="2861">
          <cell r="A2861" t="str">
            <v>155066C</v>
          </cell>
          <cell r="B2861" t="str">
            <v>LY-SK032U-A</v>
          </cell>
          <cell r="C2861" t="str">
            <v>CONVERS EL DISTRITO OX</v>
          </cell>
          <cell r="D2861" t="str">
            <v>布+星星月亮</v>
          </cell>
        </row>
        <row r="2862">
          <cell r="A2862" t="str">
            <v>158369C</v>
          </cell>
          <cell r="B2862" t="str">
            <v>LY-OS119U-B</v>
          </cell>
          <cell r="C2862" t="str">
            <v>ONE STAR OX</v>
          </cell>
          <cell r="D2862" t="str">
            <v>皮</v>
          </cell>
        </row>
        <row r="2863">
          <cell r="A2863" t="str">
            <v>159627C</v>
          </cell>
          <cell r="B2863" t="str">
            <v>LY-CT950U-B</v>
          </cell>
          <cell r="C2863" t="str">
            <v>CTAS ULTRA MID</v>
          </cell>
          <cell r="D2863" t="str">
            <v>PU</v>
          </cell>
        </row>
        <row r="2864">
          <cell r="A2864" t="str">
            <v>159628C</v>
          </cell>
          <cell r="B2864" t="str">
            <v>LY-CT950U-B</v>
          </cell>
          <cell r="C2864" t="str">
            <v>CTAS ULTRA MID</v>
          </cell>
          <cell r="D2864" t="str">
            <v>PU</v>
          </cell>
        </row>
        <row r="2865">
          <cell r="A2865" t="str">
            <v>161600C</v>
          </cell>
          <cell r="B2865" t="str">
            <v>LY-SA384U-A</v>
          </cell>
          <cell r="C2865" t="str">
            <v>CONVERSE COURTLANDT OX</v>
          </cell>
          <cell r="D2865" t="str">
            <v>布+星星月亮</v>
          </cell>
        </row>
        <row r="2866">
          <cell r="A2866" t="str">
            <v>161604C</v>
          </cell>
          <cell r="B2866" t="str">
            <v>LY-SA384U-A</v>
          </cell>
          <cell r="C2866" t="str">
            <v>CONVERSE COURTLANDT OX</v>
          </cell>
          <cell r="D2866" t="str">
            <v>布+星星月亮</v>
          </cell>
        </row>
        <row r="2867">
          <cell r="A2867" t="str">
            <v>162378C</v>
          </cell>
          <cell r="B2867" t="str">
            <v>LY-CT950U-B</v>
          </cell>
          <cell r="C2867" t="str">
            <v>CTAS ULTRA MID</v>
          </cell>
          <cell r="D2867" t="str">
            <v>PU</v>
          </cell>
        </row>
        <row r="2868">
          <cell r="A2868" t="str">
            <v>164025C</v>
          </cell>
          <cell r="B2868" t="str">
            <v>LY-OS128U-2B</v>
          </cell>
          <cell r="C2868" t="str">
            <v>GOLF LE FLEUR OX</v>
          </cell>
          <cell r="D2868" t="str">
            <v>皮</v>
          </cell>
        </row>
        <row r="2869">
          <cell r="A2869" t="str">
            <v>164026C</v>
          </cell>
          <cell r="B2869" t="str">
            <v>LY-OS128U-2B</v>
          </cell>
          <cell r="C2869" t="str">
            <v>GOLF LE FLEUR OX</v>
          </cell>
          <cell r="D2869" t="str">
            <v>皮</v>
          </cell>
        </row>
        <row r="2870">
          <cell r="A2870" t="str">
            <v>165743C</v>
          </cell>
          <cell r="B2870" t="str">
            <v>LY-OS119U-4A-5</v>
          </cell>
          <cell r="C2870" t="str">
            <v>ONE STAR</v>
          </cell>
          <cell r="D2870" t="str">
            <v>布</v>
          </cell>
        </row>
        <row r="2871">
          <cell r="A2871" t="str">
            <v>165766F</v>
          </cell>
          <cell r="B2871" t="str">
            <v>LY-CTAS HI CR-XXX-6A-1</v>
          </cell>
          <cell r="C2871" t="str">
            <v>CHUCK TAYLOR ALL STAR</v>
          </cell>
          <cell r="D2871" t="str">
            <v>布</v>
          </cell>
        </row>
        <row r="2872">
          <cell r="A2872" t="str">
            <v>165767F</v>
          </cell>
        </row>
        <row r="2873">
          <cell r="A2873" t="str">
            <v>165768F</v>
          </cell>
        </row>
        <row r="2874">
          <cell r="A2874" t="str">
            <v>165769F</v>
          </cell>
        </row>
        <row r="2875">
          <cell r="A2875" t="str">
            <v>362540C</v>
          </cell>
          <cell r="B2875" t="str">
            <v>LY-SA384Y-B</v>
          </cell>
          <cell r="C2875" t="str">
            <v>CONVERSE COURTLANDT</v>
          </cell>
          <cell r="D2875" t="str">
            <v>PU+星星月亮</v>
          </cell>
        </row>
        <row r="2876">
          <cell r="A2876" t="str">
            <v>3J231C</v>
          </cell>
          <cell r="B2876" t="str">
            <v>LY-6G CTAS HI</v>
          </cell>
          <cell r="C2876" t="str">
            <v>YTHS C/T ALLSTAR HI</v>
          </cell>
          <cell r="D2876" t="str">
            <v>基本型體</v>
          </cell>
        </row>
        <row r="2877">
          <cell r="A2877" t="str">
            <v>3J232C</v>
          </cell>
          <cell r="B2877" t="str">
            <v>LY-6G CTAS HI</v>
          </cell>
          <cell r="C2877" t="str">
            <v>YTHS C/T ALLSTAR HI</v>
          </cell>
          <cell r="D2877" t="str">
            <v>基本型體</v>
          </cell>
        </row>
        <row r="2878">
          <cell r="A2878" t="str">
            <v>3J233</v>
          </cell>
          <cell r="B2878" t="str">
            <v>LY-6G CTAS HI</v>
          </cell>
          <cell r="C2878" t="str">
            <v>YTHS CT ALLSTAR HI</v>
          </cell>
          <cell r="D2878" t="str">
            <v>基本型體</v>
          </cell>
        </row>
        <row r="2879">
          <cell r="A2879" t="str">
            <v>3J233C</v>
          </cell>
          <cell r="B2879" t="str">
            <v>LY-6G CTAS HI</v>
          </cell>
          <cell r="C2879" t="str">
            <v>YTHS CT ALLSTAR HI</v>
          </cell>
          <cell r="D2879" t="str">
            <v>基本型體</v>
          </cell>
        </row>
        <row r="2880">
          <cell r="A2880" t="str">
            <v>3J234</v>
          </cell>
          <cell r="B2880" t="str">
            <v>LY-6G CTAS HI</v>
          </cell>
          <cell r="C2880" t="str">
            <v>YTHS C/T ALLSTAR HI</v>
          </cell>
          <cell r="D2880" t="str">
            <v>基本型體</v>
          </cell>
        </row>
        <row r="2881">
          <cell r="A2881" t="str">
            <v>3J234C</v>
          </cell>
          <cell r="B2881" t="str">
            <v>LY-6G CTAS HI</v>
          </cell>
          <cell r="C2881" t="str">
            <v>YTHS C/T ALLSTAR HI</v>
          </cell>
          <cell r="D2881" t="str">
            <v>基本型體</v>
          </cell>
        </row>
        <row r="2882">
          <cell r="A2882" t="str">
            <v>3J235C</v>
          </cell>
          <cell r="B2882" t="str">
            <v>LY-6G CTAS OX</v>
          </cell>
          <cell r="C2882" t="str">
            <v>YTHS C/T ALLSTAR OX</v>
          </cell>
          <cell r="D2882" t="str">
            <v>基本型體</v>
          </cell>
        </row>
        <row r="2883">
          <cell r="A2883" t="str">
            <v>3J236C</v>
          </cell>
          <cell r="B2883" t="str">
            <v>LY-6G CTAS OX</v>
          </cell>
          <cell r="C2883" t="str">
            <v>YTHS C/T ALL STAR OX</v>
          </cell>
          <cell r="D2883" t="str">
            <v>基本型體</v>
          </cell>
        </row>
        <row r="2884">
          <cell r="A2884" t="str">
            <v>3J237C</v>
          </cell>
          <cell r="B2884" t="str">
            <v>LY-6G CTAS OX</v>
          </cell>
          <cell r="C2884" t="str">
            <v>YTHS C/T ALLSTAR OX</v>
          </cell>
          <cell r="D2884" t="str">
            <v>基本型體</v>
          </cell>
        </row>
        <row r="2885">
          <cell r="A2885" t="str">
            <v>3J238</v>
          </cell>
          <cell r="B2885" t="str">
            <v>LY-6G CTAS OX</v>
          </cell>
          <cell r="C2885" t="str">
            <v>YTHS C/T ALLSTAR OX</v>
          </cell>
          <cell r="D2885" t="str">
            <v>基本型體</v>
          </cell>
        </row>
        <row r="2886">
          <cell r="A2886" t="str">
            <v>3J238C</v>
          </cell>
          <cell r="B2886" t="str">
            <v>LY-6G CTAS OX</v>
          </cell>
          <cell r="C2886" t="str">
            <v>YTHS C/T ALLSTAR OX</v>
          </cell>
          <cell r="D2886" t="str">
            <v>基本型體</v>
          </cell>
        </row>
        <row r="2887">
          <cell r="A2887" t="str">
            <v>3J253</v>
          </cell>
          <cell r="B2887" t="str">
            <v>LY-6G CTAS HI</v>
          </cell>
          <cell r="C2887" t="str">
            <v>YTHS CT CORE HI</v>
          </cell>
          <cell r="D2887" t="str">
            <v>基本型體</v>
          </cell>
        </row>
        <row r="2888">
          <cell r="A2888" t="str">
            <v>3J253C</v>
          </cell>
          <cell r="B2888" t="str">
            <v>LY-6G CTAS HI</v>
          </cell>
          <cell r="C2888" t="str">
            <v>YTHS CT CORE HI</v>
          </cell>
          <cell r="D2888" t="str">
            <v>基本型體</v>
          </cell>
        </row>
        <row r="2889">
          <cell r="A2889" t="str">
            <v>549700F</v>
          </cell>
          <cell r="B2889" t="str">
            <v>LY-CT763U-A</v>
          </cell>
          <cell r="C2889" t="str">
            <v>CT MADISON OX</v>
          </cell>
          <cell r="D2889" t="str">
            <v>布</v>
          </cell>
        </row>
        <row r="2890">
          <cell r="A2890" t="str">
            <v>564293C</v>
          </cell>
          <cell r="B2890" t="e">
            <v>#N/A</v>
          </cell>
          <cell r="C2890" t="e">
            <v>#N/A</v>
          </cell>
          <cell r="D2890" t="e">
            <v>#N/A</v>
          </cell>
        </row>
        <row r="2891">
          <cell r="A2891" t="str">
            <v>651825C</v>
          </cell>
          <cell r="B2891" t="str">
            <v>LY-SK110J-B</v>
          </cell>
          <cell r="C2891" t="str">
            <v>CONS TRE STAR OX</v>
          </cell>
          <cell r="D2891" t="str">
            <v>皮</v>
          </cell>
        </row>
        <row r="2892">
          <cell r="A2892" t="str">
            <v>651826C</v>
          </cell>
          <cell r="B2892" t="str">
            <v>LY-SK110J-B</v>
          </cell>
          <cell r="C2892" t="str">
            <v>CONS TRE STAR OX</v>
          </cell>
          <cell r="D2892" t="str">
            <v>皮</v>
          </cell>
        </row>
        <row r="2893">
          <cell r="A2893" t="str">
            <v>665770F</v>
          </cell>
          <cell r="B2893" t="e">
            <v>#N/A</v>
          </cell>
          <cell r="C2893" t="e">
            <v>#N/A</v>
          </cell>
          <cell r="D2893" t="e">
            <v>#N/A</v>
          </cell>
        </row>
        <row r="2894">
          <cell r="A2894" t="str">
            <v>665771F</v>
          </cell>
          <cell r="B2894" t="e">
            <v>#N/A</v>
          </cell>
          <cell r="C2894" t="e">
            <v>#N/A</v>
          </cell>
          <cell r="D2894" t="e">
            <v>#N/A</v>
          </cell>
        </row>
        <row r="2895">
          <cell r="A2895" t="str">
            <v>7J231</v>
          </cell>
          <cell r="B2895" t="str">
            <v>LY-497B</v>
          </cell>
          <cell r="C2895" t="str">
            <v>INFT C/T ALLSTAR HI</v>
          </cell>
          <cell r="D2895" t="str">
            <v>基本型體</v>
          </cell>
        </row>
        <row r="2896">
          <cell r="A2896" t="str">
            <v>7J231C</v>
          </cell>
          <cell r="B2896" t="str">
            <v>LY-497B</v>
          </cell>
          <cell r="C2896" t="str">
            <v>INFT C/T ALLSTAR HI</v>
          </cell>
          <cell r="D2896" t="str">
            <v>基本型體</v>
          </cell>
        </row>
        <row r="2897">
          <cell r="A2897" t="str">
            <v>7J232C</v>
          </cell>
          <cell r="B2897" t="str">
            <v>LY-497B</v>
          </cell>
          <cell r="C2897" t="str">
            <v>INFT C/T ALLSTAR HI</v>
          </cell>
          <cell r="D2897" t="str">
            <v>基本型體</v>
          </cell>
        </row>
        <row r="2898">
          <cell r="A2898" t="str">
            <v>7J233</v>
          </cell>
          <cell r="B2898" t="str">
            <v>LY-497B</v>
          </cell>
          <cell r="C2898" t="str">
            <v>INF C/T ALLSTAR HI</v>
          </cell>
          <cell r="D2898" t="str">
            <v>基本型體</v>
          </cell>
        </row>
        <row r="2899">
          <cell r="A2899" t="str">
            <v>7J233C</v>
          </cell>
          <cell r="B2899" t="str">
            <v>LY-497B</v>
          </cell>
          <cell r="C2899" t="str">
            <v>INF C/T ALLSTAR HI</v>
          </cell>
          <cell r="D2899" t="str">
            <v>基本型體</v>
          </cell>
        </row>
        <row r="2900">
          <cell r="A2900" t="str">
            <v>7J235</v>
          </cell>
          <cell r="B2900" t="str">
            <v>LY-497C</v>
          </cell>
          <cell r="C2900" t="str">
            <v>INF C/T A/S OX</v>
          </cell>
          <cell r="D2900" t="str">
            <v>基本型體</v>
          </cell>
        </row>
        <row r="2901">
          <cell r="A2901" t="str">
            <v>7J235C</v>
          </cell>
          <cell r="B2901" t="str">
            <v>LY-497C</v>
          </cell>
          <cell r="C2901" t="str">
            <v>INF C/T A/S OX</v>
          </cell>
          <cell r="D2901" t="str">
            <v>基本型體</v>
          </cell>
        </row>
        <row r="2902">
          <cell r="A2902" t="str">
            <v>7J236C</v>
          </cell>
          <cell r="B2902" t="str">
            <v>LY-497C</v>
          </cell>
          <cell r="C2902" t="str">
            <v>INF C/T A/S OX</v>
          </cell>
          <cell r="D2902" t="str">
            <v>基本型體</v>
          </cell>
        </row>
        <row r="2903">
          <cell r="A2903" t="str">
            <v>7J237</v>
          </cell>
          <cell r="B2903" t="str">
            <v>LY-497C</v>
          </cell>
          <cell r="C2903" t="str">
            <v>INF C/T A/S OX</v>
          </cell>
          <cell r="D2903" t="str">
            <v>基本型體</v>
          </cell>
        </row>
        <row r="2904">
          <cell r="A2904" t="str">
            <v>7J237C</v>
          </cell>
          <cell r="B2904" t="str">
            <v>LY-497C</v>
          </cell>
          <cell r="C2904" t="str">
            <v>INF C/T A/S OX</v>
          </cell>
          <cell r="D2904" t="str">
            <v>基本型體</v>
          </cell>
        </row>
        <row r="2905">
          <cell r="A2905" t="str">
            <v>7J238C</v>
          </cell>
          <cell r="B2905" t="str">
            <v>LY-497C</v>
          </cell>
          <cell r="C2905" t="str">
            <v>INF C/T A/S OX</v>
          </cell>
          <cell r="D2905" t="str">
            <v>基本型體</v>
          </cell>
        </row>
        <row r="2906">
          <cell r="A2906" t="str">
            <v>7J253C</v>
          </cell>
          <cell r="B2906" t="str">
            <v>LY-497B</v>
          </cell>
          <cell r="C2906" t="str">
            <v>INF C/T ALL STAR HI</v>
          </cell>
          <cell r="D2906" t="str">
            <v>基本型體</v>
          </cell>
        </row>
        <row r="2907">
          <cell r="A2907" t="str">
            <v>81229</v>
          </cell>
          <cell r="B2907" t="str">
            <v>LY-66001</v>
          </cell>
          <cell r="C2907" t="str">
            <v>FIRST STAR HI</v>
          </cell>
          <cell r="D2907" t="str">
            <v>BB鞋</v>
          </cell>
        </row>
        <row r="2908">
          <cell r="A2908" t="str">
            <v>88877</v>
          </cell>
          <cell r="B2908" t="str">
            <v>LY-66001</v>
          </cell>
          <cell r="C2908" t="str">
            <v>FIRST STAR</v>
          </cell>
          <cell r="D2908" t="str">
            <v>BB鞋</v>
          </cell>
        </row>
        <row r="2909">
          <cell r="A2909" t="str">
            <v>8J231</v>
          </cell>
          <cell r="B2909" t="str">
            <v>LY-66001</v>
          </cell>
          <cell r="C2909" t="str">
            <v>FIRST STAR HI</v>
          </cell>
          <cell r="D2909" t="str">
            <v>BB鞋</v>
          </cell>
        </row>
        <row r="2910">
          <cell r="A2910" t="str">
            <v>M3310C</v>
          </cell>
          <cell r="B2910" t="str">
            <v>LY-CT AS HI CR-XXX</v>
          </cell>
          <cell r="C2910" t="str">
            <v>C TAYLOR A/S HI</v>
          </cell>
          <cell r="D2910" t="str">
            <v>基本型體</v>
          </cell>
        </row>
        <row r="2911">
          <cell r="A2911" t="str">
            <v>M5039C</v>
          </cell>
          <cell r="B2911" t="str">
            <v>LY-CT AS OX CR-XXX</v>
          </cell>
          <cell r="C2911" t="str">
            <v>C TAYLOR A/S OX</v>
          </cell>
          <cell r="D2911" t="str">
            <v>基本型體</v>
          </cell>
        </row>
        <row r="2912">
          <cell r="A2912" t="str">
            <v>M7650C</v>
          </cell>
          <cell r="B2912" t="str">
            <v>LY-CT AS HI CR-XXX</v>
          </cell>
          <cell r="C2912" t="str">
            <v>ALL STAR HI</v>
          </cell>
          <cell r="D2912" t="str">
            <v>基本型體</v>
          </cell>
        </row>
        <row r="2913">
          <cell r="A2913" t="str">
            <v>M7652C</v>
          </cell>
          <cell r="B2913" t="str">
            <v>LY-CT AS OX CR-XXX</v>
          </cell>
          <cell r="C2913" t="str">
            <v>ALL STAR OX</v>
          </cell>
          <cell r="D2913" t="str">
            <v>基本型體</v>
          </cell>
        </row>
        <row r="2914">
          <cell r="A2914" t="str">
            <v>M9007</v>
          </cell>
          <cell r="B2914" t="str">
            <v>LY-CT AS OX CR-XXX</v>
          </cell>
          <cell r="C2914" t="str">
            <v>A/S OX</v>
          </cell>
          <cell r="D2914" t="str">
            <v>基本型體</v>
          </cell>
        </row>
        <row r="2915">
          <cell r="A2915" t="str">
            <v>M9007C</v>
          </cell>
          <cell r="B2915" t="str">
            <v>LY-CT AS OX CR-XXX</v>
          </cell>
          <cell r="C2915" t="str">
            <v>A/S OX</v>
          </cell>
          <cell r="D2915" t="str">
            <v>基本型體</v>
          </cell>
        </row>
        <row r="2916">
          <cell r="A2916" t="str">
            <v>M9160</v>
          </cell>
          <cell r="B2916" t="str">
            <v>LY-CT AS HI CR-XXX</v>
          </cell>
          <cell r="C2916" t="str">
            <v>ALL STAR HI</v>
          </cell>
          <cell r="D2916" t="str">
            <v>基本型體</v>
          </cell>
        </row>
        <row r="2917">
          <cell r="A2917" t="str">
            <v>M9160C</v>
          </cell>
          <cell r="B2917" t="str">
            <v>LY-CT AS HI CR-XXX</v>
          </cell>
          <cell r="C2917" t="str">
            <v>ALL STAR HI</v>
          </cell>
          <cell r="D2917" t="str">
            <v>基本型體</v>
          </cell>
        </row>
        <row r="2918">
          <cell r="A2918" t="str">
            <v>M9166</v>
          </cell>
          <cell r="B2918" t="str">
            <v>LY-CT AS HI CR-XXX</v>
          </cell>
          <cell r="C2918" t="str">
            <v>ALL STAR HI</v>
          </cell>
          <cell r="D2918" t="str">
            <v>基本型體</v>
          </cell>
        </row>
        <row r="2919">
          <cell r="A2919" t="str">
            <v>M9166C</v>
          </cell>
          <cell r="B2919" t="str">
            <v>LY-CT AS OX CR-XXX</v>
          </cell>
          <cell r="C2919" t="str">
            <v>ALL STAR OX</v>
          </cell>
          <cell r="D2919" t="str">
            <v>基本型體</v>
          </cell>
        </row>
        <row r="2920">
          <cell r="A2920" t="str">
            <v>M9621C</v>
          </cell>
          <cell r="B2920" t="str">
            <v>LY-CT AS HI CR-XXX</v>
          </cell>
          <cell r="C2920" t="str">
            <v>ALL STAR HI</v>
          </cell>
          <cell r="D2920" t="str">
            <v>基本型體</v>
          </cell>
        </row>
        <row r="2921">
          <cell r="A2921" t="str">
            <v>M9622C</v>
          </cell>
          <cell r="B2921" t="str">
            <v>LY-CT AS HI CR-XXX</v>
          </cell>
          <cell r="C2921" t="str">
            <v>ALL STAR HI</v>
          </cell>
          <cell r="D2921" t="str">
            <v>基本型體</v>
          </cell>
        </row>
        <row r="2922">
          <cell r="A2922" t="str">
            <v>M9696C</v>
          </cell>
          <cell r="B2922" t="str">
            <v>LY-CT AS OX CR XXX</v>
          </cell>
          <cell r="C2922" t="str">
            <v>ALL STAR OX</v>
          </cell>
          <cell r="D2922" t="str">
            <v>基本型體</v>
          </cell>
        </row>
        <row r="2923">
          <cell r="A2923" t="str">
            <v>M9697C</v>
          </cell>
          <cell r="B2923" t="str">
            <v>LY-CT AS OX CR-XXX</v>
          </cell>
          <cell r="C2923" t="str">
            <v>ALL STAR OX</v>
          </cell>
          <cell r="D2923" t="str">
            <v>基本型體</v>
          </cell>
        </row>
        <row r="2924">
          <cell r="A2924" t="str">
            <v>W9160</v>
          </cell>
          <cell r="B2924" t="str">
            <v>LY-CT AS HI CR-XXX</v>
          </cell>
          <cell r="C2924" t="str">
            <v>CHUCK TAYLOR ALL STAR HI</v>
          </cell>
          <cell r="D2924" t="str">
            <v>基本型體</v>
          </cell>
        </row>
        <row r="2925">
          <cell r="A2925" t="str">
            <v>W9166</v>
          </cell>
          <cell r="B2925" t="str">
            <v>LY-CT AS OX CR-XXX</v>
          </cell>
          <cell r="C2925" t="str">
            <v>CHUCK TAYLOR ALL STAR OX</v>
          </cell>
          <cell r="D2925" t="str">
            <v>基本型體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2018-10"/>
      <sheetName val="2018-03"/>
      <sheetName val="2017-09 "/>
      <sheetName val="2017-10"/>
      <sheetName val="2017-11"/>
      <sheetName val="2017-12"/>
      <sheetName val="2018-01"/>
      <sheetName val="2018-02"/>
      <sheetName val="2018-04"/>
      <sheetName val="2018-05"/>
      <sheetName val="2017-07(凉鞋&amp;運動鞋)  "/>
      <sheetName val="2017-08(凉鞋&amp;運動鞋)    "/>
      <sheetName val="2017-09(凉鞋&amp;運動鞋)   (2)"/>
      <sheetName val="2017-11(凉鞋&amp;運動鞋)   (2)"/>
      <sheetName val="2018-06"/>
      <sheetName val="2018-07"/>
      <sheetName val="2018-08"/>
      <sheetName val="2018-01(凉鞋&amp;運動鞋)"/>
      <sheetName val="2018-02(凉鞋&amp;運動鞋)"/>
      <sheetName val="2018-09"/>
      <sheetName val="2018-03(凉鞋&amp;運動鞋)"/>
      <sheetName val="2017-11越南內銷訂單（拖鞋） "/>
      <sheetName val="2018-04(凉鞋&amp;運動鞋)"/>
      <sheetName val="2018-05(凉鞋&amp;運動鞋)"/>
      <sheetName val="2018-11"/>
      <sheetName val="2018-06(凉鞋&amp;運動鞋)"/>
      <sheetName val="2018-12"/>
      <sheetName val="2019-01"/>
      <sheetName val="2018-07(凉鞋&amp;運動鞋)"/>
      <sheetName val="2018-08 (拖鞋+凉鞋&amp;運動鞋)"/>
      <sheetName val="2018-09(凉鞋&amp;運動鞋)"/>
      <sheetName val="2018-10(凉鞋&amp;運動鞋)"/>
      <sheetName val="2018-11(凉鞋&amp;運動鞋)"/>
      <sheetName val="2018-12(凉鞋&amp;運動鞋)"/>
      <sheetName val="2019-01(凉鞋&amp;運動鞋)"/>
      <sheetName val="2019-02(凉鞋&amp;運動鞋)"/>
      <sheetName val="2019-03(凉鞋&amp;運動鞋)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A3" t="str">
            <v>Y1901-0010</v>
          </cell>
          <cell r="B3">
            <v>201808</v>
          </cell>
          <cell r="C3" t="str">
            <v>0100166101</v>
          </cell>
          <cell r="D3" t="str">
            <v>155066C</v>
          </cell>
          <cell r="E3">
            <v>1260</v>
          </cell>
          <cell r="F3">
            <v>43488</v>
          </cell>
          <cell r="G3" t="str">
            <v>OK</v>
          </cell>
        </row>
        <row r="4">
          <cell r="A4" t="str">
            <v>Y1901-0014</v>
          </cell>
          <cell r="B4">
            <v>201808</v>
          </cell>
          <cell r="C4" t="str">
            <v>0100166133</v>
          </cell>
          <cell r="D4" t="str">
            <v>159792C</v>
          </cell>
          <cell r="E4">
            <v>2844</v>
          </cell>
          <cell r="F4">
            <v>43488</v>
          </cell>
          <cell r="G4" t="str">
            <v>OK</v>
          </cell>
        </row>
        <row r="5">
          <cell r="A5" t="str">
            <v>Y1901-0015</v>
          </cell>
          <cell r="B5">
            <v>201808</v>
          </cell>
          <cell r="C5" t="str">
            <v>0100166180</v>
          </cell>
          <cell r="D5" t="str">
            <v>636930C</v>
          </cell>
          <cell r="E5">
            <v>1056</v>
          </cell>
          <cell r="F5">
            <v>43481</v>
          </cell>
          <cell r="G5" t="str">
            <v>OK</v>
          </cell>
        </row>
        <row r="6">
          <cell r="A6" t="str">
            <v>Y1901-0016</v>
          </cell>
          <cell r="B6">
            <v>201808</v>
          </cell>
          <cell r="C6" t="str">
            <v>0100166181</v>
          </cell>
          <cell r="D6" t="str">
            <v>144148C</v>
          </cell>
          <cell r="E6">
            <v>768</v>
          </cell>
          <cell r="F6">
            <v>43481</v>
          </cell>
          <cell r="G6" t="str">
            <v>OK</v>
          </cell>
        </row>
        <row r="7">
          <cell r="A7" t="str">
            <v>Y1901-0017</v>
          </cell>
          <cell r="B7">
            <v>201808</v>
          </cell>
          <cell r="C7" t="str">
            <v>0100166182</v>
          </cell>
          <cell r="D7" t="str">
            <v>144148C</v>
          </cell>
          <cell r="E7">
            <v>828</v>
          </cell>
          <cell r="F7">
            <v>43481</v>
          </cell>
          <cell r="G7" t="str">
            <v>OK</v>
          </cell>
        </row>
        <row r="8">
          <cell r="A8" t="str">
            <v>Y1901-0023</v>
          </cell>
          <cell r="B8">
            <v>201808</v>
          </cell>
          <cell r="C8" t="str">
            <v>0100168338</v>
          </cell>
          <cell r="D8" t="str">
            <v>155065C</v>
          </cell>
          <cell r="E8">
            <v>1968</v>
          </cell>
          <cell r="F8">
            <v>43488</v>
          </cell>
          <cell r="G8" t="str">
            <v>OK</v>
          </cell>
        </row>
        <row r="9">
          <cell r="A9" t="str">
            <v>Y1901-0021</v>
          </cell>
          <cell r="B9">
            <v>201808</v>
          </cell>
          <cell r="C9" t="str">
            <v>0100166227</v>
          </cell>
          <cell r="D9" t="str">
            <v>563426C</v>
          </cell>
          <cell r="E9">
            <v>120</v>
          </cell>
          <cell r="F9">
            <v>43478</v>
          </cell>
          <cell r="G9" t="str">
            <v>OK</v>
          </cell>
        </row>
        <row r="10">
          <cell r="A10" t="str">
            <v>Y1901-0011</v>
          </cell>
          <cell r="B10">
            <v>201808</v>
          </cell>
          <cell r="C10" t="str">
            <v>0100166106</v>
          </cell>
          <cell r="D10" t="str">
            <v>559886C</v>
          </cell>
          <cell r="E10">
            <v>3000</v>
          </cell>
          <cell r="F10">
            <v>43474</v>
          </cell>
          <cell r="G10" t="str">
            <v>OK</v>
          </cell>
        </row>
        <row r="11">
          <cell r="A11" t="str">
            <v>Y1901-0012</v>
          </cell>
          <cell r="B11">
            <v>201808</v>
          </cell>
          <cell r="C11" t="str">
            <v>0100166112</v>
          </cell>
          <cell r="D11" t="str">
            <v>559889C</v>
          </cell>
          <cell r="E11">
            <v>3000</v>
          </cell>
          <cell r="F11">
            <v>43474</v>
          </cell>
          <cell r="G11" t="str">
            <v>OK</v>
          </cell>
        </row>
        <row r="12">
          <cell r="A12" t="str">
            <v>Y1901-0018</v>
          </cell>
          <cell r="B12">
            <v>201808</v>
          </cell>
          <cell r="C12" t="str">
            <v>0100166185</v>
          </cell>
          <cell r="D12" t="str">
            <v>155064C</v>
          </cell>
          <cell r="E12">
            <v>14928</v>
          </cell>
          <cell r="F12">
            <v>43481</v>
          </cell>
          <cell r="G12" t="str">
            <v>OK</v>
          </cell>
        </row>
        <row r="13">
          <cell r="A13" t="str">
            <v>Y1901-0009</v>
          </cell>
          <cell r="B13">
            <v>201808</v>
          </cell>
          <cell r="C13" t="str">
            <v>0100166039</v>
          </cell>
          <cell r="D13" t="str">
            <v>663602C</v>
          </cell>
          <cell r="E13">
            <v>492</v>
          </cell>
          <cell r="F13">
            <v>43481</v>
          </cell>
          <cell r="G13" t="str">
            <v>OK</v>
          </cell>
        </row>
        <row r="14">
          <cell r="A14" t="str">
            <v>Y1901-0013</v>
          </cell>
          <cell r="B14">
            <v>201808</v>
          </cell>
          <cell r="C14" t="str">
            <v>0100166120</v>
          </cell>
          <cell r="D14" t="str">
            <v>163199C</v>
          </cell>
          <cell r="E14">
            <v>1248</v>
          </cell>
          <cell r="F14">
            <v>43480</v>
          </cell>
          <cell r="G14" t="str">
            <v>OK</v>
          </cell>
        </row>
        <row r="15">
          <cell r="A15" t="str">
            <v>Y1901-0026</v>
          </cell>
          <cell r="B15">
            <v>201809</v>
          </cell>
          <cell r="C15" t="str">
            <v>0100169657</v>
          </cell>
          <cell r="D15" t="str">
            <v>3J236C</v>
          </cell>
          <cell r="E15">
            <v>1848</v>
          </cell>
          <cell r="F15">
            <v>43488</v>
          </cell>
          <cell r="G15" t="str">
            <v>OK</v>
          </cell>
        </row>
        <row r="16">
          <cell r="A16" t="str">
            <v>Y1901-0046</v>
          </cell>
          <cell r="B16">
            <v>201809</v>
          </cell>
          <cell r="C16" t="str">
            <v>0100169699</v>
          </cell>
          <cell r="D16" t="str">
            <v>7J253C</v>
          </cell>
          <cell r="E16">
            <v>1848</v>
          </cell>
          <cell r="F16">
            <v>43488</v>
          </cell>
          <cell r="G16" t="str">
            <v>OK</v>
          </cell>
        </row>
        <row r="17">
          <cell r="A17" t="str">
            <v>Y1901-0047</v>
          </cell>
          <cell r="B17">
            <v>201809</v>
          </cell>
          <cell r="C17" t="str">
            <v>0100169700</v>
          </cell>
          <cell r="D17" t="str">
            <v>7J253C</v>
          </cell>
          <cell r="E17">
            <v>672</v>
          </cell>
          <cell r="F17">
            <v>43488</v>
          </cell>
          <cell r="G17" t="str">
            <v>OK</v>
          </cell>
        </row>
        <row r="18">
          <cell r="A18" t="str">
            <v>Y1901-0048</v>
          </cell>
          <cell r="B18">
            <v>201809</v>
          </cell>
          <cell r="C18" t="str">
            <v>0100169702</v>
          </cell>
          <cell r="D18" t="str">
            <v>7J256C</v>
          </cell>
          <cell r="E18">
            <v>1476</v>
          </cell>
          <cell r="F18">
            <v>43488</v>
          </cell>
          <cell r="G18" t="str">
            <v>OK</v>
          </cell>
        </row>
        <row r="19">
          <cell r="A19" t="str">
            <v>Y1901-0049</v>
          </cell>
          <cell r="B19">
            <v>201809</v>
          </cell>
          <cell r="C19" t="str">
            <v>0100169703</v>
          </cell>
          <cell r="D19" t="str">
            <v>7J256C</v>
          </cell>
          <cell r="E19">
            <v>516</v>
          </cell>
          <cell r="F19">
            <v>43488</v>
          </cell>
          <cell r="G19" t="str">
            <v>OK</v>
          </cell>
        </row>
        <row r="20">
          <cell r="A20" t="str">
            <v>Y1901-0084</v>
          </cell>
          <cell r="B20">
            <v>201809</v>
          </cell>
          <cell r="C20" t="str">
            <v>0100169741</v>
          </cell>
          <cell r="D20" t="str">
            <v>7J256C</v>
          </cell>
          <cell r="E20">
            <v>528</v>
          </cell>
          <cell r="F20">
            <v>43481</v>
          </cell>
          <cell r="G20" t="str">
            <v>OK</v>
          </cell>
        </row>
        <row r="21">
          <cell r="A21" t="str">
            <v>Y1901-0085</v>
          </cell>
          <cell r="B21">
            <v>201809</v>
          </cell>
          <cell r="C21" t="str">
            <v>0100169742</v>
          </cell>
          <cell r="D21" t="str">
            <v>3J231C</v>
          </cell>
          <cell r="E21">
            <v>408</v>
          </cell>
          <cell r="F21">
            <v>43481</v>
          </cell>
          <cell r="G21" t="str">
            <v>OK</v>
          </cell>
        </row>
        <row r="22">
          <cell r="A22" t="str">
            <v>Y1901-0024</v>
          </cell>
          <cell r="B22">
            <v>201809</v>
          </cell>
          <cell r="C22" t="str">
            <v>0100169620</v>
          </cell>
          <cell r="D22" t="str">
            <v>663677C</v>
          </cell>
          <cell r="E22">
            <v>672</v>
          </cell>
          <cell r="F22">
            <v>43481</v>
          </cell>
          <cell r="G22" t="str">
            <v>OK</v>
          </cell>
        </row>
        <row r="23">
          <cell r="A23" t="str">
            <v>Y1901-0050</v>
          </cell>
          <cell r="B23">
            <v>201809</v>
          </cell>
          <cell r="C23" t="str">
            <v>0100169704</v>
          </cell>
          <cell r="D23" t="str">
            <v>663677C</v>
          </cell>
          <cell r="E23">
            <v>5700</v>
          </cell>
          <cell r="F23">
            <v>43479</v>
          </cell>
          <cell r="G23" t="str">
            <v>OK</v>
          </cell>
        </row>
        <row r="24">
          <cell r="A24" t="str">
            <v>Y1901-0086</v>
          </cell>
          <cell r="B24">
            <v>201809</v>
          </cell>
          <cell r="C24" t="str">
            <v>0100169743</v>
          </cell>
          <cell r="D24" t="str">
            <v>144150C</v>
          </cell>
          <cell r="E24">
            <v>1236</v>
          </cell>
          <cell r="F24">
            <v>43481</v>
          </cell>
          <cell r="G24" t="str">
            <v>OK</v>
          </cell>
        </row>
        <row r="25">
          <cell r="A25" t="str">
            <v>Y1901-0098</v>
          </cell>
          <cell r="B25">
            <v>201809</v>
          </cell>
          <cell r="C25" t="str">
            <v>0100169806</v>
          </cell>
          <cell r="D25" t="str">
            <v>264720C</v>
          </cell>
          <cell r="E25">
            <v>600</v>
          </cell>
          <cell r="F25">
            <v>43470</v>
          </cell>
          <cell r="G25" t="str">
            <v>OK</v>
          </cell>
        </row>
        <row r="26">
          <cell r="A26" t="str">
            <v>Y1901-0099</v>
          </cell>
          <cell r="B26">
            <v>201809</v>
          </cell>
          <cell r="C26" t="str">
            <v>0100169807</v>
          </cell>
          <cell r="D26" t="str">
            <v>264720C</v>
          </cell>
          <cell r="E26">
            <v>360</v>
          </cell>
          <cell r="F26">
            <v>43470</v>
          </cell>
          <cell r="G26" t="str">
            <v>OK</v>
          </cell>
        </row>
        <row r="27">
          <cell r="A27" t="str">
            <v>Y1901-0027</v>
          </cell>
          <cell r="B27">
            <v>201809</v>
          </cell>
          <cell r="C27" t="str">
            <v>0100169658</v>
          </cell>
          <cell r="D27" t="str">
            <v>3J236C</v>
          </cell>
          <cell r="E27">
            <v>480</v>
          </cell>
          <cell r="F27">
            <v>43488</v>
          </cell>
          <cell r="G27" t="str">
            <v>OK</v>
          </cell>
        </row>
        <row r="28">
          <cell r="A28" t="str">
            <v>Y1901-0035</v>
          </cell>
          <cell r="B28">
            <v>201809</v>
          </cell>
          <cell r="C28" t="str">
            <v>0100169670</v>
          </cell>
          <cell r="D28" t="str">
            <v>M9696C</v>
          </cell>
          <cell r="E28">
            <v>2412</v>
          </cell>
          <cell r="F28">
            <v>43488</v>
          </cell>
          <cell r="G28" t="str">
            <v>OK</v>
          </cell>
        </row>
        <row r="29">
          <cell r="A29" t="str">
            <v>Y1901-0036</v>
          </cell>
          <cell r="B29">
            <v>201809</v>
          </cell>
          <cell r="C29" t="str">
            <v>0100169671</v>
          </cell>
          <cell r="D29" t="str">
            <v>M9696C</v>
          </cell>
          <cell r="E29">
            <v>1704</v>
          </cell>
          <cell r="F29">
            <v>43488</v>
          </cell>
          <cell r="G29" t="str">
            <v>OK</v>
          </cell>
        </row>
        <row r="30">
          <cell r="A30" t="str">
            <v>Y1901-0087</v>
          </cell>
          <cell r="B30">
            <v>201809</v>
          </cell>
          <cell r="C30" t="str">
            <v>0100169744</v>
          </cell>
          <cell r="D30" t="str">
            <v>160359C</v>
          </cell>
          <cell r="E30">
            <v>1812</v>
          </cell>
          <cell r="F30">
            <v>43481</v>
          </cell>
          <cell r="G30" t="str">
            <v>OK</v>
          </cell>
        </row>
        <row r="31">
          <cell r="A31" t="str">
            <v>Y1901-0088</v>
          </cell>
          <cell r="B31">
            <v>201809</v>
          </cell>
          <cell r="C31" t="str">
            <v>0100169745</v>
          </cell>
          <cell r="D31" t="str">
            <v>160359C</v>
          </cell>
          <cell r="E31">
            <v>1764</v>
          </cell>
          <cell r="F31">
            <v>43481</v>
          </cell>
          <cell r="G31" t="str">
            <v>OK</v>
          </cell>
        </row>
        <row r="32">
          <cell r="A32" t="str">
            <v>Y1901-0090</v>
          </cell>
          <cell r="B32">
            <v>201809</v>
          </cell>
          <cell r="C32" t="str">
            <v>0100169747</v>
          </cell>
          <cell r="D32" t="str">
            <v>160359C</v>
          </cell>
          <cell r="E32">
            <v>1404</v>
          </cell>
          <cell r="F32">
            <v>43481</v>
          </cell>
          <cell r="G32" t="str">
            <v>OK</v>
          </cell>
        </row>
        <row r="33">
          <cell r="A33" t="str">
            <v>Y1901-0103</v>
          </cell>
          <cell r="B33">
            <v>201809</v>
          </cell>
          <cell r="C33" t="str">
            <v>0100171095</v>
          </cell>
          <cell r="D33" t="str">
            <v>3J236C</v>
          </cell>
          <cell r="E33">
            <v>372</v>
          </cell>
          <cell r="F33">
            <v>43495</v>
          </cell>
          <cell r="G33" t="str">
            <v>OK</v>
          </cell>
        </row>
        <row r="34">
          <cell r="A34" t="str">
            <v>Y1901-0111</v>
          </cell>
          <cell r="B34">
            <v>201809</v>
          </cell>
          <cell r="C34" t="str">
            <v>0100171177</v>
          </cell>
          <cell r="D34" t="str">
            <v>3J238C</v>
          </cell>
          <cell r="E34">
            <v>360</v>
          </cell>
          <cell r="F34">
            <v>43495</v>
          </cell>
          <cell r="G34" t="str">
            <v>OK</v>
          </cell>
        </row>
        <row r="35">
          <cell r="A35" t="str">
            <v>Y1901-0112</v>
          </cell>
          <cell r="B35">
            <v>201809</v>
          </cell>
          <cell r="C35" t="str">
            <v>0100171178</v>
          </cell>
          <cell r="D35" t="str">
            <v>3J253C</v>
          </cell>
          <cell r="E35">
            <v>360</v>
          </cell>
          <cell r="F35">
            <v>43495</v>
          </cell>
          <cell r="G35" t="str">
            <v>OK</v>
          </cell>
        </row>
        <row r="36">
          <cell r="A36" t="str">
            <v>Y1901-0113</v>
          </cell>
          <cell r="B36">
            <v>201809</v>
          </cell>
          <cell r="C36" t="str">
            <v>0100171179</v>
          </cell>
          <cell r="D36" t="str">
            <v>663677C</v>
          </cell>
          <cell r="E36">
            <v>360</v>
          </cell>
          <cell r="F36">
            <v>43495</v>
          </cell>
          <cell r="G36" t="str">
            <v>OK</v>
          </cell>
        </row>
        <row r="37">
          <cell r="A37" t="str">
            <v>Y1901-0127</v>
          </cell>
          <cell r="B37">
            <v>201809</v>
          </cell>
          <cell r="C37" t="str">
            <v>0100171347</v>
          </cell>
          <cell r="D37" t="str">
            <v>763581C</v>
          </cell>
          <cell r="E37">
            <v>696</v>
          </cell>
          <cell r="F37">
            <v>43495</v>
          </cell>
          <cell r="G37" t="str">
            <v>OK</v>
          </cell>
        </row>
        <row r="38">
          <cell r="A38" t="str">
            <v>Y1901-0128</v>
          </cell>
          <cell r="B38">
            <v>201809</v>
          </cell>
          <cell r="C38" t="str">
            <v>0100171348</v>
          </cell>
          <cell r="D38" t="str">
            <v>763582C</v>
          </cell>
          <cell r="E38">
            <v>372</v>
          </cell>
          <cell r="F38">
            <v>43495</v>
          </cell>
          <cell r="G38" t="str">
            <v>OK</v>
          </cell>
        </row>
        <row r="39">
          <cell r="A39" t="str">
            <v>Y1901-0129</v>
          </cell>
          <cell r="B39">
            <v>201809</v>
          </cell>
          <cell r="C39" t="str">
            <v>0100171349</v>
          </cell>
          <cell r="D39" t="str">
            <v>7J232C</v>
          </cell>
          <cell r="E39">
            <v>372</v>
          </cell>
          <cell r="F39">
            <v>43495</v>
          </cell>
          <cell r="G39" t="str">
            <v>OK</v>
          </cell>
        </row>
        <row r="40">
          <cell r="A40" t="str">
            <v>Y1901-0130</v>
          </cell>
          <cell r="B40">
            <v>201809</v>
          </cell>
          <cell r="C40" t="str">
            <v>0100171350</v>
          </cell>
          <cell r="D40" t="str">
            <v>7J236C</v>
          </cell>
          <cell r="E40">
            <v>360</v>
          </cell>
          <cell r="F40">
            <v>43495</v>
          </cell>
          <cell r="G40" t="str">
            <v>OK</v>
          </cell>
        </row>
        <row r="41">
          <cell r="A41" t="str">
            <v>Y1901-0131</v>
          </cell>
          <cell r="B41">
            <v>201809</v>
          </cell>
          <cell r="C41" t="str">
            <v>0100171351</v>
          </cell>
          <cell r="D41" t="str">
            <v>7J237C</v>
          </cell>
          <cell r="E41">
            <v>360</v>
          </cell>
          <cell r="F41">
            <v>43495</v>
          </cell>
          <cell r="G41" t="str">
            <v>OK</v>
          </cell>
        </row>
        <row r="42">
          <cell r="A42" t="str">
            <v>Y1901-0132</v>
          </cell>
          <cell r="B42">
            <v>201809</v>
          </cell>
          <cell r="C42" t="str">
            <v>0100171352</v>
          </cell>
          <cell r="D42" t="str">
            <v>7J238C</v>
          </cell>
          <cell r="E42">
            <v>360</v>
          </cell>
          <cell r="F42">
            <v>43495</v>
          </cell>
          <cell r="G42" t="str">
            <v>OK</v>
          </cell>
        </row>
        <row r="43">
          <cell r="A43" t="str">
            <v>Y1901-0133</v>
          </cell>
          <cell r="B43">
            <v>201809</v>
          </cell>
          <cell r="C43" t="str">
            <v>0100171353</v>
          </cell>
          <cell r="D43" t="str">
            <v>7J253C</v>
          </cell>
          <cell r="E43">
            <v>360</v>
          </cell>
          <cell r="F43">
            <v>43495</v>
          </cell>
          <cell r="G43" t="str">
            <v>OK</v>
          </cell>
        </row>
        <row r="44">
          <cell r="A44" t="str">
            <v>Y1901-0146</v>
          </cell>
          <cell r="B44">
            <v>201809</v>
          </cell>
          <cell r="C44" t="str">
            <v>FEB AS KID 01 19</v>
          </cell>
          <cell r="D44" t="str">
            <v>3J235C</v>
          </cell>
          <cell r="E44">
            <v>8112</v>
          </cell>
          <cell r="F44">
            <v>43481</v>
          </cell>
          <cell r="G44" t="str">
            <v>OK</v>
          </cell>
        </row>
        <row r="45">
          <cell r="A45" t="str">
            <v>Y1901-0147</v>
          </cell>
          <cell r="B45">
            <v>201809</v>
          </cell>
          <cell r="C45" t="str">
            <v>FEB AS KID 01 19</v>
          </cell>
          <cell r="D45" t="str">
            <v>3J231C</v>
          </cell>
          <cell r="E45">
            <v>732</v>
          </cell>
          <cell r="F45">
            <v>43481</v>
          </cell>
          <cell r="G45" t="str">
            <v>OK</v>
          </cell>
        </row>
        <row r="46">
          <cell r="A46" t="str">
            <v>Y1901-0148</v>
          </cell>
          <cell r="B46">
            <v>201809</v>
          </cell>
          <cell r="C46" t="str">
            <v>FEB AS 02 19</v>
          </cell>
          <cell r="D46" t="str">
            <v>M5039C</v>
          </cell>
          <cell r="E46">
            <v>5400</v>
          </cell>
          <cell r="F46">
            <v>43481</v>
          </cell>
          <cell r="G46" t="str">
            <v>OK</v>
          </cell>
        </row>
        <row r="47">
          <cell r="A47" t="str">
            <v>Y1901-0149</v>
          </cell>
          <cell r="B47">
            <v>201809</v>
          </cell>
          <cell r="C47" t="str">
            <v>FEB AS 02 19</v>
          </cell>
          <cell r="D47" t="str">
            <v>M9166C</v>
          </cell>
          <cell r="E47">
            <v>10152</v>
          </cell>
          <cell r="F47">
            <v>43481</v>
          </cell>
          <cell r="G47" t="str">
            <v>OK</v>
          </cell>
        </row>
        <row r="48">
          <cell r="A48" t="str">
            <v>Y1901-0150</v>
          </cell>
          <cell r="B48">
            <v>201809</v>
          </cell>
          <cell r="C48" t="str">
            <v>FEB AS 02 19</v>
          </cell>
          <cell r="D48" t="str">
            <v>M9166C</v>
          </cell>
          <cell r="E48">
            <v>10032</v>
          </cell>
          <cell r="F48">
            <v>43481</v>
          </cell>
          <cell r="G48" t="str">
            <v>OK</v>
          </cell>
        </row>
        <row r="49">
          <cell r="A49" t="str">
            <v>Y1901-0151</v>
          </cell>
          <cell r="B49">
            <v>201809</v>
          </cell>
          <cell r="C49" t="str">
            <v>FEB AS 01 19</v>
          </cell>
          <cell r="D49" t="str">
            <v>M7652C</v>
          </cell>
          <cell r="E49">
            <v>19056</v>
          </cell>
          <cell r="F49">
            <v>43467</v>
          </cell>
          <cell r="G49" t="str">
            <v>OK</v>
          </cell>
        </row>
        <row r="50">
          <cell r="A50" t="str">
            <v>Y1901-0152</v>
          </cell>
          <cell r="B50">
            <v>201809</v>
          </cell>
          <cell r="C50" t="str">
            <v>FEB AS 01 19</v>
          </cell>
          <cell r="D50" t="str">
            <v>M7650C</v>
          </cell>
          <cell r="E50">
            <v>3180</v>
          </cell>
          <cell r="F50">
            <v>43481</v>
          </cell>
          <cell r="G50" t="str">
            <v>OK</v>
          </cell>
        </row>
        <row r="51">
          <cell r="A51" t="str">
            <v>Y1901-0153</v>
          </cell>
          <cell r="B51">
            <v>201809</v>
          </cell>
          <cell r="C51" t="str">
            <v>FEB AS INF 01 19</v>
          </cell>
          <cell r="D51" t="str">
            <v>7J256C</v>
          </cell>
          <cell r="E51">
            <v>12636</v>
          </cell>
          <cell r="F51">
            <v>43481</v>
          </cell>
          <cell r="G51" t="str">
            <v>OK</v>
          </cell>
        </row>
        <row r="52">
          <cell r="A52" t="str">
            <v>Y1901-0154</v>
          </cell>
          <cell r="B52">
            <v>201809</v>
          </cell>
          <cell r="C52" t="str">
            <v>FEB AS KID 01 19</v>
          </cell>
          <cell r="D52" t="str">
            <v>3J256C</v>
          </cell>
          <cell r="E52">
            <v>12540</v>
          </cell>
          <cell r="F52">
            <v>43481</v>
          </cell>
          <cell r="G52" t="str">
            <v>OK</v>
          </cell>
        </row>
        <row r="53">
          <cell r="A53" t="str">
            <v>Y1901-0155</v>
          </cell>
          <cell r="B53">
            <v>201809</v>
          </cell>
          <cell r="C53" t="str">
            <v>FEB AS KID 01 19</v>
          </cell>
          <cell r="D53" t="str">
            <v>3J253C</v>
          </cell>
          <cell r="E53">
            <v>1788</v>
          </cell>
          <cell r="F53">
            <v>43481</v>
          </cell>
          <cell r="G53" t="str">
            <v>OK</v>
          </cell>
        </row>
        <row r="54">
          <cell r="A54" t="str">
            <v>Y1901-0001</v>
          </cell>
          <cell r="B54">
            <v>201807</v>
          </cell>
          <cell r="C54" t="str">
            <v>0100160672</v>
          </cell>
          <cell r="D54" t="str">
            <v>663600C</v>
          </cell>
          <cell r="E54">
            <v>1140</v>
          </cell>
          <cell r="F54">
            <v>43481</v>
          </cell>
          <cell r="G54" t="str">
            <v>OK</v>
          </cell>
        </row>
        <row r="55">
          <cell r="A55" t="str">
            <v>Y1812-0119</v>
          </cell>
          <cell r="B55">
            <v>201807</v>
          </cell>
          <cell r="C55" t="str">
            <v>4600059659</v>
          </cell>
          <cell r="D55" t="str">
            <v>163370C</v>
          </cell>
          <cell r="E55">
            <v>924</v>
          </cell>
          <cell r="F55">
            <v>43488</v>
          </cell>
          <cell r="G55" t="str">
            <v>OK</v>
          </cell>
        </row>
        <row r="56">
          <cell r="A56" t="str">
            <v>Y1812-0120</v>
          </cell>
          <cell r="B56">
            <v>201807</v>
          </cell>
          <cell r="C56" t="str">
            <v>4600059660</v>
          </cell>
          <cell r="D56" t="str">
            <v>163370C</v>
          </cell>
          <cell r="E56">
            <v>228</v>
          </cell>
          <cell r="F56">
            <v>43488</v>
          </cell>
          <cell r="G56" t="str">
            <v>OK</v>
          </cell>
        </row>
        <row r="57">
          <cell r="A57" t="str">
            <v>Y1812-0141</v>
          </cell>
          <cell r="B57">
            <v>201807</v>
          </cell>
          <cell r="C57" t="str">
            <v>4600059684</v>
          </cell>
          <cell r="D57" t="str">
            <v>163368C</v>
          </cell>
          <cell r="E57">
            <v>888</v>
          </cell>
          <cell r="F57">
            <v>43488</v>
          </cell>
          <cell r="G57" t="str">
            <v>OK</v>
          </cell>
        </row>
        <row r="58">
          <cell r="A58" t="str">
            <v>Y1812-0142</v>
          </cell>
          <cell r="B58">
            <v>201807</v>
          </cell>
          <cell r="C58" t="str">
            <v>4600059685</v>
          </cell>
          <cell r="D58" t="str">
            <v>163368C</v>
          </cell>
          <cell r="E58">
            <v>228</v>
          </cell>
          <cell r="F58">
            <v>43488</v>
          </cell>
          <cell r="G58" t="str">
            <v>OK</v>
          </cell>
        </row>
        <row r="59">
          <cell r="A59" t="str">
            <v>Y1812-0143</v>
          </cell>
          <cell r="B59">
            <v>201807</v>
          </cell>
          <cell r="C59" t="str">
            <v>4600059686</v>
          </cell>
          <cell r="D59" t="str">
            <v>163369C</v>
          </cell>
          <cell r="E59">
            <v>900</v>
          </cell>
          <cell r="F59">
            <v>43488</v>
          </cell>
          <cell r="G59" t="str">
            <v>OK</v>
          </cell>
        </row>
        <row r="60">
          <cell r="A60" t="str">
            <v>Y1812-0144</v>
          </cell>
          <cell r="B60">
            <v>201807</v>
          </cell>
          <cell r="C60" t="str">
            <v>4600059687</v>
          </cell>
          <cell r="D60" t="str">
            <v>163369C</v>
          </cell>
          <cell r="E60">
            <v>228</v>
          </cell>
          <cell r="F60">
            <v>43488</v>
          </cell>
          <cell r="G60" t="str">
            <v>OK</v>
          </cell>
        </row>
        <row r="61">
          <cell r="A61" t="str">
            <v>Y1901-0169</v>
          </cell>
          <cell r="B61">
            <v>201810</v>
          </cell>
          <cell r="C61" t="str">
            <v>0100174981</v>
          </cell>
          <cell r="D61" t="str">
            <v>164390C</v>
          </cell>
          <cell r="E61">
            <v>252</v>
          </cell>
          <cell r="F61">
            <v>43481</v>
          </cell>
          <cell r="G61" t="str">
            <v>OK</v>
          </cell>
        </row>
        <row r="62">
          <cell r="A62" t="str">
            <v>Y1901-0170</v>
          </cell>
          <cell r="B62">
            <v>201810</v>
          </cell>
          <cell r="C62" t="str">
            <v>0100174983</v>
          </cell>
          <cell r="D62" t="str">
            <v>M7652C</v>
          </cell>
          <cell r="E62">
            <v>1632</v>
          </cell>
          <cell r="F62">
            <v>43481</v>
          </cell>
          <cell r="G62" t="str">
            <v>OK</v>
          </cell>
        </row>
        <row r="63">
          <cell r="A63" t="str">
            <v>Y1901-0171</v>
          </cell>
          <cell r="B63">
            <v>201810</v>
          </cell>
          <cell r="C63" t="str">
            <v>0100174984</v>
          </cell>
          <cell r="D63" t="str">
            <v>158369C</v>
          </cell>
          <cell r="E63">
            <v>468</v>
          </cell>
          <cell r="F63">
            <v>43476</v>
          </cell>
          <cell r="G63" t="str">
            <v>OK</v>
          </cell>
        </row>
        <row r="64">
          <cell r="A64" t="str">
            <v>Y1901-0172</v>
          </cell>
          <cell r="B64">
            <v>201810</v>
          </cell>
          <cell r="C64" t="str">
            <v>0100174986</v>
          </cell>
          <cell r="D64" t="str">
            <v>M9613C</v>
          </cell>
          <cell r="E64">
            <v>324</v>
          </cell>
          <cell r="F64">
            <v>43476</v>
          </cell>
          <cell r="G64" t="str">
            <v>OK</v>
          </cell>
        </row>
        <row r="65">
          <cell r="A65" t="str">
            <v>Y1901-0173</v>
          </cell>
          <cell r="B65">
            <v>201810</v>
          </cell>
          <cell r="C65" t="str">
            <v>0100174990</v>
          </cell>
          <cell r="D65" t="str">
            <v>164360C</v>
          </cell>
          <cell r="E65">
            <v>360</v>
          </cell>
          <cell r="F65">
            <v>43482</v>
          </cell>
          <cell r="G65" t="str">
            <v>OK</v>
          </cell>
        </row>
        <row r="66">
          <cell r="A66" t="str">
            <v>Y1901-0174</v>
          </cell>
          <cell r="B66">
            <v>201810</v>
          </cell>
          <cell r="C66" t="str">
            <v>0100174991</v>
          </cell>
          <cell r="D66" t="str">
            <v>664184C</v>
          </cell>
          <cell r="E66">
            <v>576</v>
          </cell>
          <cell r="F66">
            <v>43481</v>
          </cell>
          <cell r="G66" t="str">
            <v>OK</v>
          </cell>
        </row>
        <row r="67">
          <cell r="A67" t="str">
            <v>Y1901-0175</v>
          </cell>
          <cell r="B67">
            <v>201810</v>
          </cell>
          <cell r="C67" t="str">
            <v>0100174993</v>
          </cell>
          <cell r="D67" t="str">
            <v>664434C</v>
          </cell>
          <cell r="E67">
            <v>324</v>
          </cell>
          <cell r="F67">
            <v>43482</v>
          </cell>
          <cell r="G67" t="str">
            <v>OK</v>
          </cell>
        </row>
        <row r="68">
          <cell r="A68" t="str">
            <v>Y1901-0176</v>
          </cell>
          <cell r="B68">
            <v>201810</v>
          </cell>
          <cell r="C68" t="str">
            <v>0100174995</v>
          </cell>
          <cell r="D68">
            <v>88871</v>
          </cell>
          <cell r="E68">
            <v>360</v>
          </cell>
          <cell r="F68">
            <v>43481</v>
          </cell>
          <cell r="G68" t="str">
            <v>OK</v>
          </cell>
        </row>
        <row r="69">
          <cell r="A69" t="str">
            <v>Y1901-0177</v>
          </cell>
          <cell r="B69">
            <v>201810</v>
          </cell>
          <cell r="C69" t="str">
            <v>0100174997</v>
          </cell>
          <cell r="D69" t="str">
            <v>158371C</v>
          </cell>
          <cell r="E69">
            <v>144</v>
          </cell>
          <cell r="F69">
            <v>43481</v>
          </cell>
          <cell r="G69" t="str">
            <v>OK</v>
          </cell>
        </row>
        <row r="70">
          <cell r="A70" t="str">
            <v>Y1901-0178</v>
          </cell>
          <cell r="B70">
            <v>201810</v>
          </cell>
          <cell r="C70" t="str">
            <v>0100174998</v>
          </cell>
          <cell r="D70" t="str">
            <v>763527C</v>
          </cell>
          <cell r="E70">
            <v>420</v>
          </cell>
          <cell r="F70">
            <v>43481</v>
          </cell>
          <cell r="G70" t="str">
            <v>OK</v>
          </cell>
        </row>
        <row r="71">
          <cell r="A71" t="str">
            <v>Y1901-0179</v>
          </cell>
          <cell r="B71">
            <v>201810</v>
          </cell>
          <cell r="C71" t="str">
            <v>0100174999</v>
          </cell>
          <cell r="D71" t="str">
            <v>663599C</v>
          </cell>
          <cell r="E71">
            <v>168</v>
          </cell>
          <cell r="F71">
            <v>43481</v>
          </cell>
          <cell r="G71" t="str">
            <v>OK</v>
          </cell>
        </row>
        <row r="72">
          <cell r="A72" t="str">
            <v>Y1901-0180</v>
          </cell>
          <cell r="B72">
            <v>201810</v>
          </cell>
          <cell r="C72" t="str">
            <v>0100175001</v>
          </cell>
          <cell r="D72" t="str">
            <v>565548C</v>
          </cell>
          <cell r="E72">
            <v>75</v>
          </cell>
          <cell r="F72">
            <v>43481</v>
          </cell>
          <cell r="G72" t="str">
            <v>OK</v>
          </cell>
        </row>
        <row r="73">
          <cell r="A73" t="str">
            <v>Y1901-0181</v>
          </cell>
          <cell r="B73">
            <v>201810</v>
          </cell>
          <cell r="C73" t="str">
            <v>0100175002</v>
          </cell>
          <cell r="D73" t="str">
            <v>W9166</v>
          </cell>
          <cell r="E73">
            <v>2400</v>
          </cell>
          <cell r="F73">
            <v>43476</v>
          </cell>
          <cell r="G73" t="str">
            <v>OK</v>
          </cell>
        </row>
        <row r="74">
          <cell r="A74" t="str">
            <v>Y1901-0182</v>
          </cell>
          <cell r="B74">
            <v>201810</v>
          </cell>
          <cell r="C74" t="str">
            <v>0100175003</v>
          </cell>
          <cell r="D74" t="str">
            <v>M7652C</v>
          </cell>
          <cell r="E74">
            <v>900</v>
          </cell>
          <cell r="F74">
            <v>43476</v>
          </cell>
          <cell r="G74" t="str">
            <v>OK</v>
          </cell>
        </row>
        <row r="75">
          <cell r="A75" t="str">
            <v>Y1901-0183</v>
          </cell>
          <cell r="B75">
            <v>201810</v>
          </cell>
          <cell r="C75" t="str">
            <v>0100175004</v>
          </cell>
          <cell r="D75" t="str">
            <v>M7652C</v>
          </cell>
          <cell r="E75">
            <v>1200</v>
          </cell>
          <cell r="F75">
            <v>43476</v>
          </cell>
          <cell r="G75" t="str">
            <v>OK</v>
          </cell>
        </row>
        <row r="76">
          <cell r="A76" t="str">
            <v>Y1901-0184</v>
          </cell>
          <cell r="B76">
            <v>201810</v>
          </cell>
          <cell r="C76" t="str">
            <v>0100175005</v>
          </cell>
          <cell r="D76" t="str">
            <v>M7652C</v>
          </cell>
          <cell r="E76">
            <v>1200</v>
          </cell>
          <cell r="F76">
            <v>43476</v>
          </cell>
          <cell r="G76" t="str">
            <v>OK</v>
          </cell>
        </row>
        <row r="77">
          <cell r="A77" t="str">
            <v>Y1901-0185</v>
          </cell>
          <cell r="B77">
            <v>201810</v>
          </cell>
          <cell r="C77" t="str">
            <v>0100175006</v>
          </cell>
          <cell r="D77" t="str">
            <v>3J256C</v>
          </cell>
          <cell r="E77">
            <v>252</v>
          </cell>
          <cell r="F77">
            <v>43475</v>
          </cell>
          <cell r="G77" t="str">
            <v>OK</v>
          </cell>
        </row>
        <row r="78">
          <cell r="A78" t="str">
            <v>Y1901-0186</v>
          </cell>
          <cell r="B78">
            <v>201810</v>
          </cell>
          <cell r="C78" t="str">
            <v>0100175007</v>
          </cell>
          <cell r="D78" t="str">
            <v>M7652C</v>
          </cell>
          <cell r="E78">
            <v>1236</v>
          </cell>
          <cell r="F78">
            <v>43475</v>
          </cell>
          <cell r="G78" t="str">
            <v>OK</v>
          </cell>
        </row>
        <row r="79">
          <cell r="A79" t="str">
            <v>Y1901-0187</v>
          </cell>
          <cell r="B79">
            <v>201810</v>
          </cell>
          <cell r="C79" t="str">
            <v>0100175008</v>
          </cell>
          <cell r="D79" t="str">
            <v>M9621C</v>
          </cell>
          <cell r="E79">
            <v>528</v>
          </cell>
          <cell r="F79">
            <v>43475</v>
          </cell>
          <cell r="G79" t="str">
            <v>OK</v>
          </cell>
        </row>
        <row r="80">
          <cell r="A80" t="str">
            <v>Y1901-0188</v>
          </cell>
          <cell r="B80">
            <v>201810</v>
          </cell>
          <cell r="C80" t="str">
            <v>0100175009</v>
          </cell>
          <cell r="D80" t="str">
            <v>M9697C</v>
          </cell>
          <cell r="E80">
            <v>396</v>
          </cell>
          <cell r="F80">
            <v>43475</v>
          </cell>
          <cell r="G80" t="str">
            <v>OK</v>
          </cell>
        </row>
        <row r="81">
          <cell r="A81" t="str">
            <v>Y1902-0031</v>
          </cell>
          <cell r="B81">
            <v>201810</v>
          </cell>
          <cell r="C81" t="str">
            <v>0100175015</v>
          </cell>
          <cell r="D81" t="str">
            <v>M8437C</v>
          </cell>
          <cell r="E81">
            <v>4956</v>
          </cell>
          <cell r="F81">
            <v>43487</v>
          </cell>
          <cell r="G81" t="str">
            <v>OK</v>
          </cell>
        </row>
        <row r="82">
          <cell r="A82" t="str">
            <v>Y1902-0034</v>
          </cell>
          <cell r="B82">
            <v>201810</v>
          </cell>
          <cell r="C82" t="str">
            <v>0100175019</v>
          </cell>
          <cell r="D82" t="str">
            <v>158369C</v>
          </cell>
          <cell r="E82">
            <v>7596</v>
          </cell>
          <cell r="F82">
            <v>43486</v>
          </cell>
          <cell r="G82" t="str">
            <v>OK</v>
          </cell>
        </row>
        <row r="83">
          <cell r="A83" t="str">
            <v>Y1902-0035</v>
          </cell>
          <cell r="B83">
            <v>201810</v>
          </cell>
          <cell r="C83" t="str">
            <v>0100175020</v>
          </cell>
          <cell r="D83" t="str">
            <v>761307C</v>
          </cell>
          <cell r="E83">
            <v>5700</v>
          </cell>
          <cell r="F83">
            <v>43486</v>
          </cell>
          <cell r="G83" t="str">
            <v>OK</v>
          </cell>
        </row>
        <row r="84">
          <cell r="A84" t="str">
            <v>Y1902-0036</v>
          </cell>
          <cell r="B84">
            <v>201810</v>
          </cell>
          <cell r="C84" t="str">
            <v>0100175021</v>
          </cell>
          <cell r="D84" t="str">
            <v>761308C</v>
          </cell>
          <cell r="E84">
            <v>5076</v>
          </cell>
          <cell r="F84">
            <v>43486</v>
          </cell>
          <cell r="G84" t="str">
            <v>OK</v>
          </cell>
        </row>
        <row r="85">
          <cell r="A85" t="str">
            <v>Y1902-0040</v>
          </cell>
          <cell r="B85">
            <v>201810</v>
          </cell>
          <cell r="C85" t="str">
            <v>0100175027</v>
          </cell>
          <cell r="D85">
            <v>88875</v>
          </cell>
          <cell r="E85">
            <v>540</v>
          </cell>
          <cell r="F85">
            <v>43486</v>
          </cell>
          <cell r="G85" t="str">
            <v>OK</v>
          </cell>
        </row>
        <row r="86">
          <cell r="A86" t="str">
            <v>Y1902-0041</v>
          </cell>
          <cell r="B86">
            <v>201810</v>
          </cell>
          <cell r="C86" t="str">
            <v>0100175028</v>
          </cell>
          <cell r="D86">
            <v>88877</v>
          </cell>
          <cell r="E86">
            <v>384</v>
          </cell>
          <cell r="F86">
            <v>43486</v>
          </cell>
          <cell r="G86" t="str">
            <v>OK</v>
          </cell>
        </row>
        <row r="87">
          <cell r="A87" t="str">
            <v>Y1902-0042</v>
          </cell>
          <cell r="B87">
            <v>201810</v>
          </cell>
          <cell r="C87" t="str">
            <v>0100175029</v>
          </cell>
          <cell r="D87" t="str">
            <v>8J231</v>
          </cell>
          <cell r="E87">
            <v>672</v>
          </cell>
          <cell r="F87">
            <v>43486</v>
          </cell>
          <cell r="G87" t="str">
            <v>OK</v>
          </cell>
        </row>
        <row r="88">
          <cell r="A88" t="str">
            <v>Y1902-0043</v>
          </cell>
          <cell r="B88">
            <v>201810</v>
          </cell>
          <cell r="C88" t="str">
            <v>0100175030</v>
          </cell>
          <cell r="D88" t="str">
            <v>158371C</v>
          </cell>
          <cell r="E88">
            <v>252</v>
          </cell>
          <cell r="F88">
            <v>43486</v>
          </cell>
          <cell r="G88" t="str">
            <v>OK</v>
          </cell>
        </row>
        <row r="89">
          <cell r="A89" t="str">
            <v>Y1902-0044</v>
          </cell>
          <cell r="B89">
            <v>201810</v>
          </cell>
          <cell r="C89" t="str">
            <v>0100175031</v>
          </cell>
          <cell r="D89" t="str">
            <v>M3494</v>
          </cell>
          <cell r="E89">
            <v>3804</v>
          </cell>
          <cell r="F89">
            <v>43486</v>
          </cell>
          <cell r="G89" t="str">
            <v>OK</v>
          </cell>
        </row>
        <row r="90">
          <cell r="A90" t="str">
            <v>Y1902-0046</v>
          </cell>
          <cell r="B90">
            <v>201810</v>
          </cell>
          <cell r="C90" t="str">
            <v>0100175033</v>
          </cell>
          <cell r="D90" t="str">
            <v>560659C</v>
          </cell>
          <cell r="E90">
            <v>9348</v>
          </cell>
          <cell r="F90">
            <v>43486</v>
          </cell>
          <cell r="G90" t="str">
            <v>OK</v>
          </cell>
        </row>
        <row r="91">
          <cell r="A91" t="str">
            <v>Y1902-0047</v>
          </cell>
          <cell r="B91">
            <v>201810</v>
          </cell>
          <cell r="C91" t="str">
            <v>0100175034</v>
          </cell>
          <cell r="D91" t="str">
            <v>764172C</v>
          </cell>
          <cell r="E91">
            <v>612</v>
          </cell>
          <cell r="F91">
            <v>43492</v>
          </cell>
          <cell r="G91" t="str">
            <v>OK</v>
          </cell>
        </row>
        <row r="92">
          <cell r="A92" t="str">
            <v>Y1902-0048</v>
          </cell>
          <cell r="B92">
            <v>201810</v>
          </cell>
          <cell r="C92" t="str">
            <v>0100175035</v>
          </cell>
          <cell r="D92" t="str">
            <v>764173C</v>
          </cell>
          <cell r="E92">
            <v>2172</v>
          </cell>
          <cell r="F92">
            <v>43492</v>
          </cell>
          <cell r="G92" t="str">
            <v>OK</v>
          </cell>
        </row>
        <row r="93">
          <cell r="A93" t="str">
            <v>Y1902-0049</v>
          </cell>
          <cell r="B93">
            <v>201810</v>
          </cell>
          <cell r="C93" t="str">
            <v>0100175036</v>
          </cell>
          <cell r="D93" t="str">
            <v>764174C</v>
          </cell>
          <cell r="E93">
            <v>1584</v>
          </cell>
          <cell r="F93">
            <v>43492</v>
          </cell>
          <cell r="G93" t="str">
            <v>OK</v>
          </cell>
        </row>
        <row r="94">
          <cell r="A94" t="str">
            <v>Y1902-0050</v>
          </cell>
          <cell r="B94">
            <v>201810</v>
          </cell>
          <cell r="C94" t="str">
            <v>0100175037</v>
          </cell>
          <cell r="D94" t="str">
            <v>764238C</v>
          </cell>
          <cell r="E94">
            <v>792</v>
          </cell>
          <cell r="F94">
            <v>43486</v>
          </cell>
          <cell r="G94" t="str">
            <v>OK</v>
          </cell>
        </row>
        <row r="95">
          <cell r="A95" t="str">
            <v>Y1902-0051</v>
          </cell>
          <cell r="B95">
            <v>201810</v>
          </cell>
          <cell r="C95" t="str">
            <v>0100175038</v>
          </cell>
          <cell r="D95" t="str">
            <v>161577C</v>
          </cell>
          <cell r="E95">
            <v>168</v>
          </cell>
          <cell r="F95">
            <v>43486</v>
          </cell>
          <cell r="G95" t="str">
            <v>OK</v>
          </cell>
        </row>
        <row r="96">
          <cell r="A96" t="str">
            <v>Y1902-0053</v>
          </cell>
          <cell r="B96">
            <v>201810</v>
          </cell>
          <cell r="C96" t="str">
            <v>0100175040</v>
          </cell>
          <cell r="D96" t="str">
            <v>361307C</v>
          </cell>
          <cell r="E96">
            <v>5868</v>
          </cell>
          <cell r="F96">
            <v>43486</v>
          </cell>
          <cell r="G96" t="str">
            <v>OK</v>
          </cell>
        </row>
        <row r="97">
          <cell r="A97" t="str">
            <v>Y1902-0054</v>
          </cell>
          <cell r="B97">
            <v>201810</v>
          </cell>
          <cell r="C97" t="str">
            <v>0100175041</v>
          </cell>
          <cell r="D97" t="str">
            <v>161608C</v>
          </cell>
          <cell r="E97">
            <v>3420</v>
          </cell>
          <cell r="F97">
            <v>43486</v>
          </cell>
          <cell r="G97" t="str">
            <v>OK</v>
          </cell>
        </row>
        <row r="98">
          <cell r="A98" t="str">
            <v>Y1902-0055</v>
          </cell>
          <cell r="B98">
            <v>201810</v>
          </cell>
          <cell r="C98" t="str">
            <v>0100175042</v>
          </cell>
          <cell r="D98" t="str">
            <v>361308C</v>
          </cell>
          <cell r="E98">
            <v>6012</v>
          </cell>
          <cell r="F98">
            <v>43486</v>
          </cell>
          <cell r="G98" t="str">
            <v>OK</v>
          </cell>
        </row>
        <row r="99">
          <cell r="A99" t="str">
            <v>Y1902-0057</v>
          </cell>
          <cell r="B99">
            <v>201810</v>
          </cell>
          <cell r="C99" t="str">
            <v>0100175044</v>
          </cell>
          <cell r="D99" t="str">
            <v>364170C</v>
          </cell>
          <cell r="E99">
            <v>1272</v>
          </cell>
          <cell r="F99">
            <v>43492</v>
          </cell>
          <cell r="G99" t="str">
            <v>OK</v>
          </cell>
        </row>
        <row r="100">
          <cell r="A100" t="str">
            <v>Y1902-0058</v>
          </cell>
          <cell r="B100">
            <v>201810</v>
          </cell>
          <cell r="C100" t="str">
            <v>0100175045</v>
          </cell>
          <cell r="D100" t="str">
            <v>163269C</v>
          </cell>
          <cell r="E100">
            <v>4140</v>
          </cell>
          <cell r="F100">
            <v>43486</v>
          </cell>
          <cell r="G100" t="str">
            <v>OK</v>
          </cell>
        </row>
        <row r="101">
          <cell r="A101" t="str">
            <v>Y1902-0059</v>
          </cell>
          <cell r="B101">
            <v>201810</v>
          </cell>
          <cell r="C101" t="str">
            <v>0100175046</v>
          </cell>
          <cell r="D101" t="str">
            <v>163376C</v>
          </cell>
          <cell r="E101">
            <v>732</v>
          </cell>
          <cell r="F101">
            <v>43486</v>
          </cell>
          <cell r="G101" t="str">
            <v>OK</v>
          </cell>
        </row>
        <row r="102">
          <cell r="A102" t="str">
            <v>Y1902-0060</v>
          </cell>
          <cell r="B102">
            <v>201810</v>
          </cell>
          <cell r="C102" t="str">
            <v>0100175047</v>
          </cell>
          <cell r="D102" t="str">
            <v>564150C</v>
          </cell>
          <cell r="E102">
            <v>2964</v>
          </cell>
          <cell r="F102">
            <v>43487</v>
          </cell>
          <cell r="G102" t="str">
            <v>OK</v>
          </cell>
        </row>
        <row r="103">
          <cell r="A103" t="str">
            <v>Y1902-0062</v>
          </cell>
          <cell r="B103">
            <v>201810</v>
          </cell>
          <cell r="C103" t="str">
            <v>0100175049</v>
          </cell>
          <cell r="D103" t="str">
            <v>564152C</v>
          </cell>
          <cell r="E103">
            <v>5196</v>
          </cell>
          <cell r="F103">
            <v>43487</v>
          </cell>
          <cell r="G103" t="str">
            <v>OK</v>
          </cell>
        </row>
        <row r="104">
          <cell r="A104" t="str">
            <v>Y1902-0063</v>
          </cell>
          <cell r="B104">
            <v>201810</v>
          </cell>
          <cell r="C104" t="str">
            <v>0100175050</v>
          </cell>
          <cell r="D104" t="str">
            <v>564153C</v>
          </cell>
          <cell r="E104">
            <v>2592</v>
          </cell>
          <cell r="F104">
            <v>43487</v>
          </cell>
          <cell r="G104" t="str">
            <v>OK</v>
          </cell>
        </row>
        <row r="105">
          <cell r="A105" t="str">
            <v>Y1902-0065</v>
          </cell>
          <cell r="B105">
            <v>201810</v>
          </cell>
          <cell r="C105" t="str">
            <v>0100175056</v>
          </cell>
          <cell r="D105" t="str">
            <v>564608C</v>
          </cell>
          <cell r="E105">
            <v>4680</v>
          </cell>
          <cell r="F105">
            <v>43486</v>
          </cell>
          <cell r="G105" t="str">
            <v>OK</v>
          </cell>
        </row>
        <row r="106">
          <cell r="A106" t="str">
            <v>Y1902-0066</v>
          </cell>
          <cell r="B106">
            <v>201810</v>
          </cell>
          <cell r="C106" t="str">
            <v>0100175057</v>
          </cell>
          <cell r="D106" t="str">
            <v>564609C</v>
          </cell>
          <cell r="E106">
            <v>3396</v>
          </cell>
          <cell r="F106">
            <v>43486</v>
          </cell>
          <cell r="G106" t="str">
            <v>OK</v>
          </cell>
        </row>
        <row r="107">
          <cell r="A107" t="str">
            <v>Y1902-0067</v>
          </cell>
          <cell r="B107">
            <v>201810</v>
          </cell>
          <cell r="C107" t="str">
            <v>0100175058</v>
          </cell>
          <cell r="D107" t="str">
            <v>163377C</v>
          </cell>
          <cell r="E107">
            <v>528</v>
          </cell>
          <cell r="F107">
            <v>43486</v>
          </cell>
          <cell r="G107" t="str">
            <v>OK</v>
          </cell>
        </row>
        <row r="108">
          <cell r="A108" t="str">
            <v>Y1902-0068</v>
          </cell>
          <cell r="B108">
            <v>201810</v>
          </cell>
          <cell r="C108" t="str">
            <v>0100175059</v>
          </cell>
          <cell r="D108" t="str">
            <v>164060C</v>
          </cell>
          <cell r="E108">
            <v>360</v>
          </cell>
          <cell r="F108">
            <v>43486</v>
          </cell>
          <cell r="G108" t="str">
            <v>OK</v>
          </cell>
        </row>
        <row r="109">
          <cell r="A109" t="str">
            <v>Y1902-0069</v>
          </cell>
          <cell r="B109">
            <v>201810</v>
          </cell>
          <cell r="C109" t="str">
            <v>0100175060</v>
          </cell>
          <cell r="D109" t="str">
            <v>164101C</v>
          </cell>
          <cell r="E109">
            <v>828</v>
          </cell>
          <cell r="F109">
            <v>43496</v>
          </cell>
          <cell r="G109" t="str">
            <v>OK</v>
          </cell>
        </row>
        <row r="110">
          <cell r="A110" t="str">
            <v>Y1902-0070</v>
          </cell>
          <cell r="B110">
            <v>201810</v>
          </cell>
          <cell r="C110" t="str">
            <v>0100175061</v>
          </cell>
          <cell r="D110" t="str">
            <v>164103C</v>
          </cell>
          <cell r="E110">
            <v>1248</v>
          </cell>
          <cell r="F110">
            <v>43495</v>
          </cell>
          <cell r="G110" t="str">
            <v>OK</v>
          </cell>
        </row>
        <row r="111">
          <cell r="A111" t="str">
            <v>Y1902-0074</v>
          </cell>
          <cell r="B111">
            <v>201810</v>
          </cell>
          <cell r="C111" t="str">
            <v>0100175065</v>
          </cell>
          <cell r="D111" t="str">
            <v>164358C</v>
          </cell>
          <cell r="E111">
            <v>2064</v>
          </cell>
          <cell r="F111">
            <v>43492</v>
          </cell>
          <cell r="G111" t="str">
            <v>OK</v>
          </cell>
        </row>
        <row r="112">
          <cell r="A112" t="str">
            <v>Y1902-0076</v>
          </cell>
          <cell r="B112">
            <v>201810</v>
          </cell>
          <cell r="C112" t="str">
            <v>0100175067</v>
          </cell>
          <cell r="D112" t="str">
            <v>164360C</v>
          </cell>
          <cell r="E112">
            <v>7980</v>
          </cell>
          <cell r="F112">
            <v>43492</v>
          </cell>
          <cell r="G112" t="str">
            <v>OK</v>
          </cell>
        </row>
        <row r="113">
          <cell r="A113" t="str">
            <v>Y1902-0077</v>
          </cell>
          <cell r="B113">
            <v>201810</v>
          </cell>
          <cell r="C113" t="str">
            <v>0100175068</v>
          </cell>
          <cell r="D113" t="str">
            <v>164361C</v>
          </cell>
          <cell r="E113">
            <v>10224</v>
          </cell>
          <cell r="F113">
            <v>43492</v>
          </cell>
          <cell r="G113" t="str">
            <v>OK</v>
          </cell>
        </row>
        <row r="114">
          <cell r="A114" t="str">
            <v>Y1902-0078</v>
          </cell>
          <cell r="B114">
            <v>201810</v>
          </cell>
          <cell r="C114" t="str">
            <v>0100175069</v>
          </cell>
          <cell r="D114" t="str">
            <v>164362C</v>
          </cell>
          <cell r="E114">
            <v>2892</v>
          </cell>
          <cell r="F114">
            <v>43492</v>
          </cell>
          <cell r="G114" t="str">
            <v>OK</v>
          </cell>
        </row>
        <row r="115">
          <cell r="A115" t="str">
            <v>Y1902-0079</v>
          </cell>
          <cell r="B115">
            <v>201810</v>
          </cell>
          <cell r="C115" t="str">
            <v>0100175070</v>
          </cell>
          <cell r="D115" t="str">
            <v>164390C</v>
          </cell>
          <cell r="E115">
            <v>3144</v>
          </cell>
          <cell r="F115">
            <v>43486</v>
          </cell>
          <cell r="G115" t="str">
            <v>OK</v>
          </cell>
        </row>
        <row r="116">
          <cell r="A116" t="str">
            <v>Y1902-0080</v>
          </cell>
          <cell r="B116">
            <v>201810</v>
          </cell>
          <cell r="C116" t="str">
            <v>0100175071</v>
          </cell>
          <cell r="D116" t="str">
            <v>164391C</v>
          </cell>
          <cell r="E116">
            <v>4140</v>
          </cell>
          <cell r="F116">
            <v>43486</v>
          </cell>
          <cell r="G116" t="str">
            <v>OK</v>
          </cell>
        </row>
        <row r="117">
          <cell r="A117" t="str">
            <v>Y1902-0081</v>
          </cell>
          <cell r="B117">
            <v>201810</v>
          </cell>
          <cell r="C117" t="str">
            <v>0100175072</v>
          </cell>
          <cell r="D117" t="str">
            <v>164392C</v>
          </cell>
          <cell r="E117">
            <v>2328</v>
          </cell>
          <cell r="F117">
            <v>43495</v>
          </cell>
          <cell r="G117" t="str">
            <v>OK</v>
          </cell>
        </row>
        <row r="118">
          <cell r="A118" t="str">
            <v>Y1902-0082</v>
          </cell>
          <cell r="B118">
            <v>201810</v>
          </cell>
          <cell r="C118" t="str">
            <v>0100175073</v>
          </cell>
          <cell r="D118" t="str">
            <v>164393C</v>
          </cell>
          <cell r="E118">
            <v>2268</v>
          </cell>
          <cell r="F118">
            <v>43486</v>
          </cell>
          <cell r="G118" t="str">
            <v>OK</v>
          </cell>
        </row>
        <row r="119">
          <cell r="A119" t="str">
            <v>Y1902-0083</v>
          </cell>
          <cell r="B119">
            <v>201810</v>
          </cell>
          <cell r="C119" t="str">
            <v>0100175074</v>
          </cell>
          <cell r="D119" t="str">
            <v>164525C</v>
          </cell>
          <cell r="E119">
            <v>6852</v>
          </cell>
          <cell r="F119">
            <v>43486</v>
          </cell>
          <cell r="G119" t="str">
            <v>OK</v>
          </cell>
        </row>
        <row r="120">
          <cell r="A120" t="str">
            <v>Y1902-0084</v>
          </cell>
          <cell r="B120">
            <v>201810</v>
          </cell>
          <cell r="C120" t="str">
            <v>0100175075</v>
          </cell>
          <cell r="D120" t="str">
            <v>162066C</v>
          </cell>
          <cell r="E120">
            <v>4464</v>
          </cell>
          <cell r="F120">
            <v>43486</v>
          </cell>
          <cell r="G120" t="str">
            <v>OK</v>
          </cell>
        </row>
        <row r="121">
          <cell r="A121" t="str">
            <v>Y1902-0085</v>
          </cell>
          <cell r="B121">
            <v>201810</v>
          </cell>
          <cell r="C121" t="str">
            <v>0100175076</v>
          </cell>
          <cell r="D121" t="str">
            <v>162068C</v>
          </cell>
          <cell r="E121">
            <v>2952</v>
          </cell>
          <cell r="F121">
            <v>43486</v>
          </cell>
          <cell r="G121" t="str">
            <v>OK</v>
          </cell>
        </row>
        <row r="122">
          <cell r="A122" t="str">
            <v>Y1902-0086</v>
          </cell>
          <cell r="B122">
            <v>201810</v>
          </cell>
          <cell r="C122" t="str">
            <v>0100175077</v>
          </cell>
          <cell r="D122" t="str">
            <v>162069C</v>
          </cell>
          <cell r="E122">
            <v>2796</v>
          </cell>
          <cell r="F122">
            <v>43486</v>
          </cell>
          <cell r="G122" t="str">
            <v>OK</v>
          </cell>
        </row>
        <row r="123">
          <cell r="A123" t="str">
            <v>Y1902-0089</v>
          </cell>
          <cell r="B123">
            <v>201810</v>
          </cell>
          <cell r="C123" t="str">
            <v>0100175081</v>
          </cell>
          <cell r="D123" t="str">
            <v>565548C</v>
          </cell>
          <cell r="E123">
            <v>372</v>
          </cell>
          <cell r="F123">
            <v>43481</v>
          </cell>
          <cell r="G123" t="str">
            <v>OK</v>
          </cell>
        </row>
        <row r="124">
          <cell r="A124" t="str">
            <v>Y1901-0189</v>
          </cell>
          <cell r="B124">
            <v>201810</v>
          </cell>
          <cell r="C124" t="str">
            <v>0100175082</v>
          </cell>
          <cell r="D124" t="str">
            <v>159484C</v>
          </cell>
          <cell r="E124">
            <v>1080</v>
          </cell>
          <cell r="F124">
            <v>43492</v>
          </cell>
          <cell r="G124" t="str">
            <v>OK</v>
          </cell>
        </row>
        <row r="125">
          <cell r="A125" t="str">
            <v>Y1901-0190</v>
          </cell>
          <cell r="B125">
            <v>201810</v>
          </cell>
          <cell r="C125" t="str">
            <v>0100175083</v>
          </cell>
          <cell r="D125" t="str">
            <v>164058C</v>
          </cell>
          <cell r="E125">
            <v>1296</v>
          </cell>
          <cell r="F125">
            <v>43492</v>
          </cell>
          <cell r="G125" t="str">
            <v>OK</v>
          </cell>
        </row>
        <row r="126">
          <cell r="A126" t="str">
            <v>Y1901-0191</v>
          </cell>
          <cell r="B126">
            <v>201810</v>
          </cell>
          <cell r="C126" t="str">
            <v>0100175084</v>
          </cell>
          <cell r="D126" t="str">
            <v>M7650C</v>
          </cell>
          <cell r="E126">
            <v>1644</v>
          </cell>
          <cell r="F126">
            <v>43492</v>
          </cell>
          <cell r="G126" t="str">
            <v>OK</v>
          </cell>
        </row>
        <row r="127">
          <cell r="A127" t="str">
            <v>Y1901-0192</v>
          </cell>
          <cell r="B127">
            <v>201810</v>
          </cell>
          <cell r="C127" t="str">
            <v>0100175085</v>
          </cell>
          <cell r="D127" t="str">
            <v>155064C</v>
          </cell>
          <cell r="E127">
            <v>192</v>
          </cell>
          <cell r="F127">
            <v>43492</v>
          </cell>
          <cell r="G127" t="str">
            <v>OK</v>
          </cell>
        </row>
        <row r="128">
          <cell r="A128" t="str">
            <v>Y1901-0193</v>
          </cell>
          <cell r="B128">
            <v>201810</v>
          </cell>
          <cell r="C128" t="str">
            <v>0100175086</v>
          </cell>
          <cell r="D128" t="str">
            <v>164217C</v>
          </cell>
          <cell r="E128">
            <v>120</v>
          </cell>
          <cell r="F128">
            <v>43492</v>
          </cell>
          <cell r="G128" t="str">
            <v>OK</v>
          </cell>
        </row>
        <row r="129">
          <cell r="A129" t="str">
            <v>Y1901-0194</v>
          </cell>
          <cell r="B129">
            <v>201810</v>
          </cell>
          <cell r="C129" t="str">
            <v>0100175087</v>
          </cell>
          <cell r="D129" t="str">
            <v>M7652C</v>
          </cell>
          <cell r="E129">
            <v>1128</v>
          </cell>
          <cell r="F129">
            <v>43492</v>
          </cell>
          <cell r="G129" t="str">
            <v>OK</v>
          </cell>
        </row>
        <row r="130">
          <cell r="A130" t="str">
            <v>Y1901-0195</v>
          </cell>
          <cell r="B130">
            <v>201810</v>
          </cell>
          <cell r="C130" t="str">
            <v>0100175088</v>
          </cell>
          <cell r="D130" t="str">
            <v>1J794C</v>
          </cell>
          <cell r="E130">
            <v>636</v>
          </cell>
          <cell r="F130">
            <v>43492</v>
          </cell>
          <cell r="G130" t="str">
            <v>OK</v>
          </cell>
        </row>
        <row r="131">
          <cell r="A131" t="str">
            <v>Y1901-0196</v>
          </cell>
          <cell r="B131">
            <v>201810</v>
          </cell>
          <cell r="C131" t="str">
            <v>0100175089</v>
          </cell>
          <cell r="D131" t="str">
            <v>364169C</v>
          </cell>
          <cell r="E131">
            <v>180</v>
          </cell>
          <cell r="F131">
            <v>43492</v>
          </cell>
          <cell r="G131" t="str">
            <v>OK</v>
          </cell>
        </row>
        <row r="132">
          <cell r="A132" t="str">
            <v>Y1901-0197</v>
          </cell>
          <cell r="B132">
            <v>201810</v>
          </cell>
          <cell r="C132" t="str">
            <v>0100175090</v>
          </cell>
          <cell r="D132" t="str">
            <v>164280C</v>
          </cell>
          <cell r="E132">
            <v>192</v>
          </cell>
          <cell r="F132">
            <v>43492</v>
          </cell>
          <cell r="G132" t="str">
            <v>OK</v>
          </cell>
        </row>
        <row r="133">
          <cell r="A133" t="str">
            <v>Y1901-0198</v>
          </cell>
          <cell r="B133">
            <v>201810</v>
          </cell>
          <cell r="C133" t="str">
            <v>0100175091</v>
          </cell>
          <cell r="D133" t="str">
            <v>164058C</v>
          </cell>
          <cell r="E133">
            <v>336</v>
          </cell>
          <cell r="F133">
            <v>43492</v>
          </cell>
          <cell r="G133" t="str">
            <v>OK</v>
          </cell>
        </row>
        <row r="134">
          <cell r="A134" t="str">
            <v>Y1901-0199</v>
          </cell>
          <cell r="B134">
            <v>201810</v>
          </cell>
          <cell r="C134" t="str">
            <v>0100175092</v>
          </cell>
          <cell r="D134">
            <v>88871</v>
          </cell>
          <cell r="E134">
            <v>144</v>
          </cell>
          <cell r="F134">
            <v>43492</v>
          </cell>
          <cell r="G134" t="str">
            <v>OK</v>
          </cell>
        </row>
        <row r="135">
          <cell r="A135" t="str">
            <v>Y1901-0200</v>
          </cell>
          <cell r="B135">
            <v>201810</v>
          </cell>
          <cell r="C135" t="str">
            <v>0100175097</v>
          </cell>
          <cell r="D135" t="str">
            <v>565548C</v>
          </cell>
          <cell r="E135">
            <v>21</v>
          </cell>
          <cell r="F135">
            <v>43492</v>
          </cell>
          <cell r="G135" t="str">
            <v>OK</v>
          </cell>
        </row>
        <row r="136">
          <cell r="A136" t="str">
            <v>Y1901-0201</v>
          </cell>
          <cell r="B136">
            <v>201810</v>
          </cell>
          <cell r="C136" t="str">
            <v>0100175098</v>
          </cell>
          <cell r="D136" t="str">
            <v>M7652C</v>
          </cell>
          <cell r="E136">
            <v>14568</v>
          </cell>
          <cell r="F136">
            <v>43488</v>
          </cell>
          <cell r="G136" t="str">
            <v>OK</v>
          </cell>
        </row>
        <row r="137">
          <cell r="A137" t="str">
            <v>Y1901-0202</v>
          </cell>
          <cell r="B137">
            <v>201810</v>
          </cell>
          <cell r="C137" t="str">
            <v>0100175100</v>
          </cell>
          <cell r="D137" t="str">
            <v>3J253C</v>
          </cell>
          <cell r="E137">
            <v>4044</v>
          </cell>
          <cell r="F137">
            <v>43488</v>
          </cell>
          <cell r="G137" t="str">
            <v>OK</v>
          </cell>
        </row>
        <row r="138">
          <cell r="A138" t="str">
            <v>Y1901-0204</v>
          </cell>
          <cell r="B138">
            <v>201810</v>
          </cell>
          <cell r="C138" t="str">
            <v>0100175103</v>
          </cell>
          <cell r="D138" t="str">
            <v>3J256C</v>
          </cell>
          <cell r="E138">
            <v>9492</v>
          </cell>
          <cell r="F138">
            <v>43488</v>
          </cell>
          <cell r="G138" t="str">
            <v>OK</v>
          </cell>
        </row>
        <row r="139">
          <cell r="A139" t="str">
            <v>Y1901-0205</v>
          </cell>
          <cell r="B139">
            <v>201810</v>
          </cell>
          <cell r="C139" t="str">
            <v>0100175105</v>
          </cell>
          <cell r="D139" t="str">
            <v>M7650C</v>
          </cell>
          <cell r="E139">
            <v>19836</v>
          </cell>
          <cell r="F139">
            <v>43488</v>
          </cell>
          <cell r="G139" t="str">
            <v>OK</v>
          </cell>
        </row>
        <row r="140">
          <cell r="A140" t="str">
            <v>Y1901-0206</v>
          </cell>
          <cell r="B140">
            <v>201810</v>
          </cell>
          <cell r="C140" t="str">
            <v>0100175108</v>
          </cell>
          <cell r="D140" t="str">
            <v>M8437C</v>
          </cell>
          <cell r="E140">
            <v>1848</v>
          </cell>
          <cell r="F140">
            <v>43489</v>
          </cell>
          <cell r="G140" t="str">
            <v>OK</v>
          </cell>
        </row>
        <row r="141">
          <cell r="A141" t="str">
            <v>Y1901-0208</v>
          </cell>
          <cell r="B141">
            <v>201810</v>
          </cell>
          <cell r="C141" t="str">
            <v>0100175111</v>
          </cell>
          <cell r="D141" t="str">
            <v>155064C</v>
          </cell>
          <cell r="E141">
            <v>1128</v>
          </cell>
          <cell r="F141">
            <v>43488</v>
          </cell>
          <cell r="G141" t="str">
            <v>OK</v>
          </cell>
        </row>
        <row r="142">
          <cell r="A142" t="str">
            <v>Y1901-0209</v>
          </cell>
          <cell r="B142">
            <v>201810</v>
          </cell>
          <cell r="C142" t="str">
            <v>0100175113</v>
          </cell>
          <cell r="D142" t="str">
            <v>155066C</v>
          </cell>
          <cell r="E142">
            <v>1128</v>
          </cell>
          <cell r="F142">
            <v>43488</v>
          </cell>
          <cell r="G142" t="str">
            <v>OK</v>
          </cell>
        </row>
        <row r="143">
          <cell r="A143" t="str">
            <v>Y1901-0210</v>
          </cell>
          <cell r="B143">
            <v>201810</v>
          </cell>
          <cell r="C143" t="str">
            <v>0100175114</v>
          </cell>
          <cell r="D143" t="str">
            <v>162884C</v>
          </cell>
          <cell r="E143">
            <v>168</v>
          </cell>
          <cell r="F143">
            <v>43488</v>
          </cell>
          <cell r="G143" t="str">
            <v>OK</v>
          </cell>
        </row>
        <row r="144">
          <cell r="A144" t="str">
            <v>Y1901-0211</v>
          </cell>
          <cell r="B144">
            <v>201810</v>
          </cell>
          <cell r="C144" t="str">
            <v>0100175115</v>
          </cell>
          <cell r="D144" t="str">
            <v>144148C</v>
          </cell>
          <cell r="E144">
            <v>924</v>
          </cell>
          <cell r="F144">
            <v>43488</v>
          </cell>
          <cell r="G144" t="str">
            <v>OK</v>
          </cell>
        </row>
        <row r="145">
          <cell r="A145" t="str">
            <v>Y1901-0212</v>
          </cell>
          <cell r="B145">
            <v>201810</v>
          </cell>
          <cell r="C145" t="str">
            <v>0100175116</v>
          </cell>
          <cell r="D145" t="str">
            <v>144150C</v>
          </cell>
          <cell r="E145">
            <v>5124</v>
          </cell>
          <cell r="F145">
            <v>43495</v>
          </cell>
          <cell r="G145" t="str">
            <v>OK</v>
          </cell>
        </row>
        <row r="146">
          <cell r="A146" t="str">
            <v>Y1902-0097</v>
          </cell>
          <cell r="B146">
            <v>201810</v>
          </cell>
          <cell r="C146" t="str">
            <v>0100175117</v>
          </cell>
          <cell r="D146" t="str">
            <v>162950C</v>
          </cell>
          <cell r="E146">
            <v>1812</v>
          </cell>
          <cell r="F146">
            <v>43496</v>
          </cell>
          <cell r="G146" t="str">
            <v>OK</v>
          </cell>
        </row>
        <row r="147">
          <cell r="A147" t="str">
            <v>Y1901-0213</v>
          </cell>
          <cell r="B147">
            <v>201810</v>
          </cell>
          <cell r="C147" t="str">
            <v>0100175118</v>
          </cell>
          <cell r="D147" t="str">
            <v>1J794C</v>
          </cell>
          <cell r="E147">
            <v>4008</v>
          </cell>
          <cell r="F147">
            <v>43488</v>
          </cell>
          <cell r="G147" t="str">
            <v>OK</v>
          </cell>
        </row>
        <row r="148">
          <cell r="A148" t="str">
            <v>Y1901-0214</v>
          </cell>
          <cell r="B148">
            <v>201810</v>
          </cell>
          <cell r="C148" t="str">
            <v>0100175120</v>
          </cell>
          <cell r="D148" t="str">
            <v>663599C</v>
          </cell>
          <cell r="E148">
            <v>1800</v>
          </cell>
          <cell r="F148">
            <v>43488</v>
          </cell>
          <cell r="G148" t="str">
            <v>OK</v>
          </cell>
        </row>
        <row r="149">
          <cell r="A149" t="str">
            <v>Y1901-0215</v>
          </cell>
          <cell r="B149">
            <v>201810</v>
          </cell>
          <cell r="C149" t="str">
            <v>0100175121</v>
          </cell>
          <cell r="D149" t="str">
            <v>144151C</v>
          </cell>
          <cell r="E149">
            <v>2976</v>
          </cell>
          <cell r="F149">
            <v>43488</v>
          </cell>
          <cell r="G149" t="str">
            <v>OK</v>
          </cell>
        </row>
        <row r="150">
          <cell r="A150" t="str">
            <v>Y1901-0216</v>
          </cell>
          <cell r="B150">
            <v>201810</v>
          </cell>
          <cell r="C150" t="str">
            <v>0100175124</v>
          </cell>
          <cell r="D150" t="str">
            <v>651827C</v>
          </cell>
          <cell r="E150">
            <v>3684</v>
          </cell>
          <cell r="F150">
            <v>43488</v>
          </cell>
          <cell r="G150" t="str">
            <v>OK</v>
          </cell>
        </row>
        <row r="151">
          <cell r="A151" t="str">
            <v>Y1901-0217</v>
          </cell>
          <cell r="B151">
            <v>201810</v>
          </cell>
          <cell r="C151" t="str">
            <v>0100175125</v>
          </cell>
          <cell r="D151" t="str">
            <v>161577C</v>
          </cell>
          <cell r="E151">
            <v>360</v>
          </cell>
          <cell r="F151">
            <v>43488</v>
          </cell>
          <cell r="G151" t="str">
            <v>OK</v>
          </cell>
        </row>
        <row r="152">
          <cell r="A152" t="str">
            <v>Y1902-0103</v>
          </cell>
          <cell r="B152">
            <v>201810</v>
          </cell>
          <cell r="C152" t="str">
            <v>0100175128</v>
          </cell>
          <cell r="D152" t="str">
            <v>364170C</v>
          </cell>
          <cell r="E152">
            <v>384</v>
          </cell>
          <cell r="F152">
            <v>43492</v>
          </cell>
          <cell r="G152" t="str">
            <v>OK</v>
          </cell>
        </row>
        <row r="153">
          <cell r="A153" t="str">
            <v>Y1901-0218</v>
          </cell>
          <cell r="B153">
            <v>201810</v>
          </cell>
          <cell r="C153" t="str">
            <v>0100175129</v>
          </cell>
          <cell r="D153" t="str">
            <v>158371C</v>
          </cell>
          <cell r="E153">
            <v>144</v>
          </cell>
          <cell r="F153">
            <v>43488</v>
          </cell>
          <cell r="G153" t="str">
            <v>OK</v>
          </cell>
        </row>
        <row r="154">
          <cell r="A154" t="str">
            <v>Y1901-0219</v>
          </cell>
          <cell r="B154">
            <v>201810</v>
          </cell>
          <cell r="C154" t="str">
            <v>0100175131</v>
          </cell>
          <cell r="D154" t="str">
            <v>161603C</v>
          </cell>
          <cell r="E154">
            <v>348</v>
          </cell>
          <cell r="F154">
            <v>43488</v>
          </cell>
          <cell r="G154" t="str">
            <v>OK</v>
          </cell>
        </row>
        <row r="155">
          <cell r="A155" t="str">
            <v>Y1902-0105</v>
          </cell>
          <cell r="B155">
            <v>201810</v>
          </cell>
          <cell r="C155" t="str">
            <v>0100175132</v>
          </cell>
          <cell r="D155" t="str">
            <v>163269C</v>
          </cell>
          <cell r="E155">
            <v>336</v>
          </cell>
          <cell r="F155">
            <v>43480</v>
          </cell>
          <cell r="G155" t="str">
            <v>OK</v>
          </cell>
        </row>
        <row r="156">
          <cell r="A156" t="str">
            <v>Y1902-0106</v>
          </cell>
          <cell r="B156">
            <v>201810</v>
          </cell>
          <cell r="C156" t="str">
            <v>0100175133</v>
          </cell>
          <cell r="D156" t="str">
            <v>764173C</v>
          </cell>
          <cell r="E156">
            <v>480</v>
          </cell>
          <cell r="F156">
            <v>43492</v>
          </cell>
          <cell r="G156" t="str">
            <v>OK</v>
          </cell>
        </row>
        <row r="157">
          <cell r="A157" t="str">
            <v>Y1902-0107</v>
          </cell>
          <cell r="B157">
            <v>201810</v>
          </cell>
          <cell r="C157" t="str">
            <v>0100175134</v>
          </cell>
          <cell r="D157" t="str">
            <v>764174C</v>
          </cell>
          <cell r="E157">
            <v>336</v>
          </cell>
          <cell r="F157">
            <v>43492</v>
          </cell>
          <cell r="G157" t="str">
            <v>OK</v>
          </cell>
        </row>
        <row r="158">
          <cell r="A158" t="str">
            <v>Y1902-0108</v>
          </cell>
          <cell r="B158">
            <v>201810</v>
          </cell>
          <cell r="C158" t="str">
            <v>0100175135</v>
          </cell>
          <cell r="D158" t="str">
            <v>764236C</v>
          </cell>
          <cell r="E158">
            <v>1812</v>
          </cell>
          <cell r="F158">
            <v>43486</v>
          </cell>
          <cell r="G158" t="str">
            <v>OK</v>
          </cell>
        </row>
        <row r="159">
          <cell r="A159" t="str">
            <v>Y1902-0109</v>
          </cell>
          <cell r="B159">
            <v>201810</v>
          </cell>
          <cell r="C159" t="str">
            <v>0100175136</v>
          </cell>
          <cell r="D159" t="str">
            <v>764237C</v>
          </cell>
          <cell r="E159">
            <v>1800</v>
          </cell>
          <cell r="F159">
            <v>43486</v>
          </cell>
          <cell r="G159" t="str">
            <v>OK</v>
          </cell>
        </row>
        <row r="160">
          <cell r="A160" t="str">
            <v>Y1902-0110</v>
          </cell>
          <cell r="B160">
            <v>201810</v>
          </cell>
          <cell r="C160" t="str">
            <v>0100175137</v>
          </cell>
          <cell r="D160" t="str">
            <v>764238C</v>
          </cell>
          <cell r="E160">
            <v>1812</v>
          </cell>
          <cell r="F160">
            <v>43486</v>
          </cell>
          <cell r="G160" t="str">
            <v>OK</v>
          </cell>
        </row>
        <row r="161">
          <cell r="A161" t="str">
            <v>Y1902-0111</v>
          </cell>
          <cell r="B161">
            <v>201810</v>
          </cell>
          <cell r="C161" t="str">
            <v>0100175138</v>
          </cell>
          <cell r="D161" t="str">
            <v>660740C</v>
          </cell>
          <cell r="E161">
            <v>5340</v>
          </cell>
          <cell r="F161">
            <v>43486</v>
          </cell>
          <cell r="G161" t="str">
            <v>OK</v>
          </cell>
        </row>
        <row r="162">
          <cell r="A162" t="str">
            <v>Y1901-0220</v>
          </cell>
          <cell r="B162">
            <v>201810</v>
          </cell>
          <cell r="C162" t="str">
            <v>0100175139</v>
          </cell>
          <cell r="D162" t="str">
            <v>3J234C</v>
          </cell>
          <cell r="E162">
            <v>1020</v>
          </cell>
          <cell r="F162">
            <v>43488</v>
          </cell>
          <cell r="G162" t="str">
            <v>OK</v>
          </cell>
        </row>
        <row r="163">
          <cell r="A163" t="str">
            <v>Y1901-0221</v>
          </cell>
          <cell r="B163">
            <v>201810</v>
          </cell>
          <cell r="C163" t="str">
            <v>0100175140</v>
          </cell>
          <cell r="D163" t="str">
            <v>159792C</v>
          </cell>
          <cell r="E163">
            <v>1812</v>
          </cell>
          <cell r="F163">
            <v>43493</v>
          </cell>
          <cell r="G163" t="str">
            <v>OK</v>
          </cell>
        </row>
        <row r="164">
          <cell r="A164" t="str">
            <v>Y1902-0112</v>
          </cell>
          <cell r="B164">
            <v>201810</v>
          </cell>
          <cell r="C164" t="str">
            <v>0100175141</v>
          </cell>
          <cell r="D164" t="str">
            <v>660742C</v>
          </cell>
          <cell r="E164">
            <v>4140</v>
          </cell>
          <cell r="F164">
            <v>43486</v>
          </cell>
          <cell r="G164" t="str">
            <v>OK</v>
          </cell>
        </row>
        <row r="165">
          <cell r="A165" t="str">
            <v>Y1901-0222</v>
          </cell>
          <cell r="B165">
            <v>201810</v>
          </cell>
          <cell r="C165" t="str">
            <v>0100175149</v>
          </cell>
          <cell r="D165" t="str">
            <v>163377C</v>
          </cell>
          <cell r="E165">
            <v>1404</v>
          </cell>
          <cell r="F165">
            <v>43488</v>
          </cell>
          <cell r="G165" t="str">
            <v>OK</v>
          </cell>
        </row>
        <row r="166">
          <cell r="A166" t="str">
            <v>Y1901-0223</v>
          </cell>
          <cell r="B166">
            <v>201810</v>
          </cell>
          <cell r="C166" t="str">
            <v>0100175150</v>
          </cell>
          <cell r="D166" t="str">
            <v>163380C</v>
          </cell>
          <cell r="E166">
            <v>684</v>
          </cell>
          <cell r="F166">
            <v>43488</v>
          </cell>
          <cell r="G166" t="str">
            <v>OK</v>
          </cell>
        </row>
        <row r="167">
          <cell r="A167" t="str">
            <v>Y1901-0224</v>
          </cell>
          <cell r="B167">
            <v>201810</v>
          </cell>
          <cell r="C167" t="str">
            <v>0100175151</v>
          </cell>
          <cell r="D167" t="str">
            <v>3J238C</v>
          </cell>
          <cell r="E167">
            <v>1704</v>
          </cell>
          <cell r="F167">
            <v>43488</v>
          </cell>
          <cell r="G167" t="str">
            <v>OK</v>
          </cell>
        </row>
        <row r="168">
          <cell r="A168" t="str">
            <v>Y1901-0225</v>
          </cell>
          <cell r="B168">
            <v>201810</v>
          </cell>
          <cell r="C168" t="str">
            <v>0100175152</v>
          </cell>
          <cell r="D168" t="str">
            <v>7J234C</v>
          </cell>
          <cell r="E168">
            <v>1032</v>
          </cell>
          <cell r="F168">
            <v>43488</v>
          </cell>
          <cell r="G168" t="str">
            <v>OK</v>
          </cell>
        </row>
        <row r="169">
          <cell r="A169" t="str">
            <v>Y1902-0019A</v>
          </cell>
          <cell r="B169">
            <v>201810</v>
          </cell>
          <cell r="C169" t="str">
            <v>0100175153</v>
          </cell>
          <cell r="D169" t="str">
            <v>663998C</v>
          </cell>
          <cell r="E169">
            <v>1800</v>
          </cell>
          <cell r="F169">
            <v>43492</v>
          </cell>
          <cell r="G169" t="str">
            <v>OK</v>
          </cell>
        </row>
        <row r="170">
          <cell r="A170" t="str">
            <v>Y1902-0120</v>
          </cell>
          <cell r="B170">
            <v>201810</v>
          </cell>
          <cell r="C170" t="str">
            <v>0100175154</v>
          </cell>
          <cell r="D170" t="str">
            <v>663999C</v>
          </cell>
          <cell r="E170">
            <v>1800</v>
          </cell>
          <cell r="F170">
            <v>43486</v>
          </cell>
          <cell r="G170" t="str">
            <v>OK</v>
          </cell>
        </row>
        <row r="171">
          <cell r="A171" t="str">
            <v>Y1902-0121</v>
          </cell>
          <cell r="B171">
            <v>201810</v>
          </cell>
          <cell r="C171" t="str">
            <v>0100175155</v>
          </cell>
          <cell r="D171" t="str">
            <v>564150C</v>
          </cell>
          <cell r="E171">
            <v>564</v>
          </cell>
          <cell r="F171">
            <v>43487</v>
          </cell>
          <cell r="G171" t="str">
            <v>OK</v>
          </cell>
        </row>
        <row r="172">
          <cell r="A172" t="str">
            <v>Y1902-0122</v>
          </cell>
          <cell r="B172">
            <v>201810</v>
          </cell>
          <cell r="C172" t="str">
            <v>0100175156</v>
          </cell>
          <cell r="D172" t="str">
            <v>564151C</v>
          </cell>
          <cell r="E172">
            <v>228</v>
          </cell>
          <cell r="F172">
            <v>43487</v>
          </cell>
          <cell r="G172" t="str">
            <v>OK</v>
          </cell>
        </row>
        <row r="173">
          <cell r="A173" t="str">
            <v>Y1902-0123</v>
          </cell>
          <cell r="B173">
            <v>201810</v>
          </cell>
          <cell r="C173" t="str">
            <v>0100175157</v>
          </cell>
          <cell r="D173" t="str">
            <v>564152C</v>
          </cell>
          <cell r="E173">
            <v>1068</v>
          </cell>
          <cell r="F173">
            <v>43487</v>
          </cell>
          <cell r="G173" t="str">
            <v>OK</v>
          </cell>
        </row>
        <row r="174">
          <cell r="A174" t="str">
            <v>Y1902-0124</v>
          </cell>
          <cell r="B174">
            <v>201810</v>
          </cell>
          <cell r="C174" t="str">
            <v>0100175158</v>
          </cell>
          <cell r="D174" t="str">
            <v>564153C</v>
          </cell>
          <cell r="E174">
            <v>1332</v>
          </cell>
          <cell r="F174">
            <v>43487</v>
          </cell>
          <cell r="G174" t="str">
            <v>OK</v>
          </cell>
        </row>
        <row r="175">
          <cell r="A175" t="str">
            <v>Y1902-0125</v>
          </cell>
          <cell r="B175">
            <v>201810</v>
          </cell>
          <cell r="C175" t="str">
            <v>0100175159</v>
          </cell>
          <cell r="D175" t="str">
            <v>564154C</v>
          </cell>
          <cell r="E175">
            <v>228</v>
          </cell>
          <cell r="F175">
            <v>43487</v>
          </cell>
          <cell r="G175" t="str">
            <v>OK</v>
          </cell>
        </row>
        <row r="176">
          <cell r="A176" t="str">
            <v>Y1901-0226</v>
          </cell>
          <cell r="B176">
            <v>201810</v>
          </cell>
          <cell r="C176" t="str">
            <v>0100175162</v>
          </cell>
          <cell r="D176" t="str">
            <v>7J253C</v>
          </cell>
          <cell r="E176">
            <v>4440</v>
          </cell>
          <cell r="F176">
            <v>43488</v>
          </cell>
          <cell r="G176" t="str">
            <v>OK</v>
          </cell>
        </row>
        <row r="177">
          <cell r="A177" t="str">
            <v>Y1901-0227</v>
          </cell>
          <cell r="B177">
            <v>201810</v>
          </cell>
          <cell r="C177" t="str">
            <v>0100175166</v>
          </cell>
          <cell r="D177" t="str">
            <v>7J256C</v>
          </cell>
          <cell r="E177">
            <v>7992</v>
          </cell>
          <cell r="F177">
            <v>43488</v>
          </cell>
          <cell r="G177" t="str">
            <v>OK</v>
          </cell>
        </row>
        <row r="178">
          <cell r="A178" t="str">
            <v>Y1901-0228</v>
          </cell>
          <cell r="B178">
            <v>201810</v>
          </cell>
          <cell r="C178" t="str">
            <v>0100175168</v>
          </cell>
          <cell r="D178">
            <v>88865</v>
          </cell>
          <cell r="E178">
            <v>7380</v>
          </cell>
          <cell r="F178">
            <v>43488</v>
          </cell>
          <cell r="G178" t="str">
            <v>OK</v>
          </cell>
        </row>
        <row r="179">
          <cell r="A179" t="str">
            <v>Y1902-0137</v>
          </cell>
          <cell r="B179">
            <v>201810</v>
          </cell>
          <cell r="C179" t="str">
            <v>0100175174</v>
          </cell>
          <cell r="D179" t="str">
            <v>164217C</v>
          </cell>
          <cell r="E179">
            <v>1230</v>
          </cell>
          <cell r="F179">
            <v>43486</v>
          </cell>
          <cell r="G179" t="str">
            <v>OK</v>
          </cell>
        </row>
        <row r="180">
          <cell r="A180" t="str">
            <v>Y1902-0138</v>
          </cell>
          <cell r="B180">
            <v>201810</v>
          </cell>
          <cell r="C180" t="str">
            <v>0100175175</v>
          </cell>
          <cell r="D180" t="str">
            <v>164218C</v>
          </cell>
          <cell r="E180">
            <v>1470</v>
          </cell>
          <cell r="F180">
            <v>43486</v>
          </cell>
          <cell r="G180" t="str">
            <v>OK</v>
          </cell>
        </row>
        <row r="181">
          <cell r="A181" t="str">
            <v>Y1902-0139</v>
          </cell>
          <cell r="B181">
            <v>201810</v>
          </cell>
          <cell r="C181" t="str">
            <v>0100175176</v>
          </cell>
          <cell r="D181" t="str">
            <v>164219C</v>
          </cell>
          <cell r="E181">
            <v>1422</v>
          </cell>
          <cell r="F181">
            <v>43486</v>
          </cell>
          <cell r="G181" t="str">
            <v>OK</v>
          </cell>
        </row>
        <row r="182">
          <cell r="A182" t="str">
            <v>Y1902-0140</v>
          </cell>
          <cell r="B182">
            <v>201810</v>
          </cell>
          <cell r="C182" t="str">
            <v>0100175177</v>
          </cell>
          <cell r="D182" t="str">
            <v>164220C</v>
          </cell>
          <cell r="E182">
            <v>762</v>
          </cell>
          <cell r="F182">
            <v>43486</v>
          </cell>
          <cell r="G182" t="str">
            <v>OK</v>
          </cell>
        </row>
        <row r="183">
          <cell r="A183" t="str">
            <v>Y1901-0229</v>
          </cell>
          <cell r="B183">
            <v>201810</v>
          </cell>
          <cell r="C183" t="str">
            <v>0100175179</v>
          </cell>
          <cell r="D183">
            <v>88871</v>
          </cell>
          <cell r="E183">
            <v>5688</v>
          </cell>
          <cell r="F183">
            <v>43488</v>
          </cell>
          <cell r="G183" t="str">
            <v>OK</v>
          </cell>
        </row>
        <row r="184">
          <cell r="A184" t="str">
            <v>Y1902-0142</v>
          </cell>
          <cell r="B184">
            <v>201810</v>
          </cell>
          <cell r="C184" t="str">
            <v>0100175180</v>
          </cell>
          <cell r="D184">
            <v>88875</v>
          </cell>
          <cell r="E184">
            <v>888</v>
          </cell>
          <cell r="F184">
            <v>43486</v>
          </cell>
          <cell r="G184" t="str">
            <v>OK</v>
          </cell>
        </row>
        <row r="185">
          <cell r="A185" t="str">
            <v>Y1902-0143</v>
          </cell>
          <cell r="B185">
            <v>201810</v>
          </cell>
          <cell r="C185" t="str">
            <v>0100175181</v>
          </cell>
          <cell r="D185">
            <v>88877</v>
          </cell>
          <cell r="E185">
            <v>1908</v>
          </cell>
          <cell r="F185">
            <v>43486</v>
          </cell>
          <cell r="G185" t="str">
            <v>OK</v>
          </cell>
        </row>
        <row r="186">
          <cell r="A186" t="str">
            <v>Y1901-0230</v>
          </cell>
          <cell r="B186">
            <v>201810</v>
          </cell>
          <cell r="C186" t="str">
            <v>0100175182</v>
          </cell>
          <cell r="D186" t="str">
            <v>8J231</v>
          </cell>
          <cell r="E186">
            <v>4380</v>
          </cell>
          <cell r="F186">
            <v>43488</v>
          </cell>
          <cell r="G186" t="str">
            <v>OK</v>
          </cell>
        </row>
        <row r="187">
          <cell r="A187" t="str">
            <v>Y1902-0144</v>
          </cell>
          <cell r="B187">
            <v>201810</v>
          </cell>
          <cell r="C187" t="str">
            <v>0100175183</v>
          </cell>
          <cell r="D187" t="str">
            <v>164358C</v>
          </cell>
          <cell r="E187">
            <v>1212</v>
          </cell>
          <cell r="F187">
            <v>43492</v>
          </cell>
          <cell r="G187" t="str">
            <v>OK</v>
          </cell>
        </row>
        <row r="188">
          <cell r="A188" t="str">
            <v>Y1902-0145</v>
          </cell>
          <cell r="B188">
            <v>201810</v>
          </cell>
          <cell r="C188" t="str">
            <v>0100175184</v>
          </cell>
          <cell r="D188" t="str">
            <v>164359C</v>
          </cell>
          <cell r="E188">
            <v>570</v>
          </cell>
          <cell r="F188">
            <v>43492</v>
          </cell>
          <cell r="G188" t="str">
            <v>OK</v>
          </cell>
        </row>
        <row r="189">
          <cell r="A189" t="str">
            <v>Y1902-0146</v>
          </cell>
          <cell r="B189">
            <v>201810</v>
          </cell>
          <cell r="C189" t="str">
            <v>0100175185</v>
          </cell>
          <cell r="D189" t="str">
            <v>164360C</v>
          </cell>
          <cell r="E189">
            <v>1650</v>
          </cell>
          <cell r="F189">
            <v>43492</v>
          </cell>
          <cell r="G189" t="str">
            <v>OK</v>
          </cell>
        </row>
        <row r="190">
          <cell r="A190" t="str">
            <v>Y1902-0147</v>
          </cell>
          <cell r="B190">
            <v>201810</v>
          </cell>
          <cell r="C190" t="str">
            <v>0100175186</v>
          </cell>
          <cell r="D190" t="str">
            <v>164361C</v>
          </cell>
          <cell r="E190">
            <v>1026</v>
          </cell>
          <cell r="F190">
            <v>43492</v>
          </cell>
          <cell r="G190" t="str">
            <v>OK</v>
          </cell>
        </row>
        <row r="191">
          <cell r="A191" t="str">
            <v>Y1902-0148</v>
          </cell>
          <cell r="B191">
            <v>201810</v>
          </cell>
          <cell r="C191" t="str">
            <v>0100175187</v>
          </cell>
          <cell r="D191" t="str">
            <v>164362C</v>
          </cell>
          <cell r="E191">
            <v>708</v>
          </cell>
          <cell r="F191">
            <v>43492</v>
          </cell>
          <cell r="G191" t="str">
            <v>OK</v>
          </cell>
        </row>
        <row r="192">
          <cell r="A192" t="str">
            <v>Y1902-0150</v>
          </cell>
          <cell r="B192">
            <v>201810</v>
          </cell>
          <cell r="C192" t="str">
            <v>0100175189</v>
          </cell>
          <cell r="D192" t="str">
            <v>164390C</v>
          </cell>
          <cell r="E192">
            <v>1044</v>
          </cell>
          <cell r="F192">
            <v>43486</v>
          </cell>
          <cell r="G192" t="str">
            <v>OK</v>
          </cell>
        </row>
        <row r="193">
          <cell r="A193" t="str">
            <v>Y1902-0151</v>
          </cell>
          <cell r="B193">
            <v>201810</v>
          </cell>
          <cell r="C193" t="str">
            <v>0100175190</v>
          </cell>
          <cell r="D193" t="str">
            <v>164391C</v>
          </cell>
          <cell r="E193">
            <v>432</v>
          </cell>
          <cell r="F193">
            <v>43486</v>
          </cell>
          <cell r="G193" t="str">
            <v>OK</v>
          </cell>
        </row>
        <row r="194">
          <cell r="A194" t="str">
            <v>Y1902-0153</v>
          </cell>
          <cell r="B194">
            <v>201810</v>
          </cell>
          <cell r="C194" t="str">
            <v>0100175192</v>
          </cell>
          <cell r="D194" t="str">
            <v>164393C</v>
          </cell>
          <cell r="E194">
            <v>852</v>
          </cell>
          <cell r="F194">
            <v>43486</v>
          </cell>
          <cell r="G194" t="str">
            <v>OK</v>
          </cell>
        </row>
        <row r="195">
          <cell r="A195" t="str">
            <v>Y1901-0231</v>
          </cell>
          <cell r="B195">
            <v>201810</v>
          </cell>
          <cell r="C195" t="str">
            <v>0100175193</v>
          </cell>
          <cell r="D195" t="str">
            <v>636930C</v>
          </cell>
          <cell r="E195">
            <v>2772</v>
          </cell>
          <cell r="F195">
            <v>43488</v>
          </cell>
          <cell r="G195" t="str">
            <v>OK</v>
          </cell>
        </row>
        <row r="196">
          <cell r="A196" t="str">
            <v>Y1901-0232</v>
          </cell>
          <cell r="B196">
            <v>201810</v>
          </cell>
          <cell r="C196" t="str">
            <v>0100175194</v>
          </cell>
          <cell r="D196" t="str">
            <v>164525C</v>
          </cell>
          <cell r="E196">
            <v>684</v>
          </cell>
          <cell r="F196">
            <v>43488</v>
          </cell>
          <cell r="G196" t="str">
            <v>OK</v>
          </cell>
        </row>
        <row r="197">
          <cell r="A197" t="str">
            <v>Y1902-0155</v>
          </cell>
          <cell r="B197">
            <v>201810</v>
          </cell>
          <cell r="C197" t="str">
            <v>0100175196</v>
          </cell>
          <cell r="D197">
            <v>81229</v>
          </cell>
          <cell r="E197">
            <v>3000</v>
          </cell>
          <cell r="F197">
            <v>43492</v>
          </cell>
          <cell r="G197" t="str">
            <v>OK</v>
          </cell>
        </row>
        <row r="198">
          <cell r="A198" t="str">
            <v>Y1902-0156</v>
          </cell>
          <cell r="B198">
            <v>201810</v>
          </cell>
          <cell r="C198" t="str">
            <v>0100175197</v>
          </cell>
          <cell r="D198" t="str">
            <v>151202C</v>
          </cell>
          <cell r="E198">
            <v>14988</v>
          </cell>
          <cell r="F198">
            <v>43486</v>
          </cell>
          <cell r="G198" t="str">
            <v>OK</v>
          </cell>
        </row>
        <row r="199">
          <cell r="A199" t="str">
            <v>Y1902-0157</v>
          </cell>
          <cell r="B199">
            <v>201810</v>
          </cell>
          <cell r="C199" t="str">
            <v>0100175198</v>
          </cell>
          <cell r="D199" t="str">
            <v>157607C</v>
          </cell>
          <cell r="E199">
            <v>5976</v>
          </cell>
          <cell r="F199">
            <v>43486</v>
          </cell>
          <cell r="G199" t="str">
            <v>OK</v>
          </cell>
        </row>
        <row r="200">
          <cell r="A200" t="str">
            <v>Y1902-0158</v>
          </cell>
          <cell r="B200">
            <v>201810</v>
          </cell>
          <cell r="C200" t="str">
            <v>0100175199</v>
          </cell>
          <cell r="D200" t="str">
            <v>560628C</v>
          </cell>
          <cell r="E200">
            <v>3888</v>
          </cell>
          <cell r="F200">
            <v>43486</v>
          </cell>
          <cell r="G200" t="str">
            <v>OK</v>
          </cell>
        </row>
        <row r="201">
          <cell r="A201" t="str">
            <v>Y1902-0159</v>
          </cell>
          <cell r="B201">
            <v>201810</v>
          </cell>
          <cell r="C201" t="str">
            <v>0100175200</v>
          </cell>
          <cell r="D201" t="str">
            <v>560629C</v>
          </cell>
          <cell r="E201">
            <v>4260</v>
          </cell>
          <cell r="F201">
            <v>43486</v>
          </cell>
          <cell r="G201" t="str">
            <v>OK</v>
          </cell>
        </row>
        <row r="202">
          <cell r="A202" t="str">
            <v>Y1902-0160</v>
          </cell>
          <cell r="B202">
            <v>201810</v>
          </cell>
          <cell r="C202" t="str">
            <v>0100175201</v>
          </cell>
          <cell r="D202" t="str">
            <v>560630C</v>
          </cell>
          <cell r="E202">
            <v>2964</v>
          </cell>
          <cell r="F202">
            <v>43486</v>
          </cell>
          <cell r="G202" t="str">
            <v>OK</v>
          </cell>
        </row>
        <row r="203">
          <cell r="A203" t="str">
            <v>Y1901-0233</v>
          </cell>
          <cell r="B203">
            <v>201810</v>
          </cell>
          <cell r="C203" t="str">
            <v>0100175202</v>
          </cell>
          <cell r="D203" t="str">
            <v>560633C</v>
          </cell>
          <cell r="E203">
            <v>4692</v>
          </cell>
          <cell r="F203">
            <v>43493</v>
          </cell>
          <cell r="G203" t="str">
            <v>OK</v>
          </cell>
        </row>
        <row r="204">
          <cell r="A204" t="str">
            <v>Y1902-0187</v>
          </cell>
          <cell r="B204">
            <v>201810</v>
          </cell>
          <cell r="C204" t="str">
            <v>0100175229</v>
          </cell>
          <cell r="D204" t="str">
            <v>158369C</v>
          </cell>
          <cell r="E204">
            <v>372</v>
          </cell>
          <cell r="F204">
            <v>43486</v>
          </cell>
          <cell r="G204" t="str">
            <v>OK</v>
          </cell>
        </row>
        <row r="205">
          <cell r="A205" t="str">
            <v>Y1902-0197</v>
          </cell>
          <cell r="B205">
            <v>201810</v>
          </cell>
          <cell r="C205" t="str">
            <v>0100175239</v>
          </cell>
          <cell r="D205" t="str">
            <v>158371C</v>
          </cell>
          <cell r="E205">
            <v>1176</v>
          </cell>
          <cell r="F205">
            <v>43486</v>
          </cell>
          <cell r="G205" t="str">
            <v>OK</v>
          </cell>
        </row>
        <row r="206">
          <cell r="A206" t="str">
            <v>Y1901-0234</v>
          </cell>
          <cell r="B206">
            <v>201810</v>
          </cell>
          <cell r="C206" t="str">
            <v>0100175356</v>
          </cell>
          <cell r="D206" t="str">
            <v>565548C</v>
          </cell>
          <cell r="E206">
            <v>91</v>
          </cell>
          <cell r="F206">
            <v>43481</v>
          </cell>
          <cell r="G206" t="str">
            <v>OK</v>
          </cell>
        </row>
        <row r="207">
          <cell r="A207" t="str">
            <v>Y1901-0235</v>
          </cell>
          <cell r="B207">
            <v>201810</v>
          </cell>
          <cell r="C207" t="str">
            <v>0100175357</v>
          </cell>
          <cell r="D207" t="str">
            <v>764173C</v>
          </cell>
          <cell r="E207">
            <v>120</v>
          </cell>
          <cell r="F207">
            <v>43486</v>
          </cell>
          <cell r="G207" t="str">
            <v>OK</v>
          </cell>
        </row>
        <row r="208">
          <cell r="A208" t="str">
            <v>Y1901-0236</v>
          </cell>
          <cell r="B208">
            <v>201810</v>
          </cell>
          <cell r="C208" t="str">
            <v>0100175392</v>
          </cell>
          <cell r="D208" t="str">
            <v>617663F</v>
          </cell>
          <cell r="E208">
            <v>1116</v>
          </cell>
          <cell r="F208">
            <v>43484</v>
          </cell>
          <cell r="G208" t="str">
            <v>OK</v>
          </cell>
        </row>
        <row r="209">
          <cell r="A209" t="str">
            <v>Y1901-0237</v>
          </cell>
          <cell r="B209">
            <v>201810</v>
          </cell>
          <cell r="C209" t="str">
            <v>0100175393</v>
          </cell>
          <cell r="D209" t="str">
            <v>161599C</v>
          </cell>
          <cell r="E209">
            <v>204</v>
          </cell>
          <cell r="F209">
            <v>43490</v>
          </cell>
          <cell r="G209" t="str">
            <v>OK</v>
          </cell>
        </row>
        <row r="210">
          <cell r="A210" t="str">
            <v>Y1901-0238</v>
          </cell>
          <cell r="B210">
            <v>201810</v>
          </cell>
          <cell r="C210" t="str">
            <v>0100175394</v>
          </cell>
          <cell r="D210" t="str">
            <v>162884C</v>
          </cell>
          <cell r="E210">
            <v>468</v>
          </cell>
          <cell r="F210">
            <v>43475</v>
          </cell>
          <cell r="G210" t="str">
            <v>OK</v>
          </cell>
        </row>
        <row r="211">
          <cell r="A211" t="str">
            <v>Y1901-0239</v>
          </cell>
          <cell r="B211">
            <v>201810</v>
          </cell>
          <cell r="C211" t="str">
            <v>0100175395</v>
          </cell>
          <cell r="D211" t="str">
            <v>162580C</v>
          </cell>
          <cell r="E211">
            <v>120</v>
          </cell>
          <cell r="F211">
            <v>43490</v>
          </cell>
          <cell r="G211" t="str">
            <v>OK</v>
          </cell>
        </row>
        <row r="212">
          <cell r="A212" t="str">
            <v>Y1901-0240</v>
          </cell>
          <cell r="B212">
            <v>201810</v>
          </cell>
          <cell r="C212" t="str">
            <v>0100175396</v>
          </cell>
          <cell r="D212" t="str">
            <v>164058C</v>
          </cell>
          <cell r="E212">
            <v>1980</v>
          </cell>
          <cell r="F212">
            <v>43475</v>
          </cell>
          <cell r="G212" t="str">
            <v>OK</v>
          </cell>
        </row>
        <row r="213">
          <cell r="A213" t="str">
            <v>Y1901-0241</v>
          </cell>
          <cell r="B213">
            <v>201810</v>
          </cell>
          <cell r="C213" t="str">
            <v>0100175398</v>
          </cell>
          <cell r="D213" t="str">
            <v>3J237</v>
          </cell>
          <cell r="E213">
            <v>1248</v>
          </cell>
          <cell r="F213">
            <v>43490</v>
          </cell>
          <cell r="G213" t="str">
            <v>OK</v>
          </cell>
        </row>
        <row r="214">
          <cell r="A214" t="str">
            <v>Y1901-0242</v>
          </cell>
          <cell r="B214">
            <v>201810</v>
          </cell>
          <cell r="C214" t="str">
            <v>0100175399</v>
          </cell>
          <cell r="D214">
            <v>88871</v>
          </cell>
          <cell r="E214">
            <v>1860</v>
          </cell>
          <cell r="F214">
            <v>43486</v>
          </cell>
          <cell r="G214" t="str">
            <v>OK</v>
          </cell>
        </row>
        <row r="215">
          <cell r="A215" t="str">
            <v>Y1901-0243</v>
          </cell>
          <cell r="B215">
            <v>201810</v>
          </cell>
          <cell r="C215" t="str">
            <v>0100175400</v>
          </cell>
          <cell r="D215" t="str">
            <v>3J253</v>
          </cell>
          <cell r="E215">
            <v>1932</v>
          </cell>
          <cell r="F215">
            <v>43486</v>
          </cell>
          <cell r="G215" t="str">
            <v>OK</v>
          </cell>
        </row>
        <row r="216">
          <cell r="A216" t="str">
            <v>Y1901-0244</v>
          </cell>
          <cell r="B216">
            <v>201810</v>
          </cell>
          <cell r="C216" t="str">
            <v>0100175401</v>
          </cell>
          <cell r="D216" t="str">
            <v>3J256</v>
          </cell>
          <cell r="E216">
            <v>1812</v>
          </cell>
          <cell r="F216">
            <v>43472</v>
          </cell>
          <cell r="G216" t="str">
            <v>OK</v>
          </cell>
        </row>
        <row r="217">
          <cell r="A217" t="str">
            <v>Y1901-0245</v>
          </cell>
          <cell r="B217">
            <v>201810</v>
          </cell>
          <cell r="C217" t="str">
            <v>0100175402</v>
          </cell>
          <cell r="D217" t="str">
            <v>3J256</v>
          </cell>
          <cell r="E217">
            <v>948</v>
          </cell>
          <cell r="F217">
            <v>43477</v>
          </cell>
          <cell r="G217" t="str">
            <v>OK</v>
          </cell>
        </row>
        <row r="218">
          <cell r="A218" t="str">
            <v>Y1901-0246</v>
          </cell>
          <cell r="B218">
            <v>201810</v>
          </cell>
          <cell r="C218" t="str">
            <v>0100175405</v>
          </cell>
          <cell r="D218" t="str">
            <v>159484F</v>
          </cell>
          <cell r="E218">
            <v>990</v>
          </cell>
          <cell r="F218">
            <v>43490</v>
          </cell>
          <cell r="G218" t="str">
            <v>OK</v>
          </cell>
        </row>
        <row r="219">
          <cell r="A219" t="str">
            <v>Y1901-0247</v>
          </cell>
          <cell r="B219">
            <v>201810</v>
          </cell>
          <cell r="C219" t="str">
            <v>0100175406</v>
          </cell>
          <cell r="D219" t="str">
            <v>163269C</v>
          </cell>
          <cell r="E219">
            <v>300</v>
          </cell>
          <cell r="F219">
            <v>43490</v>
          </cell>
          <cell r="G219" t="str">
            <v>OK</v>
          </cell>
        </row>
        <row r="220">
          <cell r="A220" t="str">
            <v>Y1901-0248</v>
          </cell>
          <cell r="B220">
            <v>201810</v>
          </cell>
          <cell r="C220" t="str">
            <v>0100175407</v>
          </cell>
          <cell r="D220" t="str">
            <v>158371C</v>
          </cell>
          <cell r="E220">
            <v>144</v>
          </cell>
          <cell r="F220">
            <v>43490</v>
          </cell>
          <cell r="G220" t="str">
            <v>OK</v>
          </cell>
        </row>
        <row r="221">
          <cell r="A221" t="str">
            <v>Y1901-0249</v>
          </cell>
          <cell r="B221">
            <v>201810</v>
          </cell>
          <cell r="C221" t="str">
            <v>0100175408</v>
          </cell>
          <cell r="D221" t="str">
            <v>163380C</v>
          </cell>
          <cell r="E221">
            <v>1020</v>
          </cell>
          <cell r="F221">
            <v>43490</v>
          </cell>
          <cell r="G221" t="str">
            <v>OK</v>
          </cell>
        </row>
        <row r="222">
          <cell r="A222" t="str">
            <v>Y1901-0250</v>
          </cell>
          <cell r="B222">
            <v>201810</v>
          </cell>
          <cell r="C222" t="str">
            <v>0100175409</v>
          </cell>
          <cell r="D222" t="str">
            <v>663605C</v>
          </cell>
          <cell r="E222">
            <v>828</v>
          </cell>
          <cell r="F222">
            <v>43475</v>
          </cell>
          <cell r="G222" t="str">
            <v>OK</v>
          </cell>
        </row>
        <row r="223">
          <cell r="A223" t="str">
            <v>Y1901-0251</v>
          </cell>
          <cell r="B223">
            <v>201810</v>
          </cell>
          <cell r="C223" t="str">
            <v>0100175410</v>
          </cell>
          <cell r="D223" t="str">
            <v>663605C</v>
          </cell>
          <cell r="E223">
            <v>624</v>
          </cell>
          <cell r="F223">
            <v>43490</v>
          </cell>
          <cell r="G223" t="str">
            <v>OK</v>
          </cell>
        </row>
        <row r="224">
          <cell r="A224" t="str">
            <v>Y1901-0252</v>
          </cell>
          <cell r="B224">
            <v>201810</v>
          </cell>
          <cell r="C224" t="str">
            <v>0100175412</v>
          </cell>
          <cell r="D224" t="str">
            <v>663608C</v>
          </cell>
          <cell r="E224">
            <v>1512</v>
          </cell>
          <cell r="F224">
            <v>43475</v>
          </cell>
          <cell r="G224" t="str">
            <v>OK</v>
          </cell>
        </row>
        <row r="225">
          <cell r="A225" t="str">
            <v>Y1901-0253</v>
          </cell>
          <cell r="B225">
            <v>201810</v>
          </cell>
          <cell r="C225" t="str">
            <v>0100175413</v>
          </cell>
          <cell r="D225" t="str">
            <v>663608C</v>
          </cell>
          <cell r="E225">
            <v>732</v>
          </cell>
          <cell r="F225">
            <v>43490</v>
          </cell>
          <cell r="G225" t="str">
            <v>OK</v>
          </cell>
        </row>
        <row r="226">
          <cell r="A226" t="str">
            <v>Y1901-0254</v>
          </cell>
          <cell r="B226">
            <v>201810</v>
          </cell>
          <cell r="C226" t="str">
            <v>0100175415</v>
          </cell>
          <cell r="D226" t="str">
            <v>W9160</v>
          </cell>
          <cell r="E226">
            <v>2736</v>
          </cell>
          <cell r="F226">
            <v>43490</v>
          </cell>
          <cell r="G226" t="str">
            <v>OK</v>
          </cell>
        </row>
        <row r="227">
          <cell r="A227" t="str">
            <v>Y1901-0255</v>
          </cell>
          <cell r="B227">
            <v>201810</v>
          </cell>
          <cell r="C227" t="str">
            <v>0100175416</v>
          </cell>
          <cell r="D227" t="str">
            <v>W9160</v>
          </cell>
          <cell r="E227">
            <v>420</v>
          </cell>
          <cell r="F227">
            <v>43490</v>
          </cell>
          <cell r="G227" t="str">
            <v>OK</v>
          </cell>
        </row>
        <row r="228">
          <cell r="A228" t="str">
            <v>Y1901-0256</v>
          </cell>
          <cell r="B228">
            <v>201810</v>
          </cell>
          <cell r="C228" t="str">
            <v>0100175417</v>
          </cell>
          <cell r="D228" t="str">
            <v>W9166</v>
          </cell>
          <cell r="E228">
            <v>6732</v>
          </cell>
          <cell r="F228">
            <v>43490</v>
          </cell>
          <cell r="G228" t="str">
            <v>OK</v>
          </cell>
        </row>
        <row r="229">
          <cell r="A229" t="str">
            <v>Y1901-0257</v>
          </cell>
          <cell r="B229">
            <v>201810</v>
          </cell>
          <cell r="C229" t="str">
            <v>0100175418</v>
          </cell>
          <cell r="D229" t="str">
            <v>W9166</v>
          </cell>
          <cell r="E229">
            <v>3480</v>
          </cell>
          <cell r="F229">
            <v>43490</v>
          </cell>
          <cell r="G229" t="str">
            <v>OK</v>
          </cell>
        </row>
        <row r="230">
          <cell r="A230" t="str">
            <v>Y1901-0258</v>
          </cell>
          <cell r="B230">
            <v>201810</v>
          </cell>
          <cell r="C230" t="str">
            <v>0100175419</v>
          </cell>
          <cell r="D230" t="str">
            <v>164058C</v>
          </cell>
          <cell r="E230">
            <v>1116</v>
          </cell>
          <cell r="F230">
            <v>43490</v>
          </cell>
          <cell r="G230" t="str">
            <v>OK</v>
          </cell>
        </row>
        <row r="231">
          <cell r="A231" t="str">
            <v>Y1901-0259</v>
          </cell>
          <cell r="B231">
            <v>201810</v>
          </cell>
          <cell r="C231" t="str">
            <v>0100175420</v>
          </cell>
          <cell r="D231" t="str">
            <v>164059C</v>
          </cell>
          <cell r="E231">
            <v>804</v>
          </cell>
          <cell r="F231">
            <v>43475</v>
          </cell>
          <cell r="G231" t="str">
            <v>OK</v>
          </cell>
        </row>
        <row r="232">
          <cell r="A232" t="str">
            <v>Y1901-0260</v>
          </cell>
          <cell r="B232">
            <v>201810</v>
          </cell>
          <cell r="C232" t="str">
            <v>0100175421</v>
          </cell>
          <cell r="D232" t="str">
            <v>764437C</v>
          </cell>
          <cell r="E232">
            <v>168</v>
          </cell>
          <cell r="F232">
            <v>43490</v>
          </cell>
          <cell r="G232" t="str">
            <v>OK</v>
          </cell>
        </row>
        <row r="233">
          <cell r="A233" t="str">
            <v>Y1901-0261</v>
          </cell>
          <cell r="B233">
            <v>201810</v>
          </cell>
          <cell r="C233" t="str">
            <v>0100175422</v>
          </cell>
          <cell r="D233" t="str">
            <v>764438C</v>
          </cell>
          <cell r="E233">
            <v>168</v>
          </cell>
          <cell r="F233">
            <v>43490</v>
          </cell>
          <cell r="G233" t="str">
            <v>OK</v>
          </cell>
        </row>
        <row r="234">
          <cell r="A234" t="str">
            <v>Y1901-0262</v>
          </cell>
          <cell r="B234">
            <v>201810</v>
          </cell>
          <cell r="C234" t="str">
            <v>0100175423</v>
          </cell>
          <cell r="D234" t="str">
            <v>764439C</v>
          </cell>
          <cell r="E234">
            <v>168</v>
          </cell>
          <cell r="F234">
            <v>43490</v>
          </cell>
          <cell r="G234" t="str">
            <v>OK</v>
          </cell>
        </row>
        <row r="235">
          <cell r="A235" t="str">
            <v>Y1901-0263</v>
          </cell>
          <cell r="B235">
            <v>201810</v>
          </cell>
          <cell r="C235" t="str">
            <v>0100175424</v>
          </cell>
          <cell r="D235" t="str">
            <v>164060C</v>
          </cell>
          <cell r="E235">
            <v>720</v>
          </cell>
          <cell r="F235">
            <v>43490</v>
          </cell>
          <cell r="G235" t="str">
            <v>OK</v>
          </cell>
        </row>
        <row r="236">
          <cell r="A236" t="str">
            <v>Y1901-0264</v>
          </cell>
          <cell r="B236">
            <v>201810</v>
          </cell>
          <cell r="C236" t="str">
            <v>0100175425</v>
          </cell>
          <cell r="D236" t="str">
            <v>660747C</v>
          </cell>
          <cell r="E236">
            <v>4044</v>
          </cell>
          <cell r="F236">
            <v>43490</v>
          </cell>
          <cell r="G236" t="str">
            <v>OK</v>
          </cell>
        </row>
        <row r="237">
          <cell r="A237" t="str">
            <v>Y1901-0265</v>
          </cell>
          <cell r="B237">
            <v>201810</v>
          </cell>
          <cell r="C237" t="str">
            <v>0100175427</v>
          </cell>
          <cell r="D237" t="str">
            <v>3J234</v>
          </cell>
          <cell r="E237">
            <v>456</v>
          </cell>
          <cell r="F237">
            <v>43490</v>
          </cell>
          <cell r="G237" t="str">
            <v>OK</v>
          </cell>
        </row>
        <row r="238">
          <cell r="A238" t="str">
            <v>Y1901-0266</v>
          </cell>
          <cell r="B238">
            <v>201810</v>
          </cell>
          <cell r="C238" t="str">
            <v>0100175428</v>
          </cell>
          <cell r="D238" t="str">
            <v>3J234</v>
          </cell>
          <cell r="E238">
            <v>1308</v>
          </cell>
          <cell r="F238">
            <v>43490</v>
          </cell>
          <cell r="G238" t="str">
            <v>OK</v>
          </cell>
        </row>
        <row r="239">
          <cell r="A239" t="str">
            <v>Y1901-0267</v>
          </cell>
          <cell r="B239">
            <v>201810</v>
          </cell>
          <cell r="C239" t="str">
            <v>0100175429</v>
          </cell>
          <cell r="D239" t="str">
            <v>760971C</v>
          </cell>
          <cell r="E239">
            <v>4020</v>
          </cell>
          <cell r="F239">
            <v>43490</v>
          </cell>
          <cell r="G239" t="str">
            <v>OK</v>
          </cell>
        </row>
        <row r="240">
          <cell r="A240" t="str">
            <v>Y1901-0268</v>
          </cell>
          <cell r="B240">
            <v>201810</v>
          </cell>
          <cell r="C240" t="str">
            <v>0100175430</v>
          </cell>
          <cell r="D240" t="str">
            <v>164101C</v>
          </cell>
          <cell r="E240">
            <v>360</v>
          </cell>
          <cell r="F240">
            <v>43492</v>
          </cell>
          <cell r="G240" t="str">
            <v>OK</v>
          </cell>
        </row>
        <row r="241">
          <cell r="A241" t="str">
            <v>Y1901-0269</v>
          </cell>
          <cell r="B241">
            <v>201810</v>
          </cell>
          <cell r="C241" t="str">
            <v>0100175431</v>
          </cell>
          <cell r="D241" t="str">
            <v>164101C</v>
          </cell>
          <cell r="E241">
            <v>660</v>
          </cell>
          <cell r="F241">
            <v>43492</v>
          </cell>
          <cell r="G241" t="str">
            <v>OK</v>
          </cell>
        </row>
        <row r="242">
          <cell r="A242" t="str">
            <v>Y1901-0270</v>
          </cell>
          <cell r="B242">
            <v>201810</v>
          </cell>
          <cell r="C242" t="str">
            <v>0100175432</v>
          </cell>
          <cell r="D242" t="str">
            <v>164103C</v>
          </cell>
          <cell r="E242">
            <v>1134</v>
          </cell>
          <cell r="F242">
            <v>43492</v>
          </cell>
          <cell r="G242" t="str">
            <v>OK</v>
          </cell>
        </row>
        <row r="243">
          <cell r="A243" t="str">
            <v>Y1901-0271</v>
          </cell>
          <cell r="B243">
            <v>201810</v>
          </cell>
          <cell r="C243" t="str">
            <v>0100175433</v>
          </cell>
          <cell r="D243" t="str">
            <v>660971C</v>
          </cell>
          <cell r="E243">
            <v>4416</v>
          </cell>
          <cell r="F243">
            <v>43490</v>
          </cell>
          <cell r="G243" t="str">
            <v>OK</v>
          </cell>
        </row>
        <row r="244">
          <cell r="A244" t="str">
            <v>Y1901-0272</v>
          </cell>
          <cell r="B244">
            <v>201810</v>
          </cell>
          <cell r="C244" t="str">
            <v>0100175434</v>
          </cell>
          <cell r="D244" t="str">
            <v>564204C</v>
          </cell>
          <cell r="E244">
            <v>336</v>
          </cell>
          <cell r="F244">
            <v>43490</v>
          </cell>
          <cell r="G244" t="str">
            <v>OK</v>
          </cell>
        </row>
        <row r="245">
          <cell r="A245" t="str">
            <v>Y1901-0273</v>
          </cell>
          <cell r="B245">
            <v>201810</v>
          </cell>
          <cell r="C245" t="str">
            <v>0100175435</v>
          </cell>
          <cell r="D245" t="str">
            <v>564205C</v>
          </cell>
          <cell r="E245">
            <v>576</v>
          </cell>
          <cell r="F245">
            <v>43490</v>
          </cell>
          <cell r="G245" t="str">
            <v>OK</v>
          </cell>
        </row>
        <row r="246">
          <cell r="A246" t="str">
            <v>Y1901-0274</v>
          </cell>
          <cell r="B246">
            <v>201810</v>
          </cell>
          <cell r="C246" t="str">
            <v>0100175436</v>
          </cell>
          <cell r="D246" t="str">
            <v>564206C</v>
          </cell>
          <cell r="E246">
            <v>900</v>
          </cell>
          <cell r="F246">
            <v>43483</v>
          </cell>
          <cell r="G246" t="str">
            <v>OK</v>
          </cell>
        </row>
        <row r="247">
          <cell r="A247" t="str">
            <v>Y1901-0275</v>
          </cell>
          <cell r="B247">
            <v>201810</v>
          </cell>
          <cell r="C247" t="str">
            <v>0100175437</v>
          </cell>
          <cell r="D247" t="str">
            <v>564207C</v>
          </cell>
          <cell r="E247">
            <v>336</v>
          </cell>
          <cell r="F247">
            <v>43490</v>
          </cell>
          <cell r="G247" t="str">
            <v>OK</v>
          </cell>
        </row>
        <row r="248">
          <cell r="A248" t="str">
            <v>Y1901-0276</v>
          </cell>
          <cell r="B248">
            <v>201810</v>
          </cell>
          <cell r="C248" t="str">
            <v>0100175438</v>
          </cell>
          <cell r="D248" t="str">
            <v>7J234</v>
          </cell>
          <cell r="E248">
            <v>612</v>
          </cell>
          <cell r="F248">
            <v>43490</v>
          </cell>
          <cell r="G248" t="str">
            <v>OK</v>
          </cell>
        </row>
        <row r="249">
          <cell r="A249" t="str">
            <v>Y1901-0277</v>
          </cell>
          <cell r="B249">
            <v>201810</v>
          </cell>
          <cell r="C249" t="str">
            <v>0100175439</v>
          </cell>
          <cell r="D249" t="str">
            <v>7J234</v>
          </cell>
          <cell r="E249">
            <v>972</v>
          </cell>
          <cell r="F249">
            <v>43490</v>
          </cell>
          <cell r="G249" t="str">
            <v>OK</v>
          </cell>
        </row>
        <row r="250">
          <cell r="A250" t="str">
            <v>Y1901-0278</v>
          </cell>
          <cell r="B250">
            <v>201810</v>
          </cell>
          <cell r="C250" t="str">
            <v>0100175440</v>
          </cell>
          <cell r="D250" t="str">
            <v>664184F</v>
          </cell>
          <cell r="E250">
            <v>276</v>
          </cell>
          <cell r="F250">
            <v>43490</v>
          </cell>
          <cell r="G250" t="str">
            <v>OK</v>
          </cell>
        </row>
        <row r="251">
          <cell r="A251" t="str">
            <v>Y1901-0279</v>
          </cell>
          <cell r="B251">
            <v>201810</v>
          </cell>
          <cell r="C251" t="str">
            <v>0100175441</v>
          </cell>
          <cell r="D251" t="str">
            <v>164217C</v>
          </cell>
          <cell r="E251">
            <v>216</v>
          </cell>
          <cell r="F251">
            <v>43490</v>
          </cell>
          <cell r="G251" t="str">
            <v>OK</v>
          </cell>
        </row>
        <row r="252">
          <cell r="A252" t="str">
            <v>Y1901-0280</v>
          </cell>
          <cell r="B252">
            <v>201810</v>
          </cell>
          <cell r="C252" t="str">
            <v>0100175442</v>
          </cell>
          <cell r="D252" t="str">
            <v>164218C</v>
          </cell>
          <cell r="E252">
            <v>216</v>
          </cell>
          <cell r="F252">
            <v>43490</v>
          </cell>
          <cell r="G252" t="str">
            <v>OK</v>
          </cell>
        </row>
        <row r="253">
          <cell r="A253" t="str">
            <v>Y1901-0281</v>
          </cell>
          <cell r="B253">
            <v>201810</v>
          </cell>
          <cell r="C253" t="str">
            <v>0100175443</v>
          </cell>
          <cell r="D253" t="str">
            <v>164219C</v>
          </cell>
          <cell r="E253">
            <v>216</v>
          </cell>
          <cell r="F253">
            <v>43490</v>
          </cell>
          <cell r="G253" t="str">
            <v>OK</v>
          </cell>
        </row>
        <row r="254">
          <cell r="A254" t="str">
            <v>Y1901-0282</v>
          </cell>
          <cell r="B254">
            <v>201810</v>
          </cell>
          <cell r="C254" t="str">
            <v>0100175444</v>
          </cell>
          <cell r="D254" t="str">
            <v>164220C</v>
          </cell>
          <cell r="E254">
            <v>216</v>
          </cell>
          <cell r="F254">
            <v>43490</v>
          </cell>
          <cell r="G254" t="str">
            <v>OK</v>
          </cell>
        </row>
        <row r="255">
          <cell r="A255" t="str">
            <v>Y1901-0283</v>
          </cell>
          <cell r="B255">
            <v>201810</v>
          </cell>
          <cell r="C255" t="str">
            <v>0100175445</v>
          </cell>
          <cell r="D255" t="str">
            <v>664434C</v>
          </cell>
          <cell r="E255">
            <v>168</v>
          </cell>
          <cell r="F255">
            <v>43490</v>
          </cell>
          <cell r="G255" t="str">
            <v>OK</v>
          </cell>
        </row>
        <row r="256">
          <cell r="A256" t="str">
            <v>Y1901-0284</v>
          </cell>
          <cell r="B256">
            <v>201810</v>
          </cell>
          <cell r="C256" t="str">
            <v>0100175446</v>
          </cell>
          <cell r="D256" t="str">
            <v>664436C</v>
          </cell>
          <cell r="E256">
            <v>168</v>
          </cell>
          <cell r="F256">
            <v>43490</v>
          </cell>
          <cell r="G256" t="str">
            <v>OK</v>
          </cell>
        </row>
        <row r="257">
          <cell r="A257" t="str">
            <v>Y1901-0285</v>
          </cell>
          <cell r="B257">
            <v>201810</v>
          </cell>
          <cell r="C257" t="str">
            <v>0100175447</v>
          </cell>
          <cell r="D257" t="str">
            <v>3J237</v>
          </cell>
          <cell r="E257">
            <v>1920</v>
          </cell>
          <cell r="F257">
            <v>43490</v>
          </cell>
          <cell r="G257" t="str">
            <v>OK</v>
          </cell>
        </row>
        <row r="258">
          <cell r="A258" t="str">
            <v>Y1901-0286</v>
          </cell>
          <cell r="B258">
            <v>201810</v>
          </cell>
          <cell r="C258" t="str">
            <v>0100175448</v>
          </cell>
          <cell r="D258" t="str">
            <v>3J238</v>
          </cell>
          <cell r="E258">
            <v>1572</v>
          </cell>
          <cell r="F258">
            <v>43490</v>
          </cell>
          <cell r="G258" t="str">
            <v>OK</v>
          </cell>
        </row>
        <row r="259">
          <cell r="A259" t="str">
            <v>Y1901-0287</v>
          </cell>
          <cell r="B259">
            <v>201810</v>
          </cell>
          <cell r="C259" t="str">
            <v>0100175449</v>
          </cell>
          <cell r="D259" t="str">
            <v>3J238</v>
          </cell>
          <cell r="E259">
            <v>1620</v>
          </cell>
          <cell r="F259">
            <v>43490</v>
          </cell>
          <cell r="G259" t="str">
            <v>OK</v>
          </cell>
        </row>
        <row r="260">
          <cell r="A260" t="str">
            <v>Y1901-0288</v>
          </cell>
          <cell r="B260">
            <v>201810</v>
          </cell>
          <cell r="C260" t="str">
            <v>0100175450</v>
          </cell>
          <cell r="D260" t="str">
            <v>164358C</v>
          </cell>
          <cell r="E260">
            <v>810</v>
          </cell>
          <cell r="F260">
            <v>43483</v>
          </cell>
          <cell r="G260" t="str">
            <v>OK</v>
          </cell>
        </row>
        <row r="261">
          <cell r="A261" t="str">
            <v>Y1901-0289</v>
          </cell>
          <cell r="B261">
            <v>201810</v>
          </cell>
          <cell r="C261" t="str">
            <v>0100175451</v>
          </cell>
          <cell r="D261" t="str">
            <v>164359C</v>
          </cell>
          <cell r="E261">
            <v>456</v>
          </cell>
          <cell r="F261">
            <v>43490</v>
          </cell>
          <cell r="G261" t="str">
            <v>OK</v>
          </cell>
        </row>
        <row r="262">
          <cell r="A262" t="str">
            <v>Y1901-0290</v>
          </cell>
          <cell r="B262">
            <v>201810</v>
          </cell>
          <cell r="C262" t="str">
            <v>0100175452</v>
          </cell>
          <cell r="D262" t="str">
            <v>164360C</v>
          </cell>
          <cell r="E262">
            <v>1182</v>
          </cell>
          <cell r="F262">
            <v>43483</v>
          </cell>
          <cell r="G262" t="str">
            <v>OK</v>
          </cell>
        </row>
        <row r="263">
          <cell r="A263" t="str">
            <v>Y1901-0291</v>
          </cell>
          <cell r="B263">
            <v>201810</v>
          </cell>
          <cell r="C263" t="str">
            <v>0100175453</v>
          </cell>
          <cell r="D263" t="str">
            <v>164361C</v>
          </cell>
          <cell r="E263">
            <v>486</v>
          </cell>
          <cell r="F263">
            <v>43490</v>
          </cell>
          <cell r="G263" t="str">
            <v>OK</v>
          </cell>
        </row>
        <row r="264">
          <cell r="A264" t="str">
            <v>Y1901-0292</v>
          </cell>
          <cell r="B264">
            <v>201810</v>
          </cell>
          <cell r="C264" t="str">
            <v>0100175454</v>
          </cell>
          <cell r="D264" t="str">
            <v>164362C</v>
          </cell>
          <cell r="E264">
            <v>858</v>
          </cell>
          <cell r="F264">
            <v>43483</v>
          </cell>
          <cell r="G264" t="str">
            <v>OK</v>
          </cell>
        </row>
        <row r="265">
          <cell r="A265" t="str">
            <v>Y1901-0293</v>
          </cell>
          <cell r="B265">
            <v>201810</v>
          </cell>
          <cell r="C265" t="str">
            <v>0100175455</v>
          </cell>
          <cell r="D265" t="str">
            <v>164363C</v>
          </cell>
          <cell r="E265">
            <v>216</v>
          </cell>
          <cell r="F265">
            <v>43490</v>
          </cell>
          <cell r="G265" t="str">
            <v>OK</v>
          </cell>
        </row>
        <row r="266">
          <cell r="A266" t="str">
            <v>Y1901-0294</v>
          </cell>
          <cell r="B266">
            <v>201810</v>
          </cell>
          <cell r="C266" t="str">
            <v>0100175456</v>
          </cell>
          <cell r="D266" t="str">
            <v>164390C</v>
          </cell>
          <cell r="E266">
            <v>216</v>
          </cell>
          <cell r="F266">
            <v>43490</v>
          </cell>
          <cell r="G266" t="str">
            <v>OK</v>
          </cell>
        </row>
        <row r="267">
          <cell r="A267" t="str">
            <v>Y1901-0295</v>
          </cell>
          <cell r="B267">
            <v>201810</v>
          </cell>
          <cell r="C267" t="str">
            <v>0100175457</v>
          </cell>
          <cell r="D267" t="str">
            <v>617660F</v>
          </cell>
          <cell r="E267">
            <v>1116</v>
          </cell>
          <cell r="F267">
            <v>43482</v>
          </cell>
          <cell r="G267" t="str">
            <v>OK</v>
          </cell>
        </row>
        <row r="268">
          <cell r="A268" t="str">
            <v>Y1901-0296</v>
          </cell>
          <cell r="B268">
            <v>201810</v>
          </cell>
          <cell r="C268" t="str">
            <v>0100175458</v>
          </cell>
          <cell r="D268" t="str">
            <v>617660F</v>
          </cell>
          <cell r="E268">
            <v>468</v>
          </cell>
          <cell r="F268">
            <v>43490</v>
          </cell>
          <cell r="G268" t="str">
            <v>OK</v>
          </cell>
        </row>
        <row r="269">
          <cell r="A269" t="str">
            <v>Y1901-0297</v>
          </cell>
          <cell r="B269">
            <v>201810</v>
          </cell>
          <cell r="C269" t="str">
            <v>0100175460</v>
          </cell>
          <cell r="D269" t="str">
            <v>164392C</v>
          </cell>
          <cell r="E269">
            <v>450</v>
          </cell>
          <cell r="F269">
            <v>43486</v>
          </cell>
          <cell r="G269" t="str">
            <v>OK</v>
          </cell>
        </row>
        <row r="270">
          <cell r="A270" t="str">
            <v>Y1901-0298</v>
          </cell>
          <cell r="B270">
            <v>201810</v>
          </cell>
          <cell r="C270" t="str">
            <v>0100175461</v>
          </cell>
          <cell r="D270" t="str">
            <v>164392C</v>
          </cell>
          <cell r="E270">
            <v>396</v>
          </cell>
          <cell r="F270">
            <v>43490</v>
          </cell>
          <cell r="G270" t="str">
            <v>OK</v>
          </cell>
        </row>
        <row r="271">
          <cell r="A271" t="str">
            <v>Y1901-0299</v>
          </cell>
          <cell r="B271">
            <v>201810</v>
          </cell>
          <cell r="C271" t="str">
            <v>0100175462</v>
          </cell>
          <cell r="D271" t="str">
            <v>617663F</v>
          </cell>
          <cell r="E271">
            <v>588</v>
          </cell>
          <cell r="F271">
            <v>43490</v>
          </cell>
          <cell r="G271" t="str">
            <v>OK</v>
          </cell>
        </row>
        <row r="272">
          <cell r="A272" t="str">
            <v>Y1901-0300</v>
          </cell>
          <cell r="B272">
            <v>201810</v>
          </cell>
          <cell r="C272" t="str">
            <v>0100175464</v>
          </cell>
          <cell r="D272" t="str">
            <v>164393C</v>
          </cell>
          <cell r="E272">
            <v>288</v>
          </cell>
          <cell r="F272">
            <v>43475</v>
          </cell>
          <cell r="G272" t="str">
            <v>OK</v>
          </cell>
        </row>
        <row r="273">
          <cell r="A273" t="str">
            <v>Y1901-0301</v>
          </cell>
          <cell r="B273">
            <v>201810</v>
          </cell>
          <cell r="C273" t="str">
            <v>0100175465</v>
          </cell>
          <cell r="D273" t="str">
            <v>164393C</v>
          </cell>
          <cell r="E273">
            <v>402</v>
          </cell>
          <cell r="F273">
            <v>43490</v>
          </cell>
          <cell r="G273" t="str">
            <v>OK</v>
          </cell>
        </row>
        <row r="274">
          <cell r="A274" t="str">
            <v>Y1901-0302</v>
          </cell>
          <cell r="B274">
            <v>201810</v>
          </cell>
          <cell r="C274" t="str">
            <v>0100175466</v>
          </cell>
          <cell r="D274" t="str">
            <v>3J256</v>
          </cell>
          <cell r="E274">
            <v>12660</v>
          </cell>
          <cell r="F274">
            <v>43484</v>
          </cell>
          <cell r="G274" t="str">
            <v>OK</v>
          </cell>
        </row>
        <row r="275">
          <cell r="A275" t="str">
            <v>Y1901-0303</v>
          </cell>
          <cell r="B275">
            <v>201810</v>
          </cell>
          <cell r="C275" t="str">
            <v>0100175467</v>
          </cell>
          <cell r="D275" t="str">
            <v>7J253</v>
          </cell>
          <cell r="E275">
            <v>1344</v>
          </cell>
          <cell r="F275">
            <v>43490</v>
          </cell>
          <cell r="G275" t="str">
            <v>OK</v>
          </cell>
        </row>
        <row r="276">
          <cell r="A276" t="str">
            <v>Y1901-0304</v>
          </cell>
          <cell r="B276">
            <v>201810</v>
          </cell>
          <cell r="C276" t="str">
            <v>0100175468</v>
          </cell>
          <cell r="D276" t="str">
            <v>7J256</v>
          </cell>
          <cell r="E276">
            <v>3900</v>
          </cell>
          <cell r="F276">
            <v>43490</v>
          </cell>
          <cell r="G276" t="str">
            <v>OK</v>
          </cell>
        </row>
        <row r="277">
          <cell r="A277" t="str">
            <v>Y1901-0305</v>
          </cell>
          <cell r="B277">
            <v>201810</v>
          </cell>
          <cell r="C277" t="str">
            <v>0100175469</v>
          </cell>
          <cell r="D277" t="str">
            <v>7J256</v>
          </cell>
          <cell r="E277">
            <v>4140</v>
          </cell>
          <cell r="F277">
            <v>43490</v>
          </cell>
          <cell r="G277" t="str">
            <v>OK</v>
          </cell>
        </row>
        <row r="278">
          <cell r="A278" t="str">
            <v>Y1901-0306</v>
          </cell>
          <cell r="B278">
            <v>201810</v>
          </cell>
          <cell r="C278" t="str">
            <v>0100175470</v>
          </cell>
          <cell r="D278">
            <v>81229</v>
          </cell>
          <cell r="E278">
            <v>1740</v>
          </cell>
          <cell r="F278">
            <v>43490</v>
          </cell>
          <cell r="G278" t="str">
            <v>OK</v>
          </cell>
        </row>
        <row r="279">
          <cell r="A279" t="str">
            <v>Y1901-0307</v>
          </cell>
          <cell r="B279">
            <v>201810</v>
          </cell>
          <cell r="C279" t="str">
            <v>0100175471</v>
          </cell>
          <cell r="D279">
            <v>81229</v>
          </cell>
          <cell r="E279">
            <v>1308</v>
          </cell>
          <cell r="F279">
            <v>43490</v>
          </cell>
          <cell r="G279" t="str">
            <v>OK</v>
          </cell>
        </row>
        <row r="280">
          <cell r="A280" t="str">
            <v>Y1901-0308</v>
          </cell>
          <cell r="B280">
            <v>201810</v>
          </cell>
          <cell r="C280" t="str">
            <v>0100175472</v>
          </cell>
          <cell r="D280">
            <v>88865</v>
          </cell>
          <cell r="E280">
            <v>1020</v>
          </cell>
          <cell r="F280">
            <v>43490</v>
          </cell>
          <cell r="G280" t="str">
            <v>OK</v>
          </cell>
        </row>
        <row r="281">
          <cell r="A281" t="str">
            <v>Y1901-0309</v>
          </cell>
          <cell r="B281">
            <v>201810</v>
          </cell>
          <cell r="C281" t="str">
            <v>0100175473</v>
          </cell>
          <cell r="D281">
            <v>88865</v>
          </cell>
          <cell r="E281">
            <v>744</v>
          </cell>
          <cell r="F281">
            <v>43490</v>
          </cell>
          <cell r="G281" t="str">
            <v>OK</v>
          </cell>
        </row>
        <row r="282">
          <cell r="A282" t="str">
            <v>Y1901-0310</v>
          </cell>
          <cell r="B282">
            <v>201810</v>
          </cell>
          <cell r="C282" t="str">
            <v>0100175474</v>
          </cell>
          <cell r="D282">
            <v>88871</v>
          </cell>
          <cell r="E282">
            <v>924</v>
          </cell>
          <cell r="F282">
            <v>43486</v>
          </cell>
          <cell r="G282" t="str">
            <v>OK</v>
          </cell>
        </row>
        <row r="283">
          <cell r="A283" t="str">
            <v>Y1901-0311</v>
          </cell>
          <cell r="B283">
            <v>201810</v>
          </cell>
          <cell r="C283" t="str">
            <v>0100175475</v>
          </cell>
          <cell r="D283">
            <v>88875</v>
          </cell>
          <cell r="E283">
            <v>960</v>
          </cell>
          <cell r="F283">
            <v>43490</v>
          </cell>
          <cell r="G283" t="str">
            <v>OK</v>
          </cell>
        </row>
        <row r="284">
          <cell r="A284" t="str">
            <v>Y1901-0312</v>
          </cell>
          <cell r="B284">
            <v>201810</v>
          </cell>
          <cell r="C284" t="str">
            <v>0100175476</v>
          </cell>
          <cell r="D284" t="str">
            <v>8J231</v>
          </cell>
          <cell r="E284">
            <v>3000</v>
          </cell>
          <cell r="F284">
            <v>43490</v>
          </cell>
          <cell r="G284" t="str">
            <v>OK</v>
          </cell>
        </row>
        <row r="285">
          <cell r="A285" t="str">
            <v>Y1901-0313</v>
          </cell>
          <cell r="B285">
            <v>201810</v>
          </cell>
          <cell r="C285" t="str">
            <v>0100175477</v>
          </cell>
          <cell r="D285" t="str">
            <v>8J231</v>
          </cell>
          <cell r="E285">
            <v>1104</v>
          </cell>
          <cell r="F285">
            <v>43490</v>
          </cell>
          <cell r="G285" t="str">
            <v>OK</v>
          </cell>
        </row>
        <row r="286">
          <cell r="A286" t="str">
            <v>Y1901-0314</v>
          </cell>
          <cell r="B286">
            <v>201810</v>
          </cell>
          <cell r="C286" t="str">
            <v>0100175478</v>
          </cell>
          <cell r="D286" t="str">
            <v>M9613</v>
          </cell>
          <cell r="E286">
            <v>612</v>
          </cell>
          <cell r="F286">
            <v>43490</v>
          </cell>
          <cell r="G286" t="str">
            <v>OK</v>
          </cell>
        </row>
        <row r="287">
          <cell r="A287" t="str">
            <v>Y1901-0315</v>
          </cell>
          <cell r="B287">
            <v>201810</v>
          </cell>
          <cell r="C287" t="str">
            <v>0100175479</v>
          </cell>
          <cell r="D287" t="str">
            <v>M9613</v>
          </cell>
          <cell r="E287">
            <v>2238</v>
          </cell>
          <cell r="F287">
            <v>43490</v>
          </cell>
          <cell r="G287" t="str">
            <v>OK</v>
          </cell>
        </row>
        <row r="288">
          <cell r="A288" t="str">
            <v>Y1901-0316</v>
          </cell>
          <cell r="B288">
            <v>201810</v>
          </cell>
          <cell r="C288" t="str">
            <v>0100175480</v>
          </cell>
          <cell r="D288" t="str">
            <v>M9621</v>
          </cell>
          <cell r="E288">
            <v>456</v>
          </cell>
          <cell r="F288">
            <v>43490</v>
          </cell>
          <cell r="G288" t="str">
            <v>OK</v>
          </cell>
        </row>
        <row r="289">
          <cell r="A289" t="str">
            <v>Y1901-0317</v>
          </cell>
          <cell r="B289">
            <v>201810</v>
          </cell>
          <cell r="C289" t="str">
            <v>0100175481</v>
          </cell>
          <cell r="D289" t="str">
            <v>M9696</v>
          </cell>
          <cell r="E289">
            <v>3156</v>
          </cell>
          <cell r="F289">
            <v>43490</v>
          </cell>
          <cell r="G289" t="str">
            <v>OK</v>
          </cell>
        </row>
        <row r="290">
          <cell r="A290" t="str">
            <v>Y1901-0318</v>
          </cell>
          <cell r="B290">
            <v>201810</v>
          </cell>
          <cell r="C290" t="str">
            <v>0100175482</v>
          </cell>
          <cell r="D290" t="str">
            <v>560643C</v>
          </cell>
          <cell r="E290">
            <v>15600</v>
          </cell>
          <cell r="F290">
            <v>43490</v>
          </cell>
          <cell r="G290" t="str">
            <v>OK</v>
          </cell>
        </row>
        <row r="291">
          <cell r="A291" t="str">
            <v>Y1901-0319</v>
          </cell>
          <cell r="B291">
            <v>201810</v>
          </cell>
          <cell r="C291" t="str">
            <v>0100175483</v>
          </cell>
          <cell r="D291" t="str">
            <v>560644C</v>
          </cell>
          <cell r="E291">
            <v>11208</v>
          </cell>
          <cell r="F291">
            <v>43490</v>
          </cell>
          <cell r="G291" t="str">
            <v>OK</v>
          </cell>
        </row>
        <row r="292">
          <cell r="A292" t="str">
            <v>Y1901-0320</v>
          </cell>
          <cell r="B292">
            <v>201810</v>
          </cell>
          <cell r="C292" t="str">
            <v>0100175485</v>
          </cell>
          <cell r="D292" t="str">
            <v>560630C</v>
          </cell>
          <cell r="E292">
            <v>2736</v>
          </cell>
          <cell r="F292">
            <v>43490</v>
          </cell>
          <cell r="G292" t="str">
            <v>OK</v>
          </cell>
        </row>
        <row r="293">
          <cell r="A293" t="str">
            <v>Y1901-0321</v>
          </cell>
          <cell r="B293">
            <v>201810</v>
          </cell>
          <cell r="C293" t="str">
            <v>0100175486</v>
          </cell>
          <cell r="D293" t="str">
            <v>560629F</v>
          </cell>
          <cell r="E293">
            <v>5124</v>
          </cell>
          <cell r="F293">
            <v>43490</v>
          </cell>
          <cell r="G293" t="str">
            <v>OK</v>
          </cell>
        </row>
        <row r="294">
          <cell r="A294" t="str">
            <v>Y1901-0322</v>
          </cell>
          <cell r="B294">
            <v>201810</v>
          </cell>
          <cell r="C294" t="str">
            <v>0100175487</v>
          </cell>
          <cell r="D294" t="str">
            <v>M8437</v>
          </cell>
          <cell r="E294">
            <v>624</v>
          </cell>
          <cell r="F294">
            <v>43483</v>
          </cell>
          <cell r="G294" t="str">
            <v>OK</v>
          </cell>
        </row>
        <row r="295">
          <cell r="A295" t="str">
            <v>Y1901-0323</v>
          </cell>
          <cell r="B295">
            <v>201810</v>
          </cell>
          <cell r="C295" t="str">
            <v>0100175488</v>
          </cell>
          <cell r="D295" t="str">
            <v>M8437</v>
          </cell>
          <cell r="E295">
            <v>3732</v>
          </cell>
          <cell r="F295">
            <v>43490</v>
          </cell>
          <cell r="G295" t="str">
            <v>OK</v>
          </cell>
        </row>
        <row r="296">
          <cell r="A296" t="str">
            <v>Y1901-0324</v>
          </cell>
          <cell r="B296">
            <v>201810</v>
          </cell>
          <cell r="C296" t="str">
            <v>0100175489</v>
          </cell>
          <cell r="D296" t="str">
            <v>M3494</v>
          </cell>
          <cell r="E296">
            <v>3732</v>
          </cell>
          <cell r="F296">
            <v>43490</v>
          </cell>
          <cell r="G296" t="str">
            <v>OK</v>
          </cell>
        </row>
        <row r="297">
          <cell r="A297" t="str">
            <v>Y1901-0325</v>
          </cell>
          <cell r="B297">
            <v>201810</v>
          </cell>
          <cell r="C297" t="str">
            <v>0100175490</v>
          </cell>
          <cell r="D297" t="str">
            <v>660727F</v>
          </cell>
          <cell r="E297">
            <v>3864</v>
          </cell>
          <cell r="F297">
            <v>43490</v>
          </cell>
          <cell r="G297" t="str">
            <v>OK</v>
          </cell>
        </row>
        <row r="298">
          <cell r="A298" t="str">
            <v>Y1901-0326</v>
          </cell>
          <cell r="B298">
            <v>201810</v>
          </cell>
          <cell r="C298" t="str">
            <v>0100175491</v>
          </cell>
          <cell r="D298" t="str">
            <v>660728F</v>
          </cell>
          <cell r="E298">
            <v>3852</v>
          </cell>
          <cell r="F298">
            <v>43490</v>
          </cell>
          <cell r="G298" t="str">
            <v>OK</v>
          </cell>
        </row>
        <row r="299">
          <cell r="A299" t="str">
            <v>Y1901-0327</v>
          </cell>
          <cell r="B299">
            <v>201810</v>
          </cell>
          <cell r="C299" t="str">
            <v>0100175492</v>
          </cell>
          <cell r="D299" t="str">
            <v>565548C</v>
          </cell>
          <cell r="E299">
            <v>312</v>
          </cell>
          <cell r="F299">
            <v>43481</v>
          </cell>
          <cell r="G299" t="str">
            <v>OK</v>
          </cell>
        </row>
        <row r="300">
          <cell r="A300" t="str">
            <v>Y1901-0328</v>
          </cell>
          <cell r="B300">
            <v>201810</v>
          </cell>
          <cell r="C300" t="str">
            <v>0100175493</v>
          </cell>
          <cell r="D300" t="str">
            <v>163377C</v>
          </cell>
          <cell r="E300">
            <v>684</v>
          </cell>
          <cell r="F300">
            <v>43490</v>
          </cell>
          <cell r="G300" t="str">
            <v>OK</v>
          </cell>
        </row>
        <row r="301">
          <cell r="A301" t="str">
            <v>Y1901-0329</v>
          </cell>
          <cell r="B301">
            <v>201810</v>
          </cell>
          <cell r="C301" t="str">
            <v>0100175494</v>
          </cell>
          <cell r="D301" t="str">
            <v>7J256</v>
          </cell>
          <cell r="E301">
            <v>900</v>
          </cell>
          <cell r="F301">
            <v>43479</v>
          </cell>
          <cell r="G301" t="str">
            <v>OK</v>
          </cell>
        </row>
        <row r="302">
          <cell r="A302" t="str">
            <v>Y1901-0330</v>
          </cell>
          <cell r="B302">
            <v>201810</v>
          </cell>
          <cell r="C302" t="str">
            <v>0100175495</v>
          </cell>
          <cell r="D302" t="str">
            <v>3J253</v>
          </cell>
          <cell r="E302">
            <v>900</v>
          </cell>
          <cell r="F302">
            <v>43479</v>
          </cell>
          <cell r="G302" t="str">
            <v>OK</v>
          </cell>
        </row>
        <row r="303">
          <cell r="A303" t="str">
            <v>Y1901-0331</v>
          </cell>
          <cell r="B303">
            <v>201810</v>
          </cell>
          <cell r="C303" t="str">
            <v>0100175496</v>
          </cell>
          <cell r="D303" t="str">
            <v>3J256</v>
          </cell>
          <cell r="E303">
            <v>1200</v>
          </cell>
          <cell r="F303">
            <v>43479</v>
          </cell>
          <cell r="G303" t="str">
            <v>OK</v>
          </cell>
        </row>
        <row r="304">
          <cell r="A304" t="str">
            <v>Y1901-0332</v>
          </cell>
          <cell r="B304">
            <v>201810</v>
          </cell>
          <cell r="C304" t="str">
            <v>0100175497</v>
          </cell>
          <cell r="D304" t="str">
            <v>3J238</v>
          </cell>
          <cell r="E304">
            <v>1212</v>
          </cell>
          <cell r="F304">
            <v>43479</v>
          </cell>
          <cell r="G304" t="str">
            <v>OK</v>
          </cell>
        </row>
        <row r="305">
          <cell r="A305" t="str">
            <v>Y1901-0333</v>
          </cell>
          <cell r="B305">
            <v>201810</v>
          </cell>
          <cell r="C305" t="str">
            <v>0100175498</v>
          </cell>
          <cell r="D305" t="str">
            <v>7J256</v>
          </cell>
          <cell r="E305">
            <v>900</v>
          </cell>
          <cell r="F305">
            <v>43468</v>
          </cell>
          <cell r="G305" t="str">
            <v>OK</v>
          </cell>
        </row>
        <row r="306">
          <cell r="A306" t="str">
            <v>Y1901-0334</v>
          </cell>
          <cell r="B306">
            <v>201810</v>
          </cell>
          <cell r="C306" t="str">
            <v>0100175499</v>
          </cell>
          <cell r="D306" t="str">
            <v>M7652</v>
          </cell>
          <cell r="E306">
            <v>1196</v>
          </cell>
          <cell r="F306">
            <v>43468</v>
          </cell>
          <cell r="G306" t="str">
            <v>OK</v>
          </cell>
        </row>
        <row r="307">
          <cell r="A307" t="str">
            <v>Y1901-0335</v>
          </cell>
          <cell r="B307">
            <v>201810</v>
          </cell>
          <cell r="C307" t="str">
            <v>0100175500</v>
          </cell>
          <cell r="D307" t="str">
            <v>M7650</v>
          </cell>
          <cell r="E307">
            <v>3600</v>
          </cell>
          <cell r="F307">
            <v>43479</v>
          </cell>
          <cell r="G307" t="str">
            <v>OK</v>
          </cell>
        </row>
        <row r="308">
          <cell r="A308" t="str">
            <v>Y1901-0336</v>
          </cell>
          <cell r="B308">
            <v>201810</v>
          </cell>
          <cell r="C308" t="str">
            <v>0100175501</v>
          </cell>
          <cell r="D308" t="str">
            <v>M7652</v>
          </cell>
          <cell r="E308">
            <v>6000</v>
          </cell>
          <cell r="F308">
            <v>43479</v>
          </cell>
          <cell r="G308" t="str">
            <v>OK</v>
          </cell>
        </row>
        <row r="309">
          <cell r="A309" t="str">
            <v>Y1901-0337</v>
          </cell>
          <cell r="B309">
            <v>201810</v>
          </cell>
          <cell r="C309" t="str">
            <v>0100175502</v>
          </cell>
          <cell r="D309" t="str">
            <v>3J238</v>
          </cell>
          <cell r="E309">
            <v>900</v>
          </cell>
          <cell r="F309">
            <v>43468</v>
          </cell>
          <cell r="G309" t="str">
            <v>OK</v>
          </cell>
        </row>
        <row r="310">
          <cell r="A310" t="str">
            <v>Y1901-0338</v>
          </cell>
          <cell r="B310">
            <v>201810</v>
          </cell>
          <cell r="C310" t="str">
            <v>0100175503</v>
          </cell>
          <cell r="D310" t="str">
            <v>M7652</v>
          </cell>
          <cell r="E310">
            <v>1200</v>
          </cell>
          <cell r="F310">
            <v>43479</v>
          </cell>
          <cell r="G310" t="str">
            <v>OK</v>
          </cell>
        </row>
        <row r="311">
          <cell r="A311" t="str">
            <v>Y1901-0339</v>
          </cell>
          <cell r="B311">
            <v>201810</v>
          </cell>
          <cell r="C311" t="str">
            <v>0100175504</v>
          </cell>
          <cell r="D311" t="str">
            <v>M9697</v>
          </cell>
          <cell r="E311">
            <v>900</v>
          </cell>
          <cell r="F311">
            <v>43479</v>
          </cell>
          <cell r="G311" t="str">
            <v>OK</v>
          </cell>
        </row>
        <row r="312">
          <cell r="A312" t="str">
            <v>Y1901-0340</v>
          </cell>
          <cell r="B312">
            <v>201810</v>
          </cell>
          <cell r="C312" t="str">
            <v>0100175505</v>
          </cell>
          <cell r="D312" t="str">
            <v>M7652</v>
          </cell>
          <cell r="E312">
            <v>2256</v>
          </cell>
          <cell r="F312">
            <v>43479</v>
          </cell>
          <cell r="G312" t="str">
            <v>OK</v>
          </cell>
        </row>
        <row r="313">
          <cell r="A313" t="str">
            <v>Y1901-0341</v>
          </cell>
          <cell r="B313">
            <v>201810</v>
          </cell>
          <cell r="C313" t="str">
            <v>0100175506</v>
          </cell>
          <cell r="D313" t="str">
            <v>M9621</v>
          </cell>
          <cell r="E313">
            <v>696</v>
          </cell>
          <cell r="F313">
            <v>43479</v>
          </cell>
          <cell r="G313" t="str">
            <v>OK</v>
          </cell>
        </row>
        <row r="314">
          <cell r="A314" t="str">
            <v>Y1901-0342</v>
          </cell>
          <cell r="B314">
            <v>201810</v>
          </cell>
          <cell r="C314" t="str">
            <v>0100175507</v>
          </cell>
          <cell r="D314" t="str">
            <v>M7650</v>
          </cell>
          <cell r="E314">
            <v>1356</v>
          </cell>
          <cell r="F314">
            <v>43479</v>
          </cell>
          <cell r="G314" t="str">
            <v>OK</v>
          </cell>
        </row>
        <row r="315">
          <cell r="A315" t="str">
            <v>Y1901-0343</v>
          </cell>
          <cell r="B315">
            <v>201810</v>
          </cell>
          <cell r="C315" t="str">
            <v>0100175508</v>
          </cell>
          <cell r="D315" t="str">
            <v>M9696</v>
          </cell>
          <cell r="E315">
            <v>900</v>
          </cell>
          <cell r="F315">
            <v>43479</v>
          </cell>
          <cell r="G315" t="str">
            <v>OK</v>
          </cell>
        </row>
        <row r="316">
          <cell r="A316" t="str">
            <v>Y1901-0344</v>
          </cell>
          <cell r="B316">
            <v>201810</v>
          </cell>
          <cell r="C316" t="str">
            <v>0100175509</v>
          </cell>
          <cell r="D316" t="str">
            <v>M7650</v>
          </cell>
          <cell r="E316">
            <v>360</v>
          </cell>
          <cell r="F316">
            <v>43479</v>
          </cell>
          <cell r="G316" t="str">
            <v>OK</v>
          </cell>
        </row>
        <row r="317">
          <cell r="A317" t="str">
            <v>Y1901-0345</v>
          </cell>
          <cell r="B317">
            <v>201810</v>
          </cell>
          <cell r="C317" t="str">
            <v>0100175510</v>
          </cell>
          <cell r="D317" t="str">
            <v>M7650</v>
          </cell>
          <cell r="E317">
            <v>420</v>
          </cell>
          <cell r="F317">
            <v>43479</v>
          </cell>
          <cell r="G317" t="str">
            <v>OK</v>
          </cell>
        </row>
        <row r="318">
          <cell r="A318" t="str">
            <v>Y1901-0346</v>
          </cell>
          <cell r="B318">
            <v>201810</v>
          </cell>
          <cell r="C318" t="str">
            <v>0100175511</v>
          </cell>
          <cell r="D318" t="str">
            <v>M9696</v>
          </cell>
          <cell r="E318">
            <v>360</v>
          </cell>
          <cell r="F318">
            <v>43479</v>
          </cell>
          <cell r="G318" t="str">
            <v>OK</v>
          </cell>
        </row>
        <row r="319">
          <cell r="A319" t="str">
            <v>Y1901-0347</v>
          </cell>
          <cell r="B319">
            <v>201810</v>
          </cell>
          <cell r="C319" t="str">
            <v>0100175512</v>
          </cell>
          <cell r="D319" t="str">
            <v>M7652</v>
          </cell>
          <cell r="E319">
            <v>588</v>
          </cell>
          <cell r="F319">
            <v>43479</v>
          </cell>
          <cell r="G319" t="str">
            <v>OK</v>
          </cell>
        </row>
        <row r="320">
          <cell r="A320" t="str">
            <v>Y1901-0348</v>
          </cell>
          <cell r="B320">
            <v>201810</v>
          </cell>
          <cell r="C320" t="str">
            <v>0100175513</v>
          </cell>
          <cell r="D320" t="str">
            <v>M7652</v>
          </cell>
          <cell r="E320">
            <v>612</v>
          </cell>
          <cell r="F320">
            <v>43479</v>
          </cell>
          <cell r="G320" t="str">
            <v>OK</v>
          </cell>
        </row>
        <row r="321">
          <cell r="A321" t="str">
            <v>Y1901-0349</v>
          </cell>
          <cell r="B321">
            <v>201810</v>
          </cell>
          <cell r="C321" t="str">
            <v>0100175514</v>
          </cell>
          <cell r="D321" t="str">
            <v>M7652</v>
          </cell>
          <cell r="E321">
            <v>360</v>
          </cell>
          <cell r="F321">
            <v>43475</v>
          </cell>
          <cell r="G321" t="str">
            <v>OK</v>
          </cell>
        </row>
        <row r="322">
          <cell r="A322" t="str">
            <v>Y1901-0350</v>
          </cell>
          <cell r="B322">
            <v>201810</v>
          </cell>
          <cell r="C322" t="str">
            <v>0100175515</v>
          </cell>
          <cell r="D322" t="str">
            <v>W9166</v>
          </cell>
          <cell r="E322">
            <v>2808</v>
          </cell>
          <cell r="F322">
            <v>43475</v>
          </cell>
          <cell r="G322" t="str">
            <v>OK</v>
          </cell>
        </row>
        <row r="323">
          <cell r="A323" t="str">
            <v>Y1901-0351</v>
          </cell>
          <cell r="B323">
            <v>201810</v>
          </cell>
          <cell r="C323" t="str">
            <v>0100175516</v>
          </cell>
          <cell r="D323" t="str">
            <v>7J256</v>
          </cell>
          <cell r="E323">
            <v>360</v>
          </cell>
          <cell r="F323">
            <v>43479</v>
          </cell>
          <cell r="G323" t="str">
            <v>OK</v>
          </cell>
        </row>
        <row r="324">
          <cell r="A324" t="str">
            <v>Y1901-0610</v>
          </cell>
          <cell r="B324">
            <v>201810</v>
          </cell>
          <cell r="C324" t="str">
            <v>0100175517</v>
          </cell>
          <cell r="D324">
            <v>88871</v>
          </cell>
          <cell r="E324">
            <v>360</v>
          </cell>
          <cell r="F324">
            <v>43477</v>
          </cell>
          <cell r="G324" t="str">
            <v>OK</v>
          </cell>
        </row>
        <row r="325">
          <cell r="A325" t="str">
            <v>Y1901-0352</v>
          </cell>
          <cell r="B325">
            <v>201810</v>
          </cell>
          <cell r="C325" t="str">
            <v>0100175518</v>
          </cell>
          <cell r="D325" t="str">
            <v>1J794</v>
          </cell>
          <cell r="E325">
            <v>552</v>
          </cell>
          <cell r="F325">
            <v>43479</v>
          </cell>
          <cell r="G325" t="str">
            <v>OK</v>
          </cell>
        </row>
        <row r="326">
          <cell r="A326" t="str">
            <v>Y1901-0353</v>
          </cell>
          <cell r="B326">
            <v>201810</v>
          </cell>
          <cell r="C326" t="str">
            <v>0100175519</v>
          </cell>
          <cell r="D326" t="str">
            <v>1J794</v>
          </cell>
          <cell r="E326">
            <v>612</v>
          </cell>
          <cell r="F326">
            <v>43479</v>
          </cell>
          <cell r="G326" t="str">
            <v>OK</v>
          </cell>
        </row>
        <row r="327">
          <cell r="A327" t="str">
            <v>Y1901-0354</v>
          </cell>
          <cell r="B327">
            <v>201810</v>
          </cell>
          <cell r="C327" t="str">
            <v>0100175520</v>
          </cell>
          <cell r="D327" t="str">
            <v>M9621</v>
          </cell>
          <cell r="E327">
            <v>456</v>
          </cell>
          <cell r="F327">
            <v>43479</v>
          </cell>
          <cell r="G327" t="str">
            <v>OK</v>
          </cell>
        </row>
        <row r="328">
          <cell r="A328" t="str">
            <v>Y1901-0355</v>
          </cell>
          <cell r="B328">
            <v>201810</v>
          </cell>
          <cell r="C328" t="str">
            <v>0100175521</v>
          </cell>
          <cell r="D328" t="str">
            <v>M9697</v>
          </cell>
          <cell r="E328">
            <v>432</v>
          </cell>
          <cell r="F328">
            <v>43479</v>
          </cell>
          <cell r="G328" t="str">
            <v>OK</v>
          </cell>
        </row>
        <row r="329">
          <cell r="A329" t="str">
            <v>Y1901-0356</v>
          </cell>
          <cell r="B329">
            <v>201810</v>
          </cell>
          <cell r="C329" t="str">
            <v>0100175522</v>
          </cell>
          <cell r="D329" t="str">
            <v>M9697</v>
          </cell>
          <cell r="E329">
            <v>624</v>
          </cell>
          <cell r="F329">
            <v>43479</v>
          </cell>
          <cell r="G329" t="str">
            <v>OK</v>
          </cell>
        </row>
        <row r="330">
          <cell r="A330" t="str">
            <v>Y1901-0357</v>
          </cell>
          <cell r="B330">
            <v>201810</v>
          </cell>
          <cell r="C330" t="str">
            <v>0100175523</v>
          </cell>
          <cell r="D330" t="str">
            <v>M9696</v>
          </cell>
          <cell r="E330">
            <v>624</v>
          </cell>
          <cell r="F330">
            <v>43479</v>
          </cell>
          <cell r="G330" t="str">
            <v>OK</v>
          </cell>
        </row>
        <row r="331">
          <cell r="A331" t="str">
            <v>Y1901-0358</v>
          </cell>
          <cell r="B331">
            <v>201810</v>
          </cell>
          <cell r="C331" t="str">
            <v>0100175524</v>
          </cell>
          <cell r="D331" t="str">
            <v>M9696</v>
          </cell>
          <cell r="E331">
            <v>468</v>
          </cell>
          <cell r="F331">
            <v>43479</v>
          </cell>
          <cell r="G331" t="str">
            <v>OK</v>
          </cell>
        </row>
        <row r="332">
          <cell r="A332" t="str">
            <v>Y1901-0359</v>
          </cell>
          <cell r="B332">
            <v>201810</v>
          </cell>
          <cell r="C332" t="str">
            <v>0100175525</v>
          </cell>
          <cell r="D332" t="str">
            <v>3J256</v>
          </cell>
          <cell r="E332">
            <v>1200</v>
          </cell>
          <cell r="F332">
            <v>43479</v>
          </cell>
          <cell r="G332" t="str">
            <v>OK</v>
          </cell>
        </row>
        <row r="333">
          <cell r="A333" t="str">
            <v>Y1901-0360</v>
          </cell>
          <cell r="B333">
            <v>201810</v>
          </cell>
          <cell r="C333" t="str">
            <v>0100175526</v>
          </cell>
          <cell r="D333" t="str">
            <v>7J256</v>
          </cell>
          <cell r="E333">
            <v>1500</v>
          </cell>
          <cell r="F333">
            <v>43479</v>
          </cell>
          <cell r="G333" t="str">
            <v>OK</v>
          </cell>
        </row>
        <row r="334">
          <cell r="A334" t="str">
            <v>Y1901-0361</v>
          </cell>
          <cell r="B334">
            <v>201810</v>
          </cell>
          <cell r="C334" t="str">
            <v>0100175527</v>
          </cell>
          <cell r="D334" t="str">
            <v>3J256</v>
          </cell>
          <cell r="E334">
            <v>6012</v>
          </cell>
          <cell r="F334">
            <v>43483</v>
          </cell>
          <cell r="G334" t="str">
            <v>OK</v>
          </cell>
        </row>
        <row r="335">
          <cell r="A335" t="str">
            <v>Y1901-0362</v>
          </cell>
          <cell r="B335">
            <v>201810</v>
          </cell>
          <cell r="C335" t="str">
            <v>0100175528</v>
          </cell>
          <cell r="D335" t="str">
            <v>107469F</v>
          </cell>
          <cell r="E335">
            <v>3000</v>
          </cell>
          <cell r="F335">
            <v>43493</v>
          </cell>
          <cell r="G335" t="str">
            <v>OK</v>
          </cell>
        </row>
        <row r="336">
          <cell r="A336" t="str">
            <v>Y1901-0363</v>
          </cell>
          <cell r="B336">
            <v>201810</v>
          </cell>
          <cell r="C336" t="str">
            <v>0100175529</v>
          </cell>
          <cell r="D336" t="str">
            <v>3J253</v>
          </cell>
          <cell r="E336">
            <v>384</v>
          </cell>
          <cell r="F336">
            <v>43483</v>
          </cell>
          <cell r="G336" t="str">
            <v>OK</v>
          </cell>
        </row>
        <row r="337">
          <cell r="A337" t="str">
            <v>Y1901-0364</v>
          </cell>
          <cell r="B337">
            <v>201810</v>
          </cell>
          <cell r="C337" t="str">
            <v>0100175530</v>
          </cell>
          <cell r="D337" t="str">
            <v>7J256</v>
          </cell>
          <cell r="E337">
            <v>576</v>
          </cell>
          <cell r="F337">
            <v>43490</v>
          </cell>
          <cell r="G337" t="str">
            <v>OK</v>
          </cell>
        </row>
        <row r="338">
          <cell r="A338" t="str">
            <v>Y1901-0365</v>
          </cell>
          <cell r="B338">
            <v>201810</v>
          </cell>
          <cell r="C338" t="str">
            <v>0100175531</v>
          </cell>
          <cell r="D338" t="str">
            <v>7J256</v>
          </cell>
          <cell r="E338">
            <v>924</v>
          </cell>
          <cell r="F338">
            <v>43490</v>
          </cell>
          <cell r="G338" t="str">
            <v>OK</v>
          </cell>
        </row>
        <row r="339">
          <cell r="A339" t="str">
            <v>Y1901-0366</v>
          </cell>
          <cell r="B339">
            <v>201810</v>
          </cell>
          <cell r="C339" t="str">
            <v>0100175532</v>
          </cell>
          <cell r="D339" t="str">
            <v>8J231</v>
          </cell>
          <cell r="E339">
            <v>1500</v>
          </cell>
          <cell r="F339">
            <v>43483</v>
          </cell>
          <cell r="G339" t="str">
            <v>OK</v>
          </cell>
        </row>
        <row r="340">
          <cell r="A340" t="str">
            <v>Y1901-0367</v>
          </cell>
          <cell r="B340">
            <v>201810</v>
          </cell>
          <cell r="C340" t="str">
            <v>0100175533</v>
          </cell>
          <cell r="D340" t="str">
            <v>7J256</v>
          </cell>
          <cell r="E340">
            <v>9480</v>
          </cell>
          <cell r="F340">
            <v>43483</v>
          </cell>
          <cell r="G340" t="str">
            <v>OK</v>
          </cell>
        </row>
        <row r="341">
          <cell r="A341" t="str">
            <v>Y1901-0368</v>
          </cell>
          <cell r="B341">
            <v>201810</v>
          </cell>
          <cell r="C341" t="str">
            <v>0100175534</v>
          </cell>
          <cell r="D341" t="str">
            <v>3J256</v>
          </cell>
          <cell r="E341">
            <v>720</v>
          </cell>
          <cell r="F341">
            <v>43490</v>
          </cell>
          <cell r="G341" t="str">
            <v>OK</v>
          </cell>
        </row>
        <row r="342">
          <cell r="A342" t="str">
            <v>Y1901-0369</v>
          </cell>
          <cell r="B342">
            <v>201810</v>
          </cell>
          <cell r="C342" t="str">
            <v>0100175535</v>
          </cell>
          <cell r="D342" t="str">
            <v>3J256</v>
          </cell>
          <cell r="E342">
            <v>768</v>
          </cell>
          <cell r="F342">
            <v>43490</v>
          </cell>
          <cell r="G342" t="str">
            <v>OK</v>
          </cell>
        </row>
        <row r="343">
          <cell r="A343" t="str">
            <v>Y1901-0370</v>
          </cell>
          <cell r="B343">
            <v>201810</v>
          </cell>
          <cell r="C343" t="str">
            <v>0100175536</v>
          </cell>
          <cell r="D343" t="str">
            <v>M9621</v>
          </cell>
          <cell r="E343">
            <v>4008</v>
          </cell>
          <cell r="F343">
            <v>43479</v>
          </cell>
          <cell r="G343" t="str">
            <v>OK</v>
          </cell>
        </row>
        <row r="344">
          <cell r="A344" t="str">
            <v>Y1901-0371</v>
          </cell>
          <cell r="B344">
            <v>201810</v>
          </cell>
          <cell r="C344" t="str">
            <v>0100175537</v>
          </cell>
          <cell r="D344" t="str">
            <v>M9696</v>
          </cell>
          <cell r="E344">
            <v>4008</v>
          </cell>
          <cell r="F344">
            <v>43479</v>
          </cell>
          <cell r="G344" t="str">
            <v>OK</v>
          </cell>
        </row>
        <row r="345">
          <cell r="A345" t="str">
            <v>Y1902-0298</v>
          </cell>
          <cell r="B345">
            <v>201810</v>
          </cell>
          <cell r="C345" t="str">
            <v>0100175538</v>
          </cell>
          <cell r="D345" t="str">
            <v>549700F</v>
          </cell>
          <cell r="E345">
            <v>402</v>
          </cell>
          <cell r="F345">
            <v>43487</v>
          </cell>
          <cell r="G345" t="str">
            <v>OK</v>
          </cell>
        </row>
        <row r="346">
          <cell r="A346" t="str">
            <v>Y1902-0299</v>
          </cell>
          <cell r="B346">
            <v>201810</v>
          </cell>
          <cell r="C346" t="str">
            <v>0100175539</v>
          </cell>
          <cell r="D346" t="str">
            <v>549700F</v>
          </cell>
          <cell r="E346">
            <v>690</v>
          </cell>
          <cell r="F346">
            <v>43487</v>
          </cell>
          <cell r="G346" t="str">
            <v>OK</v>
          </cell>
        </row>
        <row r="347">
          <cell r="A347" t="str">
            <v>Y1902-0300</v>
          </cell>
          <cell r="B347">
            <v>201810</v>
          </cell>
          <cell r="C347" t="str">
            <v>0100175540</v>
          </cell>
          <cell r="D347" t="str">
            <v>549700F</v>
          </cell>
          <cell r="E347">
            <v>408</v>
          </cell>
          <cell r="F347">
            <v>43487</v>
          </cell>
          <cell r="G347" t="str">
            <v>OK</v>
          </cell>
        </row>
        <row r="348">
          <cell r="A348" t="str">
            <v>Y1901-0372</v>
          </cell>
          <cell r="B348">
            <v>201810</v>
          </cell>
          <cell r="C348" t="str">
            <v>0100177693</v>
          </cell>
          <cell r="D348" t="str">
            <v>565536C</v>
          </cell>
          <cell r="E348">
            <v>105</v>
          </cell>
          <cell r="F348">
            <v>43481</v>
          </cell>
          <cell r="G348" t="str">
            <v>OK</v>
          </cell>
        </row>
        <row r="349">
          <cell r="A349" t="str">
            <v>Y1901-0373</v>
          </cell>
          <cell r="B349">
            <v>201810</v>
          </cell>
          <cell r="C349" t="str">
            <v>0100177694</v>
          </cell>
          <cell r="D349" t="str">
            <v>M9621C</v>
          </cell>
          <cell r="E349">
            <v>360</v>
          </cell>
          <cell r="F349">
            <v>43476</v>
          </cell>
          <cell r="G349" t="str">
            <v>OK</v>
          </cell>
        </row>
        <row r="350">
          <cell r="A350" t="str">
            <v>Y1902-0302</v>
          </cell>
          <cell r="B350">
            <v>201810</v>
          </cell>
          <cell r="C350" t="str">
            <v>0100177695</v>
          </cell>
          <cell r="D350" t="str">
            <v>565536C</v>
          </cell>
          <cell r="E350">
            <v>564</v>
          </cell>
          <cell r="F350">
            <v>43481</v>
          </cell>
          <cell r="G350" t="str">
            <v>OK</v>
          </cell>
        </row>
        <row r="351">
          <cell r="A351" t="str">
            <v>Y1901-0374</v>
          </cell>
          <cell r="B351">
            <v>201810</v>
          </cell>
          <cell r="C351" t="str">
            <v>0100177696</v>
          </cell>
          <cell r="D351" t="str">
            <v>164060C</v>
          </cell>
          <cell r="E351">
            <v>1296</v>
          </cell>
          <cell r="F351">
            <v>43492</v>
          </cell>
          <cell r="G351" t="str">
            <v>OK</v>
          </cell>
        </row>
        <row r="352">
          <cell r="A352" t="str">
            <v>Y1901-0375</v>
          </cell>
          <cell r="B352">
            <v>201810</v>
          </cell>
          <cell r="C352" t="str">
            <v>0100177697</v>
          </cell>
          <cell r="D352" t="str">
            <v>M7652C</v>
          </cell>
          <cell r="E352">
            <v>2436</v>
          </cell>
          <cell r="F352">
            <v>43492</v>
          </cell>
          <cell r="G352" t="str">
            <v>OK</v>
          </cell>
        </row>
        <row r="353">
          <cell r="A353" t="str">
            <v>Y1901-0376</v>
          </cell>
          <cell r="B353">
            <v>201810</v>
          </cell>
          <cell r="C353" t="str">
            <v>0100177698</v>
          </cell>
          <cell r="D353" t="str">
            <v>364170C</v>
          </cell>
          <cell r="E353">
            <v>180</v>
          </cell>
          <cell r="F353">
            <v>43492</v>
          </cell>
          <cell r="G353" t="str">
            <v>OK</v>
          </cell>
        </row>
        <row r="354">
          <cell r="A354" t="str">
            <v>Y1901-0377</v>
          </cell>
          <cell r="B354">
            <v>201810</v>
          </cell>
          <cell r="C354" t="str">
            <v>0100177699</v>
          </cell>
          <cell r="D354" t="str">
            <v>164281C</v>
          </cell>
          <cell r="E354">
            <v>264</v>
          </cell>
          <cell r="F354">
            <v>43492</v>
          </cell>
          <cell r="G354" t="str">
            <v>OK</v>
          </cell>
        </row>
        <row r="355">
          <cell r="A355" t="str">
            <v>Y1901-0378</v>
          </cell>
          <cell r="B355">
            <v>201810</v>
          </cell>
          <cell r="C355" t="str">
            <v>0100177700</v>
          </cell>
          <cell r="D355" t="str">
            <v>164059C</v>
          </cell>
          <cell r="E355">
            <v>264</v>
          </cell>
          <cell r="F355">
            <v>43492</v>
          </cell>
          <cell r="G355" t="str">
            <v>OK</v>
          </cell>
        </row>
        <row r="356">
          <cell r="A356" t="str">
            <v>Y1901-0379</v>
          </cell>
          <cell r="B356">
            <v>201810</v>
          </cell>
          <cell r="C356" t="str">
            <v>0100177701</v>
          </cell>
          <cell r="D356">
            <v>88875</v>
          </cell>
          <cell r="E356">
            <v>360</v>
          </cell>
          <cell r="F356">
            <v>43492</v>
          </cell>
          <cell r="G356" t="str">
            <v>OK</v>
          </cell>
        </row>
        <row r="357">
          <cell r="A357" t="str">
            <v>Y1901-0380</v>
          </cell>
          <cell r="B357">
            <v>201810</v>
          </cell>
          <cell r="C357" t="str">
            <v>0100177702</v>
          </cell>
          <cell r="D357" t="str">
            <v>565536C</v>
          </cell>
          <cell r="E357">
            <v>21</v>
          </cell>
          <cell r="F357">
            <v>43492</v>
          </cell>
          <cell r="G357" t="str">
            <v>OK</v>
          </cell>
        </row>
        <row r="358">
          <cell r="A358" t="str">
            <v>Y1902-0307</v>
          </cell>
          <cell r="B358">
            <v>201810</v>
          </cell>
          <cell r="C358" t="str">
            <v>0100177707</v>
          </cell>
          <cell r="D358" t="str">
            <v>158369C</v>
          </cell>
          <cell r="E358">
            <v>1692</v>
          </cell>
          <cell r="F358">
            <v>43486</v>
          </cell>
          <cell r="G358" t="str">
            <v>OK</v>
          </cell>
        </row>
        <row r="359">
          <cell r="A359" t="str">
            <v>Y1901-0381</v>
          </cell>
          <cell r="B359">
            <v>201810</v>
          </cell>
          <cell r="C359" t="str">
            <v>0100177709</v>
          </cell>
          <cell r="D359" t="str">
            <v>565536C</v>
          </cell>
          <cell r="E359">
            <v>172</v>
          </cell>
          <cell r="F359">
            <v>43481</v>
          </cell>
          <cell r="G359" t="str">
            <v>OK</v>
          </cell>
        </row>
        <row r="360">
          <cell r="A360" t="str">
            <v>Y1901-0382</v>
          </cell>
          <cell r="B360">
            <v>201810</v>
          </cell>
          <cell r="C360" t="str">
            <v>0100177710</v>
          </cell>
          <cell r="D360" t="str">
            <v>565548C</v>
          </cell>
          <cell r="E360">
            <v>196</v>
          </cell>
          <cell r="F360">
            <v>43481</v>
          </cell>
          <cell r="G360" t="str">
            <v>OK</v>
          </cell>
        </row>
        <row r="361">
          <cell r="A361" t="str">
            <v>Y1901-0383</v>
          </cell>
          <cell r="B361">
            <v>201810</v>
          </cell>
          <cell r="C361" t="str">
            <v>0100177839</v>
          </cell>
          <cell r="D361" t="str">
            <v>3J238C</v>
          </cell>
          <cell r="E361">
            <v>300</v>
          </cell>
          <cell r="F361">
            <v>43476</v>
          </cell>
          <cell r="G361" t="str">
            <v>OK</v>
          </cell>
        </row>
        <row r="362">
          <cell r="A362" t="str">
            <v>Y1901-0384</v>
          </cell>
          <cell r="B362">
            <v>201810</v>
          </cell>
          <cell r="C362" t="str">
            <v>0100177840</v>
          </cell>
          <cell r="D362" t="str">
            <v>164280C</v>
          </cell>
          <cell r="E362">
            <v>1296</v>
          </cell>
          <cell r="F362">
            <v>43492</v>
          </cell>
          <cell r="G362" t="str">
            <v>OK</v>
          </cell>
        </row>
        <row r="363">
          <cell r="A363" t="str">
            <v>Y1901-0385</v>
          </cell>
          <cell r="B363">
            <v>201810</v>
          </cell>
          <cell r="C363" t="str">
            <v>0100177841</v>
          </cell>
          <cell r="D363" t="str">
            <v>M7650C</v>
          </cell>
          <cell r="E363">
            <v>1188</v>
          </cell>
          <cell r="F363">
            <v>43492</v>
          </cell>
          <cell r="G363" t="str">
            <v>OK</v>
          </cell>
        </row>
        <row r="364">
          <cell r="A364" t="str">
            <v>Y1901-0386</v>
          </cell>
          <cell r="B364">
            <v>201810</v>
          </cell>
          <cell r="C364" t="str">
            <v>0100177842</v>
          </cell>
          <cell r="D364" t="str">
            <v>3J256C</v>
          </cell>
          <cell r="E364">
            <v>144</v>
          </cell>
          <cell r="F364">
            <v>43492</v>
          </cell>
          <cell r="G364" t="str">
            <v>OK</v>
          </cell>
        </row>
        <row r="365">
          <cell r="A365" t="str">
            <v>Y1901-0387</v>
          </cell>
          <cell r="B365">
            <v>201810</v>
          </cell>
          <cell r="C365" t="str">
            <v>0100177843</v>
          </cell>
          <cell r="D365" t="str">
            <v>164358C</v>
          </cell>
          <cell r="E365">
            <v>168</v>
          </cell>
          <cell r="F365">
            <v>43492</v>
          </cell>
          <cell r="G365" t="str">
            <v>OK</v>
          </cell>
        </row>
        <row r="366">
          <cell r="A366" t="str">
            <v>Y1901-0388</v>
          </cell>
          <cell r="B366">
            <v>201810</v>
          </cell>
          <cell r="C366" t="str">
            <v>0100177844</v>
          </cell>
          <cell r="D366" t="str">
            <v>764172C</v>
          </cell>
          <cell r="E366">
            <v>204</v>
          </cell>
          <cell r="F366">
            <v>43492</v>
          </cell>
          <cell r="G366" t="str">
            <v>OK</v>
          </cell>
        </row>
        <row r="367">
          <cell r="A367" t="str">
            <v>Y1901-0389</v>
          </cell>
          <cell r="B367">
            <v>201810</v>
          </cell>
          <cell r="C367" t="str">
            <v>0100177845</v>
          </cell>
          <cell r="D367" t="str">
            <v>164282C</v>
          </cell>
          <cell r="E367">
            <v>120</v>
          </cell>
          <cell r="F367">
            <v>43492</v>
          </cell>
          <cell r="G367" t="str">
            <v>OK</v>
          </cell>
        </row>
        <row r="368">
          <cell r="A368" t="str">
            <v>Y1901-0390</v>
          </cell>
          <cell r="B368">
            <v>201810</v>
          </cell>
          <cell r="C368" t="str">
            <v>0100177846</v>
          </cell>
          <cell r="D368" t="str">
            <v>M7650C</v>
          </cell>
          <cell r="E368">
            <v>204</v>
          </cell>
          <cell r="F368">
            <v>43492</v>
          </cell>
          <cell r="G368" t="str">
            <v>OK</v>
          </cell>
        </row>
        <row r="369">
          <cell r="A369" t="str">
            <v>Y1901-0391</v>
          </cell>
          <cell r="B369">
            <v>201810</v>
          </cell>
          <cell r="C369" t="str">
            <v>0100177847</v>
          </cell>
          <cell r="D369" t="str">
            <v>164060C</v>
          </cell>
          <cell r="E369">
            <v>324</v>
          </cell>
          <cell r="F369">
            <v>43492</v>
          </cell>
          <cell r="G369" t="str">
            <v>OK</v>
          </cell>
        </row>
        <row r="370">
          <cell r="A370" t="str">
            <v>Y1901-0392</v>
          </cell>
          <cell r="B370">
            <v>201810</v>
          </cell>
          <cell r="C370" t="str">
            <v>0100177848</v>
          </cell>
          <cell r="D370" t="str">
            <v>M7652C</v>
          </cell>
          <cell r="E370">
            <v>1104</v>
          </cell>
          <cell r="F370">
            <v>43492</v>
          </cell>
          <cell r="G370" t="str">
            <v>OK</v>
          </cell>
        </row>
        <row r="371">
          <cell r="A371" t="str">
            <v>Y1901-0393</v>
          </cell>
          <cell r="B371">
            <v>201810</v>
          </cell>
          <cell r="C371" t="str">
            <v>0100177849</v>
          </cell>
          <cell r="D371" t="str">
            <v>M7652C</v>
          </cell>
          <cell r="E371">
            <v>3360</v>
          </cell>
          <cell r="F371">
            <v>43492</v>
          </cell>
          <cell r="G371" t="str">
            <v>OK</v>
          </cell>
        </row>
        <row r="372">
          <cell r="A372" t="str">
            <v>Y1901-0394</v>
          </cell>
          <cell r="B372">
            <v>201810</v>
          </cell>
          <cell r="C372" t="str">
            <v>0100177856</v>
          </cell>
          <cell r="D372" t="str">
            <v>565536C</v>
          </cell>
          <cell r="E372">
            <v>24</v>
          </cell>
          <cell r="F372">
            <v>43481</v>
          </cell>
          <cell r="G372" t="str">
            <v>OK</v>
          </cell>
        </row>
        <row r="373">
          <cell r="A373" t="str">
            <v>Y1901-0395</v>
          </cell>
          <cell r="B373">
            <v>201810</v>
          </cell>
          <cell r="C373" t="str">
            <v>0100177930</v>
          </cell>
          <cell r="D373" t="str">
            <v>162580C</v>
          </cell>
          <cell r="E373">
            <v>2304</v>
          </cell>
          <cell r="F373">
            <v>43492</v>
          </cell>
          <cell r="G373" t="str">
            <v>OK</v>
          </cell>
        </row>
        <row r="374">
          <cell r="A374" t="str">
            <v>Y1901-0396</v>
          </cell>
          <cell r="B374">
            <v>201810</v>
          </cell>
          <cell r="C374" t="str">
            <v>0100177931</v>
          </cell>
          <cell r="D374" t="str">
            <v>164281C</v>
          </cell>
          <cell r="E374">
            <v>864</v>
          </cell>
          <cell r="F374">
            <v>43492</v>
          </cell>
          <cell r="G374" t="str">
            <v>OK</v>
          </cell>
        </row>
        <row r="375">
          <cell r="A375" t="str">
            <v>Y1901-0397</v>
          </cell>
          <cell r="B375">
            <v>201810</v>
          </cell>
          <cell r="C375" t="str">
            <v>0100177932</v>
          </cell>
          <cell r="D375" t="str">
            <v>M7652C</v>
          </cell>
          <cell r="E375">
            <v>948</v>
          </cell>
          <cell r="F375">
            <v>43492</v>
          </cell>
          <cell r="G375" t="str">
            <v>OK</v>
          </cell>
        </row>
        <row r="376">
          <cell r="A376" t="str">
            <v>Y1901-0398</v>
          </cell>
          <cell r="B376">
            <v>201810</v>
          </cell>
          <cell r="C376" t="str">
            <v>0100177933</v>
          </cell>
          <cell r="D376" t="str">
            <v>164359C</v>
          </cell>
          <cell r="E376">
            <v>120</v>
          </cell>
          <cell r="F376">
            <v>43492</v>
          </cell>
          <cell r="G376" t="str">
            <v>OK</v>
          </cell>
        </row>
        <row r="377">
          <cell r="A377" t="str">
            <v>Y1901-0399</v>
          </cell>
          <cell r="B377">
            <v>201810</v>
          </cell>
          <cell r="C377" t="str">
            <v>0100177934</v>
          </cell>
          <cell r="D377" t="str">
            <v>564151C</v>
          </cell>
          <cell r="E377">
            <v>216</v>
          </cell>
          <cell r="F377">
            <v>43492</v>
          </cell>
          <cell r="G377" t="str">
            <v>OK</v>
          </cell>
        </row>
        <row r="378">
          <cell r="A378" t="str">
            <v>Y1901-0400</v>
          </cell>
          <cell r="B378">
            <v>201810</v>
          </cell>
          <cell r="C378" t="str">
            <v>0100177935</v>
          </cell>
          <cell r="D378" t="str">
            <v>764173C</v>
          </cell>
          <cell r="E378">
            <v>204</v>
          </cell>
          <cell r="F378">
            <v>43492</v>
          </cell>
          <cell r="G378" t="str">
            <v>OK</v>
          </cell>
        </row>
        <row r="379">
          <cell r="A379" t="str">
            <v>Y1901-0401</v>
          </cell>
          <cell r="B379">
            <v>201810</v>
          </cell>
          <cell r="C379" t="str">
            <v>0100177940</v>
          </cell>
          <cell r="D379" t="str">
            <v>565536C</v>
          </cell>
          <cell r="E379">
            <v>194</v>
          </cell>
          <cell r="F379">
            <v>43481</v>
          </cell>
          <cell r="G379" t="str">
            <v>OK</v>
          </cell>
        </row>
        <row r="380">
          <cell r="A380" t="str">
            <v>Y1901-0402</v>
          </cell>
          <cell r="B380">
            <v>201810</v>
          </cell>
          <cell r="C380" t="str">
            <v>0100178001</v>
          </cell>
          <cell r="D380" t="str">
            <v>164219C</v>
          </cell>
          <cell r="E380">
            <v>120</v>
          </cell>
          <cell r="F380">
            <v>43492</v>
          </cell>
          <cell r="G380" t="str">
            <v>OK</v>
          </cell>
        </row>
        <row r="381">
          <cell r="A381" t="str">
            <v>Y1901-0403</v>
          </cell>
          <cell r="B381">
            <v>201810</v>
          </cell>
          <cell r="C381" t="str">
            <v>0100178002</v>
          </cell>
          <cell r="D381" t="str">
            <v>164360C</v>
          </cell>
          <cell r="E381">
            <v>300</v>
          </cell>
          <cell r="F381">
            <v>43492</v>
          </cell>
          <cell r="G381" t="str">
            <v>OK</v>
          </cell>
        </row>
        <row r="382">
          <cell r="A382" t="str">
            <v>Y1901-0404</v>
          </cell>
          <cell r="B382">
            <v>201810</v>
          </cell>
          <cell r="C382" t="str">
            <v>0100178003</v>
          </cell>
          <cell r="D382" t="str">
            <v>564152C</v>
          </cell>
          <cell r="E382">
            <v>168</v>
          </cell>
          <cell r="F382">
            <v>43492</v>
          </cell>
          <cell r="G382" t="str">
            <v>OK</v>
          </cell>
        </row>
        <row r="383">
          <cell r="A383" t="str">
            <v>Y1901-0405</v>
          </cell>
          <cell r="B383">
            <v>201810</v>
          </cell>
          <cell r="C383" t="str">
            <v>0100178004</v>
          </cell>
          <cell r="D383" t="str">
            <v>M7652C</v>
          </cell>
          <cell r="E383">
            <v>1908</v>
          </cell>
          <cell r="F383">
            <v>43492</v>
          </cell>
          <cell r="G383" t="str">
            <v>OK</v>
          </cell>
        </row>
        <row r="384">
          <cell r="A384" t="str">
            <v>Y1901-0406</v>
          </cell>
          <cell r="B384">
            <v>201810</v>
          </cell>
          <cell r="C384" t="str">
            <v>0100178005</v>
          </cell>
          <cell r="D384" t="str">
            <v>163376C</v>
          </cell>
          <cell r="E384">
            <v>144</v>
          </cell>
          <cell r="F384">
            <v>43492</v>
          </cell>
          <cell r="G384" t="str">
            <v>OK</v>
          </cell>
        </row>
        <row r="385">
          <cell r="A385" t="str">
            <v>Y1902-0320</v>
          </cell>
          <cell r="B385">
            <v>201810</v>
          </cell>
          <cell r="C385" t="str">
            <v>0100178007</v>
          </cell>
          <cell r="D385" t="str">
            <v>158369C</v>
          </cell>
          <cell r="E385">
            <v>1668</v>
          </cell>
          <cell r="F385">
            <v>43486</v>
          </cell>
          <cell r="G385" t="str">
            <v>OK</v>
          </cell>
        </row>
        <row r="386">
          <cell r="A386" t="str">
            <v>Y1901-0407</v>
          </cell>
          <cell r="B386">
            <v>201810</v>
          </cell>
          <cell r="C386" t="str">
            <v>0100178065</v>
          </cell>
          <cell r="D386" t="str">
            <v>164359C</v>
          </cell>
          <cell r="E386">
            <v>120</v>
          </cell>
          <cell r="F386">
            <v>43492</v>
          </cell>
          <cell r="G386" t="str">
            <v>OK</v>
          </cell>
        </row>
        <row r="387">
          <cell r="A387" t="str">
            <v>Y1901-0408</v>
          </cell>
          <cell r="B387">
            <v>201810</v>
          </cell>
          <cell r="C387" t="str">
            <v>0100178066</v>
          </cell>
          <cell r="D387" t="str">
            <v>164361C</v>
          </cell>
          <cell r="E387">
            <v>120</v>
          </cell>
          <cell r="F387">
            <v>43492</v>
          </cell>
          <cell r="G387" t="str">
            <v>OK</v>
          </cell>
        </row>
        <row r="388">
          <cell r="A388" t="str">
            <v>Y1901-0409</v>
          </cell>
          <cell r="B388">
            <v>201810</v>
          </cell>
          <cell r="C388" t="str">
            <v>0100178067</v>
          </cell>
          <cell r="D388" t="str">
            <v>164280C</v>
          </cell>
          <cell r="E388">
            <v>120</v>
          </cell>
          <cell r="F388">
            <v>43492</v>
          </cell>
          <cell r="G388" t="str">
            <v>OK</v>
          </cell>
        </row>
        <row r="389">
          <cell r="A389" t="str">
            <v>Y1901-0410</v>
          </cell>
          <cell r="B389">
            <v>201810</v>
          </cell>
          <cell r="C389" t="str">
            <v>0100178068</v>
          </cell>
          <cell r="D389" t="str">
            <v>164360C</v>
          </cell>
          <cell r="E389">
            <v>192</v>
          </cell>
          <cell r="F389">
            <v>43492</v>
          </cell>
          <cell r="G389" t="str">
            <v>OK</v>
          </cell>
        </row>
        <row r="390">
          <cell r="A390" t="str">
            <v>Y1901-0411</v>
          </cell>
          <cell r="B390">
            <v>201810</v>
          </cell>
          <cell r="C390" t="str">
            <v>0100178069</v>
          </cell>
          <cell r="D390" t="str">
            <v>164361C</v>
          </cell>
          <cell r="E390">
            <v>192</v>
          </cell>
          <cell r="F390">
            <v>43492</v>
          </cell>
          <cell r="G390" t="str">
            <v>OK</v>
          </cell>
        </row>
        <row r="391">
          <cell r="A391" t="str">
            <v>Y1901-0412</v>
          </cell>
          <cell r="B391">
            <v>201810</v>
          </cell>
          <cell r="C391" t="str">
            <v>0100178070</v>
          </cell>
          <cell r="D391" t="str">
            <v>7J256C</v>
          </cell>
          <cell r="E391">
            <v>120</v>
          </cell>
          <cell r="F391">
            <v>43492</v>
          </cell>
          <cell r="G391" t="str">
            <v>OK</v>
          </cell>
        </row>
        <row r="392">
          <cell r="A392" t="str">
            <v>Y1901-0413</v>
          </cell>
          <cell r="B392">
            <v>201810</v>
          </cell>
          <cell r="C392" t="str">
            <v>0100178071</v>
          </cell>
          <cell r="D392" t="str">
            <v>164361C</v>
          </cell>
          <cell r="E392">
            <v>348</v>
          </cell>
          <cell r="F392">
            <v>43492</v>
          </cell>
          <cell r="G392" t="str">
            <v>OK</v>
          </cell>
        </row>
        <row r="393">
          <cell r="A393" t="str">
            <v>Y1901-0414</v>
          </cell>
          <cell r="B393">
            <v>201810</v>
          </cell>
          <cell r="C393" t="str">
            <v>0100178072</v>
          </cell>
          <cell r="D393" t="str">
            <v>564154C</v>
          </cell>
          <cell r="E393">
            <v>180</v>
          </cell>
          <cell r="F393">
            <v>43492</v>
          </cell>
          <cell r="G393" t="str">
            <v>OK</v>
          </cell>
        </row>
        <row r="394">
          <cell r="A394" t="str">
            <v>Y1901-0415</v>
          </cell>
          <cell r="B394">
            <v>201810</v>
          </cell>
          <cell r="C394" t="str">
            <v>0100178073</v>
          </cell>
          <cell r="D394" t="str">
            <v>163377C</v>
          </cell>
          <cell r="E394">
            <v>144</v>
          </cell>
          <cell r="F394">
            <v>43492</v>
          </cell>
          <cell r="G394" t="str">
            <v>OK</v>
          </cell>
        </row>
        <row r="395">
          <cell r="A395" t="str">
            <v>Y1901-0416</v>
          </cell>
          <cell r="B395">
            <v>201810</v>
          </cell>
          <cell r="C395" t="str">
            <v>0100178075</v>
          </cell>
          <cell r="D395" t="str">
            <v>163376C</v>
          </cell>
          <cell r="E395">
            <v>300</v>
          </cell>
          <cell r="F395">
            <v>43492</v>
          </cell>
          <cell r="G395" t="str">
            <v>OK</v>
          </cell>
        </row>
        <row r="396">
          <cell r="A396" t="str">
            <v>Y1901-0417</v>
          </cell>
          <cell r="B396">
            <v>201810</v>
          </cell>
          <cell r="C396" t="str">
            <v>0100178076</v>
          </cell>
          <cell r="D396" t="str">
            <v>163377C</v>
          </cell>
          <cell r="E396">
            <v>252</v>
          </cell>
          <cell r="F396">
            <v>43492</v>
          </cell>
          <cell r="G396" t="str">
            <v>OK</v>
          </cell>
        </row>
        <row r="397">
          <cell r="A397" t="str">
            <v>Y1901-0418</v>
          </cell>
          <cell r="B397">
            <v>201810</v>
          </cell>
          <cell r="C397" t="str">
            <v>0100178077</v>
          </cell>
          <cell r="D397" t="str">
            <v>164058C</v>
          </cell>
          <cell r="E397">
            <v>600</v>
          </cell>
          <cell r="F397">
            <v>43492</v>
          </cell>
          <cell r="G397" t="str">
            <v>OK</v>
          </cell>
        </row>
        <row r="398">
          <cell r="A398" t="str">
            <v>Y1902-0327</v>
          </cell>
          <cell r="B398">
            <v>201810</v>
          </cell>
          <cell r="C398" t="str">
            <v>0100178083</v>
          </cell>
          <cell r="D398" t="str">
            <v>158371C</v>
          </cell>
          <cell r="E398">
            <v>1140</v>
          </cell>
          <cell r="F398">
            <v>43486</v>
          </cell>
          <cell r="G398" t="str">
            <v>OK</v>
          </cell>
        </row>
        <row r="399">
          <cell r="A399" t="str">
            <v>Y1902-0330</v>
          </cell>
          <cell r="B399">
            <v>201810</v>
          </cell>
          <cell r="C399" t="str">
            <v>0100178086</v>
          </cell>
          <cell r="D399" t="str">
            <v>161577C</v>
          </cell>
          <cell r="E399">
            <v>252</v>
          </cell>
          <cell r="F399">
            <v>43486</v>
          </cell>
          <cell r="G399" t="str">
            <v>OK</v>
          </cell>
        </row>
        <row r="400">
          <cell r="A400" t="str">
            <v>Y1902-0331</v>
          </cell>
          <cell r="B400">
            <v>201810</v>
          </cell>
          <cell r="C400" t="str">
            <v>0100178087</v>
          </cell>
          <cell r="D400" t="str">
            <v>161577C</v>
          </cell>
          <cell r="E400">
            <v>204</v>
          </cell>
          <cell r="F400">
            <v>43486</v>
          </cell>
          <cell r="G400" t="str">
            <v>OK</v>
          </cell>
        </row>
        <row r="401">
          <cell r="A401" t="str">
            <v>Y1901-0419</v>
          </cell>
          <cell r="B401">
            <v>201810</v>
          </cell>
          <cell r="C401" t="str">
            <v>0100178223</v>
          </cell>
          <cell r="D401" t="str">
            <v>564154C</v>
          </cell>
          <cell r="E401">
            <v>120</v>
          </cell>
          <cell r="F401">
            <v>43492</v>
          </cell>
          <cell r="G401" t="str">
            <v>OK</v>
          </cell>
        </row>
        <row r="402">
          <cell r="A402" t="str">
            <v>Y1901-0420</v>
          </cell>
          <cell r="B402">
            <v>201810</v>
          </cell>
          <cell r="C402" t="str">
            <v>0100178224</v>
          </cell>
          <cell r="D402" t="str">
            <v>164281C</v>
          </cell>
          <cell r="E402">
            <v>120</v>
          </cell>
          <cell r="F402">
            <v>43492</v>
          </cell>
          <cell r="G402" t="str">
            <v>OK</v>
          </cell>
        </row>
        <row r="403">
          <cell r="A403" t="str">
            <v>Y1901-0421</v>
          </cell>
          <cell r="B403">
            <v>201810</v>
          </cell>
          <cell r="C403" t="str">
            <v>0100178225</v>
          </cell>
          <cell r="D403" t="str">
            <v>164282C</v>
          </cell>
          <cell r="E403">
            <v>120</v>
          </cell>
          <cell r="F403">
            <v>43492</v>
          </cell>
          <cell r="G403" t="str">
            <v>OK</v>
          </cell>
        </row>
        <row r="404">
          <cell r="A404" t="str">
            <v>Y1901-0422</v>
          </cell>
          <cell r="B404">
            <v>201810</v>
          </cell>
          <cell r="C404" t="str">
            <v>0100178226</v>
          </cell>
          <cell r="D404" t="str">
            <v>164359C</v>
          </cell>
          <cell r="E404">
            <v>120</v>
          </cell>
          <cell r="F404">
            <v>43492</v>
          </cell>
          <cell r="G404" t="str">
            <v>OK</v>
          </cell>
        </row>
        <row r="405">
          <cell r="A405" t="str">
            <v>Y1901-0423</v>
          </cell>
          <cell r="B405">
            <v>201810</v>
          </cell>
          <cell r="C405" t="str">
            <v>0100178227</v>
          </cell>
          <cell r="D405" t="str">
            <v>164360C</v>
          </cell>
          <cell r="E405">
            <v>120</v>
          </cell>
          <cell r="F405">
            <v>43492</v>
          </cell>
          <cell r="G405" t="str">
            <v>OK</v>
          </cell>
        </row>
        <row r="406">
          <cell r="A406" t="str">
            <v>Y1901-0424</v>
          </cell>
          <cell r="B406">
            <v>201810</v>
          </cell>
          <cell r="C406" t="str">
            <v>0100178228</v>
          </cell>
          <cell r="D406" t="str">
            <v>364169C</v>
          </cell>
          <cell r="E406">
            <v>180</v>
          </cell>
          <cell r="F406">
            <v>43492</v>
          </cell>
          <cell r="G406" t="str">
            <v>OK</v>
          </cell>
        </row>
        <row r="407">
          <cell r="A407" t="str">
            <v>Y1901-0425</v>
          </cell>
          <cell r="B407">
            <v>201810</v>
          </cell>
          <cell r="C407" t="str">
            <v>0100178229</v>
          </cell>
          <cell r="D407" t="str">
            <v>364170C</v>
          </cell>
          <cell r="E407">
            <v>168</v>
          </cell>
          <cell r="F407">
            <v>43492</v>
          </cell>
          <cell r="G407" t="str">
            <v>OK</v>
          </cell>
        </row>
        <row r="408">
          <cell r="A408" t="str">
            <v>Y1901-0426</v>
          </cell>
          <cell r="B408">
            <v>201810</v>
          </cell>
          <cell r="C408" t="str">
            <v>0100178230</v>
          </cell>
          <cell r="D408" t="str">
            <v>164393C</v>
          </cell>
          <cell r="E408">
            <v>144</v>
          </cell>
          <cell r="F408">
            <v>43492</v>
          </cell>
          <cell r="G408" t="str">
            <v>OK</v>
          </cell>
        </row>
        <row r="409">
          <cell r="A409" t="str">
            <v>Y1901-0427</v>
          </cell>
          <cell r="B409">
            <v>201810</v>
          </cell>
          <cell r="C409" t="str">
            <v>0100178231</v>
          </cell>
          <cell r="D409" t="str">
            <v>364169C</v>
          </cell>
          <cell r="E409">
            <v>144</v>
          </cell>
          <cell r="F409">
            <v>43492</v>
          </cell>
          <cell r="G409" t="str">
            <v>OK</v>
          </cell>
        </row>
        <row r="410">
          <cell r="A410" t="str">
            <v>Y1901-0428</v>
          </cell>
          <cell r="B410">
            <v>201810</v>
          </cell>
          <cell r="C410" t="str">
            <v>0100178232</v>
          </cell>
          <cell r="D410" t="str">
            <v>364170C</v>
          </cell>
          <cell r="E410">
            <v>144</v>
          </cell>
          <cell r="F410">
            <v>43492</v>
          </cell>
          <cell r="G410" t="str">
            <v>OK</v>
          </cell>
        </row>
        <row r="411">
          <cell r="A411" t="str">
            <v>Y1901-0429</v>
          </cell>
          <cell r="B411">
            <v>201810</v>
          </cell>
          <cell r="C411" t="str">
            <v>0100178233</v>
          </cell>
          <cell r="D411" t="str">
            <v>164059C</v>
          </cell>
          <cell r="E411">
            <v>516</v>
          </cell>
          <cell r="F411">
            <v>43492</v>
          </cell>
          <cell r="G411" t="str">
            <v>OK</v>
          </cell>
        </row>
        <row r="412">
          <cell r="A412" t="str">
            <v>Y1901-0430</v>
          </cell>
          <cell r="B412">
            <v>201810</v>
          </cell>
          <cell r="C412" t="str">
            <v>0100178234</v>
          </cell>
          <cell r="D412" t="str">
            <v>164060C</v>
          </cell>
          <cell r="E412">
            <v>528</v>
          </cell>
          <cell r="F412">
            <v>43492</v>
          </cell>
          <cell r="G412" t="str">
            <v>OK</v>
          </cell>
        </row>
        <row r="413">
          <cell r="A413" t="str">
            <v>Y1901-0431</v>
          </cell>
          <cell r="B413">
            <v>201810</v>
          </cell>
          <cell r="C413" t="str">
            <v>0100178314</v>
          </cell>
          <cell r="D413" t="str">
            <v>164219C</v>
          </cell>
          <cell r="E413">
            <v>240</v>
          </cell>
          <cell r="F413">
            <v>43492</v>
          </cell>
          <cell r="G413" t="str">
            <v>OK</v>
          </cell>
        </row>
        <row r="414">
          <cell r="A414" t="str">
            <v>Y1901-0432</v>
          </cell>
          <cell r="B414">
            <v>201810</v>
          </cell>
          <cell r="C414" t="str">
            <v>0100178315</v>
          </cell>
          <cell r="D414" t="str">
            <v>164220C</v>
          </cell>
          <cell r="E414">
            <v>216</v>
          </cell>
          <cell r="F414">
            <v>43492</v>
          </cell>
          <cell r="G414" t="str">
            <v>OK</v>
          </cell>
        </row>
        <row r="415">
          <cell r="A415" t="str">
            <v>Y1901-0433</v>
          </cell>
          <cell r="B415">
            <v>201810</v>
          </cell>
          <cell r="C415" t="str">
            <v>0100178316</v>
          </cell>
          <cell r="D415" t="str">
            <v>1J794C</v>
          </cell>
          <cell r="E415">
            <v>552</v>
          </cell>
          <cell r="F415">
            <v>43492</v>
          </cell>
          <cell r="G415" t="str">
            <v>OK</v>
          </cell>
        </row>
        <row r="416">
          <cell r="A416" t="str">
            <v>Y1901-0434</v>
          </cell>
          <cell r="B416">
            <v>201810</v>
          </cell>
          <cell r="C416" t="str">
            <v>0100178317</v>
          </cell>
          <cell r="D416" t="str">
            <v>164362C</v>
          </cell>
          <cell r="E416">
            <v>120</v>
          </cell>
          <cell r="F416">
            <v>43492</v>
          </cell>
          <cell r="G416" t="str">
            <v>OK</v>
          </cell>
        </row>
        <row r="417">
          <cell r="A417" t="str">
            <v>Y1901-0435</v>
          </cell>
          <cell r="B417">
            <v>201810</v>
          </cell>
          <cell r="C417" t="str">
            <v>0100178318</v>
          </cell>
          <cell r="D417" t="str">
            <v>3J238C</v>
          </cell>
          <cell r="E417">
            <v>120</v>
          </cell>
          <cell r="F417">
            <v>43492</v>
          </cell>
          <cell r="G417" t="str">
            <v>OK</v>
          </cell>
        </row>
        <row r="418">
          <cell r="A418" t="str">
            <v>Y1901-0436</v>
          </cell>
          <cell r="B418">
            <v>201810</v>
          </cell>
          <cell r="C418" t="str">
            <v>0100178319</v>
          </cell>
          <cell r="D418" t="str">
            <v>3J256C</v>
          </cell>
          <cell r="E418">
            <v>180</v>
          </cell>
          <cell r="F418">
            <v>43492</v>
          </cell>
          <cell r="G418" t="str">
            <v>OK</v>
          </cell>
        </row>
        <row r="419">
          <cell r="A419" t="str">
            <v>Y1901-0437</v>
          </cell>
          <cell r="B419">
            <v>201810</v>
          </cell>
          <cell r="C419" t="str">
            <v>0100178320</v>
          </cell>
          <cell r="D419" t="str">
            <v>564072C</v>
          </cell>
          <cell r="E419">
            <v>156</v>
          </cell>
          <cell r="F419">
            <v>43492</v>
          </cell>
          <cell r="G419" t="str">
            <v>OK</v>
          </cell>
        </row>
        <row r="420">
          <cell r="A420" t="str">
            <v>Y1901-0438</v>
          </cell>
          <cell r="B420">
            <v>201810</v>
          </cell>
          <cell r="C420" t="str">
            <v>0100178321</v>
          </cell>
          <cell r="D420" t="str">
            <v>3J238C</v>
          </cell>
          <cell r="E420">
            <v>144</v>
          </cell>
          <cell r="F420">
            <v>43492</v>
          </cell>
          <cell r="G420" t="str">
            <v>OK</v>
          </cell>
        </row>
        <row r="421">
          <cell r="A421" t="str">
            <v>Y1901-0439</v>
          </cell>
          <cell r="B421">
            <v>201810</v>
          </cell>
          <cell r="C421" t="str">
            <v>0100178322</v>
          </cell>
          <cell r="D421" t="str">
            <v>3J253C</v>
          </cell>
          <cell r="E421">
            <v>144</v>
          </cell>
          <cell r="F421">
            <v>43492</v>
          </cell>
          <cell r="G421" t="str">
            <v>OK</v>
          </cell>
        </row>
        <row r="422">
          <cell r="A422" t="str">
            <v>Y1901-0440</v>
          </cell>
          <cell r="B422">
            <v>201810</v>
          </cell>
          <cell r="C422" t="str">
            <v>0100178324</v>
          </cell>
          <cell r="D422" t="str">
            <v>164359C</v>
          </cell>
          <cell r="E422">
            <v>276</v>
          </cell>
          <cell r="F422">
            <v>43492</v>
          </cell>
          <cell r="G422" t="str">
            <v>OK</v>
          </cell>
        </row>
        <row r="423">
          <cell r="A423" t="str">
            <v>Y1901-0441</v>
          </cell>
          <cell r="B423">
            <v>201810</v>
          </cell>
          <cell r="C423" t="str">
            <v>0100178388</v>
          </cell>
          <cell r="D423" t="str">
            <v>M3310C</v>
          </cell>
          <cell r="E423">
            <v>552</v>
          </cell>
          <cell r="F423">
            <v>43492</v>
          </cell>
          <cell r="G423" t="str">
            <v>OK</v>
          </cell>
        </row>
        <row r="424">
          <cell r="A424" t="str">
            <v>Y1901-0442</v>
          </cell>
          <cell r="B424">
            <v>201810</v>
          </cell>
          <cell r="C424" t="str">
            <v>0100178389</v>
          </cell>
          <cell r="D424" t="str">
            <v>M7652C</v>
          </cell>
          <cell r="E424">
            <v>528</v>
          </cell>
          <cell r="F424">
            <v>43492</v>
          </cell>
          <cell r="G424" t="str">
            <v>OK</v>
          </cell>
        </row>
        <row r="425">
          <cell r="A425" t="str">
            <v>Y1901-0443</v>
          </cell>
          <cell r="B425">
            <v>201810</v>
          </cell>
          <cell r="C425" t="str">
            <v>0100178390</v>
          </cell>
          <cell r="D425" t="str">
            <v>3J256C</v>
          </cell>
          <cell r="E425">
            <v>132</v>
          </cell>
          <cell r="F425">
            <v>43492</v>
          </cell>
          <cell r="G425" t="str">
            <v>OK</v>
          </cell>
        </row>
        <row r="426">
          <cell r="A426" t="str">
            <v>Y1901-0444</v>
          </cell>
          <cell r="B426">
            <v>201810</v>
          </cell>
          <cell r="C426" t="str">
            <v>0100178391</v>
          </cell>
          <cell r="D426" t="str">
            <v>564071C</v>
          </cell>
          <cell r="E426">
            <v>132</v>
          </cell>
          <cell r="F426">
            <v>43492</v>
          </cell>
          <cell r="G426" t="str">
            <v>OK</v>
          </cell>
        </row>
        <row r="427">
          <cell r="A427" t="str">
            <v>Y1901-0445</v>
          </cell>
          <cell r="B427">
            <v>201810</v>
          </cell>
          <cell r="C427" t="str">
            <v>0100178392</v>
          </cell>
          <cell r="D427" t="str">
            <v>564072C</v>
          </cell>
          <cell r="E427">
            <v>120</v>
          </cell>
          <cell r="F427">
            <v>43492</v>
          </cell>
          <cell r="G427" t="str">
            <v>OK</v>
          </cell>
        </row>
        <row r="428">
          <cell r="A428" t="str">
            <v>Y1901-0446</v>
          </cell>
          <cell r="B428">
            <v>201810</v>
          </cell>
          <cell r="C428" t="str">
            <v>0100178393</v>
          </cell>
          <cell r="D428" t="str">
            <v>764172C</v>
          </cell>
          <cell r="E428">
            <v>180</v>
          </cell>
          <cell r="F428">
            <v>43492</v>
          </cell>
          <cell r="G428" t="str">
            <v>OK</v>
          </cell>
        </row>
        <row r="429">
          <cell r="A429" t="str">
            <v>Y1901-0447</v>
          </cell>
          <cell r="B429">
            <v>201810</v>
          </cell>
          <cell r="C429" t="str">
            <v>0100178394</v>
          </cell>
          <cell r="D429" t="str">
            <v>764173C</v>
          </cell>
          <cell r="E429">
            <v>180</v>
          </cell>
          <cell r="F429">
            <v>43492</v>
          </cell>
          <cell r="G429" t="str">
            <v>OK</v>
          </cell>
        </row>
        <row r="430">
          <cell r="A430" t="str">
            <v>Y1901-0448</v>
          </cell>
          <cell r="B430">
            <v>201810</v>
          </cell>
          <cell r="C430" t="str">
            <v>0100178395</v>
          </cell>
          <cell r="D430" t="str">
            <v>164361C</v>
          </cell>
          <cell r="E430">
            <v>120</v>
          </cell>
          <cell r="F430">
            <v>43492</v>
          </cell>
          <cell r="G430" t="str">
            <v>OK</v>
          </cell>
        </row>
        <row r="431">
          <cell r="A431" t="str">
            <v>Y1901-0449</v>
          </cell>
          <cell r="B431">
            <v>201810</v>
          </cell>
          <cell r="C431" t="str">
            <v>0100178396</v>
          </cell>
          <cell r="D431" t="str">
            <v>164362C</v>
          </cell>
          <cell r="E431">
            <v>120</v>
          </cell>
          <cell r="F431">
            <v>43492</v>
          </cell>
          <cell r="G431" t="str">
            <v>OK</v>
          </cell>
        </row>
        <row r="432">
          <cell r="A432" t="str">
            <v>Y1901-0450</v>
          </cell>
          <cell r="B432">
            <v>201810</v>
          </cell>
          <cell r="C432" t="str">
            <v>0100178397</v>
          </cell>
          <cell r="D432" t="str">
            <v>164219C</v>
          </cell>
          <cell r="E432">
            <v>120</v>
          </cell>
          <cell r="F432">
            <v>43492</v>
          </cell>
          <cell r="G432" t="str">
            <v>OK</v>
          </cell>
        </row>
        <row r="433">
          <cell r="A433" t="str">
            <v>Y1901-0451</v>
          </cell>
          <cell r="B433">
            <v>201810</v>
          </cell>
          <cell r="C433" t="str">
            <v>0100178398</v>
          </cell>
          <cell r="D433" t="str">
            <v>164361C</v>
          </cell>
          <cell r="E433">
            <v>276</v>
          </cell>
          <cell r="F433">
            <v>43492</v>
          </cell>
          <cell r="G433" t="str">
            <v>OK</v>
          </cell>
        </row>
        <row r="434">
          <cell r="A434" t="str">
            <v>Y1901-0452</v>
          </cell>
          <cell r="B434">
            <v>201810</v>
          </cell>
          <cell r="C434" t="str">
            <v>0100178399</v>
          </cell>
          <cell r="D434" t="str">
            <v>3J256C</v>
          </cell>
          <cell r="E434">
            <v>204</v>
          </cell>
          <cell r="F434">
            <v>43492</v>
          </cell>
          <cell r="G434" t="str">
            <v>OK</v>
          </cell>
        </row>
        <row r="435">
          <cell r="A435" t="str">
            <v>Y1902-0360</v>
          </cell>
          <cell r="B435">
            <v>201810</v>
          </cell>
          <cell r="C435" t="str">
            <v>0100178401</v>
          </cell>
          <cell r="D435" t="str">
            <v>164359C</v>
          </cell>
          <cell r="E435">
            <v>192</v>
          </cell>
          <cell r="F435">
            <v>43492</v>
          </cell>
          <cell r="G435" t="str">
            <v>OK</v>
          </cell>
        </row>
        <row r="436">
          <cell r="A436" t="str">
            <v>Y1902-0361</v>
          </cell>
          <cell r="B436">
            <v>201810</v>
          </cell>
          <cell r="C436" t="str">
            <v>0100178402</v>
          </cell>
          <cell r="D436" t="str">
            <v>164360C</v>
          </cell>
          <cell r="E436">
            <v>192</v>
          </cell>
          <cell r="F436">
            <v>43492</v>
          </cell>
          <cell r="G436" t="str">
            <v>OK</v>
          </cell>
        </row>
        <row r="437">
          <cell r="A437" t="str">
            <v>Y1902-0362</v>
          </cell>
          <cell r="B437">
            <v>201810</v>
          </cell>
          <cell r="C437" t="str">
            <v>0100178403</v>
          </cell>
          <cell r="D437" t="str">
            <v>164393C</v>
          </cell>
          <cell r="E437">
            <v>132</v>
          </cell>
          <cell r="F437">
            <v>43486</v>
          </cell>
          <cell r="G437" t="str">
            <v>OK</v>
          </cell>
        </row>
        <row r="438">
          <cell r="A438" t="str">
            <v>Y1901-0453</v>
          </cell>
          <cell r="B438">
            <v>201810</v>
          </cell>
          <cell r="C438" t="str">
            <v>0100178405</v>
          </cell>
          <cell r="D438" t="str">
            <v>165524C</v>
          </cell>
          <cell r="E438">
            <v>149</v>
          </cell>
          <cell r="F438">
            <v>43486</v>
          </cell>
          <cell r="G438" t="str">
            <v>OK</v>
          </cell>
        </row>
        <row r="439">
          <cell r="A439" t="str">
            <v>Y1901-0454</v>
          </cell>
          <cell r="B439">
            <v>201810</v>
          </cell>
          <cell r="C439" t="str">
            <v>0100178406</v>
          </cell>
          <cell r="D439" t="str">
            <v>165524C</v>
          </cell>
          <cell r="E439">
            <v>184</v>
          </cell>
          <cell r="F439">
            <v>43486</v>
          </cell>
          <cell r="G439" t="str">
            <v>OK</v>
          </cell>
        </row>
        <row r="440">
          <cell r="A440" t="str">
            <v>Y1901-0455</v>
          </cell>
          <cell r="B440">
            <v>201810</v>
          </cell>
          <cell r="C440" t="str">
            <v>0100178407</v>
          </cell>
          <cell r="D440" t="str">
            <v>165525C</v>
          </cell>
          <cell r="E440">
            <v>149</v>
          </cell>
          <cell r="F440">
            <v>43486</v>
          </cell>
          <cell r="G440" t="str">
            <v>OK</v>
          </cell>
        </row>
        <row r="441">
          <cell r="A441" t="str">
            <v>Y1901-0456</v>
          </cell>
          <cell r="B441">
            <v>201810</v>
          </cell>
          <cell r="C441" t="str">
            <v>0100178448</v>
          </cell>
          <cell r="D441" t="str">
            <v>361817C</v>
          </cell>
          <cell r="E441">
            <v>324</v>
          </cell>
          <cell r="F441">
            <v>43492</v>
          </cell>
          <cell r="G441" t="str">
            <v>OK</v>
          </cell>
        </row>
        <row r="442">
          <cell r="A442" t="str">
            <v>Y1901-0457</v>
          </cell>
          <cell r="B442">
            <v>201810</v>
          </cell>
          <cell r="C442" t="str">
            <v>0100178451</v>
          </cell>
          <cell r="D442" t="str">
            <v>M7652C</v>
          </cell>
          <cell r="E442">
            <v>1776</v>
          </cell>
          <cell r="F442">
            <v>43492</v>
          </cell>
          <cell r="G442" t="str">
            <v>OK</v>
          </cell>
        </row>
        <row r="443">
          <cell r="A443" t="str">
            <v>Y1901-0458</v>
          </cell>
          <cell r="B443">
            <v>201810</v>
          </cell>
          <cell r="C443" t="str">
            <v>0100178452</v>
          </cell>
          <cell r="D443" t="str">
            <v>164217C</v>
          </cell>
          <cell r="E443">
            <v>120</v>
          </cell>
          <cell r="F443">
            <v>43492</v>
          </cell>
          <cell r="G443" t="str">
            <v>OK</v>
          </cell>
        </row>
        <row r="444">
          <cell r="A444" t="str">
            <v>Y1901-0459</v>
          </cell>
          <cell r="B444">
            <v>201810</v>
          </cell>
          <cell r="C444" t="str">
            <v>0100178453</v>
          </cell>
          <cell r="D444" t="str">
            <v>164220C</v>
          </cell>
          <cell r="E444">
            <v>120</v>
          </cell>
          <cell r="F444">
            <v>43492</v>
          </cell>
          <cell r="G444" t="str">
            <v>OK</v>
          </cell>
        </row>
        <row r="445">
          <cell r="A445" t="str">
            <v>Y1901-0460</v>
          </cell>
          <cell r="B445">
            <v>201810</v>
          </cell>
          <cell r="C445" t="str">
            <v>0100178454</v>
          </cell>
          <cell r="D445" t="str">
            <v>564151C</v>
          </cell>
          <cell r="E445">
            <v>132</v>
          </cell>
          <cell r="F445">
            <v>43492</v>
          </cell>
          <cell r="G445" t="str">
            <v>OK</v>
          </cell>
        </row>
        <row r="446">
          <cell r="A446" t="str">
            <v>Y1901-0461</v>
          </cell>
          <cell r="B446">
            <v>201810</v>
          </cell>
          <cell r="C446" t="str">
            <v>0100178455</v>
          </cell>
          <cell r="D446" t="str">
            <v>564153C</v>
          </cell>
          <cell r="E446">
            <v>132</v>
          </cell>
          <cell r="F446">
            <v>43492</v>
          </cell>
          <cell r="G446" t="str">
            <v>OK</v>
          </cell>
        </row>
        <row r="447">
          <cell r="A447" t="str">
            <v>Y1901-0462</v>
          </cell>
          <cell r="B447">
            <v>201810</v>
          </cell>
          <cell r="C447" t="str">
            <v>0100178458</v>
          </cell>
          <cell r="D447" t="str">
            <v>165525C</v>
          </cell>
          <cell r="E447">
            <v>184</v>
          </cell>
          <cell r="F447">
            <v>43486</v>
          </cell>
          <cell r="G447" t="str">
            <v>OK</v>
          </cell>
        </row>
        <row r="448">
          <cell r="A448" t="str">
            <v>Y1901-0463</v>
          </cell>
          <cell r="B448">
            <v>201810</v>
          </cell>
          <cell r="C448" t="str">
            <v>0100178459</v>
          </cell>
          <cell r="D448" t="str">
            <v>165526C</v>
          </cell>
          <cell r="E448">
            <v>149</v>
          </cell>
          <cell r="F448">
            <v>43486</v>
          </cell>
          <cell r="G448" t="str">
            <v>OK</v>
          </cell>
        </row>
        <row r="449">
          <cell r="A449" t="str">
            <v>Y1901-0464</v>
          </cell>
          <cell r="B449">
            <v>201810</v>
          </cell>
          <cell r="C449" t="str">
            <v>0100178460</v>
          </cell>
          <cell r="D449" t="str">
            <v>165526C</v>
          </cell>
          <cell r="E449">
            <v>184</v>
          </cell>
          <cell r="F449">
            <v>43486</v>
          </cell>
          <cell r="G449" t="str">
            <v>OK</v>
          </cell>
        </row>
        <row r="450">
          <cell r="A450" t="str">
            <v>Y1901-0465</v>
          </cell>
          <cell r="B450">
            <v>201810</v>
          </cell>
          <cell r="C450" t="str">
            <v>0100178515</v>
          </cell>
          <cell r="D450" t="str">
            <v>564071C</v>
          </cell>
          <cell r="E450">
            <v>156</v>
          </cell>
          <cell r="F450">
            <v>43492</v>
          </cell>
          <cell r="G450" t="str">
            <v>OK</v>
          </cell>
        </row>
        <row r="451">
          <cell r="A451" t="str">
            <v>Y1901-0466</v>
          </cell>
          <cell r="B451">
            <v>201810</v>
          </cell>
          <cell r="C451" t="str">
            <v>0100178516</v>
          </cell>
          <cell r="D451" t="str">
            <v>564072C</v>
          </cell>
          <cell r="E451">
            <v>408</v>
          </cell>
          <cell r="F451">
            <v>43492</v>
          </cell>
          <cell r="G451" t="str">
            <v>OK</v>
          </cell>
        </row>
        <row r="452">
          <cell r="A452" t="str">
            <v>Y1901-0467</v>
          </cell>
          <cell r="B452">
            <v>201810</v>
          </cell>
          <cell r="C452" t="str">
            <v>0100178517</v>
          </cell>
          <cell r="D452" t="str">
            <v>M7650C</v>
          </cell>
          <cell r="E452">
            <v>252</v>
          </cell>
          <cell r="F452">
            <v>43492</v>
          </cell>
          <cell r="G452" t="str">
            <v>OK</v>
          </cell>
        </row>
        <row r="453">
          <cell r="A453" t="str">
            <v>Y1901-0468</v>
          </cell>
          <cell r="B453">
            <v>201810</v>
          </cell>
          <cell r="C453" t="str">
            <v>0100178518</v>
          </cell>
          <cell r="D453" t="str">
            <v>M7652C</v>
          </cell>
          <cell r="E453">
            <v>1224</v>
          </cell>
          <cell r="F453">
            <v>43492</v>
          </cell>
          <cell r="G453" t="str">
            <v>OK</v>
          </cell>
        </row>
        <row r="454">
          <cell r="A454" t="str">
            <v>Y1901-0469</v>
          </cell>
          <cell r="B454">
            <v>201810</v>
          </cell>
          <cell r="C454" t="str">
            <v>0100178519</v>
          </cell>
          <cell r="D454" t="str">
            <v>M9697C</v>
          </cell>
          <cell r="E454">
            <v>840</v>
          </cell>
          <cell r="F454">
            <v>43492</v>
          </cell>
          <cell r="G454" t="str">
            <v>OK</v>
          </cell>
        </row>
        <row r="455">
          <cell r="A455" t="str">
            <v>Y1901-0470</v>
          </cell>
          <cell r="B455">
            <v>201810</v>
          </cell>
          <cell r="C455" t="str">
            <v>0100178520</v>
          </cell>
          <cell r="D455" t="str">
            <v>564154C</v>
          </cell>
          <cell r="E455">
            <v>132</v>
          </cell>
          <cell r="F455">
            <v>43492</v>
          </cell>
          <cell r="G455" t="str">
            <v>OK</v>
          </cell>
        </row>
        <row r="456">
          <cell r="A456" t="str">
            <v>Y1901-0471</v>
          </cell>
          <cell r="B456">
            <v>201810</v>
          </cell>
          <cell r="C456" t="str">
            <v>0100178521</v>
          </cell>
          <cell r="D456" t="str">
            <v>M3310C</v>
          </cell>
          <cell r="E456">
            <v>540</v>
          </cell>
          <cell r="F456">
            <v>43492</v>
          </cell>
          <cell r="G456" t="str">
            <v>OK</v>
          </cell>
        </row>
        <row r="457">
          <cell r="A457" t="str">
            <v>Y1901-0472</v>
          </cell>
          <cell r="B457">
            <v>201810</v>
          </cell>
          <cell r="C457" t="str">
            <v>0100178615</v>
          </cell>
          <cell r="D457" t="str">
            <v>164358C</v>
          </cell>
          <cell r="E457">
            <v>216</v>
          </cell>
          <cell r="F457">
            <v>43492</v>
          </cell>
          <cell r="G457" t="str">
            <v>OK</v>
          </cell>
        </row>
        <row r="458">
          <cell r="A458" t="str">
            <v>Y1901-0473</v>
          </cell>
          <cell r="B458">
            <v>201810</v>
          </cell>
          <cell r="C458" t="str">
            <v>0100178616</v>
          </cell>
          <cell r="D458" t="str">
            <v>164359C</v>
          </cell>
          <cell r="E458">
            <v>216</v>
          </cell>
          <cell r="F458">
            <v>43492</v>
          </cell>
          <cell r="G458" t="str">
            <v>OK</v>
          </cell>
        </row>
        <row r="459">
          <cell r="A459" t="str">
            <v>Y1901-0474</v>
          </cell>
          <cell r="B459">
            <v>201810</v>
          </cell>
          <cell r="C459" t="str">
            <v>0100178617</v>
          </cell>
          <cell r="D459" t="str">
            <v>164360C</v>
          </cell>
          <cell r="E459">
            <v>216</v>
          </cell>
          <cell r="F459">
            <v>43492</v>
          </cell>
          <cell r="G459" t="str">
            <v>OK</v>
          </cell>
        </row>
        <row r="460">
          <cell r="A460" t="str">
            <v>Y1901-0475</v>
          </cell>
          <cell r="B460">
            <v>201810</v>
          </cell>
          <cell r="C460" t="str">
            <v>0100178618</v>
          </cell>
          <cell r="D460" t="str">
            <v>764172C</v>
          </cell>
          <cell r="E460">
            <v>144</v>
          </cell>
          <cell r="F460">
            <v>43492</v>
          </cell>
          <cell r="G460" t="str">
            <v>OK</v>
          </cell>
        </row>
        <row r="461">
          <cell r="A461" t="str">
            <v>Y1901-0476</v>
          </cell>
          <cell r="B461">
            <v>201810</v>
          </cell>
          <cell r="C461" t="str">
            <v>0100178619</v>
          </cell>
          <cell r="D461" t="str">
            <v>764173C</v>
          </cell>
          <cell r="E461">
            <v>144</v>
          </cell>
          <cell r="F461">
            <v>43492</v>
          </cell>
          <cell r="G461" t="str">
            <v>OK</v>
          </cell>
        </row>
        <row r="462">
          <cell r="A462" t="str">
            <v>Y1901-0477</v>
          </cell>
          <cell r="B462">
            <v>201810</v>
          </cell>
          <cell r="C462" t="str">
            <v>0100178620</v>
          </cell>
          <cell r="D462" t="str">
            <v>764173C</v>
          </cell>
          <cell r="E462">
            <v>120</v>
          </cell>
          <cell r="F462">
            <v>43492</v>
          </cell>
          <cell r="G462" t="str">
            <v>OK</v>
          </cell>
        </row>
        <row r="463">
          <cell r="A463" t="str">
            <v>Y1901-0478</v>
          </cell>
          <cell r="B463">
            <v>201810</v>
          </cell>
          <cell r="C463" t="str">
            <v>0100178621</v>
          </cell>
          <cell r="D463" t="str">
            <v>7J256C</v>
          </cell>
          <cell r="E463">
            <v>120</v>
          </cell>
          <cell r="F463">
            <v>43492</v>
          </cell>
          <cell r="G463" t="str">
            <v>OK</v>
          </cell>
        </row>
        <row r="464">
          <cell r="A464" t="str">
            <v>Y1901-0479</v>
          </cell>
          <cell r="B464">
            <v>201810</v>
          </cell>
          <cell r="C464" t="str">
            <v>0100178622</v>
          </cell>
          <cell r="D464" t="str">
            <v>M7650C</v>
          </cell>
          <cell r="E464">
            <v>516</v>
          </cell>
          <cell r="F464">
            <v>43492</v>
          </cell>
          <cell r="G464" t="str">
            <v>OK</v>
          </cell>
        </row>
        <row r="465">
          <cell r="A465" t="str">
            <v>Y1901-0480</v>
          </cell>
          <cell r="B465">
            <v>201810</v>
          </cell>
          <cell r="C465" t="str">
            <v>0100178623</v>
          </cell>
          <cell r="D465" t="str">
            <v>M7652C</v>
          </cell>
          <cell r="E465">
            <v>1944</v>
          </cell>
          <cell r="F465">
            <v>43492</v>
          </cell>
          <cell r="G465" t="str">
            <v>OK</v>
          </cell>
        </row>
        <row r="466">
          <cell r="A466" t="str">
            <v>Y1901-0481</v>
          </cell>
          <cell r="B466">
            <v>201810</v>
          </cell>
          <cell r="C466" t="str">
            <v>0100178624</v>
          </cell>
          <cell r="D466" t="str">
            <v>M9697C</v>
          </cell>
          <cell r="E466">
            <v>708</v>
          </cell>
          <cell r="F466">
            <v>43492</v>
          </cell>
          <cell r="G466" t="str">
            <v>OK</v>
          </cell>
        </row>
        <row r="467">
          <cell r="A467" t="str">
            <v>Y1902-0378</v>
          </cell>
          <cell r="B467">
            <v>201810</v>
          </cell>
          <cell r="C467" t="str">
            <v>0100178634</v>
          </cell>
          <cell r="D467" t="str">
            <v>564152C</v>
          </cell>
          <cell r="E467">
            <v>204</v>
          </cell>
          <cell r="F467">
            <v>43487</v>
          </cell>
          <cell r="G467" t="str">
            <v>OK</v>
          </cell>
        </row>
        <row r="468">
          <cell r="A468" t="str">
            <v>Y1901-0482</v>
          </cell>
          <cell r="B468">
            <v>201810</v>
          </cell>
          <cell r="C468" t="str">
            <v>0100178684</v>
          </cell>
          <cell r="D468">
            <v>88865</v>
          </cell>
          <cell r="E468">
            <v>144</v>
          </cell>
          <cell r="F468">
            <v>43492</v>
          </cell>
          <cell r="G468" t="str">
            <v>OK</v>
          </cell>
        </row>
        <row r="469">
          <cell r="A469" t="str">
            <v>Y1901-0483</v>
          </cell>
          <cell r="B469">
            <v>201810</v>
          </cell>
          <cell r="C469" t="str">
            <v>0100178685</v>
          </cell>
          <cell r="D469">
            <v>88877</v>
          </cell>
          <cell r="E469">
            <v>360</v>
          </cell>
          <cell r="F469">
            <v>43492</v>
          </cell>
          <cell r="G469" t="str">
            <v>OK</v>
          </cell>
        </row>
        <row r="470">
          <cell r="A470" t="str">
            <v>Y1901-0484</v>
          </cell>
          <cell r="B470">
            <v>201810</v>
          </cell>
          <cell r="C470" t="str">
            <v>0100178686</v>
          </cell>
          <cell r="D470" t="str">
            <v>164360C</v>
          </cell>
          <cell r="E470">
            <v>132</v>
          </cell>
          <cell r="F470">
            <v>43492</v>
          </cell>
          <cell r="G470" t="str">
            <v>OK</v>
          </cell>
        </row>
        <row r="471">
          <cell r="A471" t="str">
            <v>Y1901-0485</v>
          </cell>
          <cell r="B471">
            <v>201810</v>
          </cell>
          <cell r="C471" t="str">
            <v>0100178687</v>
          </cell>
          <cell r="D471" t="str">
            <v>164358C</v>
          </cell>
          <cell r="E471">
            <v>120</v>
          </cell>
          <cell r="F471">
            <v>43492</v>
          </cell>
          <cell r="G471" t="str">
            <v>OK</v>
          </cell>
        </row>
        <row r="472">
          <cell r="A472" t="str">
            <v>Y1901-0486</v>
          </cell>
          <cell r="B472">
            <v>201810</v>
          </cell>
          <cell r="C472" t="str">
            <v>0100178732</v>
          </cell>
          <cell r="D472" t="str">
            <v>564151C</v>
          </cell>
          <cell r="E472">
            <v>132</v>
          </cell>
          <cell r="F472">
            <v>43492</v>
          </cell>
          <cell r="G472" t="str">
            <v>OK</v>
          </cell>
        </row>
        <row r="473">
          <cell r="A473" t="str">
            <v>Y1901-0487</v>
          </cell>
          <cell r="B473">
            <v>201810</v>
          </cell>
          <cell r="C473" t="str">
            <v>0100178733</v>
          </cell>
          <cell r="D473" t="str">
            <v>564152C</v>
          </cell>
          <cell r="E473">
            <v>132</v>
          </cell>
          <cell r="F473">
            <v>43492</v>
          </cell>
          <cell r="G473" t="str">
            <v>OK</v>
          </cell>
        </row>
        <row r="474">
          <cell r="A474" t="str">
            <v>Y1901-0488</v>
          </cell>
          <cell r="B474">
            <v>201810</v>
          </cell>
          <cell r="C474" t="str">
            <v>0100178734</v>
          </cell>
          <cell r="D474" t="str">
            <v>564154C</v>
          </cell>
          <cell r="E474">
            <v>132</v>
          </cell>
          <cell r="F474">
            <v>43492</v>
          </cell>
          <cell r="G474" t="str">
            <v>OK</v>
          </cell>
        </row>
        <row r="475">
          <cell r="A475" t="str">
            <v>Y1901-0489</v>
          </cell>
          <cell r="B475">
            <v>201810</v>
          </cell>
          <cell r="C475" t="str">
            <v>0100178735</v>
          </cell>
          <cell r="D475" t="str">
            <v>564205C</v>
          </cell>
          <cell r="E475">
            <v>132</v>
          </cell>
          <cell r="F475">
            <v>43492</v>
          </cell>
          <cell r="G475" t="str">
            <v>OK</v>
          </cell>
        </row>
        <row r="476">
          <cell r="A476" t="str">
            <v>Y1901-0490</v>
          </cell>
          <cell r="B476">
            <v>201810</v>
          </cell>
          <cell r="C476" t="str">
            <v>0100178736</v>
          </cell>
          <cell r="D476" t="str">
            <v>564206C</v>
          </cell>
          <cell r="E476">
            <v>168</v>
          </cell>
          <cell r="F476">
            <v>43492</v>
          </cell>
          <cell r="G476" t="str">
            <v>OK</v>
          </cell>
        </row>
        <row r="477">
          <cell r="A477" t="str">
            <v>Y1901-0491</v>
          </cell>
          <cell r="B477">
            <v>201810</v>
          </cell>
          <cell r="C477" t="str">
            <v>0100178737</v>
          </cell>
          <cell r="D477" t="str">
            <v>564207C</v>
          </cell>
          <cell r="E477">
            <v>168</v>
          </cell>
          <cell r="F477">
            <v>43492</v>
          </cell>
          <cell r="G477" t="str">
            <v>OK</v>
          </cell>
        </row>
        <row r="478">
          <cell r="A478" t="str">
            <v>Y1901-0492</v>
          </cell>
          <cell r="B478">
            <v>201810</v>
          </cell>
          <cell r="C478" t="str">
            <v>0100178738</v>
          </cell>
          <cell r="D478" t="str">
            <v>8J231</v>
          </cell>
          <cell r="E478">
            <v>360</v>
          </cell>
          <cell r="F478">
            <v>43492</v>
          </cell>
          <cell r="G478" t="str">
            <v>OK</v>
          </cell>
        </row>
        <row r="479">
          <cell r="A479" t="str">
            <v>Y1901-0493</v>
          </cell>
          <cell r="B479">
            <v>201810</v>
          </cell>
          <cell r="C479" t="str">
            <v>0100178834</v>
          </cell>
          <cell r="D479" t="str">
            <v>M7652C</v>
          </cell>
          <cell r="E479">
            <v>264</v>
          </cell>
          <cell r="F479">
            <v>43492</v>
          </cell>
          <cell r="G479" t="str">
            <v>OK</v>
          </cell>
        </row>
        <row r="480">
          <cell r="A480" t="str">
            <v>Y1901-0494</v>
          </cell>
          <cell r="B480">
            <v>201810</v>
          </cell>
          <cell r="C480" t="str">
            <v>0100178835</v>
          </cell>
          <cell r="D480" t="str">
            <v>M9697C</v>
          </cell>
          <cell r="E480">
            <v>288</v>
          </cell>
          <cell r="F480">
            <v>43492</v>
          </cell>
          <cell r="G480" t="str">
            <v>OK</v>
          </cell>
        </row>
        <row r="481">
          <cell r="A481" t="str">
            <v>Y1901-0495</v>
          </cell>
          <cell r="B481">
            <v>201810</v>
          </cell>
          <cell r="C481" t="str">
            <v>0100178849</v>
          </cell>
          <cell r="D481" t="str">
            <v>564206C</v>
          </cell>
          <cell r="E481">
            <v>180</v>
          </cell>
          <cell r="F481">
            <v>43492</v>
          </cell>
          <cell r="G481" t="str">
            <v>OK</v>
          </cell>
        </row>
        <row r="482">
          <cell r="A482" t="str">
            <v>Y1901-0496</v>
          </cell>
          <cell r="B482">
            <v>201810</v>
          </cell>
          <cell r="C482" t="str">
            <v>0100178850</v>
          </cell>
          <cell r="D482" t="str">
            <v>564204C</v>
          </cell>
          <cell r="E482">
            <v>180</v>
          </cell>
          <cell r="F482">
            <v>43492</v>
          </cell>
          <cell r="G482" t="str">
            <v>OK</v>
          </cell>
        </row>
        <row r="483">
          <cell r="A483" t="str">
            <v>Y1901-0497</v>
          </cell>
          <cell r="B483">
            <v>201810</v>
          </cell>
          <cell r="C483" t="str">
            <v>0100178851</v>
          </cell>
          <cell r="D483" t="str">
            <v>564205C</v>
          </cell>
          <cell r="E483">
            <v>156</v>
          </cell>
          <cell r="F483">
            <v>43492</v>
          </cell>
          <cell r="G483" t="str">
            <v>OK</v>
          </cell>
        </row>
        <row r="484">
          <cell r="A484" t="str">
            <v>Y1901-0498</v>
          </cell>
          <cell r="B484">
            <v>201810</v>
          </cell>
          <cell r="C484" t="str">
            <v>0100178852</v>
          </cell>
          <cell r="D484" t="str">
            <v>564207C</v>
          </cell>
          <cell r="E484">
            <v>120</v>
          </cell>
          <cell r="F484">
            <v>43492</v>
          </cell>
          <cell r="G484" t="str">
            <v>OK</v>
          </cell>
        </row>
        <row r="485">
          <cell r="A485" t="str">
            <v>Y1901-0499</v>
          </cell>
          <cell r="B485">
            <v>201810</v>
          </cell>
          <cell r="C485" t="str">
            <v>0100178853</v>
          </cell>
          <cell r="D485" t="str">
            <v>361818C</v>
          </cell>
          <cell r="E485">
            <v>120</v>
          </cell>
          <cell r="F485">
            <v>43492</v>
          </cell>
          <cell r="G485" t="str">
            <v>OK</v>
          </cell>
        </row>
        <row r="486">
          <cell r="A486" t="str">
            <v>Y1901-0500</v>
          </cell>
          <cell r="B486">
            <v>201810</v>
          </cell>
          <cell r="C486" t="str">
            <v>0100178854</v>
          </cell>
          <cell r="D486" t="str">
            <v>361817C</v>
          </cell>
          <cell r="E486">
            <v>120</v>
          </cell>
          <cell r="F486">
            <v>43492</v>
          </cell>
          <cell r="G486" t="str">
            <v>OK</v>
          </cell>
        </row>
        <row r="487">
          <cell r="A487" t="str">
            <v>Y1901-0501</v>
          </cell>
          <cell r="B487">
            <v>201810</v>
          </cell>
          <cell r="C487" t="str">
            <v>4600064484</v>
          </cell>
          <cell r="D487" t="str">
            <v>8J231</v>
          </cell>
          <cell r="E487">
            <v>564</v>
          </cell>
          <cell r="F487">
            <v>43484</v>
          </cell>
          <cell r="G487" t="str">
            <v>OK</v>
          </cell>
        </row>
        <row r="488">
          <cell r="A488" t="str">
            <v>Y1901-0502</v>
          </cell>
          <cell r="B488">
            <v>201810</v>
          </cell>
          <cell r="C488" t="str">
            <v>4600064485</v>
          </cell>
          <cell r="D488" t="str">
            <v>155066C</v>
          </cell>
          <cell r="E488">
            <v>720</v>
          </cell>
          <cell r="F488">
            <v>43484</v>
          </cell>
          <cell r="G488" t="str">
            <v>OK</v>
          </cell>
        </row>
        <row r="489">
          <cell r="A489" t="str">
            <v>Y1901-0503</v>
          </cell>
          <cell r="B489">
            <v>201810</v>
          </cell>
          <cell r="C489" t="str">
            <v>4600064486</v>
          </cell>
          <cell r="D489" t="str">
            <v>155064C</v>
          </cell>
          <cell r="E489">
            <v>720</v>
          </cell>
          <cell r="F489">
            <v>43484</v>
          </cell>
          <cell r="G489" t="str">
            <v>OK</v>
          </cell>
        </row>
        <row r="490">
          <cell r="A490" t="str">
            <v>Y1901-0504</v>
          </cell>
          <cell r="B490">
            <v>201810</v>
          </cell>
          <cell r="C490" t="str">
            <v>4600064487</v>
          </cell>
          <cell r="D490">
            <v>88871</v>
          </cell>
          <cell r="E490">
            <v>492</v>
          </cell>
          <cell r="F490">
            <v>43484</v>
          </cell>
          <cell r="G490" t="str">
            <v>OK</v>
          </cell>
        </row>
        <row r="491">
          <cell r="A491" t="str">
            <v>Y1901-0505</v>
          </cell>
          <cell r="B491">
            <v>201810</v>
          </cell>
          <cell r="C491" t="str">
            <v>4600064488</v>
          </cell>
          <cell r="D491">
            <v>88865</v>
          </cell>
          <cell r="E491">
            <v>648</v>
          </cell>
          <cell r="F491">
            <v>43484</v>
          </cell>
          <cell r="G491" t="str">
            <v>OK</v>
          </cell>
        </row>
        <row r="492">
          <cell r="A492" t="str">
            <v>Y1902-0405</v>
          </cell>
          <cell r="B492">
            <v>201810</v>
          </cell>
          <cell r="C492" t="str">
            <v>4600064491</v>
          </cell>
          <cell r="D492" t="str">
            <v>164059C</v>
          </cell>
          <cell r="E492">
            <v>2184</v>
          </cell>
          <cell r="F492">
            <v>43490</v>
          </cell>
          <cell r="G492" t="str">
            <v>OK</v>
          </cell>
        </row>
        <row r="493">
          <cell r="A493" t="str">
            <v>Y1902-0406</v>
          </cell>
          <cell r="B493">
            <v>201810</v>
          </cell>
          <cell r="C493" t="str">
            <v>4600064493</v>
          </cell>
          <cell r="D493" t="str">
            <v>164058C</v>
          </cell>
          <cell r="E493">
            <v>1440</v>
          </cell>
          <cell r="F493">
            <v>43490</v>
          </cell>
          <cell r="G493" t="str">
            <v>OK</v>
          </cell>
        </row>
        <row r="494">
          <cell r="A494" t="str">
            <v>Y1901-0506</v>
          </cell>
          <cell r="B494">
            <v>201810</v>
          </cell>
          <cell r="C494" t="str">
            <v>4600064496</v>
          </cell>
          <cell r="D494" t="str">
            <v>164217C</v>
          </cell>
          <cell r="E494">
            <v>120</v>
          </cell>
          <cell r="F494">
            <v>43484</v>
          </cell>
          <cell r="G494" t="str">
            <v>OK</v>
          </cell>
        </row>
        <row r="495">
          <cell r="A495" t="str">
            <v>Y1902-0407</v>
          </cell>
          <cell r="B495">
            <v>201810</v>
          </cell>
          <cell r="C495" t="str">
            <v>4600064497</v>
          </cell>
          <cell r="D495" t="str">
            <v>564206C</v>
          </cell>
          <cell r="E495">
            <v>156</v>
          </cell>
          <cell r="F495">
            <v>43492</v>
          </cell>
          <cell r="G495" t="str">
            <v>OK</v>
          </cell>
        </row>
        <row r="496">
          <cell r="A496" t="str">
            <v>Y1902-0408</v>
          </cell>
          <cell r="B496">
            <v>201810</v>
          </cell>
          <cell r="C496" t="str">
            <v>4600064498</v>
          </cell>
          <cell r="D496" t="str">
            <v>564205C</v>
          </cell>
          <cell r="E496">
            <v>156</v>
          </cell>
          <cell r="F496">
            <v>43492</v>
          </cell>
          <cell r="G496" t="str">
            <v>OK</v>
          </cell>
        </row>
        <row r="497">
          <cell r="A497" t="str">
            <v>Y1902-0409</v>
          </cell>
          <cell r="B497">
            <v>201810</v>
          </cell>
          <cell r="C497" t="str">
            <v>4600064499</v>
          </cell>
          <cell r="D497" t="str">
            <v>564151C</v>
          </cell>
          <cell r="E497">
            <v>1020</v>
          </cell>
          <cell r="F497">
            <v>43490</v>
          </cell>
          <cell r="G497" t="str">
            <v>OK</v>
          </cell>
        </row>
        <row r="498">
          <cell r="A498" t="str">
            <v>Y1901-0507</v>
          </cell>
          <cell r="B498">
            <v>201810</v>
          </cell>
          <cell r="C498" t="str">
            <v>4600064502</v>
          </cell>
          <cell r="D498" t="str">
            <v>164220C</v>
          </cell>
          <cell r="E498">
            <v>120</v>
          </cell>
          <cell r="F498">
            <v>43484</v>
          </cell>
          <cell r="G498" t="str">
            <v>OK</v>
          </cell>
        </row>
        <row r="499">
          <cell r="A499" t="str">
            <v>Y1901-0508</v>
          </cell>
          <cell r="B499">
            <v>201810</v>
          </cell>
          <cell r="C499" t="str">
            <v>4600064503</v>
          </cell>
          <cell r="D499" t="str">
            <v>164219C</v>
          </cell>
          <cell r="E499">
            <v>120</v>
          </cell>
          <cell r="F499">
            <v>43484</v>
          </cell>
          <cell r="G499" t="str">
            <v>OK</v>
          </cell>
        </row>
        <row r="500">
          <cell r="A500" t="str">
            <v>Y1901-0509</v>
          </cell>
          <cell r="B500">
            <v>201810</v>
          </cell>
          <cell r="C500" t="str">
            <v>4600064506</v>
          </cell>
          <cell r="D500" t="str">
            <v>565536C</v>
          </cell>
          <cell r="E500">
            <v>48</v>
          </cell>
          <cell r="F500">
            <v>43484</v>
          </cell>
          <cell r="G500" t="str">
            <v>OK</v>
          </cell>
        </row>
        <row r="501">
          <cell r="A501" t="str">
            <v>Y1901-0510</v>
          </cell>
          <cell r="B501">
            <v>201810</v>
          </cell>
          <cell r="C501" t="str">
            <v>4600064507</v>
          </cell>
          <cell r="D501" t="str">
            <v>164391C</v>
          </cell>
          <cell r="E501">
            <v>420</v>
          </cell>
          <cell r="F501">
            <v>43484</v>
          </cell>
          <cell r="G501" t="str">
            <v>OK</v>
          </cell>
        </row>
        <row r="502">
          <cell r="A502" t="str">
            <v>Y1901-0511</v>
          </cell>
          <cell r="B502">
            <v>201810</v>
          </cell>
          <cell r="C502" t="str">
            <v>4600064508</v>
          </cell>
          <cell r="D502" t="str">
            <v>164390C</v>
          </cell>
          <cell r="E502">
            <v>300</v>
          </cell>
          <cell r="F502">
            <v>43484</v>
          </cell>
          <cell r="G502" t="str">
            <v>OK</v>
          </cell>
        </row>
        <row r="503">
          <cell r="A503" t="str">
            <v>Y1901-0512</v>
          </cell>
          <cell r="B503">
            <v>201810</v>
          </cell>
          <cell r="C503" t="str">
            <v>4600064509</v>
          </cell>
          <cell r="D503" t="str">
            <v>163269C</v>
          </cell>
          <cell r="E503">
            <v>1104</v>
          </cell>
          <cell r="F503">
            <v>43484</v>
          </cell>
          <cell r="G503" t="str">
            <v>OK</v>
          </cell>
        </row>
        <row r="504">
          <cell r="A504" t="str">
            <v>Y1901-0513</v>
          </cell>
          <cell r="B504">
            <v>201810</v>
          </cell>
          <cell r="C504" t="str">
            <v>4600064510</v>
          </cell>
          <cell r="D504" t="str">
            <v>158369C</v>
          </cell>
          <cell r="E504">
            <v>936</v>
          </cell>
          <cell r="F504">
            <v>43484</v>
          </cell>
          <cell r="G504" t="str">
            <v>OK</v>
          </cell>
        </row>
        <row r="505">
          <cell r="A505" t="str">
            <v>Y1902-0410</v>
          </cell>
          <cell r="B505">
            <v>201810</v>
          </cell>
          <cell r="C505" t="str">
            <v>4600064511</v>
          </cell>
          <cell r="D505" t="str">
            <v>564204C</v>
          </cell>
          <cell r="E505">
            <v>156</v>
          </cell>
          <cell r="F505">
            <v>43492</v>
          </cell>
          <cell r="G505" t="str">
            <v>OK</v>
          </cell>
        </row>
        <row r="506">
          <cell r="A506" t="str">
            <v>Y1902-0411</v>
          </cell>
          <cell r="B506">
            <v>201810</v>
          </cell>
          <cell r="C506" t="str">
            <v>4600064512</v>
          </cell>
          <cell r="D506" t="str">
            <v>564154C</v>
          </cell>
          <cell r="E506">
            <v>1020</v>
          </cell>
          <cell r="F506">
            <v>43490</v>
          </cell>
          <cell r="G506" t="str">
            <v>OK</v>
          </cell>
        </row>
        <row r="507">
          <cell r="A507" t="str">
            <v>Y1902-0412</v>
          </cell>
          <cell r="B507">
            <v>201810</v>
          </cell>
          <cell r="C507" t="str">
            <v>4600064513</v>
          </cell>
          <cell r="D507" t="str">
            <v>564153C</v>
          </cell>
          <cell r="E507">
            <v>1020</v>
          </cell>
          <cell r="F507">
            <v>43490</v>
          </cell>
          <cell r="G507" t="str">
            <v>OK</v>
          </cell>
        </row>
        <row r="508">
          <cell r="A508" t="str">
            <v>Y1902-0413</v>
          </cell>
          <cell r="B508">
            <v>201810</v>
          </cell>
          <cell r="C508" t="str">
            <v>4600064514</v>
          </cell>
          <cell r="D508" t="str">
            <v>564152C</v>
          </cell>
          <cell r="E508">
            <v>1020</v>
          </cell>
          <cell r="F508">
            <v>43490</v>
          </cell>
          <cell r="G508" t="str">
            <v>OK</v>
          </cell>
        </row>
        <row r="509">
          <cell r="A509" t="str">
            <v>Y1901-0514</v>
          </cell>
          <cell r="B509">
            <v>201810</v>
          </cell>
          <cell r="C509" t="str">
            <v>4600064520</v>
          </cell>
          <cell r="D509" t="str">
            <v>161599C</v>
          </cell>
          <cell r="E509">
            <v>156</v>
          </cell>
          <cell r="F509">
            <v>43484</v>
          </cell>
          <cell r="G509" t="str">
            <v>OK</v>
          </cell>
        </row>
        <row r="510">
          <cell r="A510" t="str">
            <v>Y1901-0515</v>
          </cell>
          <cell r="B510">
            <v>201810</v>
          </cell>
          <cell r="C510" t="str">
            <v>4600064522</v>
          </cell>
          <cell r="D510">
            <v>88877</v>
          </cell>
          <cell r="E510">
            <v>864</v>
          </cell>
          <cell r="F510">
            <v>43484</v>
          </cell>
          <cell r="G510" t="str">
            <v>OK</v>
          </cell>
        </row>
        <row r="511">
          <cell r="A511" t="str">
            <v>Y1901-0516</v>
          </cell>
          <cell r="B511">
            <v>201810</v>
          </cell>
          <cell r="C511" t="str">
            <v>4600064523</v>
          </cell>
          <cell r="D511" t="str">
            <v>159786C</v>
          </cell>
          <cell r="E511">
            <v>468</v>
          </cell>
          <cell r="F511">
            <v>43484</v>
          </cell>
          <cell r="G511" t="str">
            <v>OK</v>
          </cell>
        </row>
        <row r="512">
          <cell r="A512" t="str">
            <v>Y1902-0414</v>
          </cell>
          <cell r="B512">
            <v>201810</v>
          </cell>
          <cell r="C512" t="str">
            <v>4600064524</v>
          </cell>
          <cell r="D512" t="str">
            <v>161603C</v>
          </cell>
          <cell r="E512">
            <v>2940</v>
          </cell>
          <cell r="F512">
            <v>43490</v>
          </cell>
          <cell r="G512" t="str">
            <v>OK</v>
          </cell>
        </row>
        <row r="513">
          <cell r="A513" t="str">
            <v>Y1901-0517</v>
          </cell>
          <cell r="B513">
            <v>201810</v>
          </cell>
          <cell r="C513" t="str">
            <v>4600064530</v>
          </cell>
          <cell r="D513" t="str">
            <v>164525C</v>
          </cell>
          <cell r="E513">
            <v>1344</v>
          </cell>
          <cell r="F513">
            <v>43484</v>
          </cell>
          <cell r="G513" t="str">
            <v>OK</v>
          </cell>
        </row>
        <row r="514">
          <cell r="A514" t="str">
            <v>Y1901-0518</v>
          </cell>
          <cell r="B514">
            <v>201810</v>
          </cell>
          <cell r="C514" t="str">
            <v>4600064531</v>
          </cell>
          <cell r="D514" t="str">
            <v>164393C</v>
          </cell>
          <cell r="E514">
            <v>600</v>
          </cell>
          <cell r="F514">
            <v>43484</v>
          </cell>
          <cell r="G514" t="str">
            <v>OK</v>
          </cell>
        </row>
        <row r="515">
          <cell r="A515" t="str">
            <v>Y1902-0415</v>
          </cell>
          <cell r="B515">
            <v>201810</v>
          </cell>
          <cell r="C515" t="str">
            <v>4600064533</v>
          </cell>
          <cell r="D515" t="str">
            <v>164058C</v>
          </cell>
          <cell r="E515">
            <v>396</v>
          </cell>
          <cell r="F515">
            <v>43490</v>
          </cell>
          <cell r="G515" t="str">
            <v>OK</v>
          </cell>
        </row>
        <row r="516">
          <cell r="A516" t="str">
            <v>Y1902-0416</v>
          </cell>
          <cell r="B516">
            <v>201810</v>
          </cell>
          <cell r="C516" t="str">
            <v>4600064541</v>
          </cell>
          <cell r="D516" t="str">
            <v>564153C</v>
          </cell>
          <cell r="E516">
            <v>204</v>
          </cell>
          <cell r="F516">
            <v>43490</v>
          </cell>
          <cell r="G516" t="str">
            <v>OK</v>
          </cell>
        </row>
        <row r="517">
          <cell r="A517" t="str">
            <v>Y1902-0417</v>
          </cell>
          <cell r="B517">
            <v>201810</v>
          </cell>
          <cell r="C517" t="str">
            <v>4600064544</v>
          </cell>
          <cell r="D517" t="str">
            <v>161603C</v>
          </cell>
          <cell r="E517">
            <v>516</v>
          </cell>
          <cell r="F517">
            <v>43490</v>
          </cell>
          <cell r="G517" t="str">
            <v>OK</v>
          </cell>
        </row>
        <row r="518">
          <cell r="A518" t="str">
            <v>Y1902-0418</v>
          </cell>
          <cell r="B518">
            <v>201810</v>
          </cell>
          <cell r="C518" t="str">
            <v>4600064545</v>
          </cell>
          <cell r="D518" t="str">
            <v>164059C</v>
          </cell>
          <cell r="E518">
            <v>240</v>
          </cell>
          <cell r="F518">
            <v>43490</v>
          </cell>
          <cell r="G518" t="str">
            <v>OK</v>
          </cell>
        </row>
        <row r="519">
          <cell r="A519" t="str">
            <v>Y1902-0419</v>
          </cell>
          <cell r="B519">
            <v>201810</v>
          </cell>
          <cell r="C519" t="str">
            <v>4600064546</v>
          </cell>
          <cell r="D519" t="str">
            <v>564154C</v>
          </cell>
          <cell r="E519">
            <v>312</v>
          </cell>
          <cell r="F519">
            <v>43490</v>
          </cell>
          <cell r="G519" t="str">
            <v>OK</v>
          </cell>
        </row>
        <row r="520">
          <cell r="A520" t="str">
            <v>Y1902-0420</v>
          </cell>
          <cell r="B520">
            <v>201810</v>
          </cell>
          <cell r="C520" t="str">
            <v>4600064547</v>
          </cell>
          <cell r="D520" t="str">
            <v>564152C</v>
          </cell>
          <cell r="E520">
            <v>204</v>
          </cell>
          <cell r="F520">
            <v>43490</v>
          </cell>
          <cell r="G520" t="str">
            <v>OK</v>
          </cell>
        </row>
        <row r="521">
          <cell r="A521" t="str">
            <v>Y1902-0421</v>
          </cell>
          <cell r="B521">
            <v>201810</v>
          </cell>
          <cell r="C521" t="str">
            <v>4600064548</v>
          </cell>
          <cell r="D521" t="str">
            <v>564151C</v>
          </cell>
          <cell r="E521">
            <v>312</v>
          </cell>
          <cell r="F521">
            <v>43490</v>
          </cell>
          <cell r="G521" t="str">
            <v>OK</v>
          </cell>
        </row>
        <row r="522">
          <cell r="A522" t="str">
            <v>Y1902-0422</v>
          </cell>
          <cell r="B522">
            <v>201810</v>
          </cell>
          <cell r="C522" t="str">
            <v>4600064550</v>
          </cell>
          <cell r="D522" t="str">
            <v>155064C</v>
          </cell>
          <cell r="E522">
            <v>192</v>
          </cell>
          <cell r="F522">
            <v>43490</v>
          </cell>
          <cell r="G522" t="str">
            <v>OK</v>
          </cell>
        </row>
        <row r="523">
          <cell r="A523" t="str">
            <v>Y1901-0519</v>
          </cell>
          <cell r="B523">
            <v>201810</v>
          </cell>
          <cell r="C523" t="str">
            <v>4600064563</v>
          </cell>
          <cell r="D523" t="str">
            <v>164359C</v>
          </cell>
          <cell r="E523">
            <v>120</v>
          </cell>
          <cell r="F523">
            <v>43490</v>
          </cell>
          <cell r="G523" t="str">
            <v>OK</v>
          </cell>
        </row>
        <row r="524">
          <cell r="A524" t="str">
            <v>Y1901-0520</v>
          </cell>
          <cell r="B524">
            <v>201810</v>
          </cell>
          <cell r="C524" t="str">
            <v>4600064564</v>
          </cell>
          <cell r="D524" t="str">
            <v>164360C</v>
          </cell>
          <cell r="E524">
            <v>120</v>
          </cell>
          <cell r="F524">
            <v>43490</v>
          </cell>
          <cell r="G524" t="str">
            <v>OK</v>
          </cell>
        </row>
        <row r="525">
          <cell r="A525" t="str">
            <v>Y1901-0521</v>
          </cell>
          <cell r="B525">
            <v>201810</v>
          </cell>
          <cell r="C525" t="str">
            <v>4600064565</v>
          </cell>
          <cell r="D525" t="str">
            <v>164219C</v>
          </cell>
          <cell r="E525">
            <v>120</v>
          </cell>
          <cell r="F525">
            <v>43486</v>
          </cell>
          <cell r="G525" t="str">
            <v>OK</v>
          </cell>
        </row>
        <row r="526">
          <cell r="A526" t="str">
            <v>Y1901-0522</v>
          </cell>
          <cell r="B526">
            <v>201810</v>
          </cell>
          <cell r="C526" t="str">
            <v>4600064566</v>
          </cell>
          <cell r="D526" t="str">
            <v>161577C</v>
          </cell>
          <cell r="E526">
            <v>120</v>
          </cell>
          <cell r="F526">
            <v>43486</v>
          </cell>
          <cell r="G526" t="str">
            <v>OK</v>
          </cell>
        </row>
        <row r="527">
          <cell r="A527" t="str">
            <v>Y1901-0523</v>
          </cell>
          <cell r="B527">
            <v>201810</v>
          </cell>
          <cell r="C527" t="str">
            <v>4600064567</v>
          </cell>
          <cell r="D527" t="str">
            <v>164220C</v>
          </cell>
          <cell r="E527">
            <v>120</v>
          </cell>
          <cell r="F527">
            <v>43486</v>
          </cell>
          <cell r="G527" t="str">
            <v>OK</v>
          </cell>
        </row>
        <row r="528">
          <cell r="A528" t="str">
            <v>Y1901-0524</v>
          </cell>
          <cell r="B528">
            <v>201810</v>
          </cell>
          <cell r="C528" t="str">
            <v>4600064569</v>
          </cell>
          <cell r="D528" t="str">
            <v>164280C</v>
          </cell>
          <cell r="E528">
            <v>456</v>
          </cell>
          <cell r="F528">
            <v>43484</v>
          </cell>
          <cell r="G528" t="str">
            <v>OK</v>
          </cell>
        </row>
        <row r="529">
          <cell r="A529" t="str">
            <v>Y1901-0525</v>
          </cell>
          <cell r="B529">
            <v>201810</v>
          </cell>
          <cell r="C529" t="str">
            <v>4600064570</v>
          </cell>
          <cell r="D529" t="str">
            <v>364170C</v>
          </cell>
          <cell r="E529">
            <v>144</v>
          </cell>
          <cell r="F529">
            <v>43490</v>
          </cell>
          <cell r="G529" t="str">
            <v>OK</v>
          </cell>
        </row>
        <row r="530">
          <cell r="A530" t="str">
            <v>Y1901-0526</v>
          </cell>
          <cell r="B530">
            <v>201810</v>
          </cell>
          <cell r="C530" t="str">
            <v>4600064571</v>
          </cell>
          <cell r="D530" t="str">
            <v>361818C</v>
          </cell>
          <cell r="E530">
            <v>144</v>
          </cell>
          <cell r="F530">
            <v>43486</v>
          </cell>
          <cell r="G530" t="str">
            <v>OK</v>
          </cell>
        </row>
        <row r="531">
          <cell r="A531" t="str">
            <v>Y1901-0527</v>
          </cell>
          <cell r="B531">
            <v>201810</v>
          </cell>
          <cell r="C531" t="str">
            <v>4600064572</v>
          </cell>
          <cell r="D531" t="str">
            <v>164060C</v>
          </cell>
          <cell r="E531">
            <v>192</v>
          </cell>
          <cell r="F531">
            <v>43484</v>
          </cell>
          <cell r="G531" t="str">
            <v>OK</v>
          </cell>
        </row>
        <row r="532">
          <cell r="A532" t="str">
            <v>Y1901-0528</v>
          </cell>
          <cell r="B532">
            <v>201810</v>
          </cell>
          <cell r="C532" t="str">
            <v>4600064573</v>
          </cell>
          <cell r="D532" t="str">
            <v>663605C</v>
          </cell>
          <cell r="E532">
            <v>252</v>
          </cell>
          <cell r="F532">
            <v>43484</v>
          </cell>
          <cell r="G532" t="str">
            <v>OK</v>
          </cell>
        </row>
        <row r="533">
          <cell r="A533" t="str">
            <v>Y1901-0529</v>
          </cell>
          <cell r="B533">
            <v>201810</v>
          </cell>
          <cell r="C533" t="str">
            <v>4600064574</v>
          </cell>
          <cell r="D533" t="str">
            <v>564072C</v>
          </cell>
          <cell r="E533">
            <v>1692</v>
          </cell>
          <cell r="F533">
            <v>43486</v>
          </cell>
          <cell r="G533" t="str">
            <v>OK</v>
          </cell>
        </row>
        <row r="534">
          <cell r="A534" t="str">
            <v>Y1901-0530</v>
          </cell>
          <cell r="B534">
            <v>201810</v>
          </cell>
          <cell r="C534" t="str">
            <v>4600064575</v>
          </cell>
          <cell r="D534" t="str">
            <v>164360C</v>
          </cell>
          <cell r="E534">
            <v>324</v>
          </cell>
          <cell r="F534">
            <v>43490</v>
          </cell>
          <cell r="G534" t="str">
            <v>OK</v>
          </cell>
        </row>
        <row r="535">
          <cell r="A535" t="str">
            <v>Y1901-0531</v>
          </cell>
          <cell r="B535">
            <v>201810</v>
          </cell>
          <cell r="C535" t="str">
            <v>4600064576</v>
          </cell>
          <cell r="D535" t="str">
            <v>564071C</v>
          </cell>
          <cell r="E535">
            <v>1344</v>
          </cell>
          <cell r="F535">
            <v>43486</v>
          </cell>
          <cell r="G535" t="str">
            <v>OK</v>
          </cell>
        </row>
        <row r="536">
          <cell r="A536" t="str">
            <v>Y1901-0532</v>
          </cell>
          <cell r="B536">
            <v>201810</v>
          </cell>
          <cell r="C536" t="str">
            <v>4600064577</v>
          </cell>
          <cell r="D536" t="str">
            <v>161603C</v>
          </cell>
          <cell r="E536">
            <v>456</v>
          </cell>
          <cell r="F536">
            <v>43484</v>
          </cell>
          <cell r="G536" t="str">
            <v>OK</v>
          </cell>
        </row>
        <row r="537">
          <cell r="A537" t="str">
            <v>Y1901-0533</v>
          </cell>
          <cell r="B537">
            <v>201810</v>
          </cell>
          <cell r="C537" t="str">
            <v>4600064578</v>
          </cell>
          <cell r="D537" t="str">
            <v>564151C</v>
          </cell>
          <cell r="E537">
            <v>1428</v>
          </cell>
          <cell r="F537">
            <v>43486</v>
          </cell>
          <cell r="G537" t="str">
            <v>OK</v>
          </cell>
        </row>
        <row r="538">
          <cell r="A538" t="str">
            <v>Y1901-0534</v>
          </cell>
          <cell r="B538">
            <v>201810</v>
          </cell>
          <cell r="C538" t="str">
            <v>4600064579</v>
          </cell>
          <cell r="D538" t="str">
            <v>164361C</v>
          </cell>
          <cell r="E538">
            <v>120</v>
          </cell>
          <cell r="F538">
            <v>43490</v>
          </cell>
          <cell r="G538" t="str">
            <v>OK</v>
          </cell>
        </row>
        <row r="539">
          <cell r="A539" t="str">
            <v>Y1901-0535</v>
          </cell>
          <cell r="B539">
            <v>201810</v>
          </cell>
          <cell r="C539" t="str">
            <v>4600064580</v>
          </cell>
          <cell r="D539" t="str">
            <v>564070C</v>
          </cell>
          <cell r="E539">
            <v>792</v>
          </cell>
          <cell r="F539">
            <v>43486</v>
          </cell>
          <cell r="G539" t="str">
            <v>OK</v>
          </cell>
        </row>
        <row r="540">
          <cell r="A540" t="str">
            <v>Y1901-0536</v>
          </cell>
          <cell r="B540">
            <v>201810</v>
          </cell>
          <cell r="C540" t="str">
            <v>4600064581</v>
          </cell>
          <cell r="D540" t="str">
            <v>164281C</v>
          </cell>
          <cell r="E540">
            <v>456</v>
          </cell>
          <cell r="F540">
            <v>43484</v>
          </cell>
          <cell r="G540" t="str">
            <v>OK</v>
          </cell>
        </row>
        <row r="541">
          <cell r="A541" t="str">
            <v>Y1901-0537</v>
          </cell>
          <cell r="B541">
            <v>201810</v>
          </cell>
          <cell r="C541" t="str">
            <v>4600064582</v>
          </cell>
          <cell r="D541" t="str">
            <v>564072C</v>
          </cell>
          <cell r="E541">
            <v>120</v>
          </cell>
          <cell r="F541">
            <v>43486</v>
          </cell>
          <cell r="G541" t="str">
            <v>OK</v>
          </cell>
        </row>
        <row r="542">
          <cell r="A542" t="str">
            <v>Y1901-0538</v>
          </cell>
          <cell r="B542">
            <v>201810</v>
          </cell>
          <cell r="C542" t="str">
            <v>4600064583</v>
          </cell>
          <cell r="D542" t="str">
            <v>564070C</v>
          </cell>
          <cell r="E542">
            <v>120</v>
          </cell>
          <cell r="F542">
            <v>43486</v>
          </cell>
          <cell r="G542" t="str">
            <v>OK</v>
          </cell>
        </row>
        <row r="543">
          <cell r="A543" t="str">
            <v>Y1901-0539</v>
          </cell>
          <cell r="B543">
            <v>201810</v>
          </cell>
          <cell r="C543" t="str">
            <v>4600064584</v>
          </cell>
          <cell r="D543" t="str">
            <v>164390C</v>
          </cell>
          <cell r="E543">
            <v>144</v>
          </cell>
          <cell r="F543">
            <v>43486</v>
          </cell>
          <cell r="G543" t="str">
            <v>OK</v>
          </cell>
        </row>
        <row r="544">
          <cell r="A544" t="str">
            <v>Y1901-0540</v>
          </cell>
          <cell r="B544">
            <v>201810</v>
          </cell>
          <cell r="C544" t="str">
            <v>4600064585</v>
          </cell>
          <cell r="D544" t="str">
            <v>164393C</v>
          </cell>
          <cell r="E544">
            <v>144</v>
          </cell>
          <cell r="F544">
            <v>43486</v>
          </cell>
          <cell r="G544" t="str">
            <v>OK</v>
          </cell>
        </row>
        <row r="545">
          <cell r="A545" t="str">
            <v>Y1901-0611</v>
          </cell>
          <cell r="B545">
            <v>201810</v>
          </cell>
          <cell r="C545" t="str">
            <v>4600064586</v>
          </cell>
          <cell r="D545" t="str">
            <v>150767C</v>
          </cell>
          <cell r="E545">
            <v>3600</v>
          </cell>
          <cell r="F545">
            <v>43480</v>
          </cell>
          <cell r="G545" t="str">
            <v>OK</v>
          </cell>
        </row>
        <row r="546">
          <cell r="A546" t="str">
            <v>Y1901-0541</v>
          </cell>
          <cell r="B546">
            <v>201810</v>
          </cell>
          <cell r="C546" t="str">
            <v>4600064587</v>
          </cell>
          <cell r="D546" t="str">
            <v>150765C</v>
          </cell>
          <cell r="E546">
            <v>1848</v>
          </cell>
          <cell r="F546">
            <v>43480</v>
          </cell>
          <cell r="G546" t="str">
            <v>OK</v>
          </cell>
        </row>
        <row r="547">
          <cell r="A547" t="str">
            <v>Y1901-0612</v>
          </cell>
          <cell r="B547">
            <v>201810</v>
          </cell>
          <cell r="C547" t="str">
            <v>4600064588</v>
          </cell>
          <cell r="D547" t="str">
            <v>150764C</v>
          </cell>
          <cell r="E547">
            <v>1848</v>
          </cell>
          <cell r="F547">
            <v>43480</v>
          </cell>
          <cell r="G547" t="str">
            <v>OK</v>
          </cell>
        </row>
        <row r="548">
          <cell r="A548" t="str">
            <v>Y1901-0613</v>
          </cell>
          <cell r="B548">
            <v>201810</v>
          </cell>
          <cell r="C548" t="str">
            <v>4600064589</v>
          </cell>
          <cell r="D548" t="str">
            <v>150763C</v>
          </cell>
          <cell r="E548">
            <v>1860</v>
          </cell>
          <cell r="F548">
            <v>43480</v>
          </cell>
          <cell r="G548" t="str">
            <v>OK</v>
          </cell>
        </row>
        <row r="549">
          <cell r="A549" t="str">
            <v>Y1901-0614</v>
          </cell>
          <cell r="B549">
            <v>201810</v>
          </cell>
          <cell r="C549" t="str">
            <v>4600064590</v>
          </cell>
          <cell r="D549" t="str">
            <v>150760C</v>
          </cell>
          <cell r="E549">
            <v>1848</v>
          </cell>
          <cell r="F549">
            <v>43480</v>
          </cell>
          <cell r="G549" t="str">
            <v>OK</v>
          </cell>
        </row>
        <row r="550">
          <cell r="A550" t="str">
            <v>Y1901-0615</v>
          </cell>
          <cell r="B550">
            <v>201810</v>
          </cell>
          <cell r="C550" t="str">
            <v>4600064591</v>
          </cell>
          <cell r="D550" t="str">
            <v>150759C</v>
          </cell>
          <cell r="E550">
            <v>1848</v>
          </cell>
          <cell r="F550">
            <v>43480</v>
          </cell>
          <cell r="G550" t="str">
            <v>OK</v>
          </cell>
        </row>
        <row r="551">
          <cell r="A551" t="str">
            <v>Y1901-0616</v>
          </cell>
          <cell r="B551">
            <v>201810</v>
          </cell>
          <cell r="C551" t="str">
            <v>4600064592</v>
          </cell>
          <cell r="D551" t="str">
            <v>150756C</v>
          </cell>
          <cell r="E551">
            <v>1848</v>
          </cell>
          <cell r="F551">
            <v>43480</v>
          </cell>
          <cell r="G551" t="str">
            <v>OK</v>
          </cell>
        </row>
        <row r="552">
          <cell r="A552" t="str">
            <v>Y1901-0617</v>
          </cell>
          <cell r="B552">
            <v>201810</v>
          </cell>
          <cell r="C552" t="str">
            <v>4600064598</v>
          </cell>
          <cell r="D552" t="str">
            <v>150768C</v>
          </cell>
          <cell r="E552">
            <v>2388</v>
          </cell>
          <cell r="F552">
            <v>43480</v>
          </cell>
          <cell r="G552" t="str">
            <v>OK</v>
          </cell>
        </row>
        <row r="553">
          <cell r="A553" t="str">
            <v>Y1902-0427</v>
          </cell>
          <cell r="B553">
            <v>201810</v>
          </cell>
          <cell r="C553" t="str">
            <v>4600064655</v>
          </cell>
          <cell r="D553" t="str">
            <v>163380C</v>
          </cell>
          <cell r="E553">
            <v>420</v>
          </cell>
          <cell r="F553">
            <v>43493</v>
          </cell>
          <cell r="G553" t="str">
            <v>OK</v>
          </cell>
        </row>
        <row r="554">
          <cell r="A554" t="str">
            <v>Y1902-0439</v>
          </cell>
          <cell r="B554">
            <v>201810</v>
          </cell>
          <cell r="C554" t="str">
            <v>4600064667</v>
          </cell>
          <cell r="D554" t="str">
            <v>651830C</v>
          </cell>
          <cell r="E554">
            <v>1164</v>
          </cell>
          <cell r="F554">
            <v>43493</v>
          </cell>
          <cell r="G554" t="str">
            <v>OK</v>
          </cell>
        </row>
        <row r="555">
          <cell r="A555" t="str">
            <v>Y1902-0440</v>
          </cell>
          <cell r="B555">
            <v>201810</v>
          </cell>
          <cell r="C555" t="str">
            <v>4600064668</v>
          </cell>
          <cell r="D555" t="str">
            <v>651827C</v>
          </cell>
          <cell r="E555">
            <v>2292</v>
          </cell>
          <cell r="F555">
            <v>43493</v>
          </cell>
          <cell r="G555" t="str">
            <v>OK</v>
          </cell>
        </row>
        <row r="556">
          <cell r="A556" t="str">
            <v>Y1902-0441</v>
          </cell>
          <cell r="B556">
            <v>201810</v>
          </cell>
          <cell r="C556" t="str">
            <v>4600064669</v>
          </cell>
          <cell r="D556" t="str">
            <v>651827C</v>
          </cell>
          <cell r="E556">
            <v>1260</v>
          </cell>
          <cell r="F556">
            <v>43493</v>
          </cell>
          <cell r="G556" t="str">
            <v>OK</v>
          </cell>
        </row>
        <row r="557">
          <cell r="A557" t="str">
            <v>Y1902-0448</v>
          </cell>
          <cell r="B557">
            <v>201810</v>
          </cell>
          <cell r="C557" t="str">
            <v>4600064677</v>
          </cell>
          <cell r="D557" t="str">
            <v>751878C</v>
          </cell>
          <cell r="E557">
            <v>1800</v>
          </cell>
          <cell r="F557">
            <v>43493</v>
          </cell>
          <cell r="G557" t="str">
            <v>OK</v>
          </cell>
        </row>
        <row r="558">
          <cell r="A558" t="str">
            <v>Y1902-0451</v>
          </cell>
          <cell r="B558">
            <v>201810</v>
          </cell>
          <cell r="C558" t="str">
            <v>4600064680</v>
          </cell>
          <cell r="D558" t="str">
            <v>651830C</v>
          </cell>
          <cell r="E558">
            <v>1284</v>
          </cell>
          <cell r="F558">
            <v>43493</v>
          </cell>
          <cell r="G558" t="str">
            <v>OK</v>
          </cell>
        </row>
        <row r="559">
          <cell r="A559" t="str">
            <v>Y1902-0452</v>
          </cell>
          <cell r="B559">
            <v>201810</v>
          </cell>
          <cell r="C559" t="str">
            <v>4600064681</v>
          </cell>
          <cell r="D559" t="str">
            <v>651830C</v>
          </cell>
          <cell r="E559">
            <v>336</v>
          </cell>
          <cell r="F559">
            <v>43493</v>
          </cell>
          <cell r="G559" t="str">
            <v>OK</v>
          </cell>
        </row>
        <row r="560">
          <cell r="A560" t="str">
            <v>Y1902-0454</v>
          </cell>
          <cell r="B560">
            <v>201810</v>
          </cell>
          <cell r="C560" t="str">
            <v>4600064683</v>
          </cell>
          <cell r="D560" t="str">
            <v>651830C</v>
          </cell>
          <cell r="E560">
            <v>336</v>
          </cell>
          <cell r="F560">
            <v>43493</v>
          </cell>
          <cell r="G560" t="str">
            <v>OK</v>
          </cell>
        </row>
        <row r="561">
          <cell r="A561" t="str">
            <v>Y1902-0457</v>
          </cell>
          <cell r="B561">
            <v>201810</v>
          </cell>
          <cell r="C561" t="str">
            <v>4600064686</v>
          </cell>
          <cell r="D561" t="str">
            <v>564153C</v>
          </cell>
          <cell r="E561">
            <v>228</v>
          </cell>
          <cell r="F561">
            <v>43493</v>
          </cell>
          <cell r="G561" t="str">
            <v>OK</v>
          </cell>
        </row>
        <row r="562">
          <cell r="A562" t="str">
            <v>Y1902-0459</v>
          </cell>
          <cell r="B562">
            <v>201810</v>
          </cell>
          <cell r="C562" t="str">
            <v>4600064688</v>
          </cell>
          <cell r="D562" t="str">
            <v>158369C</v>
          </cell>
          <cell r="E562">
            <v>600</v>
          </cell>
          <cell r="F562">
            <v>43493</v>
          </cell>
          <cell r="G562" t="str">
            <v>OK</v>
          </cell>
        </row>
        <row r="563">
          <cell r="A563" t="str">
            <v>Y1902-0462</v>
          </cell>
          <cell r="B563">
            <v>201810</v>
          </cell>
          <cell r="C563" t="str">
            <v>4600064691</v>
          </cell>
          <cell r="D563" t="str">
            <v>651827C</v>
          </cell>
          <cell r="E563">
            <v>1260</v>
          </cell>
          <cell r="F563">
            <v>43493</v>
          </cell>
          <cell r="G563" t="str">
            <v>OK</v>
          </cell>
        </row>
        <row r="564">
          <cell r="A564" t="str">
            <v>Y1902-0472</v>
          </cell>
          <cell r="B564">
            <v>201810</v>
          </cell>
          <cell r="C564" t="str">
            <v>4600064701</v>
          </cell>
          <cell r="D564" t="str">
            <v>158371C</v>
          </cell>
          <cell r="E564">
            <v>600</v>
          </cell>
          <cell r="F564">
            <v>43493</v>
          </cell>
          <cell r="G564" t="str">
            <v>OK</v>
          </cell>
        </row>
        <row r="565">
          <cell r="A565" t="str">
            <v>Y1902-0480</v>
          </cell>
          <cell r="B565">
            <v>201810</v>
          </cell>
          <cell r="C565" t="str">
            <v>4600064709</v>
          </cell>
          <cell r="D565" t="str">
            <v>163377C</v>
          </cell>
          <cell r="E565">
            <v>420</v>
          </cell>
          <cell r="F565">
            <v>43493</v>
          </cell>
          <cell r="G565" t="str">
            <v>OK</v>
          </cell>
        </row>
        <row r="566">
          <cell r="A566" t="str">
            <v>Y1901-0544</v>
          </cell>
          <cell r="B566">
            <v>201810</v>
          </cell>
          <cell r="C566" t="str">
            <v>4600064715</v>
          </cell>
          <cell r="D566" t="str">
            <v>564071C</v>
          </cell>
          <cell r="E566">
            <v>432</v>
          </cell>
          <cell r="F566">
            <v>43484</v>
          </cell>
          <cell r="G566" t="str">
            <v>OK</v>
          </cell>
        </row>
        <row r="567">
          <cell r="A567" t="str">
            <v>Y1901-0545</v>
          </cell>
          <cell r="B567">
            <v>201810</v>
          </cell>
          <cell r="C567" t="str">
            <v>4600064721</v>
          </cell>
          <cell r="D567" t="str">
            <v>564072C</v>
          </cell>
          <cell r="E567">
            <v>432</v>
          </cell>
          <cell r="F567">
            <v>43484</v>
          </cell>
          <cell r="G567" t="str">
            <v>OK</v>
          </cell>
        </row>
        <row r="568">
          <cell r="A568" t="str">
            <v>Y1901-0546</v>
          </cell>
          <cell r="B568">
            <v>201810</v>
          </cell>
          <cell r="C568" t="str">
            <v>4600064722</v>
          </cell>
          <cell r="D568" t="str">
            <v>564070C</v>
          </cell>
          <cell r="E568">
            <v>288</v>
          </cell>
          <cell r="F568">
            <v>43484</v>
          </cell>
          <cell r="G568" t="str">
            <v>OK</v>
          </cell>
        </row>
        <row r="569">
          <cell r="A569" t="str">
            <v>Y1901-0547</v>
          </cell>
          <cell r="B569">
            <v>201810</v>
          </cell>
          <cell r="C569" t="str">
            <v>4600064727</v>
          </cell>
          <cell r="D569" t="str">
            <v>164059C</v>
          </cell>
          <cell r="E569">
            <v>396</v>
          </cell>
          <cell r="F569">
            <v>43484</v>
          </cell>
          <cell r="G569" t="str">
            <v>OK</v>
          </cell>
        </row>
        <row r="570">
          <cell r="A570" t="str">
            <v>Y1901-0548</v>
          </cell>
          <cell r="B570">
            <v>201810</v>
          </cell>
          <cell r="C570" t="str">
            <v>4600064728</v>
          </cell>
          <cell r="D570" t="str">
            <v>164060C</v>
          </cell>
          <cell r="E570">
            <v>360</v>
          </cell>
          <cell r="F570">
            <v>43484</v>
          </cell>
          <cell r="G570" t="str">
            <v>OK</v>
          </cell>
        </row>
        <row r="571">
          <cell r="A571" t="str">
            <v>Y1901-0549</v>
          </cell>
          <cell r="B571">
            <v>201810</v>
          </cell>
          <cell r="C571" t="str">
            <v>4600064729</v>
          </cell>
          <cell r="D571" t="str">
            <v>164280C</v>
          </cell>
          <cell r="E571">
            <v>1164</v>
          </cell>
          <cell r="F571">
            <v>43484</v>
          </cell>
          <cell r="G571" t="str">
            <v>OK</v>
          </cell>
        </row>
        <row r="572">
          <cell r="A572" t="str">
            <v>Y1901-0550</v>
          </cell>
          <cell r="B572">
            <v>201810</v>
          </cell>
          <cell r="C572" t="str">
            <v>4600064730</v>
          </cell>
          <cell r="D572" t="str">
            <v>164220C</v>
          </cell>
          <cell r="E572">
            <v>228</v>
          </cell>
          <cell r="F572">
            <v>43484</v>
          </cell>
          <cell r="G572" t="str">
            <v>OK</v>
          </cell>
        </row>
        <row r="573">
          <cell r="A573" t="str">
            <v>Y1901-0551</v>
          </cell>
          <cell r="B573">
            <v>201810</v>
          </cell>
          <cell r="C573" t="str">
            <v>4600064731</v>
          </cell>
          <cell r="D573" t="str">
            <v>164219C</v>
          </cell>
          <cell r="E573">
            <v>120</v>
          </cell>
          <cell r="F573">
            <v>43484</v>
          </cell>
          <cell r="G573" t="str">
            <v>OK</v>
          </cell>
        </row>
        <row r="574">
          <cell r="A574" t="str">
            <v>Y1901-0552</v>
          </cell>
          <cell r="B574">
            <v>201810</v>
          </cell>
          <cell r="C574" t="str">
            <v>4600064740</v>
          </cell>
          <cell r="D574" t="str">
            <v>564072C</v>
          </cell>
          <cell r="E574">
            <v>336</v>
          </cell>
          <cell r="F574">
            <v>43484</v>
          </cell>
          <cell r="G574" t="str">
            <v>OK</v>
          </cell>
        </row>
        <row r="575">
          <cell r="A575" t="str">
            <v>Y1901-0553</v>
          </cell>
          <cell r="B575">
            <v>201810</v>
          </cell>
          <cell r="C575" t="str">
            <v>4600064741</v>
          </cell>
          <cell r="D575" t="str">
            <v>564070C</v>
          </cell>
          <cell r="E575">
            <v>672</v>
          </cell>
          <cell r="F575">
            <v>43484</v>
          </cell>
          <cell r="G575" t="str">
            <v>OK</v>
          </cell>
        </row>
        <row r="576">
          <cell r="A576" t="str">
            <v>Y1901-0554</v>
          </cell>
          <cell r="B576">
            <v>201810</v>
          </cell>
          <cell r="C576" t="str">
            <v>4600064742</v>
          </cell>
          <cell r="D576" t="str">
            <v>364169C</v>
          </cell>
          <cell r="E576">
            <v>288</v>
          </cell>
          <cell r="F576">
            <v>43490</v>
          </cell>
          <cell r="G576" t="str">
            <v>OK</v>
          </cell>
        </row>
        <row r="577">
          <cell r="A577" t="str">
            <v>Y1901-0555</v>
          </cell>
          <cell r="B577">
            <v>201810</v>
          </cell>
          <cell r="C577" t="str">
            <v>4600064743</v>
          </cell>
          <cell r="D577" t="str">
            <v>364170C</v>
          </cell>
          <cell r="E577">
            <v>300</v>
          </cell>
          <cell r="F577">
            <v>43490</v>
          </cell>
          <cell r="G577" t="str">
            <v>OK</v>
          </cell>
        </row>
        <row r="578">
          <cell r="A578" t="str">
            <v>Y1901-0556</v>
          </cell>
          <cell r="B578">
            <v>201810</v>
          </cell>
          <cell r="C578" t="str">
            <v>4600064744</v>
          </cell>
          <cell r="D578" t="str">
            <v>164217C</v>
          </cell>
          <cell r="E578">
            <v>192</v>
          </cell>
          <cell r="F578">
            <v>43484</v>
          </cell>
          <cell r="G578" t="str">
            <v>OK</v>
          </cell>
        </row>
        <row r="579">
          <cell r="A579" t="str">
            <v>Y1901-0557</v>
          </cell>
          <cell r="B579">
            <v>201810</v>
          </cell>
          <cell r="C579" t="str">
            <v>4600064746</v>
          </cell>
          <cell r="D579" t="str">
            <v>164058C</v>
          </cell>
          <cell r="E579">
            <v>768</v>
          </cell>
          <cell r="F579">
            <v>43484</v>
          </cell>
          <cell r="G579" t="str">
            <v>OK</v>
          </cell>
        </row>
        <row r="580">
          <cell r="A580" t="str">
            <v>Y1901-0558</v>
          </cell>
          <cell r="B580">
            <v>201810</v>
          </cell>
          <cell r="C580" t="str">
            <v>4600064747</v>
          </cell>
          <cell r="D580" t="str">
            <v>164282C</v>
          </cell>
          <cell r="E580">
            <v>936</v>
          </cell>
          <cell r="F580">
            <v>43484</v>
          </cell>
          <cell r="G580" t="str">
            <v>OK</v>
          </cell>
        </row>
        <row r="581">
          <cell r="A581" t="str">
            <v>Y1901-0559</v>
          </cell>
          <cell r="B581">
            <v>201810</v>
          </cell>
          <cell r="C581" t="str">
            <v>4600064748</v>
          </cell>
          <cell r="D581" t="str">
            <v>164281C</v>
          </cell>
          <cell r="E581">
            <v>216</v>
          </cell>
          <cell r="F581">
            <v>43484</v>
          </cell>
          <cell r="G581" t="str">
            <v>OK</v>
          </cell>
        </row>
        <row r="582">
          <cell r="A582" t="str">
            <v>Y1901-0560</v>
          </cell>
          <cell r="B582">
            <v>201810</v>
          </cell>
          <cell r="C582" t="str">
            <v>4600064749</v>
          </cell>
          <cell r="D582" t="str">
            <v>164218C</v>
          </cell>
          <cell r="E582">
            <v>144</v>
          </cell>
          <cell r="F582">
            <v>43484</v>
          </cell>
          <cell r="G582" t="str">
            <v>OK</v>
          </cell>
        </row>
        <row r="583">
          <cell r="A583" t="str">
            <v>Y1901-0561</v>
          </cell>
          <cell r="B583">
            <v>201810</v>
          </cell>
          <cell r="C583" t="str">
            <v>4600064750</v>
          </cell>
          <cell r="D583" t="str">
            <v>164390C</v>
          </cell>
          <cell r="E583">
            <v>204</v>
          </cell>
          <cell r="F583">
            <v>43484</v>
          </cell>
          <cell r="G583" t="str">
            <v>OK</v>
          </cell>
        </row>
        <row r="584">
          <cell r="A584" t="str">
            <v>Y1901-0562</v>
          </cell>
          <cell r="B584">
            <v>201810</v>
          </cell>
          <cell r="C584" t="str">
            <v>4600064751</v>
          </cell>
          <cell r="D584" t="str">
            <v>164392C</v>
          </cell>
          <cell r="E584">
            <v>168</v>
          </cell>
          <cell r="F584">
            <v>43495</v>
          </cell>
          <cell r="G584" t="str">
            <v>OK</v>
          </cell>
        </row>
        <row r="585">
          <cell r="A585" t="str">
            <v>Y1901-0563</v>
          </cell>
          <cell r="B585">
            <v>201810</v>
          </cell>
          <cell r="C585" t="str">
            <v>4600064752</v>
          </cell>
          <cell r="D585" t="str">
            <v>164393C</v>
          </cell>
          <cell r="E585">
            <v>156</v>
          </cell>
          <cell r="F585">
            <v>43484</v>
          </cell>
          <cell r="G585" t="str">
            <v>OK</v>
          </cell>
        </row>
        <row r="586">
          <cell r="A586" t="str">
            <v>Y1901-0564</v>
          </cell>
          <cell r="B586">
            <v>201810</v>
          </cell>
          <cell r="C586" t="str">
            <v>4600064753</v>
          </cell>
          <cell r="D586" t="str">
            <v>164391C</v>
          </cell>
          <cell r="E586">
            <v>144</v>
          </cell>
          <cell r="F586">
            <v>43484</v>
          </cell>
          <cell r="G586" t="str">
            <v>OK</v>
          </cell>
        </row>
        <row r="587">
          <cell r="A587" t="str">
            <v>Y1901-0565</v>
          </cell>
          <cell r="B587">
            <v>201810</v>
          </cell>
          <cell r="C587" t="str">
            <v>4600064754</v>
          </cell>
          <cell r="D587" t="str">
            <v>164362C</v>
          </cell>
          <cell r="E587">
            <v>144</v>
          </cell>
          <cell r="F587">
            <v>43490</v>
          </cell>
          <cell r="G587" t="str">
            <v>OK</v>
          </cell>
        </row>
        <row r="588">
          <cell r="A588" t="str">
            <v>Y1901-0566</v>
          </cell>
          <cell r="B588">
            <v>201810</v>
          </cell>
          <cell r="C588" t="str">
            <v>4600064755</v>
          </cell>
          <cell r="D588" t="str">
            <v>164359C</v>
          </cell>
          <cell r="E588">
            <v>204</v>
          </cell>
          <cell r="F588">
            <v>43490</v>
          </cell>
          <cell r="G588" t="str">
            <v>OK</v>
          </cell>
        </row>
        <row r="589">
          <cell r="A589" t="str">
            <v>Y1901-0567</v>
          </cell>
          <cell r="B589">
            <v>201810</v>
          </cell>
          <cell r="C589" t="str">
            <v>4600064756</v>
          </cell>
          <cell r="D589" t="str">
            <v>164361C</v>
          </cell>
          <cell r="E589">
            <v>360</v>
          </cell>
          <cell r="F589">
            <v>43490</v>
          </cell>
          <cell r="G589" t="str">
            <v>OK</v>
          </cell>
        </row>
        <row r="590">
          <cell r="A590" t="str">
            <v>Y1901-0568</v>
          </cell>
          <cell r="B590">
            <v>201810</v>
          </cell>
          <cell r="C590" t="str">
            <v>4600064757</v>
          </cell>
          <cell r="D590" t="str">
            <v>164358C</v>
          </cell>
          <cell r="E590">
            <v>120</v>
          </cell>
          <cell r="F590">
            <v>43490</v>
          </cell>
          <cell r="G590" t="str">
            <v>OK</v>
          </cell>
        </row>
        <row r="591">
          <cell r="A591" t="str">
            <v>Y1901-0569</v>
          </cell>
          <cell r="B591">
            <v>201810</v>
          </cell>
          <cell r="C591" t="str">
            <v>4600064758</v>
          </cell>
          <cell r="D591" t="str">
            <v>164360C</v>
          </cell>
          <cell r="E591">
            <v>432</v>
          </cell>
          <cell r="F591">
            <v>43490</v>
          </cell>
          <cell r="G591" t="str">
            <v>OK</v>
          </cell>
        </row>
        <row r="592">
          <cell r="A592" t="str">
            <v>Y1901-0570</v>
          </cell>
          <cell r="B592">
            <v>201810</v>
          </cell>
          <cell r="C592" t="str">
            <v>4600064759</v>
          </cell>
          <cell r="D592" t="str">
            <v>564154C</v>
          </cell>
          <cell r="E592">
            <v>252</v>
          </cell>
          <cell r="F592">
            <v>43485</v>
          </cell>
          <cell r="G592" t="str">
            <v>OK</v>
          </cell>
        </row>
        <row r="593">
          <cell r="A593" t="str">
            <v>Y1901-0571</v>
          </cell>
          <cell r="B593">
            <v>201810</v>
          </cell>
          <cell r="C593" t="str">
            <v>4600064760</v>
          </cell>
          <cell r="D593" t="str">
            <v>564152C</v>
          </cell>
          <cell r="E593">
            <v>336</v>
          </cell>
          <cell r="F593">
            <v>43485</v>
          </cell>
          <cell r="G593" t="str">
            <v>OK</v>
          </cell>
        </row>
        <row r="594">
          <cell r="A594" t="str">
            <v>Y1901-0572</v>
          </cell>
          <cell r="B594">
            <v>201810</v>
          </cell>
          <cell r="C594" t="str">
            <v>4600064761</v>
          </cell>
          <cell r="D594" t="str">
            <v>564153C</v>
          </cell>
          <cell r="E594">
            <v>156</v>
          </cell>
          <cell r="F594">
            <v>43485</v>
          </cell>
          <cell r="G594" t="str">
            <v>OK</v>
          </cell>
        </row>
        <row r="595">
          <cell r="A595" t="str">
            <v>Y1901-0573</v>
          </cell>
          <cell r="B595">
            <v>201810</v>
          </cell>
          <cell r="C595" t="str">
            <v>4600064762</v>
          </cell>
          <cell r="D595" t="str">
            <v>564151C</v>
          </cell>
          <cell r="E595">
            <v>360</v>
          </cell>
          <cell r="F595">
            <v>43485</v>
          </cell>
          <cell r="G595" t="str">
            <v>OK</v>
          </cell>
        </row>
        <row r="596">
          <cell r="A596" t="str">
            <v>Y1901-0574</v>
          </cell>
          <cell r="B596">
            <v>201810</v>
          </cell>
          <cell r="C596" t="str">
            <v>4600064796</v>
          </cell>
          <cell r="D596" t="str">
            <v>158371C</v>
          </cell>
          <cell r="E596">
            <v>288</v>
          </cell>
          <cell r="F596">
            <v>43495</v>
          </cell>
          <cell r="G596" t="str">
            <v>OK</v>
          </cell>
        </row>
        <row r="597">
          <cell r="A597" t="str">
            <v>Y1901-0575</v>
          </cell>
          <cell r="B597">
            <v>201810</v>
          </cell>
          <cell r="C597" t="str">
            <v>4600064797</v>
          </cell>
          <cell r="D597" t="str">
            <v>164218C</v>
          </cell>
          <cell r="E597">
            <v>120</v>
          </cell>
          <cell r="F597">
            <v>43495</v>
          </cell>
          <cell r="G597" t="str">
            <v>OK</v>
          </cell>
        </row>
        <row r="598">
          <cell r="A598" t="str">
            <v>Y1901-0576</v>
          </cell>
          <cell r="B598">
            <v>201810</v>
          </cell>
          <cell r="C598" t="str">
            <v>4600064798</v>
          </cell>
          <cell r="D598" t="str">
            <v>164220C</v>
          </cell>
          <cell r="E598">
            <v>120</v>
          </cell>
          <cell r="F598">
            <v>43495</v>
          </cell>
          <cell r="G598" t="str">
            <v>OK</v>
          </cell>
        </row>
        <row r="599">
          <cell r="A599" t="str">
            <v>Y1901-0577</v>
          </cell>
          <cell r="B599">
            <v>201810</v>
          </cell>
          <cell r="C599" t="str">
            <v>4600064799</v>
          </cell>
          <cell r="D599" t="str">
            <v>164217C</v>
          </cell>
          <cell r="E599">
            <v>120</v>
          </cell>
          <cell r="F599">
            <v>43495</v>
          </cell>
          <cell r="G599" t="str">
            <v>OK</v>
          </cell>
        </row>
        <row r="600">
          <cell r="A600" t="str">
            <v>Y1901-0578</v>
          </cell>
          <cell r="B600">
            <v>201810</v>
          </cell>
          <cell r="C600" t="str">
            <v>4600064800</v>
          </cell>
          <cell r="D600" t="str">
            <v>158369C</v>
          </cell>
          <cell r="E600">
            <v>972</v>
          </cell>
          <cell r="F600">
            <v>43495</v>
          </cell>
          <cell r="G600" t="str">
            <v>OK</v>
          </cell>
        </row>
        <row r="601">
          <cell r="A601" t="str">
            <v>Y1901-0579</v>
          </cell>
          <cell r="B601">
            <v>201810</v>
          </cell>
          <cell r="C601" t="str">
            <v>4600064801</v>
          </cell>
          <cell r="D601" t="str">
            <v>144148C</v>
          </cell>
          <cell r="E601">
            <v>3096</v>
          </cell>
          <cell r="F601">
            <v>43495</v>
          </cell>
          <cell r="G601" t="str">
            <v>OK</v>
          </cell>
        </row>
        <row r="602">
          <cell r="A602" t="str">
            <v>Y1901-0580</v>
          </cell>
          <cell r="B602">
            <v>201810</v>
          </cell>
          <cell r="C602" t="str">
            <v>4600064802</v>
          </cell>
          <cell r="D602" t="str">
            <v>164281C</v>
          </cell>
          <cell r="E602">
            <v>1044</v>
          </cell>
          <cell r="F602">
            <v>43495</v>
          </cell>
          <cell r="G602" t="str">
            <v>OK</v>
          </cell>
        </row>
        <row r="603">
          <cell r="A603" t="str">
            <v>Y1901-0581</v>
          </cell>
          <cell r="B603">
            <v>201810</v>
          </cell>
          <cell r="C603" t="str">
            <v>4600064803</v>
          </cell>
          <cell r="D603" t="str">
            <v>164280C</v>
          </cell>
          <cell r="E603">
            <v>1980</v>
          </cell>
          <cell r="F603">
            <v>43495</v>
          </cell>
          <cell r="G603" t="str">
            <v>OK</v>
          </cell>
        </row>
        <row r="604">
          <cell r="A604" t="str">
            <v>Y1901-0582</v>
          </cell>
          <cell r="B604">
            <v>201810</v>
          </cell>
          <cell r="C604" t="str">
            <v>4600064804</v>
          </cell>
          <cell r="D604" t="str">
            <v>164282C</v>
          </cell>
          <cell r="E604">
            <v>1620</v>
          </cell>
          <cell r="F604">
            <v>43495</v>
          </cell>
          <cell r="G604" t="str">
            <v>OK</v>
          </cell>
        </row>
        <row r="605">
          <cell r="A605" t="str">
            <v>Y1901-0583</v>
          </cell>
          <cell r="B605">
            <v>201810</v>
          </cell>
          <cell r="C605" t="str">
            <v>4600064805</v>
          </cell>
          <cell r="D605" t="str">
            <v>164060C</v>
          </cell>
          <cell r="E605">
            <v>576</v>
          </cell>
          <cell r="F605">
            <v>43495</v>
          </cell>
          <cell r="G605" t="str">
            <v>OK</v>
          </cell>
        </row>
        <row r="606">
          <cell r="A606" t="str">
            <v>Y1901-0584</v>
          </cell>
          <cell r="B606">
            <v>201810</v>
          </cell>
          <cell r="C606" t="str">
            <v>4600064806</v>
          </cell>
          <cell r="D606" t="str">
            <v>164392C</v>
          </cell>
          <cell r="E606">
            <v>180</v>
          </cell>
          <cell r="F606">
            <v>43495</v>
          </cell>
          <cell r="G606" t="str">
            <v>OK</v>
          </cell>
        </row>
        <row r="607">
          <cell r="A607" t="str">
            <v>Y1901-0585</v>
          </cell>
          <cell r="B607">
            <v>201810</v>
          </cell>
          <cell r="C607" t="str">
            <v>4600064807</v>
          </cell>
          <cell r="D607" t="str">
            <v>164393C</v>
          </cell>
          <cell r="E607">
            <v>228</v>
          </cell>
          <cell r="F607">
            <v>43495</v>
          </cell>
          <cell r="G607" t="str">
            <v>OK</v>
          </cell>
        </row>
        <row r="608">
          <cell r="A608" t="str">
            <v>Y1901-0586</v>
          </cell>
          <cell r="B608">
            <v>201810</v>
          </cell>
          <cell r="C608" t="str">
            <v>4600064808</v>
          </cell>
          <cell r="D608" t="str">
            <v>164390C</v>
          </cell>
          <cell r="E608">
            <v>216</v>
          </cell>
          <cell r="F608">
            <v>43495</v>
          </cell>
          <cell r="G608" t="str">
            <v>OK</v>
          </cell>
        </row>
        <row r="609">
          <cell r="A609" t="str">
            <v>Y1901-0587</v>
          </cell>
          <cell r="B609">
            <v>201810</v>
          </cell>
          <cell r="C609" t="str">
            <v>4600064809</v>
          </cell>
          <cell r="D609" t="str">
            <v>164360C</v>
          </cell>
          <cell r="E609">
            <v>336</v>
          </cell>
          <cell r="F609">
            <v>43495</v>
          </cell>
          <cell r="G609" t="str">
            <v>OK</v>
          </cell>
        </row>
        <row r="610">
          <cell r="A610" t="str">
            <v>Y1901-0588</v>
          </cell>
          <cell r="B610">
            <v>201810</v>
          </cell>
          <cell r="C610" t="str">
            <v>4600064810</v>
          </cell>
          <cell r="D610" t="str">
            <v>164361C</v>
          </cell>
          <cell r="E610">
            <v>324</v>
          </cell>
          <cell r="F610">
            <v>43495</v>
          </cell>
          <cell r="G610" t="str">
            <v>OK</v>
          </cell>
        </row>
        <row r="611">
          <cell r="A611" t="str">
            <v>Y1901-0589</v>
          </cell>
          <cell r="B611">
            <v>201810</v>
          </cell>
          <cell r="C611" t="str">
            <v>4600064811</v>
          </cell>
          <cell r="D611" t="str">
            <v>164359C</v>
          </cell>
          <cell r="E611">
            <v>132</v>
          </cell>
          <cell r="F611">
            <v>43495</v>
          </cell>
          <cell r="G611" t="str">
            <v>OK</v>
          </cell>
        </row>
        <row r="612">
          <cell r="A612" t="str">
            <v>Y1901-0590</v>
          </cell>
          <cell r="B612">
            <v>201810</v>
          </cell>
          <cell r="C612" t="str">
            <v>4600064812</v>
          </cell>
          <cell r="D612" t="str">
            <v>164358C</v>
          </cell>
          <cell r="E612">
            <v>180</v>
          </cell>
          <cell r="F612">
            <v>43495</v>
          </cell>
          <cell r="G612" t="str">
            <v>OK</v>
          </cell>
        </row>
        <row r="613">
          <cell r="A613" t="str">
            <v>Y1901-0591</v>
          </cell>
          <cell r="B613">
            <v>201810</v>
          </cell>
          <cell r="C613" t="str">
            <v>4600064813</v>
          </cell>
          <cell r="D613" t="str">
            <v>164219C</v>
          </cell>
          <cell r="E613">
            <v>120</v>
          </cell>
          <cell r="F613">
            <v>43495</v>
          </cell>
          <cell r="G613" t="str">
            <v>OK</v>
          </cell>
        </row>
        <row r="614">
          <cell r="A614" t="str">
            <v>Y1901-0592</v>
          </cell>
          <cell r="B614">
            <v>201810</v>
          </cell>
          <cell r="C614" t="str">
            <v>4600064814</v>
          </cell>
          <cell r="D614" t="str">
            <v>M7650C</v>
          </cell>
          <cell r="E614">
            <v>384</v>
          </cell>
          <cell r="F614">
            <v>43495</v>
          </cell>
          <cell r="G614" t="str">
            <v>OK</v>
          </cell>
        </row>
        <row r="615">
          <cell r="A615" t="str">
            <v>Y1901-0593</v>
          </cell>
          <cell r="B615">
            <v>201810</v>
          </cell>
          <cell r="C615" t="str">
            <v>4600064815</v>
          </cell>
          <cell r="D615" t="str">
            <v>144151C</v>
          </cell>
          <cell r="E615">
            <v>5940</v>
          </cell>
          <cell r="F615">
            <v>43495</v>
          </cell>
          <cell r="G615" t="str">
            <v>OK</v>
          </cell>
        </row>
        <row r="616">
          <cell r="A616" t="str">
            <v>Y1901-0594</v>
          </cell>
          <cell r="B616">
            <v>201810</v>
          </cell>
          <cell r="C616" t="str">
            <v>4600064817</v>
          </cell>
          <cell r="D616" t="str">
            <v>564072C</v>
          </cell>
          <cell r="E616">
            <v>1296</v>
          </cell>
          <cell r="F616">
            <v>43495</v>
          </cell>
          <cell r="G616" t="str">
            <v>OK</v>
          </cell>
        </row>
        <row r="617">
          <cell r="A617" t="str">
            <v>Y1901-0595</v>
          </cell>
          <cell r="B617">
            <v>201810</v>
          </cell>
          <cell r="C617" t="str">
            <v>4600064818</v>
          </cell>
          <cell r="D617" t="str">
            <v>564070C</v>
          </cell>
          <cell r="E617">
            <v>1080</v>
          </cell>
          <cell r="F617">
            <v>43495</v>
          </cell>
          <cell r="G617" t="str">
            <v>OK</v>
          </cell>
        </row>
        <row r="618">
          <cell r="A618" t="str">
            <v>Y1901-0596</v>
          </cell>
          <cell r="B618">
            <v>201810</v>
          </cell>
          <cell r="C618" t="str">
            <v>4600064819</v>
          </cell>
          <cell r="D618" t="str">
            <v>564071C</v>
          </cell>
          <cell r="E618">
            <v>1164</v>
          </cell>
          <cell r="F618">
            <v>43495</v>
          </cell>
          <cell r="G618" t="str">
            <v>OK</v>
          </cell>
        </row>
        <row r="619">
          <cell r="A619" t="str">
            <v>Y1901-0597</v>
          </cell>
          <cell r="B619">
            <v>201810</v>
          </cell>
          <cell r="C619" t="str">
            <v>4600064820</v>
          </cell>
          <cell r="D619" t="str">
            <v>164058C</v>
          </cell>
          <cell r="E619">
            <v>576</v>
          </cell>
          <cell r="F619">
            <v>43495</v>
          </cell>
          <cell r="G619" t="str">
            <v>OK</v>
          </cell>
        </row>
        <row r="620">
          <cell r="A620" t="str">
            <v>Y1901-0598</v>
          </cell>
          <cell r="B620">
            <v>201810</v>
          </cell>
          <cell r="C620" t="str">
            <v>4600064821</v>
          </cell>
          <cell r="D620" t="str">
            <v>164219C</v>
          </cell>
          <cell r="E620">
            <v>120</v>
          </cell>
          <cell r="F620">
            <v>43484</v>
          </cell>
          <cell r="G620" t="str">
            <v>OK</v>
          </cell>
        </row>
        <row r="621">
          <cell r="A621" t="str">
            <v>Y1901-0599</v>
          </cell>
          <cell r="B621">
            <v>201810</v>
          </cell>
          <cell r="C621" t="str">
            <v>4600064822</v>
          </cell>
          <cell r="D621" t="str">
            <v>164217C</v>
          </cell>
          <cell r="E621">
            <v>120</v>
          </cell>
          <cell r="F621">
            <v>43484</v>
          </cell>
          <cell r="G621" t="str">
            <v>OK</v>
          </cell>
        </row>
        <row r="622">
          <cell r="A622" t="str">
            <v>Y1901-0600</v>
          </cell>
          <cell r="B622">
            <v>201810</v>
          </cell>
          <cell r="C622" t="str">
            <v>4600064823</v>
          </cell>
          <cell r="D622" t="str">
            <v>163380C</v>
          </cell>
          <cell r="E622">
            <v>192</v>
          </cell>
          <cell r="F622">
            <v>43484</v>
          </cell>
          <cell r="G622" t="str">
            <v>OK</v>
          </cell>
        </row>
        <row r="623">
          <cell r="A623" t="str">
            <v>Y1901-0601</v>
          </cell>
          <cell r="B623">
            <v>201810</v>
          </cell>
          <cell r="C623" t="str">
            <v>4600064824</v>
          </cell>
          <cell r="D623" t="str">
            <v>564152C</v>
          </cell>
          <cell r="E623">
            <v>120</v>
          </cell>
          <cell r="F623">
            <v>43485</v>
          </cell>
          <cell r="G623" t="str">
            <v>OK</v>
          </cell>
        </row>
        <row r="624">
          <cell r="A624" t="str">
            <v>Y1901-0602</v>
          </cell>
          <cell r="B624">
            <v>201810</v>
          </cell>
          <cell r="C624" t="str">
            <v>4600064825</v>
          </cell>
          <cell r="D624" t="str">
            <v>164361C</v>
          </cell>
          <cell r="E624">
            <v>120</v>
          </cell>
          <cell r="F624">
            <v>43490</v>
          </cell>
          <cell r="G624" t="str">
            <v>OK</v>
          </cell>
        </row>
        <row r="625">
          <cell r="A625" t="str">
            <v>Y1901-0603</v>
          </cell>
          <cell r="B625">
            <v>201810</v>
          </cell>
          <cell r="C625" t="str">
            <v>4600064826</v>
          </cell>
          <cell r="D625" t="str">
            <v>164360C</v>
          </cell>
          <cell r="E625">
            <v>120</v>
          </cell>
          <cell r="F625">
            <v>43490</v>
          </cell>
          <cell r="G625" t="str">
            <v>OK</v>
          </cell>
        </row>
        <row r="626">
          <cell r="A626" t="str">
            <v>Y1901-0604</v>
          </cell>
          <cell r="B626">
            <v>201810</v>
          </cell>
          <cell r="C626" t="str">
            <v>4600064836</v>
          </cell>
          <cell r="D626" t="str">
            <v>164359C</v>
          </cell>
          <cell r="E626">
            <v>120</v>
          </cell>
          <cell r="F626">
            <v>43490</v>
          </cell>
          <cell r="G626" t="str">
            <v>OK</v>
          </cell>
        </row>
        <row r="627">
          <cell r="A627" t="str">
            <v>Y1901-0605</v>
          </cell>
          <cell r="B627">
            <v>201810</v>
          </cell>
          <cell r="C627" t="str">
            <v>4600064837</v>
          </cell>
          <cell r="D627" t="str">
            <v>564154C</v>
          </cell>
          <cell r="E627">
            <v>120</v>
          </cell>
          <cell r="F627">
            <v>43485</v>
          </cell>
          <cell r="G627" t="str">
            <v>OK</v>
          </cell>
        </row>
        <row r="628">
          <cell r="A628" t="str">
            <v>Y1901-0606</v>
          </cell>
          <cell r="B628">
            <v>201810</v>
          </cell>
          <cell r="C628" t="str">
            <v>4600064838</v>
          </cell>
          <cell r="D628" t="str">
            <v>564153C</v>
          </cell>
          <cell r="E628">
            <v>120</v>
          </cell>
          <cell r="F628">
            <v>43485</v>
          </cell>
          <cell r="G628" t="str">
            <v>OK</v>
          </cell>
        </row>
        <row r="629">
          <cell r="A629" t="str">
            <v>Y1901-0607</v>
          </cell>
          <cell r="B629">
            <v>201810</v>
          </cell>
          <cell r="C629" t="str">
            <v>4600064839</v>
          </cell>
          <cell r="D629" t="str">
            <v>564151C</v>
          </cell>
          <cell r="E629">
            <v>120</v>
          </cell>
          <cell r="F629">
            <v>43485</v>
          </cell>
          <cell r="G629" t="str">
            <v>OK</v>
          </cell>
        </row>
        <row r="630">
          <cell r="A630" t="str">
            <v>Y1901-0608</v>
          </cell>
          <cell r="B630">
            <v>201810</v>
          </cell>
          <cell r="C630" t="str">
            <v>4600064840</v>
          </cell>
          <cell r="D630" t="str">
            <v>164220C</v>
          </cell>
          <cell r="E630">
            <v>120</v>
          </cell>
          <cell r="F630">
            <v>43484</v>
          </cell>
          <cell r="G630" t="str">
            <v>OK</v>
          </cell>
        </row>
        <row r="631">
          <cell r="A631" t="str">
            <v>Y1901-0609</v>
          </cell>
          <cell r="B631">
            <v>201810</v>
          </cell>
          <cell r="C631" t="str">
            <v>4600064841</v>
          </cell>
          <cell r="D631" t="str">
            <v>163377C</v>
          </cell>
          <cell r="E631">
            <v>192</v>
          </cell>
          <cell r="F631">
            <v>43484</v>
          </cell>
          <cell r="G631" t="str">
            <v>OK</v>
          </cell>
        </row>
        <row r="632">
          <cell r="A632" t="str">
            <v>Y1901-0618</v>
          </cell>
          <cell r="B632">
            <v>201810</v>
          </cell>
          <cell r="C632" t="str">
            <v>1000002724</v>
          </cell>
          <cell r="D632" t="str">
            <v>565536C</v>
          </cell>
          <cell r="E632">
            <v>78</v>
          </cell>
          <cell r="F632">
            <v>43481</v>
          </cell>
          <cell r="G632" t="str">
            <v>OK</v>
          </cell>
        </row>
        <row r="633">
          <cell r="A633" t="str">
            <v>Y1901-0619</v>
          </cell>
          <cell r="B633">
            <v>201810</v>
          </cell>
          <cell r="C633" t="str">
            <v>1000002725</v>
          </cell>
          <cell r="D633" t="str">
            <v>565548C</v>
          </cell>
          <cell r="E633">
            <v>55</v>
          </cell>
          <cell r="F633">
            <v>43481</v>
          </cell>
          <cell r="G633" t="str">
            <v>OK</v>
          </cell>
        </row>
        <row r="634">
          <cell r="A634" t="str">
            <v>Y1902-0241</v>
          </cell>
          <cell r="B634">
            <v>201810</v>
          </cell>
          <cell r="C634" t="str">
            <v>0100175331</v>
          </cell>
          <cell r="D634" t="str">
            <v>565548C</v>
          </cell>
          <cell r="E634">
            <v>16</v>
          </cell>
          <cell r="F634">
            <v>43494</v>
          </cell>
          <cell r="G634" t="str">
            <v>OK</v>
          </cell>
        </row>
        <row r="635">
          <cell r="A635" t="str">
            <v>Y1902-0308</v>
          </cell>
          <cell r="B635">
            <v>201810</v>
          </cell>
          <cell r="C635" t="str">
            <v>0100177708</v>
          </cell>
          <cell r="D635" t="str">
            <v>565536C</v>
          </cell>
          <cell r="E635">
            <v>16</v>
          </cell>
          <cell r="F635">
            <v>43494</v>
          </cell>
          <cell r="G635" t="str">
            <v>OK</v>
          </cell>
        </row>
        <row r="636">
          <cell r="A636" t="str">
            <v>Y1902-0090</v>
          </cell>
          <cell r="B636">
            <v>201810</v>
          </cell>
          <cell r="C636" t="str">
            <v>0100175099</v>
          </cell>
          <cell r="D636" t="str">
            <v>M7650C</v>
          </cell>
          <cell r="E636">
            <v>3012</v>
          </cell>
          <cell r="F636">
            <v>43490</v>
          </cell>
          <cell r="G636" t="str">
            <v>OK</v>
          </cell>
        </row>
        <row r="637">
          <cell r="A637" t="str">
            <v>YL1901-0001</v>
          </cell>
          <cell r="B637">
            <v>201811</v>
          </cell>
          <cell r="C637" t="str">
            <v>0100179043</v>
          </cell>
          <cell r="D637" t="str">
            <v>1J793C</v>
          </cell>
          <cell r="E637">
            <v>7788</v>
          </cell>
          <cell r="F637">
            <v>43475</v>
          </cell>
          <cell r="G637" t="str">
            <v>OK</v>
          </cell>
        </row>
        <row r="638">
          <cell r="A638" t="str">
            <v>YL1901-0002</v>
          </cell>
          <cell r="B638">
            <v>201811</v>
          </cell>
          <cell r="C638" t="str">
            <v>0100179044</v>
          </cell>
          <cell r="D638" t="str">
            <v>1J794C</v>
          </cell>
          <cell r="E638">
            <v>5760</v>
          </cell>
          <cell r="F638">
            <v>43475</v>
          </cell>
          <cell r="G638" t="str">
            <v>OK</v>
          </cell>
        </row>
        <row r="639">
          <cell r="A639" t="str">
            <v>YL1901-0004</v>
          </cell>
          <cell r="B639">
            <v>201811</v>
          </cell>
          <cell r="C639" t="str">
            <v>0100179045</v>
          </cell>
          <cell r="D639" t="str">
            <v>M5039C</v>
          </cell>
          <cell r="E639">
            <v>6792</v>
          </cell>
          <cell r="F639">
            <v>43475</v>
          </cell>
          <cell r="G639" t="str">
            <v>OK</v>
          </cell>
        </row>
        <row r="640">
          <cell r="A640" t="str">
            <v>YL1901-0009</v>
          </cell>
          <cell r="B640">
            <v>201811</v>
          </cell>
          <cell r="C640" t="str">
            <v>0100179046</v>
          </cell>
          <cell r="D640" t="str">
            <v>M9622C</v>
          </cell>
          <cell r="E640">
            <v>2052</v>
          </cell>
          <cell r="F640">
            <v>43475</v>
          </cell>
          <cell r="G640" t="str">
            <v>OK</v>
          </cell>
        </row>
        <row r="641">
          <cell r="A641" t="str">
            <v>YL1901-0010</v>
          </cell>
          <cell r="B641">
            <v>201811</v>
          </cell>
          <cell r="C641" t="str">
            <v>0100179047</v>
          </cell>
          <cell r="D641" t="str">
            <v>M9697C</v>
          </cell>
          <cell r="E641">
            <v>2448</v>
          </cell>
          <cell r="F641">
            <v>43475</v>
          </cell>
          <cell r="G641" t="str">
            <v>OK</v>
          </cell>
        </row>
        <row r="642">
          <cell r="A642" t="str">
            <v>YL1901-0005A</v>
          </cell>
          <cell r="B642">
            <v>201811</v>
          </cell>
          <cell r="C642" t="str">
            <v>0100179048</v>
          </cell>
          <cell r="D642" t="str">
            <v>M7650C</v>
          </cell>
          <cell r="E642">
            <v>19632</v>
          </cell>
          <cell r="F642">
            <v>43475</v>
          </cell>
          <cell r="G642" t="str">
            <v>OK</v>
          </cell>
        </row>
        <row r="643">
          <cell r="A643" t="str">
            <v>YL1901-0005B</v>
          </cell>
          <cell r="B643">
            <v>201811</v>
          </cell>
          <cell r="C643" t="str">
            <v>0100179049</v>
          </cell>
          <cell r="D643" t="str">
            <v>M7650C</v>
          </cell>
          <cell r="E643">
            <v>16488</v>
          </cell>
          <cell r="F643">
            <v>43475</v>
          </cell>
          <cell r="G643" t="str">
            <v>OK</v>
          </cell>
        </row>
        <row r="644">
          <cell r="A644" t="str">
            <v>YL1901-0005C</v>
          </cell>
          <cell r="B644">
            <v>201811</v>
          </cell>
          <cell r="C644" t="str">
            <v>0100179050</v>
          </cell>
          <cell r="D644" t="str">
            <v>M7650C</v>
          </cell>
          <cell r="E644">
            <v>19716</v>
          </cell>
          <cell r="F644">
            <v>43475</v>
          </cell>
          <cell r="G644" t="str">
            <v>OK</v>
          </cell>
        </row>
        <row r="645">
          <cell r="A645" t="str">
            <v>YL1901-0006A</v>
          </cell>
          <cell r="B645">
            <v>201811</v>
          </cell>
          <cell r="C645" t="str">
            <v>0100179051</v>
          </cell>
          <cell r="D645" t="str">
            <v>M7652C</v>
          </cell>
          <cell r="E645">
            <v>11532</v>
          </cell>
          <cell r="F645">
            <v>43475</v>
          </cell>
          <cell r="G645" t="str">
            <v>OK</v>
          </cell>
        </row>
        <row r="646">
          <cell r="A646" t="str">
            <v>YL1901-0006B</v>
          </cell>
          <cell r="B646">
            <v>201811</v>
          </cell>
          <cell r="C646" t="str">
            <v>0100179052</v>
          </cell>
          <cell r="D646" t="str">
            <v>M7652C</v>
          </cell>
          <cell r="E646">
            <v>18864</v>
          </cell>
          <cell r="F646">
            <v>43475</v>
          </cell>
          <cell r="G646" t="str">
            <v>OK</v>
          </cell>
        </row>
        <row r="647">
          <cell r="A647" t="str">
            <v>YL1901-0006C</v>
          </cell>
          <cell r="B647">
            <v>201811</v>
          </cell>
          <cell r="C647" t="str">
            <v>0100179053</v>
          </cell>
          <cell r="D647" t="str">
            <v>M7652C</v>
          </cell>
          <cell r="E647">
            <v>17412</v>
          </cell>
          <cell r="F647">
            <v>43475</v>
          </cell>
          <cell r="G647" t="str">
            <v>OK</v>
          </cell>
        </row>
        <row r="648">
          <cell r="A648" t="str">
            <v>YL1901-0006D</v>
          </cell>
          <cell r="B648">
            <v>201811</v>
          </cell>
          <cell r="C648" t="str">
            <v>0100179054</v>
          </cell>
          <cell r="D648" t="str">
            <v>M7652C</v>
          </cell>
          <cell r="E648">
            <v>19428</v>
          </cell>
          <cell r="F648">
            <v>43475</v>
          </cell>
          <cell r="G648" t="str">
            <v>OK</v>
          </cell>
        </row>
        <row r="649">
          <cell r="A649" t="str">
            <v>YL1901-0006E</v>
          </cell>
          <cell r="B649">
            <v>201811</v>
          </cell>
          <cell r="C649" t="str">
            <v>0100179055</v>
          </cell>
          <cell r="D649" t="str">
            <v>M7652C</v>
          </cell>
          <cell r="E649">
            <v>19116</v>
          </cell>
          <cell r="F649">
            <v>43475</v>
          </cell>
          <cell r="G649" t="str">
            <v>OK</v>
          </cell>
        </row>
        <row r="650">
          <cell r="A650" t="str">
            <v>YL1901-0006F</v>
          </cell>
          <cell r="B650">
            <v>201811</v>
          </cell>
          <cell r="C650" t="str">
            <v>0100179056</v>
          </cell>
          <cell r="D650" t="str">
            <v>M7652C</v>
          </cell>
          <cell r="E650">
            <v>3504</v>
          </cell>
          <cell r="F650">
            <v>43475</v>
          </cell>
          <cell r="G650" t="str">
            <v>OK</v>
          </cell>
        </row>
        <row r="651">
          <cell r="A651" t="str">
            <v>YL1901-0007A</v>
          </cell>
          <cell r="B651">
            <v>201811</v>
          </cell>
          <cell r="C651" t="str">
            <v>0100179057</v>
          </cell>
          <cell r="D651" t="str">
            <v>M9160C</v>
          </cell>
          <cell r="E651">
            <v>17136</v>
          </cell>
          <cell r="F651">
            <v>43475</v>
          </cell>
          <cell r="G651" t="str">
            <v>OK</v>
          </cell>
        </row>
        <row r="652">
          <cell r="A652" t="str">
            <v>YL1901-0007B</v>
          </cell>
          <cell r="B652">
            <v>201811</v>
          </cell>
          <cell r="C652" t="str">
            <v>0100179058</v>
          </cell>
          <cell r="D652" t="str">
            <v>M9160C</v>
          </cell>
          <cell r="E652">
            <v>18780</v>
          </cell>
          <cell r="F652">
            <v>43475</v>
          </cell>
          <cell r="G652" t="str">
            <v>OK</v>
          </cell>
        </row>
        <row r="653">
          <cell r="A653" t="str">
            <v>YL1901-0007C</v>
          </cell>
          <cell r="B653">
            <v>201811</v>
          </cell>
          <cell r="C653" t="str">
            <v>0100179059</v>
          </cell>
          <cell r="D653" t="str">
            <v>M9160C</v>
          </cell>
          <cell r="E653">
            <v>18840</v>
          </cell>
          <cell r="F653">
            <v>43475</v>
          </cell>
          <cell r="G653" t="str">
            <v>OK</v>
          </cell>
        </row>
        <row r="654">
          <cell r="A654" t="str">
            <v>YL1901-0007D</v>
          </cell>
          <cell r="B654">
            <v>201811</v>
          </cell>
          <cell r="C654" t="str">
            <v>0100179060</v>
          </cell>
          <cell r="D654" t="str">
            <v>M9160C</v>
          </cell>
          <cell r="E654">
            <v>3696</v>
          </cell>
          <cell r="F654">
            <v>43475</v>
          </cell>
          <cell r="G654" t="str">
            <v>OK</v>
          </cell>
        </row>
        <row r="655">
          <cell r="A655" t="str">
            <v>YL1901-0008A</v>
          </cell>
          <cell r="B655">
            <v>201811</v>
          </cell>
          <cell r="C655" t="str">
            <v>0100179061</v>
          </cell>
          <cell r="D655" t="str">
            <v>M9166C</v>
          </cell>
          <cell r="E655">
            <v>16764</v>
          </cell>
          <cell r="F655">
            <v>43475</v>
          </cell>
          <cell r="G655" t="str">
            <v>OK</v>
          </cell>
        </row>
        <row r="656">
          <cell r="A656" t="str">
            <v>YL1901-0008B</v>
          </cell>
          <cell r="B656">
            <v>201811</v>
          </cell>
          <cell r="C656" t="str">
            <v>0100179062</v>
          </cell>
          <cell r="D656" t="str">
            <v>M9166C</v>
          </cell>
          <cell r="E656">
            <v>18636</v>
          </cell>
          <cell r="F656">
            <v>43475</v>
          </cell>
          <cell r="G656" t="str">
            <v>OK</v>
          </cell>
        </row>
        <row r="657">
          <cell r="A657" t="str">
            <v>YL1901-0008C</v>
          </cell>
          <cell r="B657">
            <v>201811</v>
          </cell>
          <cell r="C657" t="str">
            <v>0100179063</v>
          </cell>
          <cell r="D657" t="str">
            <v>M9166C</v>
          </cell>
          <cell r="E657">
            <v>6348</v>
          </cell>
          <cell r="F657">
            <v>43475</v>
          </cell>
          <cell r="G657" t="str">
            <v>OK</v>
          </cell>
        </row>
        <row r="658">
          <cell r="A658" t="str">
            <v>Y1901-0624</v>
          </cell>
          <cell r="B658">
            <v>201811</v>
          </cell>
          <cell r="C658" t="str">
            <v>0100179963</v>
          </cell>
          <cell r="D658" t="str">
            <v>M7652C</v>
          </cell>
          <cell r="E658">
            <v>528</v>
          </cell>
          <cell r="F658">
            <v>43483</v>
          </cell>
          <cell r="G658" t="str">
            <v>OK</v>
          </cell>
        </row>
        <row r="659">
          <cell r="A659" t="str">
            <v>Y1901-0625</v>
          </cell>
          <cell r="B659">
            <v>201811</v>
          </cell>
          <cell r="C659" t="str">
            <v>0100179964</v>
          </cell>
          <cell r="D659" t="str">
            <v>M7652C</v>
          </cell>
          <cell r="E659">
            <v>780</v>
          </cell>
          <cell r="F659">
            <v>43483</v>
          </cell>
          <cell r="G659" t="str">
            <v>OK</v>
          </cell>
        </row>
        <row r="660">
          <cell r="A660" t="str">
            <v>Y1901-0626</v>
          </cell>
          <cell r="B660">
            <v>201811</v>
          </cell>
          <cell r="C660" t="str">
            <v>0100179965</v>
          </cell>
          <cell r="D660" t="str">
            <v>M7650C</v>
          </cell>
          <cell r="E660">
            <v>360</v>
          </cell>
          <cell r="F660">
            <v>43483</v>
          </cell>
          <cell r="G660" t="str">
            <v>OK</v>
          </cell>
        </row>
        <row r="661">
          <cell r="A661" t="str">
            <v>Y1901-0627</v>
          </cell>
          <cell r="B661">
            <v>201811</v>
          </cell>
          <cell r="C661" t="str">
            <v>0100179966</v>
          </cell>
          <cell r="D661" t="str">
            <v>M7652C</v>
          </cell>
          <cell r="E661">
            <v>1752</v>
          </cell>
          <cell r="F661">
            <v>43483</v>
          </cell>
          <cell r="G661" t="str">
            <v>OK</v>
          </cell>
        </row>
        <row r="662">
          <cell r="A662" t="str">
            <v>Y1901-0628</v>
          </cell>
          <cell r="B662">
            <v>201811</v>
          </cell>
          <cell r="C662" t="str">
            <v>0100179967</v>
          </cell>
          <cell r="D662" t="str">
            <v>7J256C</v>
          </cell>
          <cell r="E662">
            <v>504</v>
          </cell>
          <cell r="F662">
            <v>43483</v>
          </cell>
          <cell r="G662" t="str">
            <v>OK</v>
          </cell>
        </row>
        <row r="663">
          <cell r="A663" t="str">
            <v>Y1901-0629</v>
          </cell>
          <cell r="B663">
            <v>201811</v>
          </cell>
          <cell r="C663" t="str">
            <v>0100179968</v>
          </cell>
          <cell r="D663" t="str">
            <v>7J256C</v>
          </cell>
          <cell r="E663">
            <v>816</v>
          </cell>
          <cell r="F663">
            <v>43483</v>
          </cell>
          <cell r="G663" t="str">
            <v>OK</v>
          </cell>
        </row>
        <row r="664">
          <cell r="A664" t="str">
            <v>Y1901-0630</v>
          </cell>
          <cell r="B664">
            <v>201811</v>
          </cell>
          <cell r="C664" t="str">
            <v>0100179971</v>
          </cell>
          <cell r="D664" t="str">
            <v>158369C</v>
          </cell>
          <cell r="E664">
            <v>288</v>
          </cell>
          <cell r="F664">
            <v>43483</v>
          </cell>
          <cell r="G664" t="str">
            <v>OK</v>
          </cell>
        </row>
        <row r="665">
          <cell r="A665" t="str">
            <v>Y1901-0631</v>
          </cell>
          <cell r="B665">
            <v>201811</v>
          </cell>
          <cell r="C665" t="str">
            <v>0100179974</v>
          </cell>
          <cell r="D665" t="str">
            <v>7J256C</v>
          </cell>
          <cell r="E665">
            <v>360</v>
          </cell>
          <cell r="F665">
            <v>43483</v>
          </cell>
          <cell r="G665" t="str">
            <v>OK</v>
          </cell>
        </row>
        <row r="666">
          <cell r="A666" t="str">
            <v>Y1901-0632</v>
          </cell>
          <cell r="B666">
            <v>201811</v>
          </cell>
          <cell r="C666" t="str">
            <v>0100179977</v>
          </cell>
          <cell r="D666" t="str">
            <v>M7650</v>
          </cell>
          <cell r="E666">
            <v>408</v>
          </cell>
          <cell r="F666">
            <v>43483</v>
          </cell>
          <cell r="G666" t="str">
            <v>OK</v>
          </cell>
        </row>
        <row r="667">
          <cell r="A667" t="str">
            <v>Y1902-0554</v>
          </cell>
          <cell r="B667">
            <v>201811</v>
          </cell>
          <cell r="C667" t="str">
            <v>0100179982</v>
          </cell>
          <cell r="D667" t="str">
            <v>M7652C</v>
          </cell>
          <cell r="E667">
            <v>600</v>
          </cell>
          <cell r="F667">
            <v>43493</v>
          </cell>
          <cell r="G667" t="str">
            <v>01/04</v>
          </cell>
        </row>
        <row r="668">
          <cell r="A668" t="str">
            <v>Y1902-0558</v>
          </cell>
          <cell r="B668">
            <v>201811</v>
          </cell>
          <cell r="C668" t="str">
            <v>0100179993</v>
          </cell>
          <cell r="D668" t="str">
            <v>158369C</v>
          </cell>
          <cell r="E668">
            <v>15708</v>
          </cell>
          <cell r="F668">
            <v>43493</v>
          </cell>
          <cell r="G668" t="str">
            <v>OK</v>
          </cell>
        </row>
        <row r="669">
          <cell r="A669" t="str">
            <v>Y1901-0633</v>
          </cell>
          <cell r="B669">
            <v>201811</v>
          </cell>
          <cell r="C669" t="str">
            <v>0100180059</v>
          </cell>
          <cell r="D669" t="str">
            <v>158369C</v>
          </cell>
          <cell r="E669">
            <v>360</v>
          </cell>
          <cell r="F669">
            <v>43468</v>
          </cell>
          <cell r="G669" t="str">
            <v>OK</v>
          </cell>
        </row>
        <row r="670">
          <cell r="A670" t="str">
            <v>Y1901-0634</v>
          </cell>
          <cell r="B670">
            <v>201811</v>
          </cell>
          <cell r="C670" t="str">
            <v>0100180061</v>
          </cell>
          <cell r="D670" t="str">
            <v>1J793</v>
          </cell>
          <cell r="E670">
            <v>438</v>
          </cell>
          <cell r="F670">
            <v>43490</v>
          </cell>
          <cell r="G670" t="str">
            <v>01/04</v>
          </cell>
        </row>
        <row r="671">
          <cell r="A671" t="str">
            <v>Y1901-0635</v>
          </cell>
          <cell r="B671">
            <v>201811</v>
          </cell>
          <cell r="C671" t="str">
            <v>0100180065</v>
          </cell>
          <cell r="D671" t="str">
            <v>5J794</v>
          </cell>
          <cell r="E671">
            <v>1104</v>
          </cell>
          <cell r="F671">
            <v>43483</v>
          </cell>
          <cell r="G671" t="str">
            <v>OK</v>
          </cell>
        </row>
        <row r="672">
          <cell r="A672" t="str">
            <v>Y1901-0636</v>
          </cell>
          <cell r="B672">
            <v>201811</v>
          </cell>
          <cell r="C672" t="str">
            <v>0100180066</v>
          </cell>
          <cell r="D672" t="str">
            <v>5J794</v>
          </cell>
          <cell r="E672">
            <v>900</v>
          </cell>
          <cell r="F672">
            <v>43490</v>
          </cell>
          <cell r="G672" t="str">
            <v>OK</v>
          </cell>
        </row>
        <row r="673">
          <cell r="A673" t="str">
            <v>Y1901-0637</v>
          </cell>
          <cell r="B673">
            <v>201811</v>
          </cell>
          <cell r="C673" t="str">
            <v>0100180067</v>
          </cell>
          <cell r="D673" t="str">
            <v>5J794</v>
          </cell>
          <cell r="E673">
            <v>360</v>
          </cell>
          <cell r="F673">
            <v>43490</v>
          </cell>
          <cell r="G673" t="str">
            <v>OK</v>
          </cell>
        </row>
        <row r="674">
          <cell r="A674" t="str">
            <v>Y1901-0638</v>
          </cell>
          <cell r="B674">
            <v>201811</v>
          </cell>
          <cell r="C674" t="str">
            <v>0100180078</v>
          </cell>
          <cell r="D674">
            <v>88877</v>
          </cell>
          <cell r="E674">
            <v>360</v>
          </cell>
          <cell r="F674">
            <v>43479</v>
          </cell>
          <cell r="G674" t="str">
            <v>OK</v>
          </cell>
        </row>
        <row r="675">
          <cell r="A675" t="str">
            <v>Y1902-0582</v>
          </cell>
          <cell r="B675">
            <v>201811</v>
          </cell>
          <cell r="C675" t="str">
            <v>0100180084</v>
          </cell>
          <cell r="D675" t="str">
            <v>W9160</v>
          </cell>
          <cell r="E675">
            <v>1212</v>
          </cell>
          <cell r="F675">
            <v>43493</v>
          </cell>
          <cell r="G675" t="str">
            <v>OK</v>
          </cell>
        </row>
        <row r="676">
          <cell r="A676" t="str">
            <v>Y1901-0639</v>
          </cell>
          <cell r="B676">
            <v>201811</v>
          </cell>
          <cell r="C676" t="str">
            <v>4600066146</v>
          </cell>
          <cell r="D676" t="str">
            <v>3J253C</v>
          </cell>
          <cell r="E676">
            <v>876</v>
          </cell>
          <cell r="F676">
            <v>43492</v>
          </cell>
          <cell r="G676" t="str">
            <v>OK</v>
          </cell>
        </row>
        <row r="677">
          <cell r="A677" t="str">
            <v>Y1901-0640</v>
          </cell>
          <cell r="B677">
            <v>201811</v>
          </cell>
          <cell r="C677" t="str">
            <v>4600066147</v>
          </cell>
          <cell r="D677" t="str">
            <v>3J256C</v>
          </cell>
          <cell r="E677">
            <v>1248</v>
          </cell>
          <cell r="F677">
            <v>43492</v>
          </cell>
          <cell r="G677" t="str">
            <v>OK</v>
          </cell>
        </row>
        <row r="678">
          <cell r="A678" t="str">
            <v>Y1901-0641</v>
          </cell>
          <cell r="B678">
            <v>201811</v>
          </cell>
          <cell r="C678" t="str">
            <v>4600066148</v>
          </cell>
          <cell r="D678" t="str">
            <v>7J253C</v>
          </cell>
          <cell r="E678">
            <v>876</v>
          </cell>
          <cell r="F678">
            <v>43492</v>
          </cell>
          <cell r="G678" t="str">
            <v>OK</v>
          </cell>
        </row>
        <row r="679">
          <cell r="A679" t="str">
            <v>Y1901-0642</v>
          </cell>
          <cell r="B679">
            <v>201811</v>
          </cell>
          <cell r="C679" t="str">
            <v>4600066149</v>
          </cell>
          <cell r="D679" t="str">
            <v>7J256C</v>
          </cell>
          <cell r="E679">
            <v>1212</v>
          </cell>
          <cell r="F679">
            <v>43492</v>
          </cell>
          <cell r="G679" t="str">
            <v>OK</v>
          </cell>
        </row>
        <row r="680">
          <cell r="A680" t="str">
            <v>Y1901-0643</v>
          </cell>
          <cell r="B680">
            <v>201811</v>
          </cell>
          <cell r="C680" t="str">
            <v>4600066154</v>
          </cell>
          <cell r="D680" t="str">
            <v>1J794C</v>
          </cell>
          <cell r="E680">
            <v>480</v>
          </cell>
          <cell r="F680">
            <v>43492</v>
          </cell>
          <cell r="G680" t="str">
            <v>OK</v>
          </cell>
        </row>
        <row r="681">
          <cell r="A681" t="str">
            <v>Y1901-0644</v>
          </cell>
          <cell r="B681">
            <v>201811</v>
          </cell>
          <cell r="C681" t="str">
            <v>4600066155</v>
          </cell>
          <cell r="D681" t="str">
            <v>M7650C</v>
          </cell>
          <cell r="E681">
            <v>900</v>
          </cell>
          <cell r="F681">
            <v>43492</v>
          </cell>
          <cell r="G681" t="str">
            <v>OK</v>
          </cell>
        </row>
        <row r="682">
          <cell r="A682" t="str">
            <v>Y1901-0645</v>
          </cell>
          <cell r="B682">
            <v>201811</v>
          </cell>
          <cell r="C682" t="str">
            <v>4600066158</v>
          </cell>
          <cell r="D682" t="str">
            <v>M7652C</v>
          </cell>
          <cell r="E682">
            <v>1722</v>
          </cell>
          <cell r="F682">
            <v>43492</v>
          </cell>
          <cell r="G682" t="str">
            <v>OK</v>
          </cell>
        </row>
        <row r="683">
          <cell r="A683" t="str">
            <v>Y1901-0646</v>
          </cell>
          <cell r="B683">
            <v>201811</v>
          </cell>
          <cell r="C683" t="str">
            <v>4600066165</v>
          </cell>
          <cell r="D683" t="str">
            <v>M7650C</v>
          </cell>
          <cell r="E683">
            <v>366</v>
          </cell>
          <cell r="F683">
            <v>43492</v>
          </cell>
          <cell r="G683" t="str">
            <v>OK</v>
          </cell>
        </row>
        <row r="684">
          <cell r="A684" t="str">
            <v>Y1901-0647</v>
          </cell>
          <cell r="B684">
            <v>201811</v>
          </cell>
          <cell r="C684" t="str">
            <v>4600066166</v>
          </cell>
          <cell r="D684" t="str">
            <v>M7652C</v>
          </cell>
          <cell r="E684">
            <v>2004</v>
          </cell>
          <cell r="F684">
            <v>43492</v>
          </cell>
          <cell r="G684" t="str">
            <v>OK</v>
          </cell>
        </row>
        <row r="685">
          <cell r="A685" t="str">
            <v>Y1901-0648</v>
          </cell>
          <cell r="B685">
            <v>201811</v>
          </cell>
          <cell r="C685" t="str">
            <v>4600066167</v>
          </cell>
          <cell r="D685" t="str">
            <v>7J256C</v>
          </cell>
          <cell r="E685">
            <v>360</v>
          </cell>
          <cell r="F685">
            <v>43492</v>
          </cell>
          <cell r="G685" t="str">
            <v>OK</v>
          </cell>
        </row>
        <row r="686">
          <cell r="A686" t="str">
            <v>Y1901-0649</v>
          </cell>
          <cell r="B686">
            <v>201811</v>
          </cell>
          <cell r="C686" t="str">
            <v>4600066185</v>
          </cell>
          <cell r="D686" t="str">
            <v>150757C</v>
          </cell>
          <cell r="E686">
            <v>1848</v>
          </cell>
          <cell r="F686">
            <v>43496</v>
          </cell>
          <cell r="G686" t="str">
            <v>OK</v>
          </cell>
        </row>
        <row r="687">
          <cell r="A687" t="str">
            <v>Y1901-0650</v>
          </cell>
          <cell r="B687">
            <v>201811</v>
          </cell>
          <cell r="C687" t="str">
            <v>4600066186</v>
          </cell>
          <cell r="D687" t="str">
            <v>150768C</v>
          </cell>
          <cell r="E687">
            <v>1836</v>
          </cell>
          <cell r="F687">
            <v>43496</v>
          </cell>
          <cell r="G687" t="str">
            <v>OK</v>
          </cell>
        </row>
        <row r="688">
          <cell r="A688" t="str">
            <v>Y1901-0651</v>
          </cell>
          <cell r="B688">
            <v>201811</v>
          </cell>
          <cell r="C688" t="str">
            <v>4600066187</v>
          </cell>
          <cell r="D688" t="str">
            <v>150770C</v>
          </cell>
          <cell r="E688">
            <v>1860</v>
          </cell>
          <cell r="F688">
            <v>43496</v>
          </cell>
          <cell r="G688" t="str">
            <v>OK</v>
          </cell>
        </row>
        <row r="689">
          <cell r="A689" t="str">
            <v>Y1901-0652</v>
          </cell>
          <cell r="B689">
            <v>201811</v>
          </cell>
          <cell r="C689" t="str">
            <v>4600066189</v>
          </cell>
          <cell r="D689" t="str">
            <v>150763C</v>
          </cell>
          <cell r="E689">
            <v>1848</v>
          </cell>
          <cell r="F689">
            <v>43496</v>
          </cell>
          <cell r="G689" t="str">
            <v>OK</v>
          </cell>
        </row>
        <row r="690">
          <cell r="A690" t="str">
            <v>Y1901-0653</v>
          </cell>
          <cell r="B690">
            <v>201811</v>
          </cell>
          <cell r="C690" t="str">
            <v>4600066190</v>
          </cell>
          <cell r="D690" t="str">
            <v>150764C</v>
          </cell>
          <cell r="E690">
            <v>1848</v>
          </cell>
          <cell r="F690">
            <v>43496</v>
          </cell>
          <cell r="G690" t="str">
            <v>OK</v>
          </cell>
        </row>
        <row r="691">
          <cell r="A691" t="str">
            <v>Y1901-0654</v>
          </cell>
          <cell r="B691">
            <v>201811</v>
          </cell>
          <cell r="C691" t="str">
            <v>4600066191</v>
          </cell>
          <cell r="D691" t="str">
            <v>150767C</v>
          </cell>
          <cell r="E691">
            <v>2256</v>
          </cell>
          <cell r="F691">
            <v>43496</v>
          </cell>
          <cell r="G691" t="str">
            <v>OK</v>
          </cell>
        </row>
        <row r="692">
          <cell r="A692" t="str">
            <v>Y1901-0655</v>
          </cell>
          <cell r="B692">
            <v>201811</v>
          </cell>
          <cell r="C692" t="str">
            <v>4600066193</v>
          </cell>
          <cell r="D692" t="str">
            <v>150762C</v>
          </cell>
          <cell r="E692">
            <v>1872</v>
          </cell>
          <cell r="F692">
            <v>43496</v>
          </cell>
          <cell r="G692" t="str">
            <v>OK</v>
          </cell>
        </row>
        <row r="693">
          <cell r="A693" t="str">
            <v>Y1901-0656</v>
          </cell>
          <cell r="B693">
            <v>201811</v>
          </cell>
          <cell r="C693" t="str">
            <v>4600066244</v>
          </cell>
          <cell r="D693" t="str">
            <v>7J256C</v>
          </cell>
          <cell r="E693">
            <v>360</v>
          </cell>
          <cell r="F693">
            <v>43492</v>
          </cell>
          <cell r="G693" t="str">
            <v>OK</v>
          </cell>
        </row>
        <row r="694">
          <cell r="A694" t="str">
            <v>Y1901-0657</v>
          </cell>
          <cell r="B694">
            <v>201811</v>
          </cell>
          <cell r="C694" t="str">
            <v>4600066245</v>
          </cell>
          <cell r="D694" t="str">
            <v>3J256C</v>
          </cell>
          <cell r="E694">
            <v>672</v>
          </cell>
          <cell r="F694">
            <v>43492</v>
          </cell>
          <cell r="G694" t="str">
            <v>OK</v>
          </cell>
        </row>
        <row r="695">
          <cell r="A695" t="str">
            <v>Y1901-0658</v>
          </cell>
          <cell r="B695">
            <v>201811</v>
          </cell>
          <cell r="C695" t="str">
            <v>4600066246</v>
          </cell>
          <cell r="D695" t="str">
            <v>7J256C</v>
          </cell>
          <cell r="E695">
            <v>348</v>
          </cell>
          <cell r="F695">
            <v>43492</v>
          </cell>
          <cell r="G695" t="str">
            <v>OK</v>
          </cell>
        </row>
        <row r="696">
          <cell r="A696" t="str">
            <v>Y1901-0659</v>
          </cell>
          <cell r="B696">
            <v>201811</v>
          </cell>
          <cell r="C696" t="str">
            <v>4600066247</v>
          </cell>
          <cell r="D696" t="str">
            <v>M7650C</v>
          </cell>
          <cell r="E696">
            <v>2004</v>
          </cell>
          <cell r="F696">
            <v>43492</v>
          </cell>
          <cell r="G696" t="str">
            <v>OK</v>
          </cell>
        </row>
        <row r="697">
          <cell r="A697" t="str">
            <v>Y1901-0660</v>
          </cell>
          <cell r="B697">
            <v>201811</v>
          </cell>
          <cell r="C697" t="str">
            <v>4600066250</v>
          </cell>
          <cell r="D697" t="str">
            <v>7J253C</v>
          </cell>
          <cell r="E697">
            <v>612</v>
          </cell>
          <cell r="F697">
            <v>43492</v>
          </cell>
          <cell r="G697" t="str">
            <v>OK</v>
          </cell>
        </row>
        <row r="698">
          <cell r="A698" t="str">
            <v>Y1901-0661</v>
          </cell>
          <cell r="B698">
            <v>201811</v>
          </cell>
          <cell r="C698" t="str">
            <v>4600066251</v>
          </cell>
          <cell r="D698" t="str">
            <v>3J253C</v>
          </cell>
          <cell r="E698">
            <v>432</v>
          </cell>
          <cell r="F698">
            <v>43492</v>
          </cell>
          <cell r="G698" t="str">
            <v>OK</v>
          </cell>
        </row>
        <row r="699">
          <cell r="A699" t="str">
            <v>Y1901-0671</v>
          </cell>
          <cell r="B699">
            <v>201811</v>
          </cell>
          <cell r="C699" t="str">
            <v>4600066271</v>
          </cell>
          <cell r="D699" t="str">
            <v>158369C</v>
          </cell>
          <cell r="E699">
            <v>120</v>
          </cell>
          <cell r="F699">
            <v>43492</v>
          </cell>
          <cell r="G699" t="str">
            <v>OK</v>
          </cell>
        </row>
        <row r="700">
          <cell r="A700" t="str">
            <v>Y1812-0414</v>
          </cell>
          <cell r="B700">
            <v>201808</v>
          </cell>
          <cell r="C700" t="str">
            <v>4600061975</v>
          </cell>
          <cell r="D700" t="str">
            <v>663655C</v>
          </cell>
          <cell r="E700">
            <v>144</v>
          </cell>
          <cell r="F700">
            <v>43468</v>
          </cell>
          <cell r="G700" t="str">
            <v>OK</v>
          </cell>
        </row>
        <row r="701">
          <cell r="A701" t="str">
            <v>Y1812-0811</v>
          </cell>
          <cell r="B701">
            <v>201809</v>
          </cell>
          <cell r="C701" t="str">
            <v>4600062897</v>
          </cell>
          <cell r="D701" t="str">
            <v>155065C</v>
          </cell>
          <cell r="E701">
            <v>1476</v>
          </cell>
          <cell r="F701">
            <v>43484</v>
          </cell>
          <cell r="G701" t="str">
            <v>OK</v>
          </cell>
        </row>
        <row r="702">
          <cell r="A702" t="str">
            <v>Y1812-0097</v>
          </cell>
          <cell r="B702">
            <v>201807</v>
          </cell>
          <cell r="C702" t="str">
            <v>4600059637</v>
          </cell>
          <cell r="D702" t="str">
            <v>163246C</v>
          </cell>
          <cell r="E702">
            <v>996</v>
          </cell>
          <cell r="F702">
            <v>43488</v>
          </cell>
          <cell r="G702" t="str">
            <v>OK</v>
          </cell>
        </row>
        <row r="703">
          <cell r="A703" t="str">
            <v>Y1812-0098</v>
          </cell>
          <cell r="B703">
            <v>201807</v>
          </cell>
          <cell r="C703" t="str">
            <v>4600059638</v>
          </cell>
          <cell r="D703" t="str">
            <v>163247C</v>
          </cell>
          <cell r="E703">
            <v>1128</v>
          </cell>
          <cell r="F703">
            <v>43488</v>
          </cell>
          <cell r="G703" t="str">
            <v>OK</v>
          </cell>
        </row>
        <row r="704">
          <cell r="A704" t="str">
            <v>Y1812-0099</v>
          </cell>
          <cell r="B704">
            <v>201807</v>
          </cell>
          <cell r="C704" t="str">
            <v>4600059639</v>
          </cell>
          <cell r="D704" t="str">
            <v>163247C</v>
          </cell>
          <cell r="E704">
            <v>288</v>
          </cell>
          <cell r="F704">
            <v>43488</v>
          </cell>
          <cell r="G704" t="str">
            <v>OK</v>
          </cell>
        </row>
        <row r="705">
          <cell r="A705" t="str">
            <v>Y1812-0100</v>
          </cell>
          <cell r="B705">
            <v>201807</v>
          </cell>
          <cell r="C705" t="str">
            <v>4600059640</v>
          </cell>
          <cell r="D705" t="str">
            <v>163248C</v>
          </cell>
          <cell r="E705">
            <v>996</v>
          </cell>
          <cell r="F705">
            <v>43488</v>
          </cell>
          <cell r="G705" t="str">
            <v>OK</v>
          </cell>
        </row>
        <row r="706">
          <cell r="A706" t="str">
            <v>Y1812-0101</v>
          </cell>
          <cell r="B706">
            <v>201807</v>
          </cell>
          <cell r="C706" t="str">
            <v>4600059641</v>
          </cell>
          <cell r="D706" t="str">
            <v>163248C</v>
          </cell>
          <cell r="E706">
            <v>252</v>
          </cell>
          <cell r="F706">
            <v>43488</v>
          </cell>
          <cell r="G706" t="str">
            <v>OK</v>
          </cell>
        </row>
        <row r="707">
          <cell r="A707" t="str">
            <v>Y1812-0103</v>
          </cell>
          <cell r="B707">
            <v>201807</v>
          </cell>
          <cell r="C707" t="str">
            <v>4600059643</v>
          </cell>
          <cell r="D707" t="str">
            <v>563428C</v>
          </cell>
          <cell r="E707">
            <v>1980</v>
          </cell>
          <cell r="F707">
            <v>43488</v>
          </cell>
          <cell r="G707" t="str">
            <v>OK</v>
          </cell>
        </row>
        <row r="708">
          <cell r="A708" t="str">
            <v>Y1812-0114</v>
          </cell>
          <cell r="B708">
            <v>201807</v>
          </cell>
          <cell r="C708" t="str">
            <v>4600059654</v>
          </cell>
          <cell r="D708" t="str">
            <v>563430C</v>
          </cell>
          <cell r="E708">
            <v>2052</v>
          </cell>
          <cell r="F708">
            <v>43488</v>
          </cell>
          <cell r="G708" t="str">
            <v>OK</v>
          </cell>
        </row>
        <row r="709">
          <cell r="A709" t="str">
            <v>Y1812-0127</v>
          </cell>
          <cell r="B709">
            <v>201807</v>
          </cell>
          <cell r="C709" t="str">
            <v>4600059670</v>
          </cell>
          <cell r="D709" t="str">
            <v>563428C</v>
          </cell>
          <cell r="E709">
            <v>480</v>
          </cell>
          <cell r="F709">
            <v>43488</v>
          </cell>
          <cell r="G709" t="str">
            <v>OK</v>
          </cell>
        </row>
        <row r="710">
          <cell r="A710" t="str">
            <v>Y1812-0137</v>
          </cell>
          <cell r="B710">
            <v>201807</v>
          </cell>
          <cell r="C710" t="str">
            <v>4600059680</v>
          </cell>
          <cell r="D710" t="str">
            <v>163246C</v>
          </cell>
          <cell r="E710">
            <v>252</v>
          </cell>
          <cell r="F710">
            <v>43488</v>
          </cell>
          <cell r="G710" t="str">
            <v>OK</v>
          </cell>
        </row>
        <row r="711">
          <cell r="A711" t="str">
            <v>Y1812-0138</v>
          </cell>
          <cell r="B711">
            <v>201807</v>
          </cell>
          <cell r="C711" t="str">
            <v>4600059681</v>
          </cell>
          <cell r="D711" t="str">
            <v>163249C</v>
          </cell>
          <cell r="E711">
            <v>1032</v>
          </cell>
          <cell r="F711">
            <v>43488</v>
          </cell>
          <cell r="G711" t="str">
            <v>OK</v>
          </cell>
        </row>
        <row r="712">
          <cell r="A712" t="str">
            <v>Y1812-0139</v>
          </cell>
          <cell r="B712">
            <v>201807</v>
          </cell>
          <cell r="C712" t="str">
            <v>4600059682</v>
          </cell>
          <cell r="D712" t="str">
            <v>163249C</v>
          </cell>
          <cell r="E712">
            <v>252</v>
          </cell>
          <cell r="F712">
            <v>43488</v>
          </cell>
          <cell r="G712" t="str">
            <v>OK</v>
          </cell>
        </row>
        <row r="713">
          <cell r="A713" t="str">
            <v>Y1812-0145</v>
          </cell>
          <cell r="B713">
            <v>201807</v>
          </cell>
          <cell r="C713" t="str">
            <v>4600059691</v>
          </cell>
          <cell r="D713" t="str">
            <v>563430C</v>
          </cell>
          <cell r="E713">
            <v>504</v>
          </cell>
          <cell r="F713">
            <v>43488</v>
          </cell>
          <cell r="G713" t="str">
            <v>OK</v>
          </cell>
        </row>
        <row r="714">
          <cell r="A714" t="str">
            <v>Y1812-0435</v>
          </cell>
          <cell r="B714">
            <v>201810</v>
          </cell>
          <cell r="C714" t="str">
            <v>4600064596</v>
          </cell>
          <cell r="D714" t="str">
            <v>150770C</v>
          </cell>
          <cell r="E714">
            <v>1812</v>
          </cell>
          <cell r="F714">
            <v>43469</v>
          </cell>
          <cell r="G714" t="str">
            <v>OK</v>
          </cell>
        </row>
        <row r="715">
          <cell r="A715" t="str">
            <v>Y1812-0436</v>
          </cell>
          <cell r="B715">
            <v>201810</v>
          </cell>
          <cell r="C715" t="str">
            <v>4600064602</v>
          </cell>
          <cell r="D715" t="str">
            <v>150757C</v>
          </cell>
          <cell r="E715">
            <v>1800</v>
          </cell>
          <cell r="F715">
            <v>43469</v>
          </cell>
          <cell r="G715" t="str">
            <v>OK</v>
          </cell>
        </row>
        <row r="716">
          <cell r="A716" t="str">
            <v>Y1812-0852</v>
          </cell>
          <cell r="B716">
            <v>201810</v>
          </cell>
          <cell r="C716" t="str">
            <v>4600064489</v>
          </cell>
          <cell r="D716" t="str">
            <v>7J256C</v>
          </cell>
          <cell r="E716">
            <v>1812</v>
          </cell>
          <cell r="F716">
            <v>43470</v>
          </cell>
          <cell r="G716" t="str">
            <v>OK</v>
          </cell>
        </row>
        <row r="717">
          <cell r="A717" t="str">
            <v>Y1812-0853</v>
          </cell>
          <cell r="B717">
            <v>201810</v>
          </cell>
          <cell r="C717" t="str">
            <v>4600064490</v>
          </cell>
          <cell r="D717" t="str">
            <v>7J253C</v>
          </cell>
          <cell r="E717">
            <v>840</v>
          </cell>
          <cell r="F717">
            <v>43470</v>
          </cell>
          <cell r="G717" t="str">
            <v>OK</v>
          </cell>
        </row>
        <row r="718">
          <cell r="A718" t="str">
            <v>Y1812-0854</v>
          </cell>
          <cell r="B718">
            <v>201810</v>
          </cell>
          <cell r="C718" t="str">
            <v>4600064492</v>
          </cell>
          <cell r="D718" t="str">
            <v>3J253C</v>
          </cell>
          <cell r="E718">
            <v>576</v>
          </cell>
          <cell r="F718">
            <v>43470</v>
          </cell>
          <cell r="G718" t="str">
            <v>OK</v>
          </cell>
        </row>
        <row r="719">
          <cell r="A719" t="str">
            <v>Y1812-0855</v>
          </cell>
          <cell r="B719">
            <v>201810</v>
          </cell>
          <cell r="C719" t="str">
            <v>4600064494</v>
          </cell>
          <cell r="D719" t="str">
            <v>M7652C</v>
          </cell>
          <cell r="E719">
            <v>11184</v>
          </cell>
          <cell r="F719">
            <v>43470</v>
          </cell>
          <cell r="G719" t="str">
            <v>OK</v>
          </cell>
        </row>
        <row r="720">
          <cell r="A720" t="str">
            <v>Y1812-0856</v>
          </cell>
          <cell r="B720">
            <v>201810</v>
          </cell>
          <cell r="C720" t="str">
            <v>4600064495</v>
          </cell>
          <cell r="D720" t="str">
            <v>3J234C</v>
          </cell>
          <cell r="E720">
            <v>384</v>
          </cell>
          <cell r="F720">
            <v>43470</v>
          </cell>
          <cell r="G720" t="str">
            <v>OK</v>
          </cell>
        </row>
        <row r="721">
          <cell r="A721" t="str">
            <v>Y1812-0857</v>
          </cell>
          <cell r="B721">
            <v>201810</v>
          </cell>
          <cell r="C721" t="str">
            <v>4600064515</v>
          </cell>
          <cell r="D721" t="str">
            <v>7J238C</v>
          </cell>
          <cell r="E721">
            <v>372</v>
          </cell>
          <cell r="F721">
            <v>43470</v>
          </cell>
          <cell r="G721" t="str">
            <v>OK</v>
          </cell>
        </row>
        <row r="722">
          <cell r="A722" t="str">
            <v>Y1812-0858</v>
          </cell>
          <cell r="B722">
            <v>201810</v>
          </cell>
          <cell r="C722" t="str">
            <v>4600064516</v>
          </cell>
          <cell r="D722" t="str">
            <v>7J232C</v>
          </cell>
          <cell r="E722">
            <v>384</v>
          </cell>
          <cell r="F722">
            <v>43470</v>
          </cell>
          <cell r="G722" t="str">
            <v>OK</v>
          </cell>
        </row>
        <row r="723">
          <cell r="A723" t="str">
            <v>Y1812-0859</v>
          </cell>
          <cell r="B723">
            <v>201810</v>
          </cell>
          <cell r="C723" t="str">
            <v>4600064517</v>
          </cell>
          <cell r="D723" t="str">
            <v>3J236C</v>
          </cell>
          <cell r="E723">
            <v>372</v>
          </cell>
          <cell r="F723">
            <v>43470</v>
          </cell>
          <cell r="G723" t="str">
            <v>OK</v>
          </cell>
        </row>
        <row r="724">
          <cell r="A724" t="str">
            <v>Y1812-0860</v>
          </cell>
          <cell r="B724">
            <v>201810</v>
          </cell>
          <cell r="C724" t="str">
            <v>4600064518</v>
          </cell>
          <cell r="D724" t="str">
            <v>1J794C</v>
          </cell>
          <cell r="E724">
            <v>372</v>
          </cell>
          <cell r="F724">
            <v>43470</v>
          </cell>
          <cell r="G724" t="str">
            <v>OK</v>
          </cell>
        </row>
        <row r="725">
          <cell r="A725" t="str">
            <v>Y1812-0861</v>
          </cell>
          <cell r="B725">
            <v>201810</v>
          </cell>
          <cell r="C725" t="str">
            <v>4600064519</v>
          </cell>
          <cell r="D725" t="str">
            <v>M9696C</v>
          </cell>
          <cell r="E725">
            <v>1632</v>
          </cell>
          <cell r="F725">
            <v>43470</v>
          </cell>
          <cell r="G725" t="str">
            <v>OK</v>
          </cell>
        </row>
        <row r="726">
          <cell r="A726" t="str">
            <v>Y1812-0862</v>
          </cell>
          <cell r="B726">
            <v>201810</v>
          </cell>
          <cell r="C726" t="str">
            <v>4600064521</v>
          </cell>
          <cell r="D726" t="str">
            <v>M9621C</v>
          </cell>
          <cell r="E726">
            <v>1608</v>
          </cell>
          <cell r="F726">
            <v>43470</v>
          </cell>
          <cell r="G726" t="str">
            <v>OK</v>
          </cell>
        </row>
        <row r="727">
          <cell r="A727" t="str">
            <v>Y1812-0863</v>
          </cell>
          <cell r="B727">
            <v>201810</v>
          </cell>
          <cell r="C727" t="str">
            <v>4600064525</v>
          </cell>
          <cell r="D727" t="str">
            <v>3J256C</v>
          </cell>
          <cell r="E727">
            <v>1488</v>
          </cell>
          <cell r="F727">
            <v>43470</v>
          </cell>
          <cell r="G727" t="str">
            <v>OK</v>
          </cell>
        </row>
        <row r="728">
          <cell r="A728" t="str">
            <v>Y1812-0864</v>
          </cell>
          <cell r="B728">
            <v>201810</v>
          </cell>
          <cell r="C728" t="str">
            <v>4600064526</v>
          </cell>
          <cell r="D728" t="str">
            <v>M7650C</v>
          </cell>
          <cell r="E728">
            <v>1812</v>
          </cell>
          <cell r="F728">
            <v>43470</v>
          </cell>
          <cell r="G728" t="str">
            <v>OK</v>
          </cell>
        </row>
        <row r="729">
          <cell r="A729" t="str">
            <v>Y1812-0866</v>
          </cell>
          <cell r="B729">
            <v>201810</v>
          </cell>
          <cell r="C729" t="str">
            <v>4600064528</v>
          </cell>
          <cell r="D729" t="str">
            <v>M9697C</v>
          </cell>
          <cell r="E729">
            <v>492</v>
          </cell>
          <cell r="F729">
            <v>43470</v>
          </cell>
          <cell r="G729" t="str">
            <v>OK</v>
          </cell>
        </row>
        <row r="730">
          <cell r="A730" t="str">
            <v>Y1812-0443</v>
          </cell>
          <cell r="B730">
            <v>201810</v>
          </cell>
          <cell r="C730" t="str">
            <v>4600064593</v>
          </cell>
          <cell r="D730" t="str">
            <v>150759C</v>
          </cell>
          <cell r="E730">
            <v>1800</v>
          </cell>
          <cell r="F730">
            <v>43469</v>
          </cell>
          <cell r="G730" t="str">
            <v>OK</v>
          </cell>
        </row>
        <row r="731">
          <cell r="A731" t="str">
            <v>Y1812-0442</v>
          </cell>
          <cell r="B731">
            <v>201810</v>
          </cell>
          <cell r="C731" t="str">
            <v>4600064594</v>
          </cell>
          <cell r="D731" t="str">
            <v>150764C</v>
          </cell>
          <cell r="E731">
            <v>2676</v>
          </cell>
          <cell r="F731">
            <v>43469</v>
          </cell>
          <cell r="G731" t="str">
            <v>OK</v>
          </cell>
        </row>
        <row r="732">
          <cell r="A732" t="str">
            <v>Y1812-0437</v>
          </cell>
          <cell r="B732">
            <v>201810</v>
          </cell>
          <cell r="C732" t="str">
            <v>4600064595</v>
          </cell>
          <cell r="D732" t="str">
            <v>150763C</v>
          </cell>
          <cell r="E732">
            <v>3168</v>
          </cell>
          <cell r="F732">
            <v>43469</v>
          </cell>
          <cell r="G732" t="str">
            <v>OK</v>
          </cell>
        </row>
        <row r="733">
          <cell r="A733" t="str">
            <v>Y1812-0440</v>
          </cell>
          <cell r="B733">
            <v>201810</v>
          </cell>
          <cell r="C733" t="str">
            <v>4600064597</v>
          </cell>
          <cell r="D733" t="str">
            <v>150760C</v>
          </cell>
          <cell r="E733">
            <v>1812</v>
          </cell>
          <cell r="F733">
            <v>43469</v>
          </cell>
          <cell r="G733" t="str">
            <v>OK</v>
          </cell>
        </row>
        <row r="734">
          <cell r="A734" t="str">
            <v>Y1812-0444</v>
          </cell>
          <cell r="B734">
            <v>201810</v>
          </cell>
          <cell r="C734" t="str">
            <v>4600064599</v>
          </cell>
          <cell r="D734" t="str">
            <v>150768C</v>
          </cell>
          <cell r="E734">
            <v>2916</v>
          </cell>
          <cell r="F734">
            <v>43469</v>
          </cell>
          <cell r="G734" t="str">
            <v>OK</v>
          </cell>
        </row>
        <row r="735">
          <cell r="A735" t="str">
            <v>Y1812-0441</v>
          </cell>
          <cell r="B735">
            <v>201810</v>
          </cell>
          <cell r="C735" t="str">
            <v>4600064600</v>
          </cell>
          <cell r="D735" t="str">
            <v>150762C</v>
          </cell>
          <cell r="E735">
            <v>1836</v>
          </cell>
          <cell r="F735">
            <v>43469</v>
          </cell>
          <cell r="G735" t="str">
            <v>OK</v>
          </cell>
        </row>
        <row r="736">
          <cell r="A736" t="str">
            <v>Y1812-0439</v>
          </cell>
          <cell r="B736">
            <v>201810</v>
          </cell>
          <cell r="C736" t="str">
            <v>4600064601</v>
          </cell>
          <cell r="D736" t="str">
            <v>150756C</v>
          </cell>
          <cell r="E736">
            <v>1980</v>
          </cell>
          <cell r="F736">
            <v>43469</v>
          </cell>
          <cell r="G736" t="str">
            <v>OK</v>
          </cell>
        </row>
        <row r="737">
          <cell r="A737" t="str">
            <v>Y1812-0438</v>
          </cell>
          <cell r="B737">
            <v>201810</v>
          </cell>
          <cell r="C737" t="str">
            <v>4600064603</v>
          </cell>
          <cell r="D737" t="str">
            <v>150767C</v>
          </cell>
          <cell r="E737">
            <v>2196</v>
          </cell>
          <cell r="F737">
            <v>43469</v>
          </cell>
          <cell r="G737" t="str">
            <v>OK</v>
          </cell>
        </row>
        <row r="738">
          <cell r="A738" t="str">
            <v>Y1812-0030</v>
          </cell>
          <cell r="B738">
            <v>201807</v>
          </cell>
          <cell r="C738" t="str">
            <v>4600059453</v>
          </cell>
          <cell r="D738" t="str">
            <v>163249C</v>
          </cell>
          <cell r="E738">
            <v>228</v>
          </cell>
          <cell r="F738">
            <v>43469</v>
          </cell>
          <cell r="G738" t="str">
            <v>OK</v>
          </cell>
        </row>
        <row r="739">
          <cell r="A739" t="str">
            <v>Y1812-0034</v>
          </cell>
          <cell r="B739">
            <v>201807</v>
          </cell>
          <cell r="C739" t="str">
            <v>4600059457</v>
          </cell>
          <cell r="D739" t="str">
            <v>158427C</v>
          </cell>
          <cell r="E739">
            <v>192</v>
          </cell>
          <cell r="F739">
            <v>43469</v>
          </cell>
          <cell r="G739" t="str">
            <v>OK</v>
          </cell>
        </row>
        <row r="740">
          <cell r="A740" t="str">
            <v>Y1812-0035</v>
          </cell>
          <cell r="B740">
            <v>201807</v>
          </cell>
          <cell r="C740" t="str">
            <v>4600059458</v>
          </cell>
          <cell r="D740" t="str">
            <v>163246C</v>
          </cell>
          <cell r="E740">
            <v>228</v>
          </cell>
          <cell r="F740">
            <v>43469</v>
          </cell>
          <cell r="G740" t="str">
            <v>OK</v>
          </cell>
        </row>
        <row r="741">
          <cell r="A741" t="str">
            <v>Y1812-0036</v>
          </cell>
          <cell r="B741">
            <v>201807</v>
          </cell>
          <cell r="C741" t="str">
            <v>4600059459</v>
          </cell>
          <cell r="D741" t="str">
            <v>563428C</v>
          </cell>
          <cell r="E741">
            <v>516</v>
          </cell>
          <cell r="F741">
            <v>43469</v>
          </cell>
          <cell r="G741" t="str">
            <v>OK</v>
          </cell>
        </row>
        <row r="742">
          <cell r="A742" t="str">
            <v>Y1812-0038</v>
          </cell>
          <cell r="B742">
            <v>201807</v>
          </cell>
          <cell r="C742" t="str">
            <v>4600059461</v>
          </cell>
          <cell r="D742" t="str">
            <v>161608C</v>
          </cell>
          <cell r="E742">
            <v>288</v>
          </cell>
          <cell r="F742">
            <v>43469</v>
          </cell>
          <cell r="G742" t="str">
            <v>OK</v>
          </cell>
        </row>
        <row r="743">
          <cell r="A743" t="str">
            <v>Y1812-0039</v>
          </cell>
          <cell r="B743">
            <v>201807</v>
          </cell>
          <cell r="C743" t="str">
            <v>4600059462</v>
          </cell>
          <cell r="D743" t="str">
            <v>163247C</v>
          </cell>
          <cell r="E743">
            <v>132</v>
          </cell>
          <cell r="F743">
            <v>43469</v>
          </cell>
          <cell r="G743" t="str">
            <v>OK</v>
          </cell>
        </row>
        <row r="744">
          <cell r="A744" t="str">
            <v>Y1812-0040</v>
          </cell>
          <cell r="B744">
            <v>201807</v>
          </cell>
          <cell r="C744" t="str">
            <v>4600059463</v>
          </cell>
          <cell r="D744" t="str">
            <v>563428C</v>
          </cell>
          <cell r="E744">
            <v>216</v>
          </cell>
          <cell r="F744">
            <v>43469</v>
          </cell>
          <cell r="G744" t="str">
            <v>OK</v>
          </cell>
        </row>
        <row r="745">
          <cell r="A745" t="str">
            <v>Y1812-0041</v>
          </cell>
          <cell r="B745">
            <v>201807</v>
          </cell>
          <cell r="C745" t="str">
            <v>4600059464</v>
          </cell>
          <cell r="D745" t="str">
            <v>563429C</v>
          </cell>
          <cell r="E745">
            <v>480</v>
          </cell>
          <cell r="F745">
            <v>43469</v>
          </cell>
          <cell r="G745" t="str">
            <v>OK</v>
          </cell>
        </row>
        <row r="746">
          <cell r="A746" t="str">
            <v>Y1812-0048</v>
          </cell>
          <cell r="B746">
            <v>201807</v>
          </cell>
          <cell r="C746" t="str">
            <v>4600059471</v>
          </cell>
          <cell r="D746" t="str">
            <v>163193C</v>
          </cell>
          <cell r="E746">
            <v>180</v>
          </cell>
          <cell r="F746">
            <v>43469</v>
          </cell>
          <cell r="G746" t="str">
            <v>OK</v>
          </cell>
        </row>
        <row r="747">
          <cell r="A747" t="str">
            <v>Y1812-0053</v>
          </cell>
          <cell r="B747">
            <v>201807</v>
          </cell>
          <cell r="C747" t="str">
            <v>4600059476</v>
          </cell>
          <cell r="D747" t="str">
            <v>163245C</v>
          </cell>
          <cell r="E747">
            <v>156</v>
          </cell>
          <cell r="F747">
            <v>43469</v>
          </cell>
          <cell r="G747" t="str">
            <v>OK</v>
          </cell>
        </row>
        <row r="748">
          <cell r="A748" t="str">
            <v>Y1812-0054</v>
          </cell>
          <cell r="B748">
            <v>201807</v>
          </cell>
          <cell r="C748" t="str">
            <v>4600059477</v>
          </cell>
          <cell r="D748" t="str">
            <v>563430C</v>
          </cell>
          <cell r="E748">
            <v>660</v>
          </cell>
          <cell r="F748">
            <v>43469</v>
          </cell>
          <cell r="G748" t="str">
            <v>OK</v>
          </cell>
        </row>
        <row r="749">
          <cell r="A749" t="str">
            <v>Y1812-0058</v>
          </cell>
          <cell r="B749">
            <v>201807</v>
          </cell>
          <cell r="C749" t="str">
            <v>4600059481</v>
          </cell>
          <cell r="D749" t="str">
            <v>163247C</v>
          </cell>
          <cell r="E749">
            <v>144</v>
          </cell>
          <cell r="F749">
            <v>43469</v>
          </cell>
          <cell r="G749" t="str">
            <v>OK</v>
          </cell>
        </row>
        <row r="750">
          <cell r="A750" t="str">
            <v>Y1812-0059</v>
          </cell>
          <cell r="B750">
            <v>201807</v>
          </cell>
          <cell r="C750" t="str">
            <v>4600059482</v>
          </cell>
          <cell r="D750" t="str">
            <v>563430C</v>
          </cell>
          <cell r="E750">
            <v>216</v>
          </cell>
          <cell r="F750">
            <v>43469</v>
          </cell>
          <cell r="G750" t="str">
            <v>OK</v>
          </cell>
        </row>
        <row r="751">
          <cell r="A751" t="str">
            <v>Y1812-0060</v>
          </cell>
          <cell r="B751">
            <v>201807</v>
          </cell>
          <cell r="C751" t="str">
            <v>4600059483</v>
          </cell>
          <cell r="D751" t="str">
            <v>163370C</v>
          </cell>
          <cell r="E751">
            <v>240</v>
          </cell>
          <cell r="F751">
            <v>43469</v>
          </cell>
          <cell r="G751" t="str">
            <v>OK</v>
          </cell>
        </row>
        <row r="752">
          <cell r="A752" t="str">
            <v>Y1812-0061</v>
          </cell>
          <cell r="B752">
            <v>201807</v>
          </cell>
          <cell r="C752" t="str">
            <v>4600059484</v>
          </cell>
          <cell r="D752" t="str">
            <v>163368C</v>
          </cell>
          <cell r="E752">
            <v>240</v>
          </cell>
          <cell r="F752">
            <v>43469</v>
          </cell>
          <cell r="G752" t="str">
            <v>OK</v>
          </cell>
        </row>
        <row r="753">
          <cell r="A753" t="str">
            <v>Y1812-0062</v>
          </cell>
          <cell r="B753">
            <v>201807</v>
          </cell>
          <cell r="C753" t="str">
            <v>4600059485</v>
          </cell>
          <cell r="D753" t="str">
            <v>163369C</v>
          </cell>
          <cell r="E753">
            <v>120</v>
          </cell>
          <cell r="F753">
            <v>43469</v>
          </cell>
          <cell r="G753" t="str">
            <v>OK</v>
          </cell>
        </row>
        <row r="754">
          <cell r="A754" t="str">
            <v>Y1812-0063</v>
          </cell>
          <cell r="B754">
            <v>201807</v>
          </cell>
          <cell r="C754" t="str">
            <v>4600059486</v>
          </cell>
          <cell r="D754" t="str">
            <v>163369C</v>
          </cell>
          <cell r="E754">
            <v>252</v>
          </cell>
          <cell r="F754">
            <v>43469</v>
          </cell>
          <cell r="G754" t="str">
            <v>OK</v>
          </cell>
        </row>
        <row r="755">
          <cell r="A755" t="str">
            <v>Y1812-0064</v>
          </cell>
          <cell r="B755">
            <v>201807</v>
          </cell>
          <cell r="C755" t="str">
            <v>4600059487</v>
          </cell>
          <cell r="D755" t="str">
            <v>163370C</v>
          </cell>
          <cell r="E755">
            <v>120</v>
          </cell>
          <cell r="F755">
            <v>43469</v>
          </cell>
          <cell r="G755" t="str">
            <v>OK</v>
          </cell>
        </row>
        <row r="756">
          <cell r="A756" t="str">
            <v>Y1812-0070</v>
          </cell>
          <cell r="B756">
            <v>201807</v>
          </cell>
          <cell r="C756" t="str">
            <v>4600059493</v>
          </cell>
          <cell r="D756" t="str">
            <v>158369C</v>
          </cell>
          <cell r="E756">
            <v>120</v>
          </cell>
          <cell r="F756">
            <v>43469</v>
          </cell>
          <cell r="G756" t="str">
            <v>OK</v>
          </cell>
        </row>
        <row r="757">
          <cell r="A757" t="str">
            <v>Y1812-0071</v>
          </cell>
          <cell r="B757">
            <v>201807</v>
          </cell>
          <cell r="C757" t="str">
            <v>4600059494</v>
          </cell>
          <cell r="D757" t="str">
            <v>663588C</v>
          </cell>
          <cell r="E757">
            <v>120</v>
          </cell>
          <cell r="F757">
            <v>43469</v>
          </cell>
          <cell r="G757" t="str">
            <v>OK</v>
          </cell>
        </row>
        <row r="758">
          <cell r="A758" t="str">
            <v>Y1812-0072</v>
          </cell>
          <cell r="B758">
            <v>201807</v>
          </cell>
          <cell r="C758" t="str">
            <v>4600059495</v>
          </cell>
          <cell r="D758" t="str">
            <v>663589C</v>
          </cell>
          <cell r="E758">
            <v>120</v>
          </cell>
          <cell r="F758">
            <v>43469</v>
          </cell>
          <cell r="G758" t="str">
            <v>OK</v>
          </cell>
        </row>
        <row r="759">
          <cell r="A759" t="str">
            <v>Y1812-0075</v>
          </cell>
          <cell r="B759">
            <v>201807</v>
          </cell>
          <cell r="C759" t="str">
            <v>4600059500</v>
          </cell>
          <cell r="D759" t="str">
            <v>163189C</v>
          </cell>
          <cell r="E759">
            <v>240</v>
          </cell>
          <cell r="F759">
            <v>43469</v>
          </cell>
          <cell r="G759" t="str">
            <v>OK</v>
          </cell>
        </row>
        <row r="760">
          <cell r="A760" t="str">
            <v>Y1812-0026</v>
          </cell>
          <cell r="B760">
            <v>201807</v>
          </cell>
          <cell r="C760" t="str">
            <v>4600059449</v>
          </cell>
          <cell r="D760" t="str">
            <v>159792C</v>
          </cell>
          <cell r="E760">
            <v>540</v>
          </cell>
          <cell r="F760">
            <v>43469</v>
          </cell>
          <cell r="G760" t="str">
            <v>OK</v>
          </cell>
        </row>
        <row r="761">
          <cell r="A761" t="str">
            <v>Y1812-0027</v>
          </cell>
          <cell r="B761">
            <v>201807</v>
          </cell>
          <cell r="C761" t="str">
            <v>4600059450</v>
          </cell>
          <cell r="D761" t="str">
            <v>144150C</v>
          </cell>
          <cell r="E761">
            <v>144</v>
          </cell>
          <cell r="F761">
            <v>43469</v>
          </cell>
          <cell r="G761" t="str">
            <v>OK</v>
          </cell>
        </row>
        <row r="762">
          <cell r="A762" t="str">
            <v>Y1812-0028</v>
          </cell>
          <cell r="B762">
            <v>201807</v>
          </cell>
          <cell r="C762" t="str">
            <v>4600059451</v>
          </cell>
          <cell r="D762" t="str">
            <v>144151C</v>
          </cell>
          <cell r="E762">
            <v>144</v>
          </cell>
          <cell r="F762">
            <v>43469</v>
          </cell>
          <cell r="G762" t="str">
            <v>OK</v>
          </cell>
        </row>
        <row r="763">
          <cell r="A763" t="str">
            <v>Y1812-0029</v>
          </cell>
          <cell r="B763">
            <v>201807</v>
          </cell>
          <cell r="C763" t="str">
            <v>4600059452</v>
          </cell>
          <cell r="D763" t="str">
            <v>155065C</v>
          </cell>
          <cell r="E763">
            <v>120</v>
          </cell>
          <cell r="F763">
            <v>43469</v>
          </cell>
          <cell r="G763" t="str">
            <v>OK</v>
          </cell>
        </row>
        <row r="764">
          <cell r="A764" t="str">
            <v>Y1812-0031</v>
          </cell>
          <cell r="B764">
            <v>201807</v>
          </cell>
          <cell r="C764" t="str">
            <v>4600059454</v>
          </cell>
          <cell r="D764" t="str">
            <v>162580C</v>
          </cell>
          <cell r="E764">
            <v>144</v>
          </cell>
          <cell r="F764">
            <v>43469</v>
          </cell>
          <cell r="G764" t="str">
            <v>OK</v>
          </cell>
        </row>
        <row r="765">
          <cell r="A765" t="str">
            <v>Y1812-0032</v>
          </cell>
          <cell r="B765">
            <v>201807</v>
          </cell>
          <cell r="C765" t="str">
            <v>4600059455</v>
          </cell>
          <cell r="D765" t="str">
            <v>161602C</v>
          </cell>
          <cell r="E765">
            <v>372</v>
          </cell>
          <cell r="F765">
            <v>43469</v>
          </cell>
          <cell r="G765" t="str">
            <v>OK</v>
          </cell>
        </row>
        <row r="766">
          <cell r="A766" t="str">
            <v>Y1812-0033</v>
          </cell>
          <cell r="B766">
            <v>201807</v>
          </cell>
          <cell r="C766" t="str">
            <v>4600059456</v>
          </cell>
          <cell r="D766" t="str">
            <v>161603C</v>
          </cell>
          <cell r="E766">
            <v>444</v>
          </cell>
          <cell r="F766">
            <v>43469</v>
          </cell>
          <cell r="G766" t="str">
            <v>OK</v>
          </cell>
        </row>
        <row r="767">
          <cell r="A767" t="str">
            <v>Y1812-0037</v>
          </cell>
          <cell r="B767">
            <v>201807</v>
          </cell>
          <cell r="C767" t="str">
            <v>4600059460</v>
          </cell>
          <cell r="D767" t="str">
            <v>159786C</v>
          </cell>
          <cell r="E767">
            <v>144</v>
          </cell>
          <cell r="F767">
            <v>43469</v>
          </cell>
          <cell r="G767" t="str">
            <v>OK</v>
          </cell>
        </row>
        <row r="768">
          <cell r="A768" t="str">
            <v>Y1812-0042</v>
          </cell>
          <cell r="B768">
            <v>201807</v>
          </cell>
          <cell r="C768" t="str">
            <v>4600059465</v>
          </cell>
          <cell r="D768" t="str">
            <v>563432C</v>
          </cell>
          <cell r="E768">
            <v>120</v>
          </cell>
          <cell r="F768">
            <v>43469</v>
          </cell>
          <cell r="G768" t="str">
            <v>OK</v>
          </cell>
        </row>
        <row r="769">
          <cell r="A769" t="str">
            <v>Y1812-0043</v>
          </cell>
          <cell r="B769">
            <v>201807</v>
          </cell>
          <cell r="C769" t="str">
            <v>4600059466</v>
          </cell>
          <cell r="D769" t="str">
            <v>563433C</v>
          </cell>
          <cell r="E769">
            <v>276</v>
          </cell>
          <cell r="F769">
            <v>43469</v>
          </cell>
          <cell r="G769" t="str">
            <v>OK</v>
          </cell>
        </row>
        <row r="770">
          <cell r="A770" t="str">
            <v>Y1812-0044</v>
          </cell>
          <cell r="B770">
            <v>201807</v>
          </cell>
          <cell r="C770" t="str">
            <v>4600059467</v>
          </cell>
          <cell r="D770" t="str">
            <v>563433C</v>
          </cell>
          <cell r="E770">
            <v>120</v>
          </cell>
          <cell r="F770">
            <v>43469</v>
          </cell>
          <cell r="G770" t="str">
            <v>OK</v>
          </cell>
        </row>
        <row r="771">
          <cell r="A771" t="str">
            <v>Y1812-0045</v>
          </cell>
          <cell r="B771">
            <v>201807</v>
          </cell>
          <cell r="C771" t="str">
            <v>4600059468</v>
          </cell>
          <cell r="D771" t="str">
            <v>162580C</v>
          </cell>
          <cell r="E771">
            <v>288</v>
          </cell>
          <cell r="F771">
            <v>43469</v>
          </cell>
          <cell r="G771" t="str">
            <v>OK</v>
          </cell>
        </row>
        <row r="772">
          <cell r="A772" t="str">
            <v>Y1812-0046</v>
          </cell>
          <cell r="B772">
            <v>201807</v>
          </cell>
          <cell r="C772" t="str">
            <v>4600059469</v>
          </cell>
          <cell r="D772" t="str">
            <v>163186C</v>
          </cell>
          <cell r="E772">
            <v>444</v>
          </cell>
          <cell r="F772">
            <v>43469</v>
          </cell>
          <cell r="G772" t="str">
            <v>OK</v>
          </cell>
        </row>
        <row r="773">
          <cell r="A773" t="str">
            <v>Y1812-0047</v>
          </cell>
          <cell r="B773">
            <v>201807</v>
          </cell>
          <cell r="C773" t="str">
            <v>4600059470</v>
          </cell>
          <cell r="D773" t="str">
            <v>163187C</v>
          </cell>
          <cell r="E773">
            <v>444</v>
          </cell>
          <cell r="F773">
            <v>43469</v>
          </cell>
          <cell r="G773" t="str">
            <v>OK</v>
          </cell>
        </row>
        <row r="774">
          <cell r="A774" t="str">
            <v>Y1812-0049</v>
          </cell>
          <cell r="B774">
            <v>201807</v>
          </cell>
          <cell r="C774" t="str">
            <v>4600059472</v>
          </cell>
          <cell r="D774" t="str">
            <v>163201C</v>
          </cell>
          <cell r="E774">
            <v>264</v>
          </cell>
          <cell r="F774">
            <v>43469</v>
          </cell>
          <cell r="G774" t="str">
            <v>OK</v>
          </cell>
        </row>
        <row r="775">
          <cell r="A775" t="str">
            <v>Y1812-0050</v>
          </cell>
          <cell r="B775">
            <v>201807</v>
          </cell>
          <cell r="C775" t="str">
            <v>4600059473</v>
          </cell>
          <cell r="D775" t="str">
            <v>163202C</v>
          </cell>
          <cell r="E775">
            <v>540</v>
          </cell>
          <cell r="F775">
            <v>43469</v>
          </cell>
          <cell r="G775" t="str">
            <v>OK</v>
          </cell>
        </row>
        <row r="776">
          <cell r="A776" t="str">
            <v>Y1812-0051</v>
          </cell>
          <cell r="B776">
            <v>201807</v>
          </cell>
          <cell r="C776" t="str">
            <v>4600059474</v>
          </cell>
          <cell r="D776" t="str">
            <v>163203C</v>
          </cell>
          <cell r="E776">
            <v>600</v>
          </cell>
          <cell r="F776">
            <v>43469</v>
          </cell>
          <cell r="G776" t="str">
            <v>OK</v>
          </cell>
        </row>
        <row r="777">
          <cell r="A777" t="str">
            <v>Y1812-0052</v>
          </cell>
          <cell r="B777">
            <v>201807</v>
          </cell>
          <cell r="C777" t="str">
            <v>4600059475</v>
          </cell>
          <cell r="D777" t="str">
            <v>155310C</v>
          </cell>
          <cell r="E777">
            <v>360</v>
          </cell>
          <cell r="F777">
            <v>43469</v>
          </cell>
          <cell r="G777" t="str">
            <v>OK</v>
          </cell>
        </row>
        <row r="778">
          <cell r="A778" t="str">
            <v>Y1812-0055</v>
          </cell>
          <cell r="B778">
            <v>201807</v>
          </cell>
          <cell r="C778" t="str">
            <v>4600059478</v>
          </cell>
          <cell r="D778" t="str">
            <v>162579C</v>
          </cell>
          <cell r="E778">
            <v>264</v>
          </cell>
          <cell r="F778">
            <v>43469</v>
          </cell>
          <cell r="G778" t="str">
            <v>OK</v>
          </cell>
        </row>
        <row r="779">
          <cell r="A779" t="str">
            <v>Y1812-0056</v>
          </cell>
          <cell r="B779">
            <v>201807</v>
          </cell>
          <cell r="C779" t="str">
            <v>4600059479</v>
          </cell>
          <cell r="D779" t="str">
            <v>163187C</v>
          </cell>
          <cell r="E779">
            <v>468</v>
          </cell>
          <cell r="F779">
            <v>43469</v>
          </cell>
          <cell r="G779" t="str">
            <v>OK</v>
          </cell>
        </row>
        <row r="780">
          <cell r="A780" t="str">
            <v>Y1812-0057</v>
          </cell>
          <cell r="B780">
            <v>201807</v>
          </cell>
          <cell r="C780" t="str">
            <v>4600059480</v>
          </cell>
          <cell r="D780" t="str">
            <v>163186C</v>
          </cell>
          <cell r="E780">
            <v>432</v>
          </cell>
          <cell r="F780">
            <v>43469</v>
          </cell>
          <cell r="G780" t="str">
            <v>OK</v>
          </cell>
        </row>
        <row r="781">
          <cell r="A781" t="str">
            <v>Y1812-0065</v>
          </cell>
          <cell r="B781">
            <v>201807</v>
          </cell>
          <cell r="C781" t="str">
            <v>4600059488</v>
          </cell>
          <cell r="D781" t="str">
            <v>363710C</v>
          </cell>
          <cell r="E781">
            <v>120</v>
          </cell>
          <cell r="F781">
            <v>43469</v>
          </cell>
          <cell r="G781" t="str">
            <v>OK</v>
          </cell>
        </row>
        <row r="782">
          <cell r="A782" t="str">
            <v>Y1812-0066</v>
          </cell>
          <cell r="B782">
            <v>201807</v>
          </cell>
          <cell r="C782" t="str">
            <v>4600059489</v>
          </cell>
          <cell r="D782" t="str">
            <v>363711C</v>
          </cell>
          <cell r="E782">
            <v>144</v>
          </cell>
          <cell r="F782">
            <v>43469</v>
          </cell>
          <cell r="G782" t="str">
            <v>OK</v>
          </cell>
        </row>
        <row r="783">
          <cell r="A783" t="str">
            <v>Y1812-0067</v>
          </cell>
          <cell r="B783">
            <v>201807</v>
          </cell>
          <cell r="C783" t="str">
            <v>4600059490</v>
          </cell>
          <cell r="D783" t="str">
            <v>144145C</v>
          </cell>
          <cell r="E783">
            <v>144</v>
          </cell>
          <cell r="F783">
            <v>43469</v>
          </cell>
          <cell r="G783" t="str">
            <v>OK</v>
          </cell>
        </row>
        <row r="784">
          <cell r="A784" t="str">
            <v>Y1812-0068</v>
          </cell>
          <cell r="B784">
            <v>201807</v>
          </cell>
          <cell r="C784" t="str">
            <v>4600059491</v>
          </cell>
          <cell r="D784" t="str">
            <v>155065C</v>
          </cell>
          <cell r="E784">
            <v>504</v>
          </cell>
          <cell r="F784">
            <v>43469</v>
          </cell>
          <cell r="G784" t="str">
            <v>OK</v>
          </cell>
        </row>
        <row r="785">
          <cell r="A785" t="str">
            <v>Y1812-0069</v>
          </cell>
          <cell r="B785">
            <v>201807</v>
          </cell>
          <cell r="C785" t="str">
            <v>4600059492</v>
          </cell>
          <cell r="D785" t="str">
            <v>155310C</v>
          </cell>
          <cell r="E785">
            <v>120</v>
          </cell>
          <cell r="F785">
            <v>43469</v>
          </cell>
          <cell r="G785" t="str">
            <v>OK</v>
          </cell>
        </row>
        <row r="786">
          <cell r="A786" t="str">
            <v>Y1812-0073</v>
          </cell>
          <cell r="B786">
            <v>201807</v>
          </cell>
          <cell r="C786" t="str">
            <v>4600059496</v>
          </cell>
          <cell r="D786" t="str">
            <v>159786C</v>
          </cell>
          <cell r="E786">
            <v>240</v>
          </cell>
          <cell r="F786">
            <v>43469</v>
          </cell>
          <cell r="G786" t="str">
            <v>OK</v>
          </cell>
        </row>
        <row r="787">
          <cell r="A787" t="str">
            <v>Y1812-0074</v>
          </cell>
          <cell r="B787">
            <v>201807</v>
          </cell>
          <cell r="C787" t="str">
            <v>4600059497</v>
          </cell>
          <cell r="D787" t="str">
            <v>563431C</v>
          </cell>
          <cell r="E787">
            <v>156</v>
          </cell>
          <cell r="F787">
            <v>43469</v>
          </cell>
          <cell r="G787" t="str">
            <v>OK</v>
          </cell>
        </row>
        <row r="788">
          <cell r="A788" t="str">
            <v>Y1812-0076</v>
          </cell>
          <cell r="B788">
            <v>201807</v>
          </cell>
          <cell r="C788" t="str">
            <v>4600059501</v>
          </cell>
          <cell r="D788" t="str">
            <v>163199C</v>
          </cell>
          <cell r="E788">
            <v>480</v>
          </cell>
          <cell r="F788">
            <v>43469</v>
          </cell>
          <cell r="G788" t="str">
            <v>OK</v>
          </cell>
        </row>
        <row r="789">
          <cell r="A789" t="str">
            <v>Y1812-0077</v>
          </cell>
          <cell r="B789">
            <v>201807</v>
          </cell>
          <cell r="C789" t="str">
            <v>4600059502</v>
          </cell>
          <cell r="D789" t="str">
            <v>563432C</v>
          </cell>
          <cell r="E789">
            <v>264</v>
          </cell>
          <cell r="F789">
            <v>43469</v>
          </cell>
          <cell r="G789" t="str">
            <v>OK</v>
          </cell>
        </row>
        <row r="790">
          <cell r="A790" t="str">
            <v>Y1812-0078</v>
          </cell>
          <cell r="B790">
            <v>201807</v>
          </cell>
          <cell r="C790" t="str">
            <v>4600059503</v>
          </cell>
          <cell r="D790" t="str">
            <v>161602C</v>
          </cell>
          <cell r="E790">
            <v>444</v>
          </cell>
          <cell r="F790">
            <v>43469</v>
          </cell>
          <cell r="G790" t="str">
            <v>OK</v>
          </cell>
        </row>
        <row r="791">
          <cell r="A791" t="str">
            <v>Y1812-0079</v>
          </cell>
          <cell r="B791">
            <v>201807</v>
          </cell>
          <cell r="C791" t="str">
            <v>4600059504</v>
          </cell>
          <cell r="D791" t="str">
            <v>161603C</v>
          </cell>
          <cell r="E791">
            <v>396</v>
          </cell>
          <cell r="F791">
            <v>43469</v>
          </cell>
          <cell r="G791" t="str">
            <v>OK</v>
          </cell>
        </row>
        <row r="792">
          <cell r="A792" t="str">
            <v>Y1812-0080</v>
          </cell>
          <cell r="B792">
            <v>201807</v>
          </cell>
          <cell r="C792" t="str">
            <v>4600059505</v>
          </cell>
          <cell r="D792" t="str">
            <v>161603C</v>
          </cell>
          <cell r="E792">
            <v>120</v>
          </cell>
          <cell r="F792">
            <v>43469</v>
          </cell>
          <cell r="G792" t="str">
            <v>OK</v>
          </cell>
        </row>
        <row r="793">
          <cell r="A793" t="str">
            <v>Y1812-0081</v>
          </cell>
          <cell r="B793">
            <v>201807</v>
          </cell>
          <cell r="C793" t="str">
            <v>4600059506</v>
          </cell>
          <cell r="D793" t="str">
            <v>159792C</v>
          </cell>
          <cell r="E793">
            <v>132</v>
          </cell>
          <cell r="F793">
            <v>43469</v>
          </cell>
          <cell r="G793" t="str">
            <v>OK</v>
          </cell>
        </row>
        <row r="794">
          <cell r="A794" t="str">
            <v>Y1812-0082</v>
          </cell>
          <cell r="B794">
            <v>201807</v>
          </cell>
          <cell r="C794" t="str">
            <v>4600059507</v>
          </cell>
          <cell r="D794" t="str">
            <v>163204C</v>
          </cell>
          <cell r="E794">
            <v>228</v>
          </cell>
          <cell r="F794">
            <v>43469</v>
          </cell>
          <cell r="G794" t="str">
            <v>OK</v>
          </cell>
        </row>
        <row r="795">
          <cell r="A795" t="str">
            <v>YL1901-0017A</v>
          </cell>
          <cell r="B795">
            <v>201812</v>
          </cell>
          <cell r="C795" t="str">
            <v>0100181870</v>
          </cell>
          <cell r="D795" t="str">
            <v>M9160</v>
          </cell>
          <cell r="E795">
            <v>19116</v>
          </cell>
          <cell r="F795">
            <v>43475</v>
          </cell>
          <cell r="G795" t="str">
            <v>OK</v>
          </cell>
        </row>
        <row r="796">
          <cell r="A796" t="str">
            <v>YL1901-0018B</v>
          </cell>
          <cell r="B796">
            <v>201812</v>
          </cell>
          <cell r="C796" t="str">
            <v>0100181871</v>
          </cell>
          <cell r="D796" t="str">
            <v>M9166</v>
          </cell>
          <cell r="E796">
            <v>10152</v>
          </cell>
          <cell r="F796">
            <v>43475</v>
          </cell>
          <cell r="G796" t="str">
            <v>OK</v>
          </cell>
        </row>
        <row r="797">
          <cell r="A797" t="str">
            <v>YL1901-0014</v>
          </cell>
          <cell r="B797">
            <v>201812</v>
          </cell>
          <cell r="C797" t="str">
            <v>0100181872</v>
          </cell>
          <cell r="D797" t="str">
            <v>3J235</v>
          </cell>
          <cell r="E797">
            <v>10200</v>
          </cell>
          <cell r="F797">
            <v>43475</v>
          </cell>
          <cell r="G797" t="str">
            <v>OK</v>
          </cell>
        </row>
        <row r="798">
          <cell r="A798" t="str">
            <v>YL1901-0015A</v>
          </cell>
          <cell r="B798">
            <v>201812</v>
          </cell>
          <cell r="C798" t="str">
            <v>0100181873</v>
          </cell>
          <cell r="D798" t="str">
            <v>7J231</v>
          </cell>
          <cell r="E798">
            <v>1800</v>
          </cell>
          <cell r="F798">
            <v>43475</v>
          </cell>
          <cell r="G798" t="str">
            <v>OK</v>
          </cell>
        </row>
        <row r="799">
          <cell r="A799" t="str">
            <v>YL1901-0016</v>
          </cell>
          <cell r="B799">
            <v>201812</v>
          </cell>
          <cell r="C799" t="str">
            <v>0100181874</v>
          </cell>
          <cell r="D799" t="str">
            <v>7J235</v>
          </cell>
          <cell r="E799">
            <v>5004</v>
          </cell>
          <cell r="F799">
            <v>43475</v>
          </cell>
          <cell r="G799" t="str">
            <v>OK</v>
          </cell>
        </row>
        <row r="800">
          <cell r="A800" t="str">
            <v>YL1901-0018A</v>
          </cell>
          <cell r="B800">
            <v>201812</v>
          </cell>
          <cell r="C800" t="str">
            <v>0100181875</v>
          </cell>
          <cell r="D800" t="str">
            <v>M9166</v>
          </cell>
          <cell r="E800">
            <v>9984</v>
          </cell>
          <cell r="F800">
            <v>43475</v>
          </cell>
          <cell r="G800" t="str">
            <v>OK</v>
          </cell>
        </row>
        <row r="801">
          <cell r="A801" t="str">
            <v>Y1811-0237B</v>
          </cell>
          <cell r="B801">
            <v>201807</v>
          </cell>
          <cell r="C801" t="str">
            <v>0100183636</v>
          </cell>
          <cell r="D801" t="str">
            <v>163345C</v>
          </cell>
          <cell r="E801">
            <v>432</v>
          </cell>
          <cell r="F801">
            <v>43472</v>
          </cell>
          <cell r="G801" t="str">
            <v>OK</v>
          </cell>
        </row>
        <row r="802">
          <cell r="A802" t="str">
            <v>Y1811-0238B</v>
          </cell>
          <cell r="B802">
            <v>201807</v>
          </cell>
          <cell r="C802" t="str">
            <v>0100183637</v>
          </cell>
          <cell r="D802" t="str">
            <v>163346C</v>
          </cell>
          <cell r="E802">
            <v>624</v>
          </cell>
          <cell r="F802">
            <v>43472</v>
          </cell>
          <cell r="G802" t="str">
            <v>OK</v>
          </cell>
        </row>
        <row r="803">
          <cell r="A803" t="str">
            <v>YL1901-0017B</v>
          </cell>
          <cell r="B803">
            <v>201812</v>
          </cell>
          <cell r="C803" t="str">
            <v>0100183640</v>
          </cell>
          <cell r="D803" t="str">
            <v>M9160</v>
          </cell>
          <cell r="E803">
            <v>19464</v>
          </cell>
          <cell r="F803">
            <v>43489</v>
          </cell>
          <cell r="G803" t="str">
            <v>OK</v>
          </cell>
        </row>
        <row r="804">
          <cell r="A804" t="str">
            <v>YL1901-0018C</v>
          </cell>
          <cell r="B804">
            <v>201812</v>
          </cell>
          <cell r="C804" t="str">
            <v>0100183641</v>
          </cell>
          <cell r="D804" t="str">
            <v>M9166</v>
          </cell>
          <cell r="E804">
            <v>13728</v>
          </cell>
          <cell r="F804">
            <v>43489</v>
          </cell>
          <cell r="G804" t="str">
            <v>01/12</v>
          </cell>
        </row>
        <row r="805">
          <cell r="A805" t="str">
            <v>YL1901-0017C</v>
          </cell>
          <cell r="B805">
            <v>201812</v>
          </cell>
          <cell r="C805" t="str">
            <v>0100183642</v>
          </cell>
          <cell r="D805" t="str">
            <v>M9160</v>
          </cell>
          <cell r="E805">
            <v>19356</v>
          </cell>
          <cell r="F805">
            <v>43489</v>
          </cell>
          <cell r="G805" t="str">
            <v>OK</v>
          </cell>
        </row>
        <row r="806">
          <cell r="A806" t="str">
            <v>YL1901-0018D</v>
          </cell>
          <cell r="B806">
            <v>201812</v>
          </cell>
          <cell r="C806" t="str">
            <v>0100183643</v>
          </cell>
          <cell r="D806" t="str">
            <v>M9166</v>
          </cell>
          <cell r="E806">
            <v>13728</v>
          </cell>
          <cell r="F806">
            <v>43489</v>
          </cell>
          <cell r="G806" t="str">
            <v>01/12</v>
          </cell>
        </row>
        <row r="807">
          <cell r="A807" t="str">
            <v>YL1901-0018E</v>
          </cell>
          <cell r="B807">
            <v>201812</v>
          </cell>
          <cell r="C807" t="str">
            <v>0100183644</v>
          </cell>
          <cell r="D807" t="str">
            <v>M9166</v>
          </cell>
          <cell r="E807">
            <v>14136</v>
          </cell>
          <cell r="F807">
            <v>43489</v>
          </cell>
          <cell r="G807" t="str">
            <v>01/12</v>
          </cell>
        </row>
        <row r="808">
          <cell r="A808" t="str">
            <v>YL1901-0017D</v>
          </cell>
          <cell r="B808">
            <v>201812</v>
          </cell>
          <cell r="C808" t="str">
            <v>0100183649</v>
          </cell>
          <cell r="D808" t="str">
            <v>M9160</v>
          </cell>
          <cell r="E808">
            <v>2616</v>
          </cell>
          <cell r="F808">
            <v>43489</v>
          </cell>
          <cell r="G808" t="str">
            <v>OK</v>
          </cell>
        </row>
        <row r="809">
          <cell r="A809" t="str">
            <v>YL1901-0017E</v>
          </cell>
          <cell r="B809">
            <v>201812</v>
          </cell>
          <cell r="C809" t="str">
            <v>0100183650</v>
          </cell>
          <cell r="D809" t="str">
            <v>M9160</v>
          </cell>
          <cell r="E809">
            <v>2448</v>
          </cell>
          <cell r="F809">
            <v>43489</v>
          </cell>
          <cell r="G809" t="str">
            <v>OK</v>
          </cell>
        </row>
        <row r="810">
          <cell r="A810" t="str">
            <v>YL1901-0018F</v>
          </cell>
          <cell r="B810">
            <v>201812</v>
          </cell>
          <cell r="C810" t="str">
            <v>0100183651</v>
          </cell>
          <cell r="D810" t="str">
            <v>M9166</v>
          </cell>
          <cell r="E810">
            <v>3600</v>
          </cell>
          <cell r="F810">
            <v>43489</v>
          </cell>
          <cell r="G810" t="str">
            <v>01/12</v>
          </cell>
        </row>
        <row r="811">
          <cell r="A811" t="str">
            <v>YL1901-0018G</v>
          </cell>
          <cell r="B811">
            <v>201812</v>
          </cell>
          <cell r="C811" t="str">
            <v>0100183652</v>
          </cell>
          <cell r="D811" t="str">
            <v>M9166</v>
          </cell>
          <cell r="E811">
            <v>11400</v>
          </cell>
          <cell r="F811">
            <v>43489</v>
          </cell>
          <cell r="G811" t="str">
            <v>01/12</v>
          </cell>
        </row>
        <row r="812">
          <cell r="A812" t="str">
            <v>YL1901-0017F</v>
          </cell>
          <cell r="B812">
            <v>201812</v>
          </cell>
          <cell r="C812" t="str">
            <v>0100183653</v>
          </cell>
          <cell r="D812" t="str">
            <v>M9160</v>
          </cell>
          <cell r="E812">
            <v>2160</v>
          </cell>
          <cell r="F812">
            <v>43489</v>
          </cell>
          <cell r="G812" t="str">
            <v>01/04</v>
          </cell>
        </row>
        <row r="813">
          <cell r="A813" t="str">
            <v>YL1901-0017G</v>
          </cell>
          <cell r="B813">
            <v>201812</v>
          </cell>
          <cell r="C813" t="str">
            <v>0100183654</v>
          </cell>
          <cell r="D813" t="str">
            <v>M9160</v>
          </cell>
          <cell r="E813">
            <v>9840</v>
          </cell>
          <cell r="F813">
            <v>43489</v>
          </cell>
          <cell r="G813" t="str">
            <v>OK</v>
          </cell>
        </row>
        <row r="814">
          <cell r="A814" t="str">
            <v>YL1901-0018H</v>
          </cell>
          <cell r="B814">
            <v>201812</v>
          </cell>
          <cell r="C814" t="str">
            <v>0100183655</v>
          </cell>
          <cell r="D814" t="str">
            <v>M9166</v>
          </cell>
          <cell r="E814">
            <v>1908</v>
          </cell>
          <cell r="F814">
            <v>43489</v>
          </cell>
          <cell r="G814" t="str">
            <v>01/12</v>
          </cell>
        </row>
        <row r="815">
          <cell r="A815" t="str">
            <v>YL1901-0018I</v>
          </cell>
          <cell r="B815">
            <v>201812</v>
          </cell>
          <cell r="C815" t="str">
            <v>0100183656</v>
          </cell>
          <cell r="D815" t="str">
            <v>M9166</v>
          </cell>
          <cell r="E815">
            <v>3372</v>
          </cell>
          <cell r="F815">
            <v>43489</v>
          </cell>
          <cell r="G815" t="str">
            <v>01/12</v>
          </cell>
        </row>
        <row r="816">
          <cell r="A816" t="str">
            <v>Y1812-0465</v>
          </cell>
          <cell r="B816">
            <v>201809</v>
          </cell>
          <cell r="C816" t="str">
            <v>0100169650</v>
          </cell>
          <cell r="D816" t="str">
            <v>714786C</v>
          </cell>
          <cell r="E816">
            <v>192</v>
          </cell>
          <cell r="F816">
            <v>43467</v>
          </cell>
          <cell r="G816" t="str">
            <v>OK</v>
          </cell>
        </row>
        <row r="817">
          <cell r="A817" t="str">
            <v>Y1812-0749</v>
          </cell>
          <cell r="B817">
            <v>201809</v>
          </cell>
          <cell r="C817" t="str">
            <v>4600062825</v>
          </cell>
          <cell r="D817" t="str">
            <v>714786C</v>
          </cell>
          <cell r="E817">
            <v>120</v>
          </cell>
          <cell r="F817">
            <v>43479</v>
          </cell>
          <cell r="G817" t="str">
            <v>OK</v>
          </cell>
        </row>
        <row r="818">
          <cell r="A818" t="str">
            <v>Y1812-0865</v>
          </cell>
          <cell r="B818">
            <v>201810</v>
          </cell>
          <cell r="C818" t="str">
            <v>4600064527</v>
          </cell>
          <cell r="D818" t="str">
            <v>M3310C</v>
          </cell>
          <cell r="E818">
            <v>4224</v>
          </cell>
          <cell r="F818">
            <v>43468</v>
          </cell>
          <cell r="G818" t="str">
            <v>OK</v>
          </cell>
        </row>
        <row r="819">
          <cell r="A819" t="str">
            <v>Y1812-0867</v>
          </cell>
          <cell r="B819">
            <v>201810</v>
          </cell>
          <cell r="C819" t="str">
            <v>4600064529</v>
          </cell>
          <cell r="D819" t="str">
            <v>M9166C</v>
          </cell>
          <cell r="E819">
            <v>8712</v>
          </cell>
          <cell r="F819">
            <v>43468</v>
          </cell>
          <cell r="G819" t="str">
            <v>OK</v>
          </cell>
        </row>
        <row r="820">
          <cell r="A820" t="str">
            <v>Y1812-0868</v>
          </cell>
          <cell r="B820">
            <v>201810</v>
          </cell>
          <cell r="C820" t="str">
            <v>4600064532</v>
          </cell>
          <cell r="D820" t="str">
            <v>M5039C</v>
          </cell>
          <cell r="E820">
            <v>3528</v>
          </cell>
          <cell r="F820">
            <v>43468</v>
          </cell>
          <cell r="G820" t="str">
            <v>OK</v>
          </cell>
        </row>
        <row r="821">
          <cell r="A821" t="str">
            <v>Y1812-0869</v>
          </cell>
          <cell r="B821">
            <v>201810</v>
          </cell>
          <cell r="C821" t="str">
            <v>4600064534</v>
          </cell>
          <cell r="D821" t="str">
            <v>M9696C</v>
          </cell>
          <cell r="E821">
            <v>396</v>
          </cell>
          <cell r="F821">
            <v>43467</v>
          </cell>
          <cell r="G821" t="str">
            <v>OK</v>
          </cell>
        </row>
        <row r="822">
          <cell r="A822" t="str">
            <v>Y1812-0870</v>
          </cell>
          <cell r="B822">
            <v>201810</v>
          </cell>
          <cell r="C822" t="str">
            <v>4600064535</v>
          </cell>
          <cell r="D822" t="str">
            <v>M9621C</v>
          </cell>
          <cell r="E822">
            <v>360</v>
          </cell>
          <cell r="F822">
            <v>43467</v>
          </cell>
          <cell r="G822" t="str">
            <v>OK</v>
          </cell>
        </row>
        <row r="823">
          <cell r="A823" t="str">
            <v>Y1812-0871</v>
          </cell>
          <cell r="B823">
            <v>201810</v>
          </cell>
          <cell r="C823" t="str">
            <v>4600064536</v>
          </cell>
          <cell r="D823" t="str">
            <v>7J256C</v>
          </cell>
          <cell r="E823">
            <v>360</v>
          </cell>
          <cell r="F823">
            <v>43467</v>
          </cell>
          <cell r="G823" t="str">
            <v>OK</v>
          </cell>
        </row>
        <row r="824">
          <cell r="A824" t="str">
            <v>Y1812-0872</v>
          </cell>
          <cell r="B824">
            <v>201810</v>
          </cell>
          <cell r="C824" t="str">
            <v>4600064537</v>
          </cell>
          <cell r="D824" t="str">
            <v>3J253C</v>
          </cell>
          <cell r="E824">
            <v>240</v>
          </cell>
          <cell r="F824">
            <v>43467</v>
          </cell>
          <cell r="G824" t="str">
            <v>OK</v>
          </cell>
        </row>
        <row r="825">
          <cell r="A825" t="str">
            <v>Y1812-0873</v>
          </cell>
          <cell r="B825">
            <v>201810</v>
          </cell>
          <cell r="C825" t="str">
            <v>4600064538</v>
          </cell>
          <cell r="D825" t="str">
            <v>M9697C</v>
          </cell>
          <cell r="E825">
            <v>828</v>
          </cell>
          <cell r="F825">
            <v>43467</v>
          </cell>
          <cell r="G825" t="str">
            <v>OK</v>
          </cell>
        </row>
        <row r="826">
          <cell r="A826" t="str">
            <v>Y1812-0874</v>
          </cell>
          <cell r="B826">
            <v>201810</v>
          </cell>
          <cell r="C826" t="str">
            <v>4600064539</v>
          </cell>
          <cell r="D826" t="str">
            <v>M3310C</v>
          </cell>
          <cell r="E826">
            <v>756</v>
          </cell>
          <cell r="F826">
            <v>43467</v>
          </cell>
          <cell r="G826" t="str">
            <v>OK</v>
          </cell>
        </row>
        <row r="827">
          <cell r="A827" t="str">
            <v>Y1812-0875</v>
          </cell>
          <cell r="B827">
            <v>201810</v>
          </cell>
          <cell r="C827" t="str">
            <v>4600064551</v>
          </cell>
          <cell r="D827" t="str">
            <v>M7652C</v>
          </cell>
          <cell r="E827">
            <v>3024</v>
          </cell>
          <cell r="F827">
            <v>43467</v>
          </cell>
          <cell r="G827" t="str">
            <v>OK</v>
          </cell>
        </row>
        <row r="828">
          <cell r="A828" t="str">
            <v>Y1812-0876</v>
          </cell>
          <cell r="B828">
            <v>201810</v>
          </cell>
          <cell r="C828" t="str">
            <v>4600064552</v>
          </cell>
          <cell r="D828" t="str">
            <v>M7650C</v>
          </cell>
          <cell r="E828">
            <v>1080</v>
          </cell>
          <cell r="F828">
            <v>43467</v>
          </cell>
          <cell r="G828" t="str">
            <v>OK</v>
          </cell>
        </row>
        <row r="829">
          <cell r="A829" t="str">
            <v>Y1812-0877</v>
          </cell>
          <cell r="B829">
            <v>201810</v>
          </cell>
          <cell r="C829" t="str">
            <v>4600064553</v>
          </cell>
          <cell r="D829" t="str">
            <v>M9166C</v>
          </cell>
          <cell r="E829">
            <v>3072</v>
          </cell>
          <cell r="F829">
            <v>43467</v>
          </cell>
          <cell r="G829" t="str">
            <v>OK</v>
          </cell>
        </row>
        <row r="830">
          <cell r="A830" t="str">
            <v>Y1812-0878</v>
          </cell>
          <cell r="B830">
            <v>201810</v>
          </cell>
          <cell r="C830" t="str">
            <v>4600064554</v>
          </cell>
          <cell r="D830" t="str">
            <v>M5039C</v>
          </cell>
          <cell r="E830">
            <v>444</v>
          </cell>
          <cell r="F830">
            <v>43467</v>
          </cell>
          <cell r="G830" t="str">
            <v>OK</v>
          </cell>
        </row>
        <row r="831">
          <cell r="A831" t="str">
            <v>Y1812-0879</v>
          </cell>
          <cell r="B831">
            <v>201810</v>
          </cell>
          <cell r="C831" t="str">
            <v>4600064555</v>
          </cell>
          <cell r="D831" t="str">
            <v>3J256C</v>
          </cell>
          <cell r="E831">
            <v>240</v>
          </cell>
          <cell r="F831">
            <v>43467</v>
          </cell>
          <cell r="G831" t="str">
            <v>OK</v>
          </cell>
        </row>
        <row r="832">
          <cell r="A832" t="str">
            <v>Y1812-0395</v>
          </cell>
          <cell r="B832">
            <v>201808</v>
          </cell>
          <cell r="C832" t="str">
            <v>4600061954</v>
          </cell>
          <cell r="D832" t="str">
            <v>163194C</v>
          </cell>
          <cell r="E832">
            <v>144</v>
          </cell>
          <cell r="F832">
            <v>43479</v>
          </cell>
          <cell r="G832" t="str">
            <v>OK</v>
          </cell>
        </row>
        <row r="833">
          <cell r="A833" t="str">
            <v>Y1812-0396</v>
          </cell>
          <cell r="B833">
            <v>201808</v>
          </cell>
          <cell r="C833" t="str">
            <v>4600061955</v>
          </cell>
          <cell r="D833" t="str">
            <v>163198C</v>
          </cell>
          <cell r="E833">
            <v>156</v>
          </cell>
          <cell r="F833">
            <v>43479</v>
          </cell>
          <cell r="G833" t="str">
            <v>OK</v>
          </cell>
        </row>
        <row r="834">
          <cell r="A834" t="str">
            <v>Y1812-0394</v>
          </cell>
          <cell r="B834">
            <v>201808</v>
          </cell>
          <cell r="C834" t="str">
            <v>4600061953</v>
          </cell>
          <cell r="D834" t="str">
            <v>163188C</v>
          </cell>
          <cell r="E834">
            <v>624</v>
          </cell>
          <cell r="F834">
            <v>43479</v>
          </cell>
          <cell r="G834" t="str">
            <v>OK</v>
          </cell>
        </row>
        <row r="835">
          <cell r="A835" t="str">
            <v>Y1812-0460</v>
          </cell>
          <cell r="B835">
            <v>201809</v>
          </cell>
          <cell r="C835" t="str">
            <v>0100169645</v>
          </cell>
          <cell r="D835" t="str">
            <v>3J256C</v>
          </cell>
          <cell r="E835">
            <v>156</v>
          </cell>
          <cell r="F835">
            <v>43467</v>
          </cell>
          <cell r="G835" t="str">
            <v>OK</v>
          </cell>
        </row>
        <row r="836">
          <cell r="A836" t="str">
            <v>Y1812-0461</v>
          </cell>
          <cell r="B836">
            <v>201809</v>
          </cell>
          <cell r="C836" t="str">
            <v>0100169646</v>
          </cell>
          <cell r="D836" t="str">
            <v>1J794C</v>
          </cell>
          <cell r="E836">
            <v>120</v>
          </cell>
          <cell r="F836">
            <v>43467</v>
          </cell>
          <cell r="G836" t="str">
            <v>OK</v>
          </cell>
        </row>
        <row r="837">
          <cell r="A837" t="str">
            <v>Y1812-0462</v>
          </cell>
          <cell r="B837">
            <v>201809</v>
          </cell>
          <cell r="C837" t="str">
            <v>0100169647</v>
          </cell>
          <cell r="D837" t="str">
            <v>1J794C</v>
          </cell>
          <cell r="E837">
            <v>168</v>
          </cell>
          <cell r="F837">
            <v>43467</v>
          </cell>
          <cell r="G837" t="str">
            <v>OK</v>
          </cell>
        </row>
        <row r="838">
          <cell r="A838" t="str">
            <v>Y1812-0463</v>
          </cell>
          <cell r="B838">
            <v>201809</v>
          </cell>
          <cell r="C838" t="str">
            <v>0100169648</v>
          </cell>
          <cell r="D838" t="str">
            <v>1J793C</v>
          </cell>
          <cell r="E838">
            <v>144</v>
          </cell>
          <cell r="F838">
            <v>43467</v>
          </cell>
          <cell r="G838" t="str">
            <v>OK</v>
          </cell>
        </row>
        <row r="839">
          <cell r="A839" t="str">
            <v>Y1812-0464</v>
          </cell>
          <cell r="B839">
            <v>201809</v>
          </cell>
          <cell r="C839" t="str">
            <v>0100169649</v>
          </cell>
          <cell r="D839" t="str">
            <v>1J793C</v>
          </cell>
          <cell r="E839">
            <v>336</v>
          </cell>
          <cell r="F839">
            <v>43473</v>
          </cell>
          <cell r="G839" t="str">
            <v>OK</v>
          </cell>
        </row>
        <row r="840">
          <cell r="A840" t="str">
            <v>Y1812-0824</v>
          </cell>
          <cell r="B840">
            <v>201809</v>
          </cell>
          <cell r="C840" t="str">
            <v>0100170987</v>
          </cell>
          <cell r="D840" t="str">
            <v>163247C</v>
          </cell>
          <cell r="E840">
            <v>204</v>
          </cell>
          <cell r="F840">
            <v>43474</v>
          </cell>
          <cell r="G840" t="str">
            <v>OK</v>
          </cell>
        </row>
        <row r="841">
          <cell r="A841" t="str">
            <v>Y1812-0826</v>
          </cell>
          <cell r="B841">
            <v>201809</v>
          </cell>
          <cell r="C841" t="str">
            <v>0100170988</v>
          </cell>
          <cell r="D841" t="str">
            <v>7J253C</v>
          </cell>
          <cell r="E841">
            <v>120</v>
          </cell>
          <cell r="F841">
            <v>43467</v>
          </cell>
          <cell r="G841" t="str">
            <v>OK</v>
          </cell>
        </row>
        <row r="842">
          <cell r="A842" t="str">
            <v>Y1812-0827</v>
          </cell>
          <cell r="B842">
            <v>201809</v>
          </cell>
          <cell r="C842" t="str">
            <v>0100170989</v>
          </cell>
          <cell r="D842" t="str">
            <v>M3310C</v>
          </cell>
          <cell r="E842">
            <v>180</v>
          </cell>
          <cell r="F842">
            <v>43467</v>
          </cell>
          <cell r="G842" t="str">
            <v>OK</v>
          </cell>
        </row>
        <row r="843">
          <cell r="A843" t="str">
            <v>Y1812-0828</v>
          </cell>
          <cell r="B843">
            <v>201809</v>
          </cell>
          <cell r="C843" t="str">
            <v>0100170990</v>
          </cell>
          <cell r="D843" t="str">
            <v>M5039C</v>
          </cell>
          <cell r="E843">
            <v>792</v>
          </cell>
          <cell r="F843">
            <v>43467</v>
          </cell>
          <cell r="G843" t="str">
            <v>OK</v>
          </cell>
        </row>
        <row r="844">
          <cell r="A844" t="str">
            <v>Y1812-0829</v>
          </cell>
          <cell r="B844">
            <v>201809</v>
          </cell>
          <cell r="C844" t="str">
            <v>0100170991</v>
          </cell>
          <cell r="D844" t="str">
            <v>M3310C</v>
          </cell>
          <cell r="E844">
            <v>1380</v>
          </cell>
          <cell r="F844">
            <v>43467</v>
          </cell>
          <cell r="G844" t="str">
            <v>OK</v>
          </cell>
        </row>
        <row r="845">
          <cell r="A845" t="str">
            <v>Y1812-0825</v>
          </cell>
          <cell r="B845">
            <v>201809</v>
          </cell>
          <cell r="C845" t="str">
            <v>0100170992</v>
          </cell>
          <cell r="D845" t="str">
            <v>1J794C</v>
          </cell>
          <cell r="E845">
            <v>1380</v>
          </cell>
          <cell r="F845">
            <v>43473</v>
          </cell>
          <cell r="G845" t="str">
            <v>OK</v>
          </cell>
        </row>
        <row r="846">
          <cell r="A846" t="str">
            <v>Y1812-0626</v>
          </cell>
          <cell r="B846">
            <v>201809</v>
          </cell>
          <cell r="C846" t="str">
            <v>0100171088</v>
          </cell>
          <cell r="D846" t="str">
            <v>7J256C</v>
          </cell>
          <cell r="E846">
            <v>120</v>
          </cell>
          <cell r="F846">
            <v>43467</v>
          </cell>
          <cell r="G846" t="str">
            <v>OK</v>
          </cell>
        </row>
        <row r="847">
          <cell r="A847" t="str">
            <v>Y1812-0627</v>
          </cell>
          <cell r="B847">
            <v>201809</v>
          </cell>
          <cell r="C847" t="str">
            <v>0100171089</v>
          </cell>
          <cell r="D847" t="str">
            <v>M5039C</v>
          </cell>
          <cell r="E847">
            <v>288</v>
          </cell>
          <cell r="F847">
            <v>43467</v>
          </cell>
          <cell r="G847" t="str">
            <v>OK</v>
          </cell>
        </row>
        <row r="848">
          <cell r="A848" t="str">
            <v>Y1812-0628</v>
          </cell>
          <cell r="B848">
            <v>201809</v>
          </cell>
          <cell r="C848" t="str">
            <v>0100171090</v>
          </cell>
          <cell r="D848" t="str">
            <v>M9160C</v>
          </cell>
          <cell r="E848">
            <v>3456</v>
          </cell>
          <cell r="F848">
            <v>43467</v>
          </cell>
          <cell r="G848" t="str">
            <v>OK</v>
          </cell>
        </row>
        <row r="849">
          <cell r="A849" t="str">
            <v>Y1812-0629</v>
          </cell>
          <cell r="B849">
            <v>201809</v>
          </cell>
          <cell r="C849" t="str">
            <v>0100171091</v>
          </cell>
          <cell r="D849" t="str">
            <v>M9160C</v>
          </cell>
          <cell r="E849">
            <v>3456</v>
          </cell>
          <cell r="F849">
            <v>43467</v>
          </cell>
          <cell r="G849" t="str">
            <v>OK</v>
          </cell>
        </row>
        <row r="850">
          <cell r="A850" t="str">
            <v>Y1812-0631</v>
          </cell>
          <cell r="B850">
            <v>201809</v>
          </cell>
          <cell r="C850" t="str">
            <v>0100171139</v>
          </cell>
          <cell r="D850" t="str">
            <v>163376C</v>
          </cell>
          <cell r="E850">
            <v>144</v>
          </cell>
          <cell r="F850">
            <v>43467</v>
          </cell>
          <cell r="G850" t="str">
            <v>OK</v>
          </cell>
        </row>
        <row r="851">
          <cell r="A851" t="str">
            <v>Y1812-0633</v>
          </cell>
          <cell r="B851">
            <v>201809</v>
          </cell>
          <cell r="C851" t="str">
            <v>0100171141</v>
          </cell>
          <cell r="D851">
            <v>88865</v>
          </cell>
          <cell r="E851">
            <v>120</v>
          </cell>
          <cell r="F851">
            <v>43467</v>
          </cell>
          <cell r="G851" t="str">
            <v>OK</v>
          </cell>
        </row>
        <row r="852">
          <cell r="A852" t="str">
            <v>Y1812-0634</v>
          </cell>
          <cell r="B852">
            <v>201809</v>
          </cell>
          <cell r="C852" t="str">
            <v>0100171142</v>
          </cell>
          <cell r="D852">
            <v>88875</v>
          </cell>
          <cell r="E852">
            <v>120</v>
          </cell>
          <cell r="F852">
            <v>43467</v>
          </cell>
          <cell r="G852" t="str">
            <v>OK</v>
          </cell>
        </row>
        <row r="853">
          <cell r="A853" t="str">
            <v>Y1812-0635</v>
          </cell>
          <cell r="B853">
            <v>201809</v>
          </cell>
          <cell r="C853" t="str">
            <v>0100171143</v>
          </cell>
          <cell r="D853">
            <v>88877</v>
          </cell>
          <cell r="E853">
            <v>120</v>
          </cell>
          <cell r="F853">
            <v>43467</v>
          </cell>
          <cell r="G853" t="str">
            <v>OK</v>
          </cell>
        </row>
        <row r="854">
          <cell r="A854" t="str">
            <v>Y1812-0636</v>
          </cell>
          <cell r="B854">
            <v>201809</v>
          </cell>
          <cell r="C854" t="str">
            <v>0100171144</v>
          </cell>
          <cell r="D854" t="str">
            <v>M9697C</v>
          </cell>
          <cell r="E854">
            <v>120</v>
          </cell>
          <cell r="F854">
            <v>43467</v>
          </cell>
          <cell r="G854" t="str">
            <v>OK</v>
          </cell>
        </row>
        <row r="855">
          <cell r="A855" t="str">
            <v>Y1812-0637</v>
          </cell>
          <cell r="B855">
            <v>201809</v>
          </cell>
          <cell r="C855" t="str">
            <v>0100171145</v>
          </cell>
          <cell r="D855" t="str">
            <v>M9166C</v>
          </cell>
          <cell r="E855">
            <v>4596</v>
          </cell>
          <cell r="F855">
            <v>43467</v>
          </cell>
          <cell r="G855" t="str">
            <v>OK</v>
          </cell>
        </row>
        <row r="856">
          <cell r="A856" t="str">
            <v>Y1812-0638</v>
          </cell>
          <cell r="B856">
            <v>201809</v>
          </cell>
          <cell r="C856" t="str">
            <v>0100171146</v>
          </cell>
          <cell r="D856" t="str">
            <v>M9691C</v>
          </cell>
          <cell r="E856">
            <v>672</v>
          </cell>
          <cell r="F856">
            <v>43467</v>
          </cell>
          <cell r="G856" t="str">
            <v>OK</v>
          </cell>
        </row>
        <row r="857">
          <cell r="A857" t="str">
            <v>Y1812-0639</v>
          </cell>
          <cell r="B857">
            <v>201809</v>
          </cell>
          <cell r="C857" t="str">
            <v>0100171147</v>
          </cell>
          <cell r="D857" t="str">
            <v>M9696C</v>
          </cell>
          <cell r="E857">
            <v>180</v>
          </cell>
          <cell r="F857">
            <v>43467</v>
          </cell>
          <cell r="G857" t="str">
            <v>OK</v>
          </cell>
        </row>
        <row r="858">
          <cell r="A858" t="str">
            <v>Y1812-0640</v>
          </cell>
          <cell r="B858">
            <v>201809</v>
          </cell>
          <cell r="C858" t="str">
            <v>0100171148</v>
          </cell>
          <cell r="D858" t="str">
            <v>M9697C</v>
          </cell>
          <cell r="E858">
            <v>420</v>
          </cell>
          <cell r="F858">
            <v>43467</v>
          </cell>
          <cell r="G858" t="str">
            <v>OK</v>
          </cell>
        </row>
        <row r="859">
          <cell r="A859" t="str">
            <v>Y1812-0641</v>
          </cell>
          <cell r="B859">
            <v>201809</v>
          </cell>
          <cell r="C859" t="str">
            <v>0100171149</v>
          </cell>
          <cell r="D859" t="str">
            <v>M9166C</v>
          </cell>
          <cell r="E859">
            <v>1044</v>
          </cell>
          <cell r="F859">
            <v>43467</v>
          </cell>
          <cell r="G859" t="str">
            <v>OK</v>
          </cell>
        </row>
        <row r="860">
          <cell r="A860" t="str">
            <v>Y1812-0642</v>
          </cell>
          <cell r="B860">
            <v>201809</v>
          </cell>
          <cell r="C860" t="str">
            <v>0100171150</v>
          </cell>
          <cell r="D860" t="str">
            <v>M9622C</v>
          </cell>
          <cell r="E860">
            <v>1044</v>
          </cell>
          <cell r="F860">
            <v>43467</v>
          </cell>
          <cell r="G860" t="str">
            <v>OK</v>
          </cell>
        </row>
        <row r="861">
          <cell r="A861" t="str">
            <v>Y1812-0643</v>
          </cell>
          <cell r="B861">
            <v>201809</v>
          </cell>
          <cell r="C861" t="str">
            <v>0100171151</v>
          </cell>
          <cell r="D861" t="str">
            <v>M9691C</v>
          </cell>
          <cell r="E861">
            <v>576</v>
          </cell>
          <cell r="F861">
            <v>43467</v>
          </cell>
          <cell r="G861" t="str">
            <v>OK</v>
          </cell>
        </row>
        <row r="862">
          <cell r="A862" t="str">
            <v>Y1812-0644</v>
          </cell>
          <cell r="B862">
            <v>201809</v>
          </cell>
          <cell r="C862" t="str">
            <v>0100171152</v>
          </cell>
          <cell r="D862" t="str">
            <v>M9697C</v>
          </cell>
          <cell r="E862">
            <v>708</v>
          </cell>
          <cell r="F862">
            <v>43467</v>
          </cell>
          <cell r="G862" t="str">
            <v>OK</v>
          </cell>
        </row>
        <row r="863">
          <cell r="A863" t="str">
            <v>Y1812-0645</v>
          </cell>
          <cell r="B863">
            <v>201809</v>
          </cell>
          <cell r="C863" t="str">
            <v>0100171153</v>
          </cell>
          <cell r="D863" t="str">
            <v>M9166C</v>
          </cell>
          <cell r="E863">
            <v>1080</v>
          </cell>
          <cell r="F863">
            <v>43467</v>
          </cell>
          <cell r="G863" t="str">
            <v>OK</v>
          </cell>
        </row>
        <row r="864">
          <cell r="A864" t="str">
            <v>Y1812-0646</v>
          </cell>
          <cell r="B864">
            <v>201809</v>
          </cell>
          <cell r="C864" t="str">
            <v>0100171154</v>
          </cell>
          <cell r="D864" t="str">
            <v>M9622C</v>
          </cell>
          <cell r="E864">
            <v>1080</v>
          </cell>
          <cell r="F864">
            <v>43467</v>
          </cell>
          <cell r="G864" t="str">
            <v>OK</v>
          </cell>
        </row>
        <row r="865">
          <cell r="A865" t="str">
            <v>Y1812-0647</v>
          </cell>
          <cell r="B865">
            <v>201809</v>
          </cell>
          <cell r="C865" t="str">
            <v>0100171155</v>
          </cell>
          <cell r="D865" t="str">
            <v>M9697C</v>
          </cell>
          <cell r="E865">
            <v>648</v>
          </cell>
          <cell r="F865">
            <v>43467</v>
          </cell>
          <cell r="G865" t="str">
            <v>OK</v>
          </cell>
        </row>
        <row r="866">
          <cell r="A866" t="str">
            <v>Y1812-0648</v>
          </cell>
          <cell r="B866">
            <v>201809</v>
          </cell>
          <cell r="C866" t="str">
            <v>0100171156</v>
          </cell>
          <cell r="D866" t="str">
            <v>M9160C</v>
          </cell>
          <cell r="E866">
            <v>4416</v>
          </cell>
          <cell r="F866">
            <v>43467</v>
          </cell>
          <cell r="G866" t="str">
            <v>OK</v>
          </cell>
        </row>
        <row r="867">
          <cell r="A867" t="str">
            <v>Y1812-0649</v>
          </cell>
          <cell r="B867">
            <v>201809</v>
          </cell>
          <cell r="C867" t="str">
            <v>0100171157</v>
          </cell>
          <cell r="D867" t="str">
            <v>M9621C</v>
          </cell>
          <cell r="E867">
            <v>960</v>
          </cell>
          <cell r="F867">
            <v>43467</v>
          </cell>
          <cell r="G867" t="str">
            <v>OK</v>
          </cell>
        </row>
        <row r="868">
          <cell r="A868" t="str">
            <v>Y1812-0650</v>
          </cell>
          <cell r="B868">
            <v>201809</v>
          </cell>
          <cell r="C868" t="str">
            <v>0100171158</v>
          </cell>
          <cell r="D868" t="str">
            <v>M9622C</v>
          </cell>
          <cell r="E868">
            <v>120</v>
          </cell>
          <cell r="F868">
            <v>43467</v>
          </cell>
          <cell r="G868" t="str">
            <v>OK</v>
          </cell>
        </row>
        <row r="869">
          <cell r="A869" t="str">
            <v>Y1812-0651</v>
          </cell>
          <cell r="B869">
            <v>201809</v>
          </cell>
          <cell r="C869" t="str">
            <v>0100171159</v>
          </cell>
          <cell r="D869" t="str">
            <v>314786C</v>
          </cell>
          <cell r="E869">
            <v>144</v>
          </cell>
          <cell r="F869">
            <v>43473</v>
          </cell>
          <cell r="G869" t="str">
            <v>OK</v>
          </cell>
        </row>
        <row r="870">
          <cell r="A870" t="str">
            <v>Y1812-0652</v>
          </cell>
          <cell r="B870">
            <v>201809</v>
          </cell>
          <cell r="C870" t="str">
            <v>0100171160</v>
          </cell>
          <cell r="D870" t="str">
            <v>3J236C</v>
          </cell>
          <cell r="E870">
            <v>420</v>
          </cell>
          <cell r="F870">
            <v>43473</v>
          </cell>
          <cell r="G870" t="str">
            <v>OK</v>
          </cell>
        </row>
        <row r="871">
          <cell r="A871" t="str">
            <v>Y1812-0653</v>
          </cell>
          <cell r="B871">
            <v>201809</v>
          </cell>
          <cell r="C871" t="str">
            <v>0100171161</v>
          </cell>
          <cell r="D871" t="str">
            <v>3J238C</v>
          </cell>
          <cell r="E871">
            <v>168</v>
          </cell>
          <cell r="F871">
            <v>43473</v>
          </cell>
          <cell r="G871" t="str">
            <v>OK</v>
          </cell>
        </row>
        <row r="872">
          <cell r="A872" t="str">
            <v>Y1812-0654</v>
          </cell>
          <cell r="B872">
            <v>201809</v>
          </cell>
          <cell r="C872" t="str">
            <v>0100171162</v>
          </cell>
          <cell r="D872" t="str">
            <v>3J253C</v>
          </cell>
          <cell r="E872">
            <v>120</v>
          </cell>
          <cell r="F872">
            <v>43473</v>
          </cell>
          <cell r="G872" t="str">
            <v>OK</v>
          </cell>
        </row>
        <row r="873">
          <cell r="A873" t="str">
            <v>Y1812-0655</v>
          </cell>
          <cell r="B873">
            <v>201809</v>
          </cell>
          <cell r="C873" t="str">
            <v>0100171163</v>
          </cell>
          <cell r="D873" t="str">
            <v>3J256C</v>
          </cell>
          <cell r="E873">
            <v>1032</v>
          </cell>
          <cell r="F873">
            <v>43474</v>
          </cell>
          <cell r="G873" t="str">
            <v>OK</v>
          </cell>
        </row>
        <row r="874">
          <cell r="A874" t="str">
            <v>Y1812-0656</v>
          </cell>
          <cell r="B874">
            <v>201809</v>
          </cell>
          <cell r="C874" t="str">
            <v>0100171164</v>
          </cell>
          <cell r="D874" t="str">
            <v>7J253C</v>
          </cell>
          <cell r="E874">
            <v>240</v>
          </cell>
          <cell r="F874">
            <v>43474</v>
          </cell>
          <cell r="G874" t="str">
            <v>OK</v>
          </cell>
        </row>
        <row r="875">
          <cell r="A875" t="str">
            <v>Y1812-0657</v>
          </cell>
          <cell r="B875">
            <v>201809</v>
          </cell>
          <cell r="C875" t="str">
            <v>0100171165</v>
          </cell>
          <cell r="D875" t="str">
            <v>M9622C</v>
          </cell>
          <cell r="E875">
            <v>312</v>
          </cell>
          <cell r="F875">
            <v>43474</v>
          </cell>
          <cell r="G875" t="str">
            <v>OK</v>
          </cell>
        </row>
        <row r="876">
          <cell r="A876" t="str">
            <v>Y1812-0658</v>
          </cell>
          <cell r="B876">
            <v>201809</v>
          </cell>
          <cell r="C876" t="str">
            <v>0100171166</v>
          </cell>
          <cell r="D876" t="str">
            <v>3J231C</v>
          </cell>
          <cell r="E876">
            <v>144</v>
          </cell>
          <cell r="F876">
            <v>43474</v>
          </cell>
          <cell r="G876" t="str">
            <v>OK</v>
          </cell>
        </row>
        <row r="877">
          <cell r="A877" t="str">
            <v>Y1812-0662</v>
          </cell>
          <cell r="B877">
            <v>201809</v>
          </cell>
          <cell r="C877" t="str">
            <v>0100171321</v>
          </cell>
          <cell r="D877" t="str">
            <v>714786C</v>
          </cell>
          <cell r="E877">
            <v>288</v>
          </cell>
          <cell r="F877">
            <v>43473</v>
          </cell>
          <cell r="G877" t="str">
            <v>OK</v>
          </cell>
        </row>
        <row r="878">
          <cell r="A878" t="str">
            <v>Y1812-0663</v>
          </cell>
          <cell r="B878">
            <v>201809</v>
          </cell>
          <cell r="C878" t="str">
            <v>0100171322</v>
          </cell>
          <cell r="D878" t="str">
            <v>7J232C</v>
          </cell>
          <cell r="E878">
            <v>588</v>
          </cell>
          <cell r="F878">
            <v>43473</v>
          </cell>
          <cell r="G878" t="str">
            <v>OK</v>
          </cell>
        </row>
        <row r="879">
          <cell r="A879" t="str">
            <v>Y1812-0664</v>
          </cell>
          <cell r="B879">
            <v>201809</v>
          </cell>
          <cell r="C879" t="str">
            <v>0100171323</v>
          </cell>
          <cell r="D879" t="str">
            <v>7J233C</v>
          </cell>
          <cell r="E879">
            <v>228</v>
          </cell>
          <cell r="F879">
            <v>43473</v>
          </cell>
          <cell r="G879" t="str">
            <v>OK</v>
          </cell>
        </row>
        <row r="880">
          <cell r="A880" t="str">
            <v>Y1812-0665</v>
          </cell>
          <cell r="B880">
            <v>201809</v>
          </cell>
          <cell r="C880" t="str">
            <v>0100171324</v>
          </cell>
          <cell r="D880" t="str">
            <v>7J235C</v>
          </cell>
          <cell r="E880">
            <v>780</v>
          </cell>
          <cell r="F880">
            <v>43473</v>
          </cell>
          <cell r="G880" t="str">
            <v>OK</v>
          </cell>
        </row>
        <row r="881">
          <cell r="A881" t="str">
            <v>Y1812-0666</v>
          </cell>
          <cell r="B881">
            <v>201809</v>
          </cell>
          <cell r="C881" t="str">
            <v>0100171325</v>
          </cell>
          <cell r="D881" t="str">
            <v>7J236C</v>
          </cell>
          <cell r="E881">
            <v>828</v>
          </cell>
          <cell r="F881">
            <v>43473</v>
          </cell>
          <cell r="G881" t="str">
            <v>OK</v>
          </cell>
        </row>
        <row r="882">
          <cell r="A882" t="str">
            <v>Y1812-0667</v>
          </cell>
          <cell r="B882">
            <v>201809</v>
          </cell>
          <cell r="C882" t="str">
            <v>0100171326</v>
          </cell>
          <cell r="D882" t="str">
            <v>7J237C</v>
          </cell>
          <cell r="E882">
            <v>252</v>
          </cell>
          <cell r="F882">
            <v>43473</v>
          </cell>
          <cell r="G882" t="str">
            <v>OK</v>
          </cell>
        </row>
        <row r="883">
          <cell r="A883" t="str">
            <v>Y1812-0668</v>
          </cell>
          <cell r="B883">
            <v>201809</v>
          </cell>
          <cell r="C883" t="str">
            <v>0100171327</v>
          </cell>
          <cell r="D883" t="str">
            <v>7J238C</v>
          </cell>
          <cell r="E883">
            <v>276</v>
          </cell>
          <cell r="F883">
            <v>43473</v>
          </cell>
          <cell r="G883" t="str">
            <v>OK</v>
          </cell>
        </row>
        <row r="884">
          <cell r="A884" t="str">
            <v>Y1812-0669</v>
          </cell>
          <cell r="B884">
            <v>201809</v>
          </cell>
          <cell r="C884" t="str">
            <v>0100171328</v>
          </cell>
          <cell r="D884" t="str">
            <v>7J253C</v>
          </cell>
          <cell r="E884">
            <v>588</v>
          </cell>
          <cell r="F884">
            <v>43473</v>
          </cell>
          <cell r="G884" t="str">
            <v>OK</v>
          </cell>
        </row>
        <row r="885">
          <cell r="A885" t="str">
            <v>Y1812-0670</v>
          </cell>
          <cell r="B885">
            <v>201809</v>
          </cell>
          <cell r="C885" t="str">
            <v>0100171329</v>
          </cell>
          <cell r="D885" t="str">
            <v>7J256C</v>
          </cell>
          <cell r="E885">
            <v>300</v>
          </cell>
          <cell r="F885">
            <v>43473</v>
          </cell>
          <cell r="G885" t="str">
            <v>OK</v>
          </cell>
        </row>
        <row r="886">
          <cell r="A886" t="str">
            <v>Y1812-0671</v>
          </cell>
          <cell r="B886">
            <v>201809</v>
          </cell>
          <cell r="C886" t="str">
            <v>0100171330</v>
          </cell>
          <cell r="D886" t="str">
            <v>M9622C</v>
          </cell>
          <cell r="E886">
            <v>756</v>
          </cell>
          <cell r="F886">
            <v>43474</v>
          </cell>
          <cell r="G886" t="str">
            <v>OK</v>
          </cell>
        </row>
        <row r="887">
          <cell r="A887" t="str">
            <v>Y1812-0672</v>
          </cell>
          <cell r="B887">
            <v>201809</v>
          </cell>
          <cell r="C887" t="str">
            <v>0100171331</v>
          </cell>
          <cell r="D887" t="str">
            <v>3J231C</v>
          </cell>
          <cell r="E887">
            <v>120</v>
          </cell>
          <cell r="F887">
            <v>43474</v>
          </cell>
          <cell r="G887" t="str">
            <v>OK</v>
          </cell>
        </row>
        <row r="888">
          <cell r="A888" t="str">
            <v>Y1812-0673</v>
          </cell>
          <cell r="B888">
            <v>201809</v>
          </cell>
          <cell r="C888" t="str">
            <v>0100171332</v>
          </cell>
          <cell r="D888" t="str">
            <v>7J237C</v>
          </cell>
          <cell r="E888">
            <v>120</v>
          </cell>
          <cell r="F888">
            <v>43474</v>
          </cell>
          <cell r="G888" t="str">
            <v>OK</v>
          </cell>
        </row>
        <row r="889">
          <cell r="A889" t="str">
            <v>Y1812-0674</v>
          </cell>
          <cell r="B889">
            <v>201809</v>
          </cell>
          <cell r="C889" t="str">
            <v>0100171333</v>
          </cell>
          <cell r="D889" t="str">
            <v>7J256C</v>
          </cell>
          <cell r="E889">
            <v>120</v>
          </cell>
          <cell r="F889">
            <v>43474</v>
          </cell>
          <cell r="G889" t="str">
            <v>OK</v>
          </cell>
        </row>
        <row r="890">
          <cell r="A890" t="str">
            <v>Y1812-0675</v>
          </cell>
          <cell r="B890">
            <v>201809</v>
          </cell>
          <cell r="C890" t="str">
            <v>0100171334</v>
          </cell>
          <cell r="D890" t="str">
            <v>M9622C</v>
          </cell>
          <cell r="E890">
            <v>168</v>
          </cell>
          <cell r="F890">
            <v>43474</v>
          </cell>
          <cell r="G890" t="str">
            <v>OK</v>
          </cell>
        </row>
        <row r="891">
          <cell r="A891" t="str">
            <v>Y1812-0676</v>
          </cell>
          <cell r="B891">
            <v>201809</v>
          </cell>
          <cell r="C891" t="str">
            <v>0100171395</v>
          </cell>
          <cell r="D891" t="str">
            <v>M3310C</v>
          </cell>
          <cell r="E891">
            <v>516</v>
          </cell>
          <cell r="F891">
            <v>43473</v>
          </cell>
          <cell r="G891" t="str">
            <v>OK</v>
          </cell>
        </row>
        <row r="892">
          <cell r="A892" t="str">
            <v>Y1812-0677</v>
          </cell>
          <cell r="B892">
            <v>201809</v>
          </cell>
          <cell r="C892" t="str">
            <v>0100171396</v>
          </cell>
          <cell r="D892" t="str">
            <v>M7652C</v>
          </cell>
          <cell r="E892">
            <v>3624</v>
          </cell>
          <cell r="F892">
            <v>43473</v>
          </cell>
          <cell r="G892" t="str">
            <v>OK</v>
          </cell>
        </row>
        <row r="893">
          <cell r="A893" t="str">
            <v>Y1812-0678</v>
          </cell>
          <cell r="B893">
            <v>201809</v>
          </cell>
          <cell r="C893" t="str">
            <v>0100171397</v>
          </cell>
          <cell r="D893" t="str">
            <v>M9621C</v>
          </cell>
          <cell r="E893">
            <v>396</v>
          </cell>
          <cell r="F893">
            <v>43473</v>
          </cell>
          <cell r="G893" t="str">
            <v>OK</v>
          </cell>
        </row>
        <row r="894">
          <cell r="A894" t="str">
            <v>Y1812-0679</v>
          </cell>
          <cell r="B894">
            <v>201809</v>
          </cell>
          <cell r="C894" t="str">
            <v>0100171398</v>
          </cell>
          <cell r="D894" t="str">
            <v>M9691C</v>
          </cell>
          <cell r="E894">
            <v>1500</v>
          </cell>
          <cell r="F894">
            <v>43473</v>
          </cell>
          <cell r="G894" t="str">
            <v>OK</v>
          </cell>
        </row>
        <row r="895">
          <cell r="A895" t="str">
            <v>Y1812-0680</v>
          </cell>
          <cell r="B895">
            <v>201809</v>
          </cell>
          <cell r="C895" t="str">
            <v>0100171399</v>
          </cell>
          <cell r="D895" t="str">
            <v>M9696C</v>
          </cell>
          <cell r="E895">
            <v>1764</v>
          </cell>
          <cell r="F895">
            <v>43473</v>
          </cell>
          <cell r="G895" t="str">
            <v>OK</v>
          </cell>
        </row>
        <row r="896">
          <cell r="A896" t="str">
            <v>Y1812-0681</v>
          </cell>
          <cell r="B896">
            <v>201809</v>
          </cell>
          <cell r="C896" t="str">
            <v>0100171418</v>
          </cell>
          <cell r="D896" t="str">
            <v>M9697C</v>
          </cell>
          <cell r="E896">
            <v>3324</v>
          </cell>
          <cell r="F896">
            <v>43473</v>
          </cell>
          <cell r="G896" t="str">
            <v>OK</v>
          </cell>
        </row>
        <row r="897">
          <cell r="A897" t="str">
            <v>Y1812-0682</v>
          </cell>
          <cell r="B897">
            <v>201809</v>
          </cell>
          <cell r="C897" t="str">
            <v>0100171466</v>
          </cell>
          <cell r="D897" t="str">
            <v>163376C</v>
          </cell>
          <cell r="E897">
            <v>288</v>
          </cell>
          <cell r="F897">
            <v>43473</v>
          </cell>
          <cell r="G897" t="str">
            <v>OK</v>
          </cell>
        </row>
        <row r="898">
          <cell r="A898" t="str">
            <v>Y1812-0712</v>
          </cell>
          <cell r="B898">
            <v>201809</v>
          </cell>
          <cell r="C898" t="str">
            <v>5</v>
          </cell>
          <cell r="D898" t="str">
            <v>7J233C</v>
          </cell>
          <cell r="E898">
            <v>564</v>
          </cell>
          <cell r="F898">
            <v>43479</v>
          </cell>
          <cell r="G898" t="str">
            <v>OK</v>
          </cell>
        </row>
        <row r="899">
          <cell r="A899" t="str">
            <v>Y1812-0713</v>
          </cell>
          <cell r="B899">
            <v>201809</v>
          </cell>
          <cell r="C899" t="str">
            <v>5</v>
          </cell>
          <cell r="D899" t="str">
            <v>7J233C</v>
          </cell>
          <cell r="E899">
            <v>252</v>
          </cell>
          <cell r="F899">
            <v>43479</v>
          </cell>
          <cell r="G899" t="str">
            <v>OK</v>
          </cell>
        </row>
        <row r="900">
          <cell r="A900" t="str">
            <v>Y1812-0714</v>
          </cell>
          <cell r="B900">
            <v>201809</v>
          </cell>
          <cell r="C900" t="str">
            <v>4</v>
          </cell>
          <cell r="D900" t="str">
            <v>7J232C</v>
          </cell>
          <cell r="E900">
            <v>420</v>
          </cell>
          <cell r="F900">
            <v>43479</v>
          </cell>
          <cell r="G900" t="str">
            <v>OK</v>
          </cell>
        </row>
        <row r="901">
          <cell r="A901" t="str">
            <v>Y1812-0715</v>
          </cell>
          <cell r="B901">
            <v>201809</v>
          </cell>
          <cell r="C901" t="str">
            <v>7</v>
          </cell>
          <cell r="D901" t="str">
            <v>7J256C</v>
          </cell>
          <cell r="E901">
            <v>132</v>
          </cell>
          <cell r="F901">
            <v>43479</v>
          </cell>
          <cell r="G901" t="str">
            <v>OK</v>
          </cell>
        </row>
        <row r="902">
          <cell r="A902" t="str">
            <v>Y1812-0716</v>
          </cell>
          <cell r="B902">
            <v>201809</v>
          </cell>
          <cell r="C902" t="str">
            <v>7</v>
          </cell>
          <cell r="D902" t="str">
            <v>7J256C</v>
          </cell>
          <cell r="E902">
            <v>696</v>
          </cell>
          <cell r="F902">
            <v>43479</v>
          </cell>
          <cell r="G902" t="str">
            <v>OK</v>
          </cell>
        </row>
        <row r="903">
          <cell r="A903" t="str">
            <v>Y1812-0717</v>
          </cell>
          <cell r="B903">
            <v>201809</v>
          </cell>
          <cell r="C903" t="str">
            <v>7</v>
          </cell>
          <cell r="D903" t="str">
            <v>7J256C</v>
          </cell>
          <cell r="E903">
            <v>396</v>
          </cell>
          <cell r="F903">
            <v>43479</v>
          </cell>
          <cell r="G903" t="str">
            <v>OK</v>
          </cell>
        </row>
        <row r="904">
          <cell r="A904" t="str">
            <v>Y1812-0718</v>
          </cell>
          <cell r="B904">
            <v>201809</v>
          </cell>
          <cell r="C904" t="str">
            <v>1</v>
          </cell>
          <cell r="D904" t="str">
            <v>1J794C</v>
          </cell>
          <cell r="E904">
            <v>120</v>
          </cell>
          <cell r="F904">
            <v>43479</v>
          </cell>
          <cell r="G904" t="str">
            <v>OK</v>
          </cell>
        </row>
        <row r="905">
          <cell r="A905" t="str">
            <v>Y1812-0719</v>
          </cell>
          <cell r="B905">
            <v>201809</v>
          </cell>
          <cell r="C905" t="str">
            <v>1</v>
          </cell>
          <cell r="D905" t="str">
            <v>1J794C</v>
          </cell>
          <cell r="E905">
            <v>672</v>
          </cell>
          <cell r="F905">
            <v>43479</v>
          </cell>
          <cell r="G905" t="str">
            <v>OK</v>
          </cell>
        </row>
        <row r="906">
          <cell r="A906" t="str">
            <v>Y1812-0720</v>
          </cell>
          <cell r="B906">
            <v>201809</v>
          </cell>
          <cell r="C906" t="str">
            <v>6</v>
          </cell>
          <cell r="D906" t="str">
            <v>7J237C</v>
          </cell>
          <cell r="E906">
            <v>348</v>
          </cell>
          <cell r="F906">
            <v>43479</v>
          </cell>
          <cell r="G906" t="str">
            <v>OK</v>
          </cell>
        </row>
        <row r="907">
          <cell r="A907" t="str">
            <v>Y1812-0721</v>
          </cell>
          <cell r="B907">
            <v>201809</v>
          </cell>
          <cell r="C907" t="str">
            <v>4</v>
          </cell>
          <cell r="D907" t="str">
            <v>7J231C</v>
          </cell>
          <cell r="E907">
            <v>120</v>
          </cell>
          <cell r="F907">
            <v>43479</v>
          </cell>
          <cell r="G907" t="str">
            <v>OK</v>
          </cell>
        </row>
        <row r="908">
          <cell r="A908" t="str">
            <v>Y1812-0722</v>
          </cell>
          <cell r="B908">
            <v>201809</v>
          </cell>
          <cell r="C908" t="str">
            <v>4</v>
          </cell>
          <cell r="D908" t="str">
            <v>7J231C</v>
          </cell>
          <cell r="E908">
            <v>492</v>
          </cell>
          <cell r="F908">
            <v>43479</v>
          </cell>
          <cell r="G908" t="str">
            <v>OK</v>
          </cell>
        </row>
        <row r="909">
          <cell r="A909" t="str">
            <v>Y1812-0723</v>
          </cell>
          <cell r="B909">
            <v>201809</v>
          </cell>
          <cell r="C909" t="str">
            <v>6</v>
          </cell>
          <cell r="D909" t="str">
            <v>7J253C</v>
          </cell>
          <cell r="E909">
            <v>516</v>
          </cell>
          <cell r="F909">
            <v>43479</v>
          </cell>
          <cell r="G909" t="str">
            <v>OK</v>
          </cell>
        </row>
        <row r="910">
          <cell r="A910" t="str">
            <v>Y1812-0724</v>
          </cell>
          <cell r="B910">
            <v>201809</v>
          </cell>
          <cell r="C910" t="str">
            <v>6</v>
          </cell>
          <cell r="D910" t="str">
            <v>7J253C</v>
          </cell>
          <cell r="E910">
            <v>288</v>
          </cell>
          <cell r="F910">
            <v>43479</v>
          </cell>
          <cell r="G910" t="str">
            <v>OK</v>
          </cell>
        </row>
        <row r="911">
          <cell r="A911" t="str">
            <v>Y1812-0725</v>
          </cell>
          <cell r="B911">
            <v>201809</v>
          </cell>
          <cell r="C911" t="str">
            <v>6</v>
          </cell>
          <cell r="D911" t="str">
            <v>7J236C</v>
          </cell>
          <cell r="E911">
            <v>408</v>
          </cell>
          <cell r="F911">
            <v>43479</v>
          </cell>
          <cell r="G911" t="str">
            <v>OK</v>
          </cell>
        </row>
        <row r="912">
          <cell r="A912" t="str">
            <v>Y1812-0726</v>
          </cell>
          <cell r="B912">
            <v>201809</v>
          </cell>
          <cell r="C912" t="str">
            <v>5</v>
          </cell>
          <cell r="D912" t="str">
            <v>7J236C</v>
          </cell>
          <cell r="E912">
            <v>324</v>
          </cell>
          <cell r="F912">
            <v>43479</v>
          </cell>
          <cell r="G912" t="str">
            <v>OK</v>
          </cell>
        </row>
        <row r="913">
          <cell r="A913" t="str">
            <v>Y1812-0727</v>
          </cell>
          <cell r="B913">
            <v>201809</v>
          </cell>
          <cell r="C913" t="str">
            <v>5</v>
          </cell>
          <cell r="D913" t="str">
            <v>7J235C</v>
          </cell>
          <cell r="E913">
            <v>540</v>
          </cell>
          <cell r="F913">
            <v>43479</v>
          </cell>
          <cell r="G913" t="str">
            <v>OK</v>
          </cell>
        </row>
        <row r="914">
          <cell r="A914" t="str">
            <v>Y1812-0728</v>
          </cell>
          <cell r="B914">
            <v>201809</v>
          </cell>
          <cell r="C914" t="str">
            <v>5</v>
          </cell>
          <cell r="D914" t="str">
            <v>7J234C</v>
          </cell>
          <cell r="E914">
            <v>240</v>
          </cell>
          <cell r="F914">
            <v>43479</v>
          </cell>
          <cell r="G914" t="str">
            <v>OK</v>
          </cell>
        </row>
        <row r="915">
          <cell r="A915" t="str">
            <v>Y1812-0729</v>
          </cell>
          <cell r="B915">
            <v>201809</v>
          </cell>
          <cell r="C915" t="str">
            <v>1</v>
          </cell>
          <cell r="D915" t="str">
            <v>314786C</v>
          </cell>
          <cell r="E915">
            <v>192</v>
          </cell>
          <cell r="F915">
            <v>43479</v>
          </cell>
          <cell r="G915" t="str">
            <v>OK</v>
          </cell>
        </row>
        <row r="916">
          <cell r="A916" t="str">
            <v>Y1812-0730</v>
          </cell>
          <cell r="B916">
            <v>201809</v>
          </cell>
          <cell r="C916" t="str">
            <v>1</v>
          </cell>
          <cell r="D916" t="str">
            <v>1J794C</v>
          </cell>
          <cell r="E916">
            <v>432</v>
          </cell>
          <cell r="F916">
            <v>43479</v>
          </cell>
          <cell r="G916" t="str">
            <v>OK</v>
          </cell>
        </row>
        <row r="917">
          <cell r="A917" t="str">
            <v>Y1812-0731</v>
          </cell>
          <cell r="B917">
            <v>201809</v>
          </cell>
          <cell r="C917" t="str">
            <v>2</v>
          </cell>
          <cell r="D917" t="str">
            <v>3J234C</v>
          </cell>
          <cell r="E917">
            <v>516</v>
          </cell>
          <cell r="F917">
            <v>43479</v>
          </cell>
          <cell r="G917" t="str">
            <v>OK</v>
          </cell>
        </row>
        <row r="918">
          <cell r="A918" t="str">
            <v>Y1812-0732</v>
          </cell>
          <cell r="B918">
            <v>201809</v>
          </cell>
          <cell r="C918" t="str">
            <v>2</v>
          </cell>
          <cell r="D918" t="str">
            <v>3J234C</v>
          </cell>
          <cell r="E918">
            <v>300</v>
          </cell>
          <cell r="F918">
            <v>43479</v>
          </cell>
          <cell r="G918" t="str">
            <v>OK</v>
          </cell>
        </row>
        <row r="919">
          <cell r="A919" t="str">
            <v>Y1812-0733</v>
          </cell>
          <cell r="B919">
            <v>201809</v>
          </cell>
          <cell r="C919" t="str">
            <v>2</v>
          </cell>
          <cell r="D919" t="str">
            <v>3J233C</v>
          </cell>
          <cell r="E919">
            <v>552</v>
          </cell>
          <cell r="F919">
            <v>43479</v>
          </cell>
          <cell r="G919" t="str">
            <v>OK</v>
          </cell>
        </row>
        <row r="920">
          <cell r="A920" t="str">
            <v>Y1812-0734</v>
          </cell>
          <cell r="B920">
            <v>201809</v>
          </cell>
          <cell r="C920" t="str">
            <v>2</v>
          </cell>
          <cell r="D920" t="str">
            <v>3J233C</v>
          </cell>
          <cell r="E920">
            <v>420</v>
          </cell>
          <cell r="F920">
            <v>43479</v>
          </cell>
          <cell r="G920" t="str">
            <v>OK</v>
          </cell>
        </row>
        <row r="921">
          <cell r="A921" t="str">
            <v>Y1812-0735</v>
          </cell>
          <cell r="B921">
            <v>201809</v>
          </cell>
          <cell r="C921" t="str">
            <v>2</v>
          </cell>
          <cell r="D921" t="str">
            <v>3J232C</v>
          </cell>
          <cell r="E921">
            <v>600</v>
          </cell>
          <cell r="F921">
            <v>43479</v>
          </cell>
          <cell r="G921" t="str">
            <v>OK</v>
          </cell>
        </row>
        <row r="922">
          <cell r="A922" t="str">
            <v>Y1812-0736</v>
          </cell>
          <cell r="B922">
            <v>201809</v>
          </cell>
          <cell r="C922" t="str">
            <v>2</v>
          </cell>
          <cell r="D922" t="str">
            <v>3J231C</v>
          </cell>
          <cell r="E922">
            <v>600</v>
          </cell>
          <cell r="F922">
            <v>43479</v>
          </cell>
          <cell r="G922" t="str">
            <v>OK</v>
          </cell>
        </row>
        <row r="923">
          <cell r="A923" t="str">
            <v>Y1812-0737</v>
          </cell>
          <cell r="B923">
            <v>201809</v>
          </cell>
          <cell r="C923" t="str">
            <v>6</v>
          </cell>
          <cell r="D923" t="str">
            <v>7J238C</v>
          </cell>
          <cell r="E923">
            <v>516</v>
          </cell>
          <cell r="F923">
            <v>43479</v>
          </cell>
          <cell r="G923" t="str">
            <v>OK</v>
          </cell>
        </row>
        <row r="924">
          <cell r="A924" t="str">
            <v>Y1812-0738</v>
          </cell>
          <cell r="B924">
            <v>201809</v>
          </cell>
          <cell r="C924" t="str">
            <v>6</v>
          </cell>
          <cell r="D924" t="str">
            <v>7J238C</v>
          </cell>
          <cell r="E924">
            <v>180</v>
          </cell>
          <cell r="F924">
            <v>43479</v>
          </cell>
          <cell r="G924" t="str">
            <v>OK</v>
          </cell>
        </row>
        <row r="925">
          <cell r="A925" t="str">
            <v>Y1812-0739</v>
          </cell>
          <cell r="B925">
            <v>201809</v>
          </cell>
          <cell r="C925" t="str">
            <v>6</v>
          </cell>
          <cell r="D925" t="str">
            <v>7J237C</v>
          </cell>
          <cell r="E925">
            <v>120</v>
          </cell>
          <cell r="F925">
            <v>43479</v>
          </cell>
          <cell r="G925" t="str">
            <v>OK</v>
          </cell>
        </row>
        <row r="926">
          <cell r="A926" t="str">
            <v>Y1812-0740</v>
          </cell>
          <cell r="B926">
            <v>201809</v>
          </cell>
          <cell r="C926" t="str">
            <v>6</v>
          </cell>
          <cell r="D926" t="str">
            <v>7J237C</v>
          </cell>
          <cell r="E926">
            <v>456</v>
          </cell>
          <cell r="F926">
            <v>43479</v>
          </cell>
          <cell r="G926" t="str">
            <v>OK</v>
          </cell>
        </row>
        <row r="927">
          <cell r="A927" t="str">
            <v>Y1812-0741</v>
          </cell>
          <cell r="B927">
            <v>201809</v>
          </cell>
          <cell r="C927" t="str">
            <v>6</v>
          </cell>
          <cell r="D927" t="str">
            <v>7J236C</v>
          </cell>
          <cell r="E927">
            <v>168</v>
          </cell>
          <cell r="F927">
            <v>43479</v>
          </cell>
          <cell r="G927" t="str">
            <v>OK</v>
          </cell>
        </row>
        <row r="928">
          <cell r="A928" t="str">
            <v>Y1812-0742</v>
          </cell>
          <cell r="B928">
            <v>201809</v>
          </cell>
          <cell r="C928" t="str">
            <v>5</v>
          </cell>
          <cell r="D928" t="str">
            <v>7J235C</v>
          </cell>
          <cell r="E928">
            <v>120</v>
          </cell>
          <cell r="F928">
            <v>43479</v>
          </cell>
          <cell r="G928" t="str">
            <v>OK</v>
          </cell>
        </row>
        <row r="929">
          <cell r="A929" t="str">
            <v>Y1812-0743</v>
          </cell>
          <cell r="B929">
            <v>201809</v>
          </cell>
          <cell r="C929" t="str">
            <v>5</v>
          </cell>
          <cell r="D929" t="str">
            <v>7J235C</v>
          </cell>
          <cell r="E929">
            <v>384</v>
          </cell>
          <cell r="F929">
            <v>43479</v>
          </cell>
          <cell r="G929" t="str">
            <v>OK</v>
          </cell>
        </row>
        <row r="930">
          <cell r="A930" t="str">
            <v>Y1812-0744</v>
          </cell>
          <cell r="B930">
            <v>201809</v>
          </cell>
          <cell r="C930" t="str">
            <v>5</v>
          </cell>
          <cell r="D930" t="str">
            <v>7J234C</v>
          </cell>
          <cell r="E930">
            <v>468</v>
          </cell>
          <cell r="F930">
            <v>43479</v>
          </cell>
          <cell r="G930" t="str">
            <v>OK</v>
          </cell>
        </row>
        <row r="931">
          <cell r="A931" t="str">
            <v>Y1812-0745</v>
          </cell>
          <cell r="B931">
            <v>201809</v>
          </cell>
          <cell r="C931" t="str">
            <v>5</v>
          </cell>
          <cell r="D931" t="str">
            <v>7J233C</v>
          </cell>
          <cell r="E931">
            <v>120</v>
          </cell>
          <cell r="F931">
            <v>43479</v>
          </cell>
          <cell r="G931" t="str">
            <v>OK</v>
          </cell>
        </row>
        <row r="932">
          <cell r="A932" t="str">
            <v>Y1812-0746</v>
          </cell>
          <cell r="B932">
            <v>201809</v>
          </cell>
          <cell r="C932" t="str">
            <v>5</v>
          </cell>
          <cell r="D932" t="str">
            <v>7J232C</v>
          </cell>
          <cell r="E932">
            <v>168</v>
          </cell>
          <cell r="F932">
            <v>43479</v>
          </cell>
          <cell r="G932" t="str">
            <v>OK</v>
          </cell>
        </row>
        <row r="933">
          <cell r="A933" t="str">
            <v>Y1812-0747</v>
          </cell>
          <cell r="B933">
            <v>201809</v>
          </cell>
          <cell r="C933" t="str">
            <v>4</v>
          </cell>
          <cell r="D933" t="str">
            <v>7J232C</v>
          </cell>
          <cell r="E933">
            <v>240</v>
          </cell>
          <cell r="F933">
            <v>43479</v>
          </cell>
          <cell r="G933" t="str">
            <v>OK</v>
          </cell>
        </row>
        <row r="934">
          <cell r="A934" t="str">
            <v>Y1812-0748</v>
          </cell>
          <cell r="B934">
            <v>201809</v>
          </cell>
          <cell r="C934" t="str">
            <v>4</v>
          </cell>
          <cell r="D934" t="str">
            <v>7J231C</v>
          </cell>
          <cell r="E934">
            <v>276</v>
          </cell>
          <cell r="F934">
            <v>43479</v>
          </cell>
          <cell r="G934" t="str">
            <v>OK</v>
          </cell>
        </row>
        <row r="935">
          <cell r="A935" t="str">
            <v>Y1812-0750</v>
          </cell>
          <cell r="B935">
            <v>201809</v>
          </cell>
          <cell r="C935" t="str">
            <v>4</v>
          </cell>
          <cell r="D935" t="str">
            <v>3S121C</v>
          </cell>
          <cell r="E935">
            <v>132</v>
          </cell>
          <cell r="F935">
            <v>43479</v>
          </cell>
          <cell r="G935" t="str">
            <v>OK</v>
          </cell>
        </row>
        <row r="936">
          <cell r="A936" t="str">
            <v>Y1812-0751</v>
          </cell>
          <cell r="B936">
            <v>201809</v>
          </cell>
          <cell r="C936" t="str">
            <v>4</v>
          </cell>
          <cell r="D936" t="str">
            <v>3J256C</v>
          </cell>
          <cell r="E936">
            <v>660</v>
          </cell>
          <cell r="F936">
            <v>43479</v>
          </cell>
          <cell r="G936" t="str">
            <v>OK</v>
          </cell>
        </row>
        <row r="937">
          <cell r="A937" t="str">
            <v>Y1812-0752</v>
          </cell>
          <cell r="B937">
            <v>201809</v>
          </cell>
          <cell r="C937" t="str">
            <v>3</v>
          </cell>
          <cell r="D937" t="str">
            <v>3J256C</v>
          </cell>
          <cell r="E937">
            <v>360</v>
          </cell>
          <cell r="F937">
            <v>43479</v>
          </cell>
          <cell r="G937" t="str">
            <v>OK</v>
          </cell>
        </row>
        <row r="938">
          <cell r="A938" t="str">
            <v>Y1812-0753</v>
          </cell>
          <cell r="B938">
            <v>201809</v>
          </cell>
          <cell r="C938" t="str">
            <v>3</v>
          </cell>
          <cell r="D938" t="str">
            <v>3J256C</v>
          </cell>
          <cell r="E938">
            <v>156</v>
          </cell>
          <cell r="F938">
            <v>43479</v>
          </cell>
          <cell r="G938" t="str">
            <v>OK</v>
          </cell>
        </row>
        <row r="939">
          <cell r="A939" t="str">
            <v>Y1812-0754</v>
          </cell>
          <cell r="B939">
            <v>201809</v>
          </cell>
          <cell r="C939" t="str">
            <v>3</v>
          </cell>
          <cell r="D939" t="str">
            <v>3J253C</v>
          </cell>
          <cell r="E939">
            <v>516</v>
          </cell>
          <cell r="F939">
            <v>43479</v>
          </cell>
          <cell r="G939" t="str">
            <v>OK</v>
          </cell>
        </row>
        <row r="940">
          <cell r="A940" t="str">
            <v>Y1812-0755</v>
          </cell>
          <cell r="B940">
            <v>201809</v>
          </cell>
          <cell r="C940" t="str">
            <v>3</v>
          </cell>
          <cell r="D940" t="str">
            <v>3J253C</v>
          </cell>
          <cell r="E940">
            <v>120</v>
          </cell>
          <cell r="F940">
            <v>43479</v>
          </cell>
          <cell r="G940" t="str">
            <v>OK</v>
          </cell>
        </row>
        <row r="941">
          <cell r="A941" t="str">
            <v>Y1812-0756</v>
          </cell>
          <cell r="B941">
            <v>201809</v>
          </cell>
          <cell r="C941" t="str">
            <v>3</v>
          </cell>
          <cell r="D941" t="str">
            <v>3J253C</v>
          </cell>
          <cell r="E941">
            <v>264</v>
          </cell>
          <cell r="F941">
            <v>43479</v>
          </cell>
          <cell r="G941" t="str">
            <v>OK</v>
          </cell>
        </row>
        <row r="942">
          <cell r="A942" t="str">
            <v>Y1812-0757</v>
          </cell>
          <cell r="B942">
            <v>201809</v>
          </cell>
          <cell r="C942" t="str">
            <v>3</v>
          </cell>
          <cell r="D942" t="str">
            <v>3J238C</v>
          </cell>
          <cell r="E942">
            <v>564</v>
          </cell>
          <cell r="F942">
            <v>43479</v>
          </cell>
          <cell r="G942" t="str">
            <v>OK</v>
          </cell>
        </row>
        <row r="943">
          <cell r="A943" t="str">
            <v>Y1812-0758</v>
          </cell>
          <cell r="B943">
            <v>201809</v>
          </cell>
          <cell r="C943" t="str">
            <v>3</v>
          </cell>
          <cell r="D943" t="str">
            <v>3J238C</v>
          </cell>
          <cell r="E943">
            <v>300</v>
          </cell>
          <cell r="F943">
            <v>43479</v>
          </cell>
          <cell r="G943" t="str">
            <v>OK</v>
          </cell>
        </row>
        <row r="944">
          <cell r="A944" t="str">
            <v>Y1812-0759</v>
          </cell>
          <cell r="B944">
            <v>201809</v>
          </cell>
          <cell r="C944" t="str">
            <v>3</v>
          </cell>
          <cell r="D944" t="str">
            <v>3J237C</v>
          </cell>
          <cell r="E944">
            <v>660</v>
          </cell>
          <cell r="F944">
            <v>43479</v>
          </cell>
          <cell r="G944" t="str">
            <v>OK</v>
          </cell>
        </row>
        <row r="945">
          <cell r="A945" t="str">
            <v>Y1812-0760</v>
          </cell>
          <cell r="B945">
            <v>201809</v>
          </cell>
          <cell r="C945" t="str">
            <v>3</v>
          </cell>
          <cell r="D945" t="str">
            <v>3J237C</v>
          </cell>
          <cell r="E945">
            <v>120</v>
          </cell>
          <cell r="F945">
            <v>43479</v>
          </cell>
          <cell r="G945" t="str">
            <v>OK</v>
          </cell>
        </row>
        <row r="946">
          <cell r="A946" t="str">
            <v>Y1812-0761</v>
          </cell>
          <cell r="B946">
            <v>201809</v>
          </cell>
          <cell r="C946" t="str">
            <v>3</v>
          </cell>
          <cell r="D946" t="str">
            <v>3J237C</v>
          </cell>
          <cell r="E946">
            <v>360</v>
          </cell>
          <cell r="F946">
            <v>43479</v>
          </cell>
          <cell r="G946" t="str">
            <v>OK</v>
          </cell>
        </row>
        <row r="947">
          <cell r="A947" t="str">
            <v>Y1812-0762</v>
          </cell>
          <cell r="B947">
            <v>201809</v>
          </cell>
          <cell r="C947" t="str">
            <v>2</v>
          </cell>
          <cell r="D947" t="str">
            <v>3J236C</v>
          </cell>
          <cell r="E947">
            <v>636</v>
          </cell>
          <cell r="F947">
            <v>43479</v>
          </cell>
          <cell r="G947" t="str">
            <v>OK</v>
          </cell>
        </row>
        <row r="948">
          <cell r="A948" t="str">
            <v>Y1812-0763</v>
          </cell>
          <cell r="B948">
            <v>201809</v>
          </cell>
          <cell r="C948" t="str">
            <v>2</v>
          </cell>
          <cell r="D948" t="str">
            <v>3J235C</v>
          </cell>
          <cell r="E948">
            <v>600</v>
          </cell>
          <cell r="F948">
            <v>43479</v>
          </cell>
          <cell r="G948" t="str">
            <v>OK</v>
          </cell>
        </row>
        <row r="949">
          <cell r="A949" t="str">
            <v>Y1812-0764</v>
          </cell>
          <cell r="B949">
            <v>201809</v>
          </cell>
          <cell r="C949" t="str">
            <v>2</v>
          </cell>
          <cell r="D949" t="str">
            <v>3J235C</v>
          </cell>
          <cell r="E949">
            <v>120</v>
          </cell>
          <cell r="F949">
            <v>43479</v>
          </cell>
          <cell r="G949" t="str">
            <v>OK</v>
          </cell>
        </row>
        <row r="950">
          <cell r="A950" t="str">
            <v>Y1812-0765</v>
          </cell>
          <cell r="B950">
            <v>201809</v>
          </cell>
          <cell r="C950" t="str">
            <v>6</v>
          </cell>
          <cell r="D950" t="str">
            <v>7J253C</v>
          </cell>
          <cell r="E950">
            <v>120</v>
          </cell>
          <cell r="F950">
            <v>43479</v>
          </cell>
          <cell r="G950" t="str">
            <v>OK</v>
          </cell>
        </row>
        <row r="951">
          <cell r="A951" t="str">
            <v>Y1812-0766</v>
          </cell>
          <cell r="B951">
            <v>201809</v>
          </cell>
          <cell r="C951" t="str">
            <v>2</v>
          </cell>
          <cell r="D951" t="str">
            <v>3J235C</v>
          </cell>
          <cell r="E951">
            <v>468</v>
          </cell>
          <cell r="F951">
            <v>43479</v>
          </cell>
          <cell r="G951" t="str">
            <v>OK</v>
          </cell>
        </row>
        <row r="952">
          <cell r="A952" t="str">
            <v>Y1812-0767</v>
          </cell>
          <cell r="B952">
            <v>201809</v>
          </cell>
          <cell r="C952" t="str">
            <v>16</v>
          </cell>
          <cell r="D952" t="str">
            <v>3J231C</v>
          </cell>
          <cell r="E952">
            <v>120</v>
          </cell>
          <cell r="F952">
            <v>43479</v>
          </cell>
          <cell r="G952" t="str">
            <v>OK</v>
          </cell>
        </row>
        <row r="953">
          <cell r="A953" t="str">
            <v>Y1812-0768</v>
          </cell>
          <cell r="B953">
            <v>201809</v>
          </cell>
          <cell r="C953" t="str">
            <v>16</v>
          </cell>
          <cell r="D953" t="str">
            <v>1J793C</v>
          </cell>
          <cell r="E953">
            <v>120</v>
          </cell>
          <cell r="F953">
            <v>43479</v>
          </cell>
          <cell r="G953" t="str">
            <v>OK</v>
          </cell>
        </row>
        <row r="954">
          <cell r="A954" t="str">
            <v>Y1812-0769</v>
          </cell>
          <cell r="B954">
            <v>201809</v>
          </cell>
          <cell r="C954" t="str">
            <v>16</v>
          </cell>
          <cell r="D954" t="str">
            <v>1J793C</v>
          </cell>
          <cell r="E954">
            <v>120</v>
          </cell>
          <cell r="F954">
            <v>43479</v>
          </cell>
          <cell r="G954" t="str">
            <v>OK</v>
          </cell>
        </row>
        <row r="955">
          <cell r="A955" t="str">
            <v>Y1812-0770</v>
          </cell>
          <cell r="B955">
            <v>201809</v>
          </cell>
          <cell r="C955" t="str">
            <v>15</v>
          </cell>
          <cell r="D955" t="str">
            <v>7J237C</v>
          </cell>
          <cell r="E955">
            <v>120</v>
          </cell>
          <cell r="F955">
            <v>43479</v>
          </cell>
          <cell r="G955" t="str">
            <v>OK</v>
          </cell>
        </row>
        <row r="956">
          <cell r="A956" t="str">
            <v>Y1812-0771</v>
          </cell>
          <cell r="B956">
            <v>201809</v>
          </cell>
          <cell r="C956" t="str">
            <v>15</v>
          </cell>
          <cell r="D956" t="str">
            <v>3J256C</v>
          </cell>
          <cell r="E956">
            <v>264</v>
          </cell>
          <cell r="F956">
            <v>43479</v>
          </cell>
          <cell r="G956" t="str">
            <v>OK</v>
          </cell>
        </row>
        <row r="957">
          <cell r="A957" t="str">
            <v>Y1812-0772</v>
          </cell>
          <cell r="B957">
            <v>201809</v>
          </cell>
          <cell r="C957" t="str">
            <v>15</v>
          </cell>
          <cell r="D957" t="str">
            <v>3J253C</v>
          </cell>
          <cell r="E957">
            <v>144</v>
          </cell>
          <cell r="F957">
            <v>43479</v>
          </cell>
          <cell r="G957" t="str">
            <v>OK</v>
          </cell>
        </row>
        <row r="958">
          <cell r="A958" t="str">
            <v>Y1812-0773</v>
          </cell>
          <cell r="B958">
            <v>201809</v>
          </cell>
          <cell r="C958" t="str">
            <v>15</v>
          </cell>
          <cell r="D958" t="str">
            <v>3J237C</v>
          </cell>
          <cell r="E958">
            <v>240</v>
          </cell>
          <cell r="F958">
            <v>43479</v>
          </cell>
          <cell r="G958" t="str">
            <v>OK</v>
          </cell>
        </row>
        <row r="959">
          <cell r="A959" t="str">
            <v>Y1812-0774</v>
          </cell>
          <cell r="B959">
            <v>201809</v>
          </cell>
          <cell r="C959" t="str">
            <v>AutoGen_1095674</v>
          </cell>
          <cell r="D959" t="str">
            <v>158369C</v>
          </cell>
          <cell r="E959">
            <v>120</v>
          </cell>
          <cell r="F959">
            <v>43469</v>
          </cell>
          <cell r="G959" t="str">
            <v>OK</v>
          </cell>
        </row>
        <row r="960">
          <cell r="A960" t="str">
            <v>Y1812-0775</v>
          </cell>
          <cell r="B960">
            <v>201809</v>
          </cell>
          <cell r="C960" t="str">
            <v>AutoGen_1095674</v>
          </cell>
          <cell r="D960" t="str">
            <v>158369C</v>
          </cell>
          <cell r="E960">
            <v>120</v>
          </cell>
          <cell r="F960">
            <v>43469</v>
          </cell>
          <cell r="G960" t="str">
            <v>OK</v>
          </cell>
        </row>
        <row r="961">
          <cell r="A961" t="str">
            <v>Y1812-0789</v>
          </cell>
          <cell r="B961">
            <v>201809</v>
          </cell>
          <cell r="C961" t="str">
            <v>CNCLZ181301CO-3</v>
          </cell>
          <cell r="D961" t="str">
            <v>7J238C</v>
          </cell>
          <cell r="E961">
            <v>384</v>
          </cell>
          <cell r="F961">
            <v>43470</v>
          </cell>
          <cell r="G961" t="str">
            <v>OK</v>
          </cell>
        </row>
        <row r="962">
          <cell r="A962" t="str">
            <v>Y1812-0797</v>
          </cell>
          <cell r="B962">
            <v>201809</v>
          </cell>
          <cell r="C962" t="str">
            <v>CNCLZ181301CO-3</v>
          </cell>
          <cell r="D962" t="str">
            <v>7J232C</v>
          </cell>
          <cell r="E962">
            <v>360</v>
          </cell>
          <cell r="F962">
            <v>43470</v>
          </cell>
          <cell r="G962" t="str">
            <v>OK</v>
          </cell>
        </row>
        <row r="963">
          <cell r="A963" t="str">
            <v>Y1812-0798</v>
          </cell>
          <cell r="B963">
            <v>201809</v>
          </cell>
          <cell r="C963" t="str">
            <v>CNCLZ181301CO-3</v>
          </cell>
          <cell r="D963" t="str">
            <v>7J234C</v>
          </cell>
          <cell r="E963">
            <v>372</v>
          </cell>
          <cell r="F963">
            <v>43470</v>
          </cell>
          <cell r="G963" t="str">
            <v>OK</v>
          </cell>
        </row>
        <row r="964">
          <cell r="A964" t="str">
            <v>Y1812-0804</v>
          </cell>
          <cell r="B964">
            <v>201809</v>
          </cell>
          <cell r="C964" t="str">
            <v>CNCLZ181301</v>
          </cell>
          <cell r="D964" t="str">
            <v>359792C</v>
          </cell>
          <cell r="E964">
            <v>432</v>
          </cell>
          <cell r="F964">
            <v>43468</v>
          </cell>
          <cell r="G964" t="str">
            <v>OK</v>
          </cell>
        </row>
        <row r="965">
          <cell r="A965" t="str">
            <v>Y1812-0806</v>
          </cell>
          <cell r="B965">
            <v>201809</v>
          </cell>
          <cell r="C965" t="str">
            <v>CNCLZ181301CO-3</v>
          </cell>
          <cell r="D965" t="str">
            <v>7J231C</v>
          </cell>
          <cell r="E965">
            <v>360</v>
          </cell>
          <cell r="F965">
            <v>43470</v>
          </cell>
          <cell r="G965" t="str">
            <v>OK</v>
          </cell>
        </row>
        <row r="966">
          <cell r="A966" t="str">
            <v>Y1812-0661</v>
          </cell>
          <cell r="B966">
            <v>201809</v>
          </cell>
          <cell r="C966" t="str">
            <v>0100171320</v>
          </cell>
          <cell r="D966" t="str">
            <v>363711C</v>
          </cell>
          <cell r="E966">
            <v>144</v>
          </cell>
          <cell r="F966">
            <v>43467</v>
          </cell>
          <cell r="G966" t="str">
            <v>OK</v>
          </cell>
        </row>
        <row r="967">
          <cell r="A967" t="str">
            <v>Y1812-0632</v>
          </cell>
          <cell r="B967">
            <v>201809</v>
          </cell>
          <cell r="C967" t="str">
            <v>0100171140</v>
          </cell>
          <cell r="D967" t="str">
            <v>359792C</v>
          </cell>
          <cell r="E967">
            <v>852</v>
          </cell>
          <cell r="F967">
            <v>43473</v>
          </cell>
          <cell r="G967" t="str">
            <v>OK</v>
          </cell>
        </row>
        <row r="968">
          <cell r="A968" t="str">
            <v>Y1812-0085</v>
          </cell>
          <cell r="B968">
            <v>201807</v>
          </cell>
          <cell r="C968" t="str">
            <v>4600059513</v>
          </cell>
          <cell r="D968" t="str">
            <v>163204C</v>
          </cell>
          <cell r="E968">
            <v>1008</v>
          </cell>
          <cell r="F968">
            <v>43479</v>
          </cell>
          <cell r="G968" t="str">
            <v>OK</v>
          </cell>
        </row>
        <row r="969">
          <cell r="A969" t="str">
            <v>Y1812-0086</v>
          </cell>
          <cell r="B969">
            <v>201807</v>
          </cell>
          <cell r="C969" t="str">
            <v>4600059514</v>
          </cell>
          <cell r="D969" t="str">
            <v>163199C</v>
          </cell>
          <cell r="E969">
            <v>312</v>
          </cell>
          <cell r="F969">
            <v>43479</v>
          </cell>
          <cell r="G969" t="str">
            <v>OK</v>
          </cell>
        </row>
        <row r="970">
          <cell r="A970" t="str">
            <v>Y1812-0087</v>
          </cell>
          <cell r="B970">
            <v>201807</v>
          </cell>
          <cell r="C970" t="str">
            <v>4600059515</v>
          </cell>
          <cell r="D970" t="str">
            <v>163243C</v>
          </cell>
          <cell r="E970">
            <v>120</v>
          </cell>
          <cell r="F970">
            <v>43479</v>
          </cell>
          <cell r="G970" t="str">
            <v>OK</v>
          </cell>
        </row>
        <row r="971">
          <cell r="A971" t="str">
            <v>Y1812-0088</v>
          </cell>
          <cell r="B971">
            <v>201807</v>
          </cell>
          <cell r="C971" t="str">
            <v>4600059527</v>
          </cell>
          <cell r="D971" t="str">
            <v>161603C</v>
          </cell>
          <cell r="E971">
            <v>756</v>
          </cell>
          <cell r="F971">
            <v>43479</v>
          </cell>
          <cell r="G971" t="str">
            <v>OK</v>
          </cell>
        </row>
        <row r="972">
          <cell r="A972" t="str">
            <v>Y1812-0089</v>
          </cell>
          <cell r="B972">
            <v>201807</v>
          </cell>
          <cell r="C972" t="str">
            <v>4600059528</v>
          </cell>
          <cell r="D972" t="str">
            <v>361817C</v>
          </cell>
          <cell r="E972">
            <v>864</v>
          </cell>
          <cell r="F972">
            <v>43479</v>
          </cell>
          <cell r="G972" t="str">
            <v>OK</v>
          </cell>
        </row>
        <row r="973">
          <cell r="A973" t="str">
            <v>Y1812-0090</v>
          </cell>
          <cell r="B973">
            <v>201807</v>
          </cell>
          <cell r="C973" t="str">
            <v>4600059529</v>
          </cell>
          <cell r="D973" t="str">
            <v>563431C</v>
          </cell>
          <cell r="E973">
            <v>300</v>
          </cell>
          <cell r="F973">
            <v>43479</v>
          </cell>
          <cell r="G973" t="str">
            <v>OK</v>
          </cell>
        </row>
        <row r="974">
          <cell r="A974" t="str">
            <v>Y1812-0091</v>
          </cell>
          <cell r="B974">
            <v>201807</v>
          </cell>
          <cell r="C974" t="str">
            <v>4600059530</v>
          </cell>
          <cell r="D974" t="str">
            <v>563433C</v>
          </cell>
          <cell r="E974">
            <v>864</v>
          </cell>
          <cell r="F974">
            <v>43479</v>
          </cell>
          <cell r="G974" t="str">
            <v>OK</v>
          </cell>
        </row>
        <row r="975">
          <cell r="A975" t="str">
            <v>Y1812-0092</v>
          </cell>
          <cell r="B975">
            <v>201807</v>
          </cell>
          <cell r="C975" t="str">
            <v>4600059531</v>
          </cell>
          <cell r="D975" t="str">
            <v>563432C</v>
          </cell>
          <cell r="E975">
            <v>600</v>
          </cell>
          <cell r="F975">
            <v>43479</v>
          </cell>
          <cell r="G975" t="str">
            <v>OK</v>
          </cell>
        </row>
        <row r="976">
          <cell r="A976" t="str">
            <v>Y1812-0083</v>
          </cell>
          <cell r="B976">
            <v>201807</v>
          </cell>
          <cell r="C976" t="str">
            <v>4600059511</v>
          </cell>
          <cell r="D976" t="str">
            <v>163188C</v>
          </cell>
          <cell r="E976">
            <v>1320</v>
          </cell>
          <cell r="F976">
            <v>43479</v>
          </cell>
          <cell r="G976" t="str">
            <v>OK</v>
          </cell>
        </row>
        <row r="977">
          <cell r="A977" t="str">
            <v>Y1812-0084</v>
          </cell>
          <cell r="B977">
            <v>201807</v>
          </cell>
          <cell r="C977" t="str">
            <v>4600059512</v>
          </cell>
          <cell r="D977" t="str">
            <v>163187C</v>
          </cell>
          <cell r="E977">
            <v>1080</v>
          </cell>
          <cell r="F977">
            <v>43479</v>
          </cell>
          <cell r="G977" t="str">
            <v>OK</v>
          </cell>
        </row>
        <row r="978">
          <cell r="A978" t="str">
            <v>Y1812-0093</v>
          </cell>
          <cell r="B978">
            <v>201807</v>
          </cell>
          <cell r="C978" t="str">
            <v>4600059532</v>
          </cell>
          <cell r="D978" t="str">
            <v>163186C</v>
          </cell>
          <cell r="E978">
            <v>252</v>
          </cell>
          <cell r="F978">
            <v>43479</v>
          </cell>
          <cell r="G978" t="str">
            <v>OK</v>
          </cell>
        </row>
        <row r="979">
          <cell r="A979" t="str">
            <v>Y1811-0205</v>
          </cell>
          <cell r="B979">
            <v>201807</v>
          </cell>
          <cell r="C979" t="str">
            <v>0100169238</v>
          </cell>
          <cell r="D979" t="str">
            <v>163345C</v>
          </cell>
          <cell r="E979">
            <v>192</v>
          </cell>
          <cell r="F979">
            <v>43467</v>
          </cell>
          <cell r="G979" t="str">
            <v>OK</v>
          </cell>
        </row>
        <row r="980">
          <cell r="A980" t="str">
            <v>Y1811-0206</v>
          </cell>
          <cell r="B980">
            <v>201807</v>
          </cell>
          <cell r="C980" t="str">
            <v>0100169239</v>
          </cell>
          <cell r="D980" t="str">
            <v>163346C</v>
          </cell>
          <cell r="E980">
            <v>192</v>
          </cell>
          <cell r="F980">
            <v>43467</v>
          </cell>
          <cell r="G980" t="str">
            <v>OK</v>
          </cell>
        </row>
        <row r="981">
          <cell r="A981" t="str">
            <v>Y1806-0070</v>
          </cell>
          <cell r="B981">
            <v>201801</v>
          </cell>
          <cell r="C981" t="str">
            <v>4600048423</v>
          </cell>
          <cell r="D981" t="str">
            <v>161575C</v>
          </cell>
          <cell r="E981">
            <v>360</v>
          </cell>
          <cell r="F981">
            <v>43479</v>
          </cell>
          <cell r="G981" t="str">
            <v>OK</v>
          </cell>
        </row>
        <row r="982">
          <cell r="A982" t="str">
            <v>Y1806-0071</v>
          </cell>
          <cell r="B982">
            <v>201801</v>
          </cell>
          <cell r="C982" t="str">
            <v>4600048424</v>
          </cell>
          <cell r="D982" t="str">
            <v>161574C</v>
          </cell>
          <cell r="E982">
            <v>180</v>
          </cell>
          <cell r="F982">
            <v>43479</v>
          </cell>
          <cell r="G982" t="str">
            <v>OK</v>
          </cell>
        </row>
        <row r="983">
          <cell r="A983" t="str">
            <v>Y1806-0072</v>
          </cell>
          <cell r="B983">
            <v>201801</v>
          </cell>
          <cell r="C983" t="str">
            <v>4600048425</v>
          </cell>
          <cell r="D983" t="str">
            <v>161613C</v>
          </cell>
          <cell r="E983">
            <v>240</v>
          </cell>
          <cell r="F983">
            <v>43479</v>
          </cell>
          <cell r="G983" t="str">
            <v>OK</v>
          </cell>
        </row>
        <row r="984">
          <cell r="A984" t="str">
            <v>Y1806-0073</v>
          </cell>
          <cell r="B984">
            <v>201801</v>
          </cell>
          <cell r="C984" t="str">
            <v>4600048426</v>
          </cell>
          <cell r="D984" t="str">
            <v>561780C</v>
          </cell>
          <cell r="E984">
            <v>1500</v>
          </cell>
          <cell r="F984">
            <v>43479</v>
          </cell>
          <cell r="G984" t="str">
            <v>OK</v>
          </cell>
        </row>
        <row r="985">
          <cell r="A985" t="str">
            <v>Y1806-0074</v>
          </cell>
          <cell r="B985">
            <v>201801</v>
          </cell>
          <cell r="C985" t="str">
            <v>4600048427</v>
          </cell>
          <cell r="D985" t="str">
            <v>561779C</v>
          </cell>
          <cell r="E985">
            <v>600</v>
          </cell>
          <cell r="F985">
            <v>43479</v>
          </cell>
          <cell r="G985" t="str">
            <v>OK</v>
          </cell>
        </row>
        <row r="986">
          <cell r="A986" t="str">
            <v>Y1806-0075</v>
          </cell>
          <cell r="B986">
            <v>201801</v>
          </cell>
          <cell r="C986" t="str">
            <v>4600048428</v>
          </cell>
          <cell r="D986" t="str">
            <v>161590C</v>
          </cell>
          <cell r="E986">
            <v>396</v>
          </cell>
          <cell r="F986">
            <v>43479</v>
          </cell>
          <cell r="G986" t="str">
            <v>OK</v>
          </cell>
        </row>
        <row r="987">
          <cell r="A987" t="str">
            <v>Y1806-0076</v>
          </cell>
          <cell r="B987">
            <v>201801</v>
          </cell>
          <cell r="C987" t="str">
            <v>4600048429</v>
          </cell>
          <cell r="D987" t="str">
            <v>361360C</v>
          </cell>
          <cell r="E987">
            <v>924</v>
          </cell>
          <cell r="F987">
            <v>43479</v>
          </cell>
          <cell r="G987" t="str">
            <v>OK</v>
          </cell>
        </row>
        <row r="988">
          <cell r="A988" t="str">
            <v>Y1806-0077</v>
          </cell>
          <cell r="B988">
            <v>201801</v>
          </cell>
          <cell r="C988" t="str">
            <v>4600048430</v>
          </cell>
          <cell r="D988" t="str">
            <v>561781C</v>
          </cell>
          <cell r="E988">
            <v>1512</v>
          </cell>
          <cell r="F988">
            <v>43479</v>
          </cell>
          <cell r="G988" t="str">
            <v>OK</v>
          </cell>
        </row>
        <row r="989">
          <cell r="A989" t="str">
            <v>Y1806-0078</v>
          </cell>
          <cell r="B989">
            <v>201801</v>
          </cell>
          <cell r="C989" t="str">
            <v>4600048431</v>
          </cell>
          <cell r="D989" t="str">
            <v>161589C</v>
          </cell>
          <cell r="E989">
            <v>384</v>
          </cell>
          <cell r="F989">
            <v>43479</v>
          </cell>
          <cell r="G989" t="str">
            <v>OK</v>
          </cell>
        </row>
        <row r="990">
          <cell r="A990" t="str">
            <v>Y1806-0079</v>
          </cell>
          <cell r="B990">
            <v>201801</v>
          </cell>
          <cell r="C990" t="str">
            <v>4600048432</v>
          </cell>
          <cell r="D990" t="str">
            <v>161362C</v>
          </cell>
          <cell r="E990">
            <v>1224</v>
          </cell>
          <cell r="F990">
            <v>43479</v>
          </cell>
          <cell r="G990" t="str">
            <v>OK</v>
          </cell>
        </row>
        <row r="991">
          <cell r="A991" t="str">
            <v>Y1805-1021</v>
          </cell>
          <cell r="B991">
            <v>201802</v>
          </cell>
          <cell r="C991" t="str">
            <v>4600051047</v>
          </cell>
          <cell r="D991" t="str">
            <v>561682C</v>
          </cell>
          <cell r="E991">
            <v>492</v>
          </cell>
          <cell r="F991">
            <v>43479</v>
          </cell>
          <cell r="G991" t="str">
            <v>OK</v>
          </cell>
        </row>
        <row r="992">
          <cell r="A992" t="str">
            <v>Y1805-1022</v>
          </cell>
          <cell r="B992">
            <v>201802</v>
          </cell>
          <cell r="C992" t="str">
            <v>4600051048</v>
          </cell>
          <cell r="D992" t="str">
            <v>561684C</v>
          </cell>
          <cell r="E992">
            <v>504</v>
          </cell>
          <cell r="F992">
            <v>43479</v>
          </cell>
          <cell r="G992" t="str">
            <v>OK</v>
          </cell>
        </row>
        <row r="993">
          <cell r="A993" t="str">
            <v>Y1805-1023</v>
          </cell>
          <cell r="B993">
            <v>201802</v>
          </cell>
          <cell r="C993" t="str">
            <v>4600051049</v>
          </cell>
          <cell r="D993" t="str">
            <v>561685C</v>
          </cell>
          <cell r="E993">
            <v>600</v>
          </cell>
          <cell r="F993">
            <v>43479</v>
          </cell>
          <cell r="G993" t="str">
            <v>OK</v>
          </cell>
        </row>
        <row r="994">
          <cell r="A994" t="str">
            <v>Y1805-1024</v>
          </cell>
          <cell r="B994">
            <v>201802</v>
          </cell>
          <cell r="C994" t="str">
            <v>4600051050</v>
          </cell>
          <cell r="D994" t="str">
            <v>161546C</v>
          </cell>
          <cell r="E994">
            <v>180</v>
          </cell>
          <cell r="F994">
            <v>43479</v>
          </cell>
          <cell r="G994" t="str">
            <v>OK</v>
          </cell>
        </row>
        <row r="995">
          <cell r="A995" t="str">
            <v>Y1807-0156</v>
          </cell>
          <cell r="B995">
            <v>201803</v>
          </cell>
          <cell r="C995" t="str">
            <v>4600052145</v>
          </cell>
          <cell r="D995" t="str">
            <v>159792C</v>
          </cell>
          <cell r="E995">
            <v>2556</v>
          </cell>
          <cell r="F995">
            <v>43479</v>
          </cell>
          <cell r="G995" t="str">
            <v>OK</v>
          </cell>
        </row>
        <row r="996">
          <cell r="A996" t="str">
            <v>Y1807-0157</v>
          </cell>
          <cell r="B996">
            <v>201803</v>
          </cell>
          <cell r="C996" t="str">
            <v>4600052146</v>
          </cell>
          <cell r="D996" t="str">
            <v>155065C</v>
          </cell>
          <cell r="E996">
            <v>4656</v>
          </cell>
          <cell r="F996">
            <v>43479</v>
          </cell>
          <cell r="G996" t="str">
            <v>OK</v>
          </cell>
        </row>
        <row r="997">
          <cell r="A997" t="str">
            <v>Y1807-0158</v>
          </cell>
          <cell r="B997">
            <v>201803</v>
          </cell>
          <cell r="C997" t="str">
            <v>4600052147</v>
          </cell>
          <cell r="D997" t="str">
            <v>155064C</v>
          </cell>
          <cell r="E997">
            <v>6732</v>
          </cell>
          <cell r="F997">
            <v>43479</v>
          </cell>
          <cell r="G997" t="str">
            <v>OK</v>
          </cell>
        </row>
        <row r="998">
          <cell r="A998" t="str">
            <v>Y1807-0553</v>
          </cell>
          <cell r="B998">
            <v>201804</v>
          </cell>
          <cell r="C998" t="str">
            <v>4600053992</v>
          </cell>
          <cell r="D998" t="str">
            <v>163169C</v>
          </cell>
          <cell r="E998">
            <v>132</v>
          </cell>
          <cell r="F998">
            <v>43479</v>
          </cell>
          <cell r="G998" t="str">
            <v>OK</v>
          </cell>
        </row>
        <row r="999">
          <cell r="A999" t="str">
            <v>Y1808-0368</v>
          </cell>
          <cell r="B999">
            <v>201804</v>
          </cell>
          <cell r="C999" t="str">
            <v>4600053989</v>
          </cell>
          <cell r="D999" t="str">
            <v>562608C</v>
          </cell>
          <cell r="E999">
            <v>312</v>
          </cell>
          <cell r="F999">
            <v>43479</v>
          </cell>
          <cell r="G999" t="str">
            <v>OK</v>
          </cell>
        </row>
        <row r="1000">
          <cell r="A1000" t="str">
            <v>Y1808-0369</v>
          </cell>
          <cell r="B1000">
            <v>201804</v>
          </cell>
          <cell r="C1000" t="str">
            <v>4600053990</v>
          </cell>
          <cell r="D1000" t="str">
            <v>562609C</v>
          </cell>
          <cell r="E1000">
            <v>288</v>
          </cell>
          <cell r="F1000">
            <v>43479</v>
          </cell>
          <cell r="G1000" t="str">
            <v>OK</v>
          </cell>
        </row>
        <row r="1001">
          <cell r="A1001" t="str">
            <v>Y1808-0370</v>
          </cell>
          <cell r="B1001">
            <v>201804</v>
          </cell>
          <cell r="C1001" t="str">
            <v>4600053991</v>
          </cell>
          <cell r="D1001" t="str">
            <v>562610C</v>
          </cell>
          <cell r="E1001">
            <v>216</v>
          </cell>
          <cell r="F1001">
            <v>43479</v>
          </cell>
          <cell r="G1001" t="str">
            <v>OK</v>
          </cell>
        </row>
        <row r="1002">
          <cell r="A1002" t="str">
            <v>Y1808-0657</v>
          </cell>
          <cell r="B1002">
            <v>201805</v>
          </cell>
          <cell r="C1002" t="str">
            <v>4600055884</v>
          </cell>
          <cell r="D1002" t="str">
            <v>162618C</v>
          </cell>
          <cell r="E1002">
            <v>420</v>
          </cell>
          <cell r="F1002">
            <v>43479</v>
          </cell>
          <cell r="G1002" t="str">
            <v>OK</v>
          </cell>
        </row>
        <row r="1003">
          <cell r="A1003" t="str">
            <v>Y1810-0696</v>
          </cell>
          <cell r="B1003">
            <v>201807</v>
          </cell>
          <cell r="C1003" t="str">
            <v>4600059525</v>
          </cell>
          <cell r="D1003" t="str">
            <v>164024C</v>
          </cell>
          <cell r="E1003">
            <v>29</v>
          </cell>
          <cell r="F1003">
            <v>43479</v>
          </cell>
          <cell r="G1003" t="str">
            <v>OK</v>
          </cell>
        </row>
        <row r="1004">
          <cell r="A1004" t="str">
            <v>Y1810-0697</v>
          </cell>
          <cell r="B1004">
            <v>201807</v>
          </cell>
          <cell r="C1004" t="str">
            <v>4600059526</v>
          </cell>
          <cell r="D1004" t="str">
            <v>164023C</v>
          </cell>
          <cell r="E1004">
            <v>29</v>
          </cell>
          <cell r="F1004">
            <v>43479</v>
          </cell>
          <cell r="G1004" t="str">
            <v>OK</v>
          </cell>
        </row>
        <row r="1005">
          <cell r="A1005" t="str">
            <v>Y1811-0364</v>
          </cell>
          <cell r="B1005">
            <v>201807</v>
          </cell>
          <cell r="C1005" t="str">
            <v>4600059508</v>
          </cell>
          <cell r="D1005" t="str">
            <v>163192C</v>
          </cell>
          <cell r="E1005">
            <v>312</v>
          </cell>
          <cell r="F1005">
            <v>43479</v>
          </cell>
          <cell r="G1005" t="str">
            <v>OK</v>
          </cell>
        </row>
        <row r="1006">
          <cell r="A1006" t="str">
            <v>Y1811-0365</v>
          </cell>
          <cell r="B1006">
            <v>201807</v>
          </cell>
          <cell r="C1006" t="str">
            <v>4600059509</v>
          </cell>
          <cell r="D1006" t="str">
            <v>163369C</v>
          </cell>
          <cell r="E1006">
            <v>432</v>
          </cell>
          <cell r="F1006">
            <v>43479</v>
          </cell>
          <cell r="G1006" t="str">
            <v>OK</v>
          </cell>
        </row>
        <row r="1007">
          <cell r="A1007" t="str">
            <v>Y1811-0366</v>
          </cell>
          <cell r="B1007">
            <v>201807</v>
          </cell>
          <cell r="C1007" t="str">
            <v>4600059510</v>
          </cell>
          <cell r="D1007" t="str">
            <v>163370C</v>
          </cell>
          <cell r="E1007">
            <v>384</v>
          </cell>
          <cell r="F1007">
            <v>43479</v>
          </cell>
          <cell r="G1007" t="str">
            <v>OK</v>
          </cell>
        </row>
        <row r="1008">
          <cell r="A1008" t="str">
            <v>Y1811-0367</v>
          </cell>
          <cell r="B1008">
            <v>201807</v>
          </cell>
          <cell r="C1008" t="str">
            <v>4600059516</v>
          </cell>
          <cell r="D1008" t="str">
            <v>163368C</v>
          </cell>
          <cell r="E1008">
            <v>372</v>
          </cell>
          <cell r="F1008">
            <v>43479</v>
          </cell>
          <cell r="G1008" t="str">
            <v>OK</v>
          </cell>
        </row>
        <row r="1009">
          <cell r="A1009" t="str">
            <v>Y1907-0001</v>
          </cell>
          <cell r="B1009">
            <v>201812</v>
          </cell>
          <cell r="C1009" t="str">
            <v>0100182348</v>
          </cell>
          <cell r="D1009" t="str">
            <v>549700F</v>
          </cell>
          <cell r="E1009">
            <v>450</v>
          </cell>
          <cell r="F1009">
            <v>43651</v>
          </cell>
          <cell r="G1009" t="str">
            <v>01/29</v>
          </cell>
        </row>
        <row r="1010">
          <cell r="A1010" t="str">
            <v>Y1907-0002</v>
          </cell>
          <cell r="B1010">
            <v>201812</v>
          </cell>
          <cell r="C1010" t="str">
            <v>0100182356</v>
          </cell>
          <cell r="D1010" t="str">
            <v>549700F</v>
          </cell>
          <cell r="E1010">
            <v>900</v>
          </cell>
          <cell r="F1010">
            <v>43651</v>
          </cell>
          <cell r="G1010" t="str">
            <v>01/29</v>
          </cell>
        </row>
        <row r="1011">
          <cell r="A1011" t="str">
            <v>Y1907-0005</v>
          </cell>
          <cell r="B1011">
            <v>201812</v>
          </cell>
          <cell r="C1011" t="str">
            <v>0100182359</v>
          </cell>
          <cell r="D1011" t="str">
            <v>549700F</v>
          </cell>
          <cell r="E1011">
            <v>450</v>
          </cell>
          <cell r="F1011">
            <v>43651</v>
          </cell>
          <cell r="G1011" t="str">
            <v>01/29</v>
          </cell>
        </row>
        <row r="1012">
          <cell r="A1012" t="str">
            <v>Y1906-0001</v>
          </cell>
          <cell r="B1012">
            <v>201812</v>
          </cell>
          <cell r="C1012" t="str">
            <v>0100182324</v>
          </cell>
          <cell r="D1012" t="str">
            <v>549700F</v>
          </cell>
          <cell r="E1012">
            <v>2400</v>
          </cell>
          <cell r="F1012">
            <v>43633</v>
          </cell>
          <cell r="G1012" t="str">
            <v>01/29</v>
          </cell>
        </row>
        <row r="1013">
          <cell r="A1013" t="str">
            <v>Y1906-0002</v>
          </cell>
          <cell r="B1013">
            <v>201812</v>
          </cell>
          <cell r="C1013" t="str">
            <v>0100183264</v>
          </cell>
          <cell r="D1013" t="str">
            <v>549700F</v>
          </cell>
          <cell r="E1013">
            <v>1200</v>
          </cell>
          <cell r="F1013">
            <v>43633</v>
          </cell>
          <cell r="G1013" t="str">
            <v>01/29</v>
          </cell>
        </row>
        <row r="1014">
          <cell r="A1014" t="str">
            <v>Y1811-0368</v>
          </cell>
          <cell r="B1014">
            <v>201807</v>
          </cell>
          <cell r="C1014" t="str">
            <v>4600059517</v>
          </cell>
          <cell r="D1014" t="str">
            <v>163247C</v>
          </cell>
          <cell r="E1014">
            <v>684</v>
          </cell>
          <cell r="F1014">
            <v>43479</v>
          </cell>
          <cell r="G1014" t="str">
            <v>OK</v>
          </cell>
        </row>
        <row r="1015">
          <cell r="A1015" t="str">
            <v>Y1905-0007</v>
          </cell>
          <cell r="B1015">
            <v>201812</v>
          </cell>
          <cell r="C1015" t="str">
            <v>0100182352</v>
          </cell>
          <cell r="D1015" t="str">
            <v>549700F</v>
          </cell>
          <cell r="E1015">
            <v>810</v>
          </cell>
          <cell r="F1015">
            <v>43608</v>
          </cell>
          <cell r="G1015" t="str">
            <v>01/25</v>
          </cell>
        </row>
        <row r="1016">
          <cell r="A1016" t="str">
            <v>Y1905-0009</v>
          </cell>
          <cell r="B1016">
            <v>201812</v>
          </cell>
          <cell r="C1016" t="str">
            <v>0100182354</v>
          </cell>
          <cell r="D1016" t="str">
            <v>549700F</v>
          </cell>
          <cell r="E1016">
            <v>1380</v>
          </cell>
          <cell r="F1016">
            <v>43608</v>
          </cell>
          <cell r="G1016" t="str">
            <v>01/25</v>
          </cell>
        </row>
        <row r="1017">
          <cell r="A1017" t="str">
            <v>Y1905-0010</v>
          </cell>
          <cell r="B1017">
            <v>201812</v>
          </cell>
          <cell r="C1017" t="str">
            <v>0100182355</v>
          </cell>
          <cell r="D1017" t="str">
            <v>549700F</v>
          </cell>
          <cell r="E1017">
            <v>810</v>
          </cell>
          <cell r="F1017">
            <v>43608</v>
          </cell>
          <cell r="G1017" t="str">
            <v>01/25</v>
          </cell>
        </row>
        <row r="1018">
          <cell r="A1018" t="str">
            <v>Y1905-0011</v>
          </cell>
          <cell r="B1018">
            <v>201812</v>
          </cell>
          <cell r="C1018" t="str">
            <v>0100183366</v>
          </cell>
          <cell r="D1018" t="str">
            <v>7J238C</v>
          </cell>
          <cell r="E1018">
            <v>888</v>
          </cell>
          <cell r="F1018">
            <v>43596</v>
          </cell>
          <cell r="G1018" t="str">
            <v>02/12</v>
          </cell>
        </row>
        <row r="1019">
          <cell r="A1019" t="str">
            <v>Y1905-0012</v>
          </cell>
          <cell r="B1019">
            <v>201812</v>
          </cell>
          <cell r="C1019" t="str">
            <v>0100183392</v>
          </cell>
          <cell r="D1019" t="str">
            <v>3J238C</v>
          </cell>
          <cell r="E1019">
            <v>1044</v>
          </cell>
          <cell r="F1019">
            <v>43596</v>
          </cell>
          <cell r="G1019" t="str">
            <v>01/22</v>
          </cell>
        </row>
        <row r="1020">
          <cell r="A1020" t="str">
            <v>Y1905-0013</v>
          </cell>
          <cell r="B1020">
            <v>201812</v>
          </cell>
          <cell r="C1020" t="str">
            <v>0100183405</v>
          </cell>
          <cell r="D1020" t="str">
            <v>7J236C</v>
          </cell>
          <cell r="E1020">
            <v>1752</v>
          </cell>
          <cell r="F1020">
            <v>43596</v>
          </cell>
          <cell r="G1020" t="str">
            <v>02/15</v>
          </cell>
        </row>
        <row r="1021">
          <cell r="A1021" t="str">
            <v>Y1905-0014</v>
          </cell>
          <cell r="B1021">
            <v>201812</v>
          </cell>
          <cell r="C1021" t="str">
            <v>0100183415</v>
          </cell>
          <cell r="D1021" t="str">
            <v>3J235C</v>
          </cell>
          <cell r="E1021">
            <v>3936</v>
          </cell>
          <cell r="F1021">
            <v>43596</v>
          </cell>
          <cell r="G1021" t="str">
            <v>01/09</v>
          </cell>
        </row>
        <row r="1022">
          <cell r="A1022" t="str">
            <v>Y1905-0015</v>
          </cell>
          <cell r="B1022">
            <v>201812</v>
          </cell>
          <cell r="C1022" t="str">
            <v>0100183429</v>
          </cell>
          <cell r="D1022" t="str">
            <v>3J253C</v>
          </cell>
          <cell r="E1022">
            <v>3132</v>
          </cell>
          <cell r="F1022">
            <v>43596</v>
          </cell>
          <cell r="G1022" t="str">
            <v>01/08</v>
          </cell>
        </row>
        <row r="1023">
          <cell r="A1023" t="str">
            <v>Y1905-0016</v>
          </cell>
          <cell r="B1023">
            <v>201812</v>
          </cell>
          <cell r="C1023" t="str">
            <v>0100183452</v>
          </cell>
          <cell r="D1023" t="str">
            <v>3J231C</v>
          </cell>
          <cell r="E1023">
            <v>3240</v>
          </cell>
          <cell r="F1023">
            <v>43596</v>
          </cell>
          <cell r="G1023" t="str">
            <v>02/12</v>
          </cell>
        </row>
        <row r="1024">
          <cell r="A1024" t="str">
            <v>Y1905-0017</v>
          </cell>
          <cell r="B1024">
            <v>201812</v>
          </cell>
          <cell r="C1024" t="str">
            <v>0100183463</v>
          </cell>
          <cell r="D1024" t="str">
            <v>7J232C</v>
          </cell>
          <cell r="E1024">
            <v>1596</v>
          </cell>
          <cell r="F1024">
            <v>43596</v>
          </cell>
          <cell r="G1024" t="str">
            <v>02/15</v>
          </cell>
        </row>
        <row r="1025">
          <cell r="A1025" t="str">
            <v>Y1905-0018</v>
          </cell>
          <cell r="B1025">
            <v>201812</v>
          </cell>
          <cell r="C1025" t="str">
            <v>0100183472</v>
          </cell>
          <cell r="D1025" t="str">
            <v>M9621C</v>
          </cell>
          <cell r="E1025">
            <v>9612</v>
          </cell>
          <cell r="F1025">
            <v>43596</v>
          </cell>
          <cell r="G1025" t="str">
            <v>01/25</v>
          </cell>
        </row>
        <row r="1026">
          <cell r="A1026" t="str">
            <v>Y1905-0019</v>
          </cell>
          <cell r="B1026">
            <v>201812</v>
          </cell>
          <cell r="C1026" t="str">
            <v>0100183482</v>
          </cell>
          <cell r="D1026" t="str">
            <v>7J235C</v>
          </cell>
          <cell r="E1026">
            <v>2040</v>
          </cell>
          <cell r="F1026">
            <v>43596</v>
          </cell>
          <cell r="G1026" t="str">
            <v>02/12</v>
          </cell>
        </row>
        <row r="1027">
          <cell r="A1027" t="str">
            <v>Y1905-0020</v>
          </cell>
          <cell r="B1027">
            <v>201812</v>
          </cell>
          <cell r="C1027" t="str">
            <v>0100183494</v>
          </cell>
          <cell r="D1027" t="str">
            <v>7J231C</v>
          </cell>
          <cell r="E1027">
            <v>1932</v>
          </cell>
          <cell r="F1027">
            <v>43596</v>
          </cell>
          <cell r="G1027" t="str">
            <v>02/15</v>
          </cell>
        </row>
        <row r="1028">
          <cell r="A1028" t="str">
            <v>Y1905-0021</v>
          </cell>
          <cell r="B1028">
            <v>201812</v>
          </cell>
          <cell r="C1028" t="str">
            <v>0100183498</v>
          </cell>
          <cell r="D1028" t="str">
            <v>3J234C</v>
          </cell>
          <cell r="E1028">
            <v>1224</v>
          </cell>
          <cell r="F1028">
            <v>43596</v>
          </cell>
          <cell r="G1028" t="str">
            <v>01/22</v>
          </cell>
        </row>
        <row r="1029">
          <cell r="A1029" t="str">
            <v>Y1905-0022</v>
          </cell>
          <cell r="B1029">
            <v>201812</v>
          </cell>
          <cell r="C1029" t="str">
            <v>0100183502</v>
          </cell>
          <cell r="D1029" t="str">
            <v>3J236C</v>
          </cell>
          <cell r="E1029">
            <v>2184</v>
          </cell>
          <cell r="F1029">
            <v>43596</v>
          </cell>
          <cell r="G1029" t="str">
            <v>01/22</v>
          </cell>
        </row>
        <row r="1030">
          <cell r="A1030" t="str">
            <v>Y1905-0023</v>
          </cell>
          <cell r="B1030">
            <v>201812</v>
          </cell>
          <cell r="C1030" t="str">
            <v>0100183506</v>
          </cell>
          <cell r="D1030" t="str">
            <v>3J237C</v>
          </cell>
          <cell r="E1030">
            <v>4656</v>
          </cell>
          <cell r="F1030">
            <v>43596</v>
          </cell>
          <cell r="G1030" t="str">
            <v>01/22</v>
          </cell>
        </row>
        <row r="1031">
          <cell r="A1031" t="str">
            <v>Y1905-0024</v>
          </cell>
          <cell r="B1031">
            <v>201812</v>
          </cell>
          <cell r="C1031" t="str">
            <v>0100183510</v>
          </cell>
          <cell r="D1031" t="str">
            <v>3J233C</v>
          </cell>
          <cell r="E1031">
            <v>1572</v>
          </cell>
          <cell r="F1031">
            <v>43596</v>
          </cell>
          <cell r="G1031" t="str">
            <v>02/15</v>
          </cell>
        </row>
        <row r="1032">
          <cell r="A1032" t="str">
            <v>Y1905-0025</v>
          </cell>
          <cell r="B1032">
            <v>201812</v>
          </cell>
          <cell r="C1032" t="str">
            <v>0100183514</v>
          </cell>
          <cell r="D1032" t="str">
            <v>M9696C</v>
          </cell>
          <cell r="E1032">
            <v>8664</v>
          </cell>
          <cell r="F1032">
            <v>43596</v>
          </cell>
          <cell r="G1032" t="str">
            <v>02/12</v>
          </cell>
        </row>
        <row r="1033">
          <cell r="A1033" t="str">
            <v>Y1905-0026</v>
          </cell>
          <cell r="B1033">
            <v>201812</v>
          </cell>
          <cell r="C1033" t="str">
            <v>0100183564</v>
          </cell>
          <cell r="D1033" t="str">
            <v>7J233C</v>
          </cell>
          <cell r="E1033">
            <v>1608</v>
          </cell>
          <cell r="F1033">
            <v>43596</v>
          </cell>
          <cell r="G1033" t="str">
            <v>02/15</v>
          </cell>
        </row>
        <row r="1034">
          <cell r="A1034" t="str">
            <v>Y1905-0027</v>
          </cell>
          <cell r="B1034">
            <v>201812</v>
          </cell>
          <cell r="C1034" t="str">
            <v>0100183565</v>
          </cell>
          <cell r="D1034" t="str">
            <v>7J237C</v>
          </cell>
          <cell r="E1034">
            <v>2948</v>
          </cell>
          <cell r="F1034">
            <v>43596</v>
          </cell>
          <cell r="G1034" t="str">
            <v>01/29</v>
          </cell>
        </row>
        <row r="1035">
          <cell r="A1035" t="str">
            <v>Y1905-0028</v>
          </cell>
          <cell r="B1035">
            <v>201812</v>
          </cell>
          <cell r="C1035" t="str">
            <v>0100183568</v>
          </cell>
          <cell r="D1035" t="str">
            <v>M9697C</v>
          </cell>
          <cell r="E1035">
            <v>15480</v>
          </cell>
          <cell r="F1035">
            <v>43596</v>
          </cell>
          <cell r="G1035" t="str">
            <v>01/11</v>
          </cell>
        </row>
        <row r="1036">
          <cell r="A1036" t="str">
            <v>Y1904-0003</v>
          </cell>
          <cell r="B1036">
            <v>201811</v>
          </cell>
          <cell r="C1036" t="str">
            <v>0100180057</v>
          </cell>
          <cell r="D1036" t="str">
            <v>164607C</v>
          </cell>
          <cell r="E1036">
            <v>204</v>
          </cell>
          <cell r="F1036">
            <v>43563</v>
          </cell>
          <cell r="G1036" t="str">
            <v>01/18</v>
          </cell>
        </row>
        <row r="1037">
          <cell r="A1037" t="str">
            <v>Y1904-0004</v>
          </cell>
          <cell r="B1037">
            <v>201811</v>
          </cell>
          <cell r="C1037" t="str">
            <v>0100180081</v>
          </cell>
          <cell r="D1037" t="str">
            <v>549700F</v>
          </cell>
          <cell r="E1037">
            <v>804</v>
          </cell>
          <cell r="F1037">
            <v>43560</v>
          </cell>
          <cell r="G1037" t="str">
            <v>01/04</v>
          </cell>
        </row>
        <row r="1038">
          <cell r="A1038" t="str">
            <v>Y1904-0005</v>
          </cell>
          <cell r="B1038">
            <v>201811</v>
          </cell>
          <cell r="C1038" t="str">
            <v>0100180092</v>
          </cell>
          <cell r="D1038">
            <v>88871</v>
          </cell>
          <cell r="E1038">
            <v>600</v>
          </cell>
          <cell r="F1038">
            <v>43568</v>
          </cell>
          <cell r="G1038" t="str">
            <v>01/04</v>
          </cell>
        </row>
        <row r="1039">
          <cell r="A1039" t="str">
            <v>Y1904-0006</v>
          </cell>
          <cell r="B1039">
            <v>201811</v>
          </cell>
          <cell r="C1039" t="str">
            <v>0100180093</v>
          </cell>
          <cell r="D1039">
            <v>81229</v>
          </cell>
          <cell r="E1039">
            <v>600</v>
          </cell>
          <cell r="F1039">
            <v>43570</v>
          </cell>
          <cell r="G1039" t="str">
            <v>01/04</v>
          </cell>
        </row>
        <row r="1040">
          <cell r="A1040" t="str">
            <v>Y1904-0007</v>
          </cell>
          <cell r="B1040">
            <v>201811</v>
          </cell>
          <cell r="C1040" t="str">
            <v>4600066160</v>
          </cell>
          <cell r="D1040" t="str">
            <v>164221C</v>
          </cell>
          <cell r="E1040">
            <v>120</v>
          </cell>
          <cell r="F1040">
            <v>43556</v>
          </cell>
          <cell r="G1040" t="str">
            <v>01/04</v>
          </cell>
        </row>
        <row r="1041">
          <cell r="A1041" t="str">
            <v>Y1904-0008</v>
          </cell>
          <cell r="B1041">
            <v>201811</v>
          </cell>
          <cell r="C1041" t="str">
            <v>4600066161</v>
          </cell>
          <cell r="D1041" t="str">
            <v>164223C</v>
          </cell>
          <cell r="E1041">
            <v>120</v>
          </cell>
          <cell r="F1041">
            <v>43556</v>
          </cell>
          <cell r="G1041" t="str">
            <v>01/04</v>
          </cell>
        </row>
        <row r="1042">
          <cell r="A1042" t="str">
            <v>Y1904-0001</v>
          </cell>
          <cell r="B1042">
            <v>201811</v>
          </cell>
          <cell r="C1042" t="str">
            <v>4600066174</v>
          </cell>
          <cell r="D1042" t="str">
            <v>165599C</v>
          </cell>
          <cell r="E1042">
            <v>132</v>
          </cell>
          <cell r="F1042">
            <v>43557</v>
          </cell>
          <cell r="G1042" t="str">
            <v>01/22</v>
          </cell>
        </row>
        <row r="1043">
          <cell r="A1043" t="str">
            <v>Y1904-0002</v>
          </cell>
          <cell r="B1043">
            <v>201811</v>
          </cell>
          <cell r="C1043" t="str">
            <v>4600066175</v>
          </cell>
          <cell r="D1043" t="str">
            <v>165598C</v>
          </cell>
          <cell r="E1043">
            <v>132</v>
          </cell>
          <cell r="F1043">
            <v>43557</v>
          </cell>
          <cell r="G1043" t="str">
            <v>01/22</v>
          </cell>
        </row>
        <row r="1044">
          <cell r="A1044" t="str">
            <v>Y1904-0009</v>
          </cell>
          <cell r="B1044">
            <v>201811</v>
          </cell>
          <cell r="C1044" t="str">
            <v>4600066202</v>
          </cell>
          <cell r="D1044" t="str">
            <v>164025C</v>
          </cell>
          <cell r="E1044">
            <v>84</v>
          </cell>
          <cell r="F1044">
            <v>43558</v>
          </cell>
          <cell r="G1044" t="str">
            <v>01/22</v>
          </cell>
        </row>
        <row r="1045">
          <cell r="A1045" t="str">
            <v>Y1904-0010</v>
          </cell>
          <cell r="B1045">
            <v>201811</v>
          </cell>
          <cell r="C1045" t="str">
            <v>4600066203</v>
          </cell>
          <cell r="D1045" t="str">
            <v>164026C</v>
          </cell>
          <cell r="E1045">
            <v>84</v>
          </cell>
          <cell r="F1045">
            <v>43558</v>
          </cell>
          <cell r="G1045" t="str">
            <v>01/22</v>
          </cell>
        </row>
        <row r="1046">
          <cell r="A1046" t="str">
            <v>Y1904-0011</v>
          </cell>
          <cell r="B1046">
            <v>201811</v>
          </cell>
          <cell r="C1046" t="str">
            <v>4600066254</v>
          </cell>
          <cell r="D1046" t="str">
            <v>164221C</v>
          </cell>
          <cell r="E1046">
            <v>660</v>
          </cell>
          <cell r="F1046">
            <v>43556</v>
          </cell>
          <cell r="G1046" t="str">
            <v>01/04</v>
          </cell>
        </row>
        <row r="1047">
          <cell r="A1047" t="str">
            <v>Y1904-0012</v>
          </cell>
          <cell r="B1047">
            <v>201811</v>
          </cell>
          <cell r="C1047" t="str">
            <v>4600066255</v>
          </cell>
          <cell r="D1047" t="str">
            <v>164223C</v>
          </cell>
          <cell r="E1047">
            <v>384</v>
          </cell>
          <cell r="F1047">
            <v>43556</v>
          </cell>
          <cell r="G1047" t="str">
            <v>01/04</v>
          </cell>
        </row>
        <row r="1048">
          <cell r="A1048" t="str">
            <v>Y1904-0013</v>
          </cell>
          <cell r="B1048">
            <v>201811</v>
          </cell>
          <cell r="C1048" t="str">
            <v>4600066258</v>
          </cell>
          <cell r="D1048" t="str">
            <v>164026C</v>
          </cell>
          <cell r="E1048">
            <v>174</v>
          </cell>
          <cell r="F1048">
            <v>43556</v>
          </cell>
          <cell r="G1048" t="str">
            <v>01/22</v>
          </cell>
        </row>
        <row r="1049">
          <cell r="A1049" t="str">
            <v>Y1904-0014</v>
          </cell>
          <cell r="B1049">
            <v>201811</v>
          </cell>
          <cell r="C1049" t="str">
            <v>4600066267</v>
          </cell>
          <cell r="D1049" t="str">
            <v>164025C</v>
          </cell>
          <cell r="E1049">
            <v>173</v>
          </cell>
          <cell r="F1049">
            <v>43556</v>
          </cell>
          <cell r="G1049" t="str">
            <v>01/22</v>
          </cell>
        </row>
        <row r="1050">
          <cell r="A1050" t="str">
            <v>Y1902-0656</v>
          </cell>
          <cell r="B1050">
            <v>201811</v>
          </cell>
          <cell r="C1050" t="str">
            <v>4600066671</v>
          </cell>
          <cell r="D1050" t="str">
            <v>159627C</v>
          </cell>
          <cell r="E1050">
            <v>1944</v>
          </cell>
          <cell r="F1050">
            <v>43556</v>
          </cell>
          <cell r="G1050" t="str">
            <v>01/02</v>
          </cell>
        </row>
        <row r="1051">
          <cell r="A1051" t="str">
            <v>Y1902-0657</v>
          </cell>
          <cell r="B1051">
            <v>201811</v>
          </cell>
          <cell r="C1051" t="str">
            <v>4600066672</v>
          </cell>
          <cell r="D1051" t="str">
            <v>160481C</v>
          </cell>
          <cell r="E1051">
            <v>1332</v>
          </cell>
          <cell r="F1051">
            <v>43556</v>
          </cell>
          <cell r="G1051" t="str">
            <v>OK</v>
          </cell>
        </row>
        <row r="1052">
          <cell r="A1052" t="str">
            <v>Y1904-0015</v>
          </cell>
          <cell r="B1052">
            <v>201811</v>
          </cell>
          <cell r="C1052" t="str">
            <v>4600066673</v>
          </cell>
          <cell r="D1052" t="str">
            <v>160484C</v>
          </cell>
          <cell r="E1052">
            <v>1200</v>
          </cell>
          <cell r="F1052">
            <v>43556</v>
          </cell>
          <cell r="G1052" t="str">
            <v>OK</v>
          </cell>
        </row>
        <row r="1053">
          <cell r="A1053" t="str">
            <v>Y1902-0658</v>
          </cell>
          <cell r="B1053">
            <v>201811</v>
          </cell>
          <cell r="C1053" t="str">
            <v>4600066674</v>
          </cell>
          <cell r="D1053" t="str">
            <v>159628C</v>
          </cell>
          <cell r="E1053">
            <v>1320</v>
          </cell>
          <cell r="F1053">
            <v>43556</v>
          </cell>
          <cell r="G1053" t="str">
            <v>OK</v>
          </cell>
        </row>
        <row r="1054">
          <cell r="A1054" t="str">
            <v>Y1904-0016</v>
          </cell>
          <cell r="B1054">
            <v>201811</v>
          </cell>
          <cell r="C1054" t="str">
            <v>4600066675</v>
          </cell>
          <cell r="D1054" t="str">
            <v>160480C</v>
          </cell>
          <cell r="E1054">
            <v>720</v>
          </cell>
          <cell r="F1054">
            <v>43556</v>
          </cell>
          <cell r="G1054" t="str">
            <v>OK</v>
          </cell>
        </row>
        <row r="1055">
          <cell r="A1055" t="str">
            <v>Y1904-0017</v>
          </cell>
          <cell r="B1055">
            <v>201811</v>
          </cell>
          <cell r="C1055" t="str">
            <v>4600066676</v>
          </cell>
          <cell r="D1055" t="str">
            <v>162378C</v>
          </cell>
          <cell r="E1055">
            <v>1080</v>
          </cell>
          <cell r="F1055">
            <v>43556</v>
          </cell>
          <cell r="G1055" t="str">
            <v>OK</v>
          </cell>
        </row>
        <row r="1056">
          <cell r="A1056" t="str">
            <v>Y1904-0018</v>
          </cell>
          <cell r="B1056">
            <v>201811</v>
          </cell>
          <cell r="C1056" t="str">
            <v>4600066677</v>
          </cell>
          <cell r="D1056" t="str">
            <v>160483C</v>
          </cell>
          <cell r="E1056">
            <v>240</v>
          </cell>
          <cell r="F1056">
            <v>43556</v>
          </cell>
          <cell r="G1056" t="str">
            <v>01/04</v>
          </cell>
        </row>
        <row r="1057">
          <cell r="A1057" t="str">
            <v>Y1902-0659</v>
          </cell>
          <cell r="B1057">
            <v>201811</v>
          </cell>
          <cell r="C1057" t="str">
            <v>4600066678</v>
          </cell>
          <cell r="D1057" t="str">
            <v>159628C</v>
          </cell>
          <cell r="E1057">
            <v>480</v>
          </cell>
          <cell r="F1057">
            <v>43556</v>
          </cell>
          <cell r="G1057" t="str">
            <v>OK</v>
          </cell>
        </row>
        <row r="1058">
          <cell r="A1058" t="str">
            <v>Y1904-0019</v>
          </cell>
          <cell r="B1058">
            <v>201811</v>
          </cell>
          <cell r="C1058" t="str">
            <v>4600066679</v>
          </cell>
          <cell r="D1058" t="str">
            <v>160480C</v>
          </cell>
          <cell r="E1058">
            <v>192</v>
          </cell>
          <cell r="F1058">
            <v>43556</v>
          </cell>
          <cell r="G1058" t="str">
            <v>OK</v>
          </cell>
        </row>
        <row r="1059">
          <cell r="A1059" t="str">
            <v>Y1904-0020</v>
          </cell>
          <cell r="B1059">
            <v>201811</v>
          </cell>
          <cell r="C1059" t="str">
            <v>4600066680</v>
          </cell>
          <cell r="D1059" t="str">
            <v>162378C</v>
          </cell>
          <cell r="E1059">
            <v>720</v>
          </cell>
          <cell r="F1059">
            <v>43556</v>
          </cell>
          <cell r="G1059" t="str">
            <v>OK</v>
          </cell>
        </row>
        <row r="1060">
          <cell r="A1060" t="str">
            <v>Y1904-0021</v>
          </cell>
          <cell r="B1060">
            <v>201811</v>
          </cell>
          <cell r="C1060" t="str">
            <v>4600066681</v>
          </cell>
          <cell r="D1060" t="str">
            <v>160484C</v>
          </cell>
          <cell r="E1060">
            <v>240</v>
          </cell>
          <cell r="F1060">
            <v>43556</v>
          </cell>
          <cell r="G1060" t="str">
            <v>OK</v>
          </cell>
        </row>
        <row r="1061">
          <cell r="A1061" t="str">
            <v>Y1902-0660</v>
          </cell>
          <cell r="B1061">
            <v>201811</v>
          </cell>
          <cell r="C1061" t="str">
            <v>4600066682</v>
          </cell>
          <cell r="D1061" t="str">
            <v>159627C</v>
          </cell>
          <cell r="E1061">
            <v>1020</v>
          </cell>
          <cell r="F1061">
            <v>43556</v>
          </cell>
          <cell r="G1061" t="str">
            <v>01/02</v>
          </cell>
        </row>
        <row r="1062">
          <cell r="A1062" t="str">
            <v>Y1902-0661</v>
          </cell>
          <cell r="B1062">
            <v>201811</v>
          </cell>
          <cell r="C1062" t="str">
            <v>4600066683</v>
          </cell>
          <cell r="D1062" t="str">
            <v>160481C</v>
          </cell>
          <cell r="E1062">
            <v>504</v>
          </cell>
          <cell r="F1062">
            <v>43556</v>
          </cell>
          <cell r="G1062" t="str">
            <v>OK</v>
          </cell>
        </row>
        <row r="1063">
          <cell r="A1063" t="str">
            <v>Y1902-0662</v>
          </cell>
          <cell r="B1063">
            <v>201811</v>
          </cell>
          <cell r="C1063" t="str">
            <v>4600066684</v>
          </cell>
          <cell r="D1063" t="str">
            <v>159627C</v>
          </cell>
          <cell r="E1063">
            <v>552</v>
          </cell>
          <cell r="F1063">
            <v>43556</v>
          </cell>
          <cell r="G1063" t="str">
            <v>OK</v>
          </cell>
        </row>
        <row r="1064">
          <cell r="A1064" t="str">
            <v>Y1903-0252</v>
          </cell>
          <cell r="B1064">
            <v>201811</v>
          </cell>
          <cell r="C1064" t="str">
            <v>4600066685</v>
          </cell>
          <cell r="D1064" t="str">
            <v>160484C</v>
          </cell>
          <cell r="E1064">
            <v>252</v>
          </cell>
          <cell r="F1064">
            <v>43556</v>
          </cell>
          <cell r="G1064" t="str">
            <v>OK</v>
          </cell>
        </row>
        <row r="1065">
          <cell r="A1065" t="str">
            <v>Y1903-0253</v>
          </cell>
          <cell r="B1065">
            <v>201811</v>
          </cell>
          <cell r="C1065" t="str">
            <v>4600066686</v>
          </cell>
          <cell r="D1065" t="str">
            <v>159631C</v>
          </cell>
          <cell r="E1065">
            <v>216</v>
          </cell>
          <cell r="F1065">
            <v>43556</v>
          </cell>
          <cell r="G1065" t="str">
            <v>OK</v>
          </cell>
        </row>
        <row r="1066">
          <cell r="A1066" t="str">
            <v>Y1903-0254</v>
          </cell>
          <cell r="B1066">
            <v>201811</v>
          </cell>
          <cell r="C1066" t="str">
            <v>4600066687</v>
          </cell>
          <cell r="D1066" t="str">
            <v>160483C</v>
          </cell>
          <cell r="E1066">
            <v>216</v>
          </cell>
          <cell r="F1066">
            <v>43556</v>
          </cell>
          <cell r="G1066" t="str">
            <v>01/04</v>
          </cell>
        </row>
        <row r="1067">
          <cell r="A1067" t="str">
            <v>Y1903-0255</v>
          </cell>
          <cell r="B1067">
            <v>201811</v>
          </cell>
          <cell r="C1067" t="str">
            <v>4600066688</v>
          </cell>
          <cell r="D1067" t="str">
            <v>159628C</v>
          </cell>
          <cell r="E1067">
            <v>180</v>
          </cell>
          <cell r="F1067">
            <v>43556</v>
          </cell>
          <cell r="G1067" t="str">
            <v>OK</v>
          </cell>
        </row>
        <row r="1068">
          <cell r="A1068" t="str">
            <v>Y1903-0256</v>
          </cell>
          <cell r="B1068">
            <v>201811</v>
          </cell>
          <cell r="C1068" t="str">
            <v>4600066689</v>
          </cell>
          <cell r="D1068" t="str">
            <v>160480C</v>
          </cell>
          <cell r="E1068">
            <v>252</v>
          </cell>
          <cell r="F1068">
            <v>43556</v>
          </cell>
          <cell r="G1068" t="str">
            <v>OK</v>
          </cell>
        </row>
        <row r="1069">
          <cell r="A1069" t="str">
            <v>Y1903-0257</v>
          </cell>
          <cell r="B1069">
            <v>201811</v>
          </cell>
          <cell r="C1069" t="str">
            <v>4600066690</v>
          </cell>
          <cell r="D1069" t="str">
            <v>162378C</v>
          </cell>
          <cell r="E1069">
            <v>216</v>
          </cell>
          <cell r="F1069">
            <v>43556</v>
          </cell>
          <cell r="G1069" t="str">
            <v>OK</v>
          </cell>
        </row>
        <row r="1070">
          <cell r="A1070" t="str">
            <v>Y1904-0022</v>
          </cell>
          <cell r="B1070">
            <v>201811</v>
          </cell>
          <cell r="C1070" t="str">
            <v>4600066693</v>
          </cell>
          <cell r="D1070" t="str">
            <v>160483C</v>
          </cell>
          <cell r="E1070">
            <v>1200</v>
          </cell>
          <cell r="F1070">
            <v>43556</v>
          </cell>
          <cell r="G1070" t="str">
            <v>01/04</v>
          </cell>
        </row>
        <row r="1071">
          <cell r="A1071" t="str">
            <v>Y1903-0071</v>
          </cell>
          <cell r="B1071">
            <v>201810</v>
          </cell>
          <cell r="C1071" t="str">
            <v>4600064604</v>
          </cell>
          <cell r="D1071" t="str">
            <v>164361C</v>
          </cell>
          <cell r="E1071">
            <v>672</v>
          </cell>
          <cell r="F1071">
            <v>43577</v>
          </cell>
          <cell r="G1071" t="str">
            <v>OK</v>
          </cell>
        </row>
        <row r="1072">
          <cell r="A1072" t="str">
            <v>Y1903-0081</v>
          </cell>
          <cell r="B1072">
            <v>201810</v>
          </cell>
          <cell r="C1072" t="str">
            <v>4600064621</v>
          </cell>
          <cell r="D1072" t="str">
            <v>164362C</v>
          </cell>
          <cell r="E1072">
            <v>372</v>
          </cell>
          <cell r="F1072">
            <v>43577</v>
          </cell>
          <cell r="G1072" t="str">
            <v>OK</v>
          </cell>
        </row>
        <row r="1073">
          <cell r="A1073" t="str">
            <v>Y1903-0082</v>
          </cell>
          <cell r="B1073">
            <v>201810</v>
          </cell>
          <cell r="C1073" t="str">
            <v>4600064622</v>
          </cell>
          <cell r="D1073" t="str">
            <v>164359C</v>
          </cell>
          <cell r="E1073">
            <v>168</v>
          </cell>
          <cell r="F1073">
            <v>43577</v>
          </cell>
          <cell r="G1073" t="str">
            <v>OK</v>
          </cell>
        </row>
        <row r="1074">
          <cell r="A1074" t="str">
            <v>Y1903-0083</v>
          </cell>
          <cell r="B1074">
            <v>201810</v>
          </cell>
          <cell r="C1074" t="str">
            <v>4600064623</v>
          </cell>
          <cell r="D1074" t="str">
            <v>164359C</v>
          </cell>
          <cell r="E1074">
            <v>660</v>
          </cell>
          <cell r="F1074">
            <v>43577</v>
          </cell>
          <cell r="G1074" t="str">
            <v>OK</v>
          </cell>
        </row>
        <row r="1075">
          <cell r="A1075" t="str">
            <v>Y1903-0084</v>
          </cell>
          <cell r="B1075">
            <v>201810</v>
          </cell>
          <cell r="C1075" t="str">
            <v>4600064624</v>
          </cell>
          <cell r="D1075" t="str">
            <v>164361C</v>
          </cell>
          <cell r="E1075">
            <v>180</v>
          </cell>
          <cell r="F1075">
            <v>43577</v>
          </cell>
          <cell r="G1075" t="str">
            <v>OK</v>
          </cell>
        </row>
        <row r="1076">
          <cell r="A1076" t="str">
            <v>Y1903-0085</v>
          </cell>
          <cell r="B1076">
            <v>201810</v>
          </cell>
          <cell r="C1076" t="str">
            <v>4600064625</v>
          </cell>
          <cell r="D1076" t="str">
            <v>364170C</v>
          </cell>
          <cell r="E1076">
            <v>420</v>
          </cell>
          <cell r="F1076">
            <v>43560</v>
          </cell>
          <cell r="G1076" t="str">
            <v>OK</v>
          </cell>
        </row>
        <row r="1077">
          <cell r="A1077" t="str">
            <v>Y1903-0086</v>
          </cell>
          <cell r="B1077">
            <v>201810</v>
          </cell>
          <cell r="C1077" t="str">
            <v>4600064626</v>
          </cell>
          <cell r="D1077" t="str">
            <v>364170C</v>
          </cell>
          <cell r="E1077">
            <v>144</v>
          </cell>
          <cell r="F1077">
            <v>43560</v>
          </cell>
          <cell r="G1077" t="str">
            <v>OK</v>
          </cell>
        </row>
        <row r="1078">
          <cell r="A1078" t="str">
            <v>Y1903-0087</v>
          </cell>
          <cell r="B1078">
            <v>201810</v>
          </cell>
          <cell r="C1078" t="str">
            <v>4600064627</v>
          </cell>
          <cell r="D1078" t="str">
            <v>364169C</v>
          </cell>
          <cell r="E1078">
            <v>144</v>
          </cell>
          <cell r="F1078">
            <v>43560</v>
          </cell>
          <cell r="G1078" t="str">
            <v>OK</v>
          </cell>
        </row>
        <row r="1079">
          <cell r="A1079" t="str">
            <v>Y1903-0088</v>
          </cell>
          <cell r="B1079">
            <v>201810</v>
          </cell>
          <cell r="C1079" t="str">
            <v>4600064628</v>
          </cell>
          <cell r="D1079" t="str">
            <v>364169C</v>
          </cell>
          <cell r="E1079">
            <v>408</v>
          </cell>
          <cell r="F1079">
            <v>43560</v>
          </cell>
          <cell r="G1079" t="str">
            <v>OK</v>
          </cell>
        </row>
        <row r="1080">
          <cell r="A1080" t="str">
            <v>Y1903-0090</v>
          </cell>
          <cell r="B1080">
            <v>201810</v>
          </cell>
          <cell r="C1080" t="str">
            <v>4600064630</v>
          </cell>
          <cell r="D1080" t="str">
            <v>164362C</v>
          </cell>
          <cell r="E1080">
            <v>132</v>
          </cell>
          <cell r="F1080">
            <v>43577</v>
          </cell>
          <cell r="G1080" t="str">
            <v>OK</v>
          </cell>
        </row>
        <row r="1081">
          <cell r="A1081" t="str">
            <v>Y1903-0094</v>
          </cell>
          <cell r="B1081">
            <v>201810</v>
          </cell>
          <cell r="C1081" t="str">
            <v>4600064634</v>
          </cell>
          <cell r="D1081" t="str">
            <v>564207C</v>
          </cell>
          <cell r="E1081">
            <v>672</v>
          </cell>
          <cell r="F1081">
            <v>43577</v>
          </cell>
          <cell r="G1081" t="str">
            <v>OK</v>
          </cell>
        </row>
        <row r="1082">
          <cell r="A1082" t="str">
            <v>Y1903-0095</v>
          </cell>
          <cell r="B1082">
            <v>201810</v>
          </cell>
          <cell r="C1082" t="str">
            <v>4600064635</v>
          </cell>
          <cell r="D1082" t="str">
            <v>564206C</v>
          </cell>
          <cell r="E1082">
            <v>168</v>
          </cell>
          <cell r="F1082">
            <v>43577</v>
          </cell>
          <cell r="G1082" t="str">
            <v>OK</v>
          </cell>
        </row>
        <row r="1083">
          <cell r="A1083" t="str">
            <v>Y1903-0096</v>
          </cell>
          <cell r="B1083">
            <v>201810</v>
          </cell>
          <cell r="C1083" t="str">
            <v>4600064636</v>
          </cell>
          <cell r="D1083" t="str">
            <v>564205C</v>
          </cell>
          <cell r="E1083">
            <v>168</v>
          </cell>
          <cell r="F1083">
            <v>43577</v>
          </cell>
          <cell r="G1083" t="str">
            <v>OK</v>
          </cell>
        </row>
        <row r="1084">
          <cell r="A1084" t="str">
            <v>Y1903-0097</v>
          </cell>
          <cell r="B1084">
            <v>201810</v>
          </cell>
          <cell r="C1084" t="str">
            <v>4600064637</v>
          </cell>
          <cell r="D1084" t="str">
            <v>564205C</v>
          </cell>
          <cell r="E1084">
            <v>684</v>
          </cell>
          <cell r="F1084">
            <v>43577</v>
          </cell>
          <cell r="G1084" t="str">
            <v>OK</v>
          </cell>
        </row>
        <row r="1085">
          <cell r="A1085" t="str">
            <v>Y1903-0098</v>
          </cell>
          <cell r="B1085">
            <v>201810</v>
          </cell>
          <cell r="C1085" t="str">
            <v>4600064638</v>
          </cell>
          <cell r="D1085" t="str">
            <v>564154C</v>
          </cell>
          <cell r="E1085">
            <v>792</v>
          </cell>
          <cell r="F1085">
            <v>43577</v>
          </cell>
          <cell r="G1085" t="str">
            <v>OK</v>
          </cell>
        </row>
        <row r="1086">
          <cell r="A1086" t="str">
            <v>Y1903-0099</v>
          </cell>
          <cell r="B1086">
            <v>201810</v>
          </cell>
          <cell r="C1086" t="str">
            <v>4600064639</v>
          </cell>
          <cell r="D1086" t="str">
            <v>564153C</v>
          </cell>
          <cell r="E1086">
            <v>120</v>
          </cell>
          <cell r="F1086">
            <v>43577</v>
          </cell>
          <cell r="G1086" t="str">
            <v>OK</v>
          </cell>
        </row>
        <row r="1087">
          <cell r="A1087" t="str">
            <v>Y1903-0100</v>
          </cell>
          <cell r="B1087">
            <v>201810</v>
          </cell>
          <cell r="C1087" t="str">
            <v>4600064640</v>
          </cell>
          <cell r="D1087" t="str">
            <v>564207C</v>
          </cell>
          <cell r="E1087">
            <v>168</v>
          </cell>
          <cell r="F1087">
            <v>43577</v>
          </cell>
          <cell r="G1087" t="str">
            <v>OK</v>
          </cell>
        </row>
        <row r="1088">
          <cell r="A1088" t="str">
            <v>Y1903-0101</v>
          </cell>
          <cell r="B1088">
            <v>201810</v>
          </cell>
          <cell r="C1088" t="str">
            <v>4600064641</v>
          </cell>
          <cell r="D1088" t="str">
            <v>564206C</v>
          </cell>
          <cell r="E1088">
            <v>672</v>
          </cell>
          <cell r="F1088">
            <v>43577</v>
          </cell>
          <cell r="G1088" t="str">
            <v>OK</v>
          </cell>
        </row>
        <row r="1089">
          <cell r="A1089" t="str">
            <v>Y1903-0102</v>
          </cell>
          <cell r="B1089">
            <v>201810</v>
          </cell>
          <cell r="C1089" t="str">
            <v>4600064642</v>
          </cell>
          <cell r="D1089" t="str">
            <v>564204C</v>
          </cell>
          <cell r="E1089">
            <v>168</v>
          </cell>
          <cell r="F1089">
            <v>43577</v>
          </cell>
          <cell r="G1089" t="str">
            <v>OK</v>
          </cell>
        </row>
        <row r="1090">
          <cell r="A1090" t="str">
            <v>Y1903-0103</v>
          </cell>
          <cell r="B1090">
            <v>201810</v>
          </cell>
          <cell r="C1090" t="str">
            <v>4600064643</v>
          </cell>
          <cell r="D1090" t="str">
            <v>564204C</v>
          </cell>
          <cell r="E1090">
            <v>684</v>
          </cell>
          <cell r="F1090">
            <v>43577</v>
          </cell>
          <cell r="G1090" t="str">
            <v>OK</v>
          </cell>
        </row>
        <row r="1091">
          <cell r="A1091" t="str">
            <v>Y1903-0104</v>
          </cell>
          <cell r="B1091">
            <v>201810</v>
          </cell>
          <cell r="C1091" t="str">
            <v>4600064644</v>
          </cell>
          <cell r="D1091" t="str">
            <v>564154C</v>
          </cell>
          <cell r="E1091">
            <v>204</v>
          </cell>
          <cell r="F1091">
            <v>43577</v>
          </cell>
          <cell r="G1091" t="str">
            <v>OK</v>
          </cell>
        </row>
        <row r="1092">
          <cell r="A1092" t="str">
            <v>Y1903-0105</v>
          </cell>
          <cell r="B1092">
            <v>201810</v>
          </cell>
          <cell r="C1092" t="str">
            <v>4600064645</v>
          </cell>
          <cell r="D1092" t="str">
            <v>564153C</v>
          </cell>
          <cell r="E1092">
            <v>408</v>
          </cell>
          <cell r="F1092">
            <v>43577</v>
          </cell>
          <cell r="G1092" t="str">
            <v>OK</v>
          </cell>
        </row>
        <row r="1093">
          <cell r="A1093" t="str">
            <v>Y1903-0106</v>
          </cell>
          <cell r="B1093">
            <v>201810</v>
          </cell>
          <cell r="C1093" t="str">
            <v>4600064646</v>
          </cell>
          <cell r="D1093" t="str">
            <v>564152C</v>
          </cell>
          <cell r="E1093">
            <v>204</v>
          </cell>
          <cell r="F1093">
            <v>43577</v>
          </cell>
          <cell r="G1093" t="str">
            <v>OK</v>
          </cell>
        </row>
        <row r="1094">
          <cell r="A1094" t="str">
            <v>Y1903-0107</v>
          </cell>
          <cell r="B1094">
            <v>201810</v>
          </cell>
          <cell r="C1094" t="str">
            <v>4600064647</v>
          </cell>
          <cell r="D1094" t="str">
            <v>564152C</v>
          </cell>
          <cell r="E1094">
            <v>816</v>
          </cell>
          <cell r="F1094">
            <v>43577</v>
          </cell>
          <cell r="G1094" t="str">
            <v>OK</v>
          </cell>
        </row>
        <row r="1095">
          <cell r="A1095" t="str">
            <v>Y1904-0023</v>
          </cell>
          <cell r="B1095">
            <v>201812</v>
          </cell>
          <cell r="C1095" t="str">
            <v>0100182274</v>
          </cell>
          <cell r="D1095" t="str">
            <v>3J253C</v>
          </cell>
          <cell r="E1095">
            <v>528</v>
          </cell>
          <cell r="F1095">
            <v>43568</v>
          </cell>
          <cell r="G1095" t="str">
            <v>01/08</v>
          </cell>
        </row>
        <row r="1096">
          <cell r="A1096" t="str">
            <v>Y1904-0024</v>
          </cell>
          <cell r="B1096">
            <v>201812</v>
          </cell>
          <cell r="C1096" t="str">
            <v>0100182275</v>
          </cell>
          <cell r="D1096" t="str">
            <v>3J253C</v>
          </cell>
          <cell r="E1096">
            <v>432</v>
          </cell>
          <cell r="F1096">
            <v>43583</v>
          </cell>
          <cell r="G1096" t="str">
            <v>01/08</v>
          </cell>
        </row>
        <row r="1097">
          <cell r="A1097" t="str">
            <v>Y1904-0025</v>
          </cell>
          <cell r="B1097">
            <v>201812</v>
          </cell>
          <cell r="C1097" t="str">
            <v>0100182276</v>
          </cell>
          <cell r="D1097" t="str">
            <v>3J231C</v>
          </cell>
          <cell r="E1097">
            <v>504</v>
          </cell>
          <cell r="F1097">
            <v>43567</v>
          </cell>
          <cell r="G1097" t="str">
            <v>02/12</v>
          </cell>
        </row>
        <row r="1098">
          <cell r="A1098" t="str">
            <v>Y1904-0026</v>
          </cell>
          <cell r="B1098">
            <v>201812</v>
          </cell>
          <cell r="C1098" t="str">
            <v>0100182277</v>
          </cell>
          <cell r="D1098" t="str">
            <v>M9696C</v>
          </cell>
          <cell r="E1098">
            <v>696</v>
          </cell>
          <cell r="F1098">
            <v>43567</v>
          </cell>
          <cell r="G1098" t="str">
            <v>01/09</v>
          </cell>
        </row>
        <row r="1099">
          <cell r="A1099" t="str">
            <v>Y1904-0027</v>
          </cell>
          <cell r="B1099">
            <v>201812</v>
          </cell>
          <cell r="C1099" t="str">
            <v>0100182278</v>
          </cell>
          <cell r="D1099" t="str">
            <v>M9621C</v>
          </cell>
          <cell r="E1099">
            <v>732</v>
          </cell>
          <cell r="F1099">
            <v>43567</v>
          </cell>
          <cell r="G1099" t="str">
            <v>01/29</v>
          </cell>
        </row>
        <row r="1100">
          <cell r="A1100" t="str">
            <v>Y1904-0028</v>
          </cell>
          <cell r="B1100">
            <v>201812</v>
          </cell>
          <cell r="C1100" t="str">
            <v>0100182279</v>
          </cell>
          <cell r="D1100" t="str">
            <v>7J233C</v>
          </cell>
          <cell r="E1100">
            <v>432</v>
          </cell>
          <cell r="F1100">
            <v>43567</v>
          </cell>
          <cell r="G1100" t="str">
            <v>02/15</v>
          </cell>
        </row>
        <row r="1101">
          <cell r="A1101" t="str">
            <v>Y1904-0029</v>
          </cell>
          <cell r="B1101">
            <v>201812</v>
          </cell>
          <cell r="C1101" t="str">
            <v>0100182280</v>
          </cell>
          <cell r="D1101" t="str">
            <v>7J231C</v>
          </cell>
          <cell r="E1101">
            <v>432</v>
          </cell>
          <cell r="F1101">
            <v>43567</v>
          </cell>
          <cell r="G1101" t="str">
            <v>02/15</v>
          </cell>
        </row>
        <row r="1102">
          <cell r="A1102" t="str">
            <v>Y1904-0030</v>
          </cell>
          <cell r="B1102">
            <v>201812</v>
          </cell>
          <cell r="C1102" t="str">
            <v>0100182281</v>
          </cell>
          <cell r="D1102" t="str">
            <v>7J236C</v>
          </cell>
          <cell r="E1102">
            <v>480</v>
          </cell>
          <cell r="F1102">
            <v>43567</v>
          </cell>
          <cell r="G1102" t="str">
            <v>01/09</v>
          </cell>
        </row>
        <row r="1103">
          <cell r="A1103" t="str">
            <v>Y1904-0031</v>
          </cell>
          <cell r="B1103">
            <v>201812</v>
          </cell>
          <cell r="C1103" t="str">
            <v>0100182282</v>
          </cell>
          <cell r="D1103" t="str">
            <v>7J237C</v>
          </cell>
          <cell r="E1103">
            <v>720</v>
          </cell>
          <cell r="F1103">
            <v>43567</v>
          </cell>
          <cell r="G1103" t="str">
            <v>01/09</v>
          </cell>
        </row>
        <row r="1104">
          <cell r="A1104" t="str">
            <v>Y1904-0032</v>
          </cell>
          <cell r="B1104">
            <v>201812</v>
          </cell>
          <cell r="C1104" t="str">
            <v>0100182283</v>
          </cell>
          <cell r="D1104" t="str">
            <v>7J235C</v>
          </cell>
          <cell r="E1104">
            <v>624</v>
          </cell>
          <cell r="F1104">
            <v>43567</v>
          </cell>
          <cell r="G1104" t="str">
            <v>01/09</v>
          </cell>
        </row>
        <row r="1105">
          <cell r="A1105" t="str">
            <v>Y1904-0033</v>
          </cell>
          <cell r="B1105">
            <v>201812</v>
          </cell>
          <cell r="C1105" t="str">
            <v>0100182284</v>
          </cell>
          <cell r="D1105" t="str">
            <v>3J235C</v>
          </cell>
          <cell r="E1105">
            <v>528</v>
          </cell>
          <cell r="F1105">
            <v>43567</v>
          </cell>
          <cell r="G1105" t="str">
            <v>01/09</v>
          </cell>
        </row>
        <row r="1106">
          <cell r="A1106" t="str">
            <v>Y1904-0034</v>
          </cell>
          <cell r="B1106">
            <v>201812</v>
          </cell>
          <cell r="C1106" t="str">
            <v>0100182285</v>
          </cell>
          <cell r="D1106" t="str">
            <v>7J238C</v>
          </cell>
          <cell r="E1106">
            <v>480</v>
          </cell>
          <cell r="F1106">
            <v>43567</v>
          </cell>
          <cell r="G1106" t="str">
            <v>01/09</v>
          </cell>
        </row>
        <row r="1107">
          <cell r="A1107" t="str">
            <v>Y1904-0035</v>
          </cell>
          <cell r="B1107">
            <v>201812</v>
          </cell>
          <cell r="C1107" t="str">
            <v>0100182294</v>
          </cell>
          <cell r="D1107" t="str">
            <v>M9166</v>
          </cell>
          <cell r="E1107">
            <v>168</v>
          </cell>
          <cell r="F1107">
            <v>43563</v>
          </cell>
          <cell r="G1107" t="str">
            <v>01/09</v>
          </cell>
        </row>
        <row r="1108">
          <cell r="A1108" t="str">
            <v>Y1904-0036</v>
          </cell>
          <cell r="B1108">
            <v>201812</v>
          </cell>
          <cell r="C1108" t="str">
            <v>0100182295</v>
          </cell>
          <cell r="D1108" t="str">
            <v>3J253</v>
          </cell>
          <cell r="E1108">
            <v>204</v>
          </cell>
          <cell r="F1108">
            <v>43563</v>
          </cell>
          <cell r="G1108" t="str">
            <v>01/11</v>
          </cell>
        </row>
        <row r="1109">
          <cell r="A1109" t="str">
            <v>Y1904-0037</v>
          </cell>
          <cell r="B1109">
            <v>201812</v>
          </cell>
          <cell r="C1109" t="str">
            <v>0100182302</v>
          </cell>
          <cell r="D1109" t="str">
            <v>549700F</v>
          </cell>
          <cell r="E1109">
            <v>1386</v>
          </cell>
          <cell r="F1109">
            <v>43560</v>
          </cell>
          <cell r="G1109" t="str">
            <v>01/09</v>
          </cell>
        </row>
        <row r="1110">
          <cell r="A1110" t="str">
            <v>Y1904-0038</v>
          </cell>
          <cell r="B1110">
            <v>201812</v>
          </cell>
          <cell r="C1110" t="str">
            <v>0100182303</v>
          </cell>
          <cell r="D1110" t="str">
            <v>549700F</v>
          </cell>
          <cell r="E1110">
            <v>810</v>
          </cell>
          <cell r="F1110">
            <v>43560</v>
          </cell>
          <cell r="G1110" t="str">
            <v>01/09</v>
          </cell>
        </row>
        <row r="1111">
          <cell r="A1111" t="str">
            <v>Y1904-0039</v>
          </cell>
          <cell r="B1111">
            <v>201812</v>
          </cell>
          <cell r="C1111" t="str">
            <v>0100182312</v>
          </cell>
          <cell r="D1111" t="str">
            <v>7J235</v>
          </cell>
          <cell r="E1111">
            <v>1200</v>
          </cell>
          <cell r="F1111">
            <v>43570</v>
          </cell>
          <cell r="G1111" t="str">
            <v>01/09</v>
          </cell>
        </row>
        <row r="1112">
          <cell r="A1112" t="str">
            <v>Y1904-0040</v>
          </cell>
          <cell r="B1112">
            <v>201812</v>
          </cell>
          <cell r="C1112" t="str">
            <v>0100182314</v>
          </cell>
          <cell r="D1112" t="str">
            <v>7J237</v>
          </cell>
          <cell r="E1112">
            <v>600</v>
          </cell>
          <cell r="F1112">
            <v>43570</v>
          </cell>
          <cell r="G1112" t="str">
            <v>01/09</v>
          </cell>
        </row>
        <row r="1113">
          <cell r="A1113" t="str">
            <v>Y1904-0041</v>
          </cell>
          <cell r="B1113">
            <v>201812</v>
          </cell>
          <cell r="C1113" t="str">
            <v>0100182316</v>
          </cell>
          <cell r="D1113" t="str">
            <v>7J231</v>
          </cell>
          <cell r="E1113">
            <v>972</v>
          </cell>
          <cell r="F1113">
            <v>43576</v>
          </cell>
          <cell r="G1113" t="str">
            <v>01/22</v>
          </cell>
        </row>
        <row r="1114">
          <cell r="A1114" t="str">
            <v>Y1904-0042</v>
          </cell>
          <cell r="B1114">
            <v>201812</v>
          </cell>
          <cell r="C1114" t="str">
            <v>0100182317</v>
          </cell>
          <cell r="D1114" t="str">
            <v>7J237</v>
          </cell>
          <cell r="E1114">
            <v>816</v>
          </cell>
          <cell r="F1114">
            <v>43576</v>
          </cell>
          <cell r="G1114" t="str">
            <v>01/09</v>
          </cell>
        </row>
        <row r="1115">
          <cell r="A1115" t="str">
            <v>Y1904-0043</v>
          </cell>
          <cell r="B1115">
            <v>201812</v>
          </cell>
          <cell r="C1115" t="str">
            <v>0100182318</v>
          </cell>
          <cell r="D1115" t="str">
            <v>3J238</v>
          </cell>
          <cell r="E1115">
            <v>3708</v>
          </cell>
          <cell r="F1115">
            <v>43576</v>
          </cell>
          <cell r="G1115" t="str">
            <v>01/09</v>
          </cell>
        </row>
        <row r="1116">
          <cell r="A1116" t="str">
            <v>Y1904-0044</v>
          </cell>
          <cell r="B1116">
            <v>201812</v>
          </cell>
          <cell r="C1116" t="str">
            <v>0100182319</v>
          </cell>
          <cell r="D1116" t="str">
            <v>7J235</v>
          </cell>
          <cell r="E1116">
            <v>3960</v>
          </cell>
          <cell r="F1116">
            <v>43576</v>
          </cell>
          <cell r="G1116" t="str">
            <v>01/09</v>
          </cell>
        </row>
        <row r="1117">
          <cell r="A1117" t="str">
            <v>Y1904-0045</v>
          </cell>
          <cell r="B1117">
            <v>201812</v>
          </cell>
          <cell r="C1117" t="str">
            <v>0100182325</v>
          </cell>
          <cell r="D1117" t="str">
            <v>107469F</v>
          </cell>
          <cell r="E1117">
            <v>3000</v>
          </cell>
          <cell r="F1117">
            <v>43570</v>
          </cell>
          <cell r="G1117" t="str">
            <v>01/12</v>
          </cell>
        </row>
        <row r="1118">
          <cell r="A1118" t="str">
            <v>Y1904-0046</v>
          </cell>
          <cell r="B1118">
            <v>201812</v>
          </cell>
          <cell r="C1118" t="str">
            <v>0100182336</v>
          </cell>
          <cell r="D1118" t="str">
            <v>3J253</v>
          </cell>
          <cell r="E1118">
            <v>600</v>
          </cell>
          <cell r="F1118">
            <v>43570</v>
          </cell>
          <cell r="G1118" t="str">
            <v>01/11</v>
          </cell>
        </row>
        <row r="1119">
          <cell r="A1119" t="str">
            <v>Y1904-0047</v>
          </cell>
          <cell r="B1119">
            <v>201812</v>
          </cell>
          <cell r="C1119" t="str">
            <v>0100182342</v>
          </cell>
          <cell r="D1119" t="str">
            <v>107469F</v>
          </cell>
          <cell r="E1119">
            <v>4800</v>
          </cell>
          <cell r="F1119">
            <v>43581</v>
          </cell>
          <cell r="G1119" t="str">
            <v>01/12</v>
          </cell>
        </row>
        <row r="1120">
          <cell r="A1120" t="str">
            <v>Y1904-0051</v>
          </cell>
          <cell r="B1120">
            <v>201812</v>
          </cell>
          <cell r="C1120" t="str">
            <v>0100182346</v>
          </cell>
          <cell r="D1120" t="str">
            <v>549700F</v>
          </cell>
          <cell r="E1120">
            <v>360</v>
          </cell>
          <cell r="F1120">
            <v>43573</v>
          </cell>
          <cell r="G1120" t="str">
            <v>01/09</v>
          </cell>
        </row>
        <row r="1121">
          <cell r="A1121" t="str">
            <v>Y1904-0052</v>
          </cell>
          <cell r="B1121">
            <v>201812</v>
          </cell>
          <cell r="C1121" t="str">
            <v>0100182347</v>
          </cell>
          <cell r="D1121" t="str">
            <v>549700F</v>
          </cell>
          <cell r="E1121">
            <v>360</v>
          </cell>
          <cell r="F1121">
            <v>43573</v>
          </cell>
          <cell r="G1121" t="str">
            <v>01/09</v>
          </cell>
        </row>
        <row r="1122">
          <cell r="A1122" t="str">
            <v>Y1904-0053</v>
          </cell>
          <cell r="B1122">
            <v>201812</v>
          </cell>
          <cell r="C1122" t="str">
            <v>0100182349</v>
          </cell>
          <cell r="D1122" t="str">
            <v>549700F</v>
          </cell>
          <cell r="E1122">
            <v>552</v>
          </cell>
          <cell r="F1122">
            <v>43573</v>
          </cell>
          <cell r="G1122" t="str">
            <v>01/09</v>
          </cell>
        </row>
        <row r="1123">
          <cell r="A1123" t="str">
            <v>Y1904-0054</v>
          </cell>
          <cell r="B1123">
            <v>201812</v>
          </cell>
          <cell r="C1123" t="str">
            <v>0100183265</v>
          </cell>
          <cell r="D1123" t="str">
            <v>107469F</v>
          </cell>
          <cell r="E1123">
            <v>3000</v>
          </cell>
          <cell r="F1123">
            <v>43570</v>
          </cell>
          <cell r="G1123" t="str">
            <v>01/07</v>
          </cell>
        </row>
        <row r="1124">
          <cell r="A1124" t="str">
            <v>Y1904-0055</v>
          </cell>
          <cell r="B1124">
            <v>201812</v>
          </cell>
          <cell r="C1124" t="str">
            <v>0100183324</v>
          </cell>
          <cell r="D1124" t="str">
            <v>165743C</v>
          </cell>
          <cell r="E1124">
            <v>44</v>
          </cell>
          <cell r="F1124">
            <v>43560</v>
          </cell>
          <cell r="G1124" t="str">
            <v>01/25</v>
          </cell>
        </row>
        <row r="1125">
          <cell r="A1125" t="str">
            <v>Y1904-0056</v>
          </cell>
          <cell r="B1125">
            <v>201812</v>
          </cell>
          <cell r="C1125" t="str">
            <v>0100183363</v>
          </cell>
          <cell r="D1125" t="str">
            <v>165743C</v>
          </cell>
          <cell r="E1125">
            <v>683</v>
          </cell>
          <cell r="F1125">
            <v>43560</v>
          </cell>
          <cell r="G1125" t="str">
            <v>01/25</v>
          </cell>
        </row>
        <row r="1126">
          <cell r="A1126" t="str">
            <v>Y1904-0057</v>
          </cell>
          <cell r="B1126">
            <v>201812</v>
          </cell>
          <cell r="C1126" t="str">
            <v>0100183445</v>
          </cell>
          <cell r="D1126" t="str">
            <v>164026C</v>
          </cell>
          <cell r="E1126">
            <v>2000</v>
          </cell>
          <cell r="F1126">
            <v>43559</v>
          </cell>
          <cell r="G1126" t="str">
            <v>02/12</v>
          </cell>
        </row>
        <row r="1127">
          <cell r="A1127" t="str">
            <v>Y1904-0058</v>
          </cell>
          <cell r="B1127">
            <v>201812</v>
          </cell>
          <cell r="C1127" t="str">
            <v>0100183464</v>
          </cell>
          <cell r="D1127" t="str">
            <v>M9621C</v>
          </cell>
          <cell r="E1127">
            <v>900</v>
          </cell>
          <cell r="F1127">
            <v>43567</v>
          </cell>
          <cell r="G1127" t="str">
            <v>01/29</v>
          </cell>
        </row>
        <row r="1128">
          <cell r="A1128" t="str">
            <v>Y1904-0059</v>
          </cell>
          <cell r="B1128">
            <v>201812</v>
          </cell>
          <cell r="C1128" t="str">
            <v>0100183489</v>
          </cell>
          <cell r="D1128" t="str">
            <v>M9696C</v>
          </cell>
          <cell r="E1128">
            <v>1224</v>
          </cell>
          <cell r="F1128">
            <v>43567</v>
          </cell>
          <cell r="G1128" t="str">
            <v>01/02</v>
          </cell>
        </row>
        <row r="1129">
          <cell r="A1129" t="str">
            <v>Y1904-0060</v>
          </cell>
          <cell r="B1129">
            <v>201812</v>
          </cell>
          <cell r="C1129" t="str">
            <v>4600066862</v>
          </cell>
          <cell r="D1129" t="str">
            <v>161600C</v>
          </cell>
          <cell r="E1129">
            <v>1800</v>
          </cell>
          <cell r="F1129">
            <v>43556</v>
          </cell>
          <cell r="G1129" t="str">
            <v>01/14</v>
          </cell>
        </row>
        <row r="1130">
          <cell r="A1130" t="str">
            <v>Y1904-0061</v>
          </cell>
          <cell r="B1130">
            <v>201812</v>
          </cell>
          <cell r="C1130" t="str">
            <v>4600066863</v>
          </cell>
          <cell r="D1130" t="str">
            <v>161604C</v>
          </cell>
          <cell r="E1130">
            <v>1200</v>
          </cell>
          <cell r="F1130">
            <v>43556</v>
          </cell>
          <cell r="G1130" t="str">
            <v>01/14</v>
          </cell>
        </row>
        <row r="1131">
          <cell r="A1131" t="str">
            <v>Y1904-0062</v>
          </cell>
          <cell r="B1131">
            <v>201812</v>
          </cell>
          <cell r="C1131" t="str">
            <v>4600066864</v>
          </cell>
          <cell r="D1131" t="str">
            <v>161600C</v>
          </cell>
          <cell r="E1131">
            <v>2160</v>
          </cell>
          <cell r="F1131">
            <v>43577</v>
          </cell>
          <cell r="G1131" t="str">
            <v>01/14</v>
          </cell>
        </row>
        <row r="1132">
          <cell r="A1132" t="str">
            <v>Y1904-0063</v>
          </cell>
          <cell r="B1132">
            <v>201812</v>
          </cell>
          <cell r="C1132" t="str">
            <v>4600066865</v>
          </cell>
          <cell r="D1132" t="str">
            <v>161604C</v>
          </cell>
          <cell r="E1132">
            <v>1800</v>
          </cell>
          <cell r="F1132">
            <v>43577</v>
          </cell>
          <cell r="G1132" t="str">
            <v>01/14</v>
          </cell>
        </row>
        <row r="1133">
          <cell r="A1133" t="str">
            <v>Y1904-0064</v>
          </cell>
          <cell r="B1133">
            <v>201812</v>
          </cell>
          <cell r="C1133" t="str">
            <v>4600066866</v>
          </cell>
          <cell r="D1133" t="str">
            <v>3J233C</v>
          </cell>
          <cell r="E1133">
            <v>324</v>
          </cell>
          <cell r="F1133">
            <v>43563</v>
          </cell>
          <cell r="G1133" t="str">
            <v>02/15</v>
          </cell>
        </row>
        <row r="1134">
          <cell r="A1134" t="str">
            <v>Y1904-0065</v>
          </cell>
          <cell r="B1134">
            <v>201812</v>
          </cell>
          <cell r="C1134" t="str">
            <v>4600066867</v>
          </cell>
          <cell r="D1134" t="str">
            <v>3J234C</v>
          </cell>
          <cell r="E1134">
            <v>624</v>
          </cell>
          <cell r="F1134">
            <v>43563</v>
          </cell>
          <cell r="G1134" t="str">
            <v>01/11</v>
          </cell>
        </row>
        <row r="1135">
          <cell r="A1135" t="str">
            <v>Y1904-0066</v>
          </cell>
          <cell r="B1135">
            <v>201812</v>
          </cell>
          <cell r="C1135" t="str">
            <v>4600066868</v>
          </cell>
          <cell r="D1135" t="str">
            <v>3J235C</v>
          </cell>
          <cell r="E1135">
            <v>5580</v>
          </cell>
          <cell r="F1135">
            <v>43563</v>
          </cell>
          <cell r="G1135" t="str">
            <v>01/09</v>
          </cell>
        </row>
        <row r="1136">
          <cell r="A1136" t="str">
            <v>Y1904-0067</v>
          </cell>
          <cell r="B1136">
            <v>201812</v>
          </cell>
          <cell r="C1136" t="str">
            <v>4600066869</v>
          </cell>
          <cell r="D1136" t="str">
            <v>3J236C</v>
          </cell>
          <cell r="E1136">
            <v>588</v>
          </cell>
          <cell r="F1136">
            <v>43563</v>
          </cell>
          <cell r="G1136" t="str">
            <v>01/09</v>
          </cell>
        </row>
        <row r="1137">
          <cell r="A1137" t="str">
            <v>Y1904-0068</v>
          </cell>
          <cell r="B1137">
            <v>201812</v>
          </cell>
          <cell r="C1137" t="str">
            <v>4600066870</v>
          </cell>
          <cell r="D1137" t="str">
            <v>3J237C</v>
          </cell>
          <cell r="E1137">
            <v>1224</v>
          </cell>
          <cell r="F1137">
            <v>43563</v>
          </cell>
          <cell r="G1137" t="str">
            <v>01/09</v>
          </cell>
        </row>
        <row r="1138">
          <cell r="A1138" t="str">
            <v>Y1904-0069</v>
          </cell>
          <cell r="B1138">
            <v>201812</v>
          </cell>
          <cell r="C1138" t="str">
            <v>4600066871</v>
          </cell>
          <cell r="D1138" t="str">
            <v>3J238C</v>
          </cell>
          <cell r="E1138">
            <v>156</v>
          </cell>
          <cell r="F1138">
            <v>43563</v>
          </cell>
          <cell r="G1138" t="str">
            <v>01/09</v>
          </cell>
        </row>
        <row r="1139">
          <cell r="A1139" t="str">
            <v>Y1904-0070</v>
          </cell>
          <cell r="B1139">
            <v>201812</v>
          </cell>
          <cell r="C1139" t="str">
            <v>4600066872</v>
          </cell>
          <cell r="D1139" t="str">
            <v>3J253C</v>
          </cell>
          <cell r="E1139">
            <v>1212</v>
          </cell>
          <cell r="F1139">
            <v>43563</v>
          </cell>
          <cell r="G1139" t="str">
            <v>01/08</v>
          </cell>
        </row>
        <row r="1140">
          <cell r="A1140" t="str">
            <v>Y1904-0071</v>
          </cell>
          <cell r="B1140">
            <v>201812</v>
          </cell>
          <cell r="C1140" t="str">
            <v>4600066873</v>
          </cell>
          <cell r="D1140" t="str">
            <v>7J231C</v>
          </cell>
          <cell r="E1140">
            <v>864</v>
          </cell>
          <cell r="F1140">
            <v>43556</v>
          </cell>
          <cell r="G1140" t="str">
            <v>02/15</v>
          </cell>
        </row>
        <row r="1141">
          <cell r="A1141" t="str">
            <v>Y1904-0072</v>
          </cell>
          <cell r="B1141">
            <v>201812</v>
          </cell>
          <cell r="C1141" t="str">
            <v>4600066874</v>
          </cell>
          <cell r="D1141" t="str">
            <v>7J232C</v>
          </cell>
          <cell r="E1141">
            <v>4464</v>
          </cell>
          <cell r="F1141">
            <v>43563</v>
          </cell>
          <cell r="G1141" t="str">
            <v>02/15</v>
          </cell>
        </row>
        <row r="1142">
          <cell r="A1142" t="str">
            <v>Y1904-0073</v>
          </cell>
          <cell r="B1142">
            <v>201812</v>
          </cell>
          <cell r="C1142" t="str">
            <v>4600066875</v>
          </cell>
          <cell r="D1142" t="str">
            <v>7J233C</v>
          </cell>
          <cell r="E1142">
            <v>2160</v>
          </cell>
          <cell r="F1142">
            <v>43563</v>
          </cell>
          <cell r="G1142" t="str">
            <v>02/15</v>
          </cell>
        </row>
        <row r="1143">
          <cell r="A1143" t="str">
            <v>Y1904-0074</v>
          </cell>
          <cell r="B1143">
            <v>201812</v>
          </cell>
          <cell r="C1143" t="str">
            <v>4600066876</v>
          </cell>
          <cell r="D1143" t="str">
            <v>7J235C</v>
          </cell>
          <cell r="E1143">
            <v>216</v>
          </cell>
          <cell r="F1143">
            <v>43563</v>
          </cell>
          <cell r="G1143" t="str">
            <v>01/09</v>
          </cell>
        </row>
        <row r="1144">
          <cell r="A1144" t="str">
            <v>Y1904-0075</v>
          </cell>
          <cell r="B1144">
            <v>201812</v>
          </cell>
          <cell r="C1144" t="str">
            <v>4600066877</v>
          </cell>
          <cell r="D1144" t="str">
            <v>7J236C</v>
          </cell>
          <cell r="E1144">
            <v>948</v>
          </cell>
          <cell r="F1144">
            <v>43563</v>
          </cell>
          <cell r="G1144" t="str">
            <v>01/09</v>
          </cell>
        </row>
        <row r="1145">
          <cell r="A1145" t="str">
            <v>Y1904-0076</v>
          </cell>
          <cell r="B1145">
            <v>201812</v>
          </cell>
          <cell r="C1145" t="str">
            <v>4600066878</v>
          </cell>
          <cell r="D1145" t="str">
            <v>7J237C</v>
          </cell>
          <cell r="E1145">
            <v>264</v>
          </cell>
          <cell r="F1145">
            <v>43563</v>
          </cell>
          <cell r="G1145" t="str">
            <v>01/09</v>
          </cell>
        </row>
        <row r="1146">
          <cell r="A1146" t="str">
            <v>Y1904-0077</v>
          </cell>
          <cell r="B1146">
            <v>201812</v>
          </cell>
          <cell r="C1146" t="str">
            <v>4600066879</v>
          </cell>
          <cell r="D1146" t="str">
            <v>7J253C</v>
          </cell>
          <cell r="E1146">
            <v>2268</v>
          </cell>
          <cell r="F1146">
            <v>43563</v>
          </cell>
          <cell r="G1146" t="str">
            <v>02/15</v>
          </cell>
        </row>
        <row r="1147">
          <cell r="A1147" t="str">
            <v>Y1904-0078</v>
          </cell>
          <cell r="B1147">
            <v>201812</v>
          </cell>
          <cell r="C1147" t="str">
            <v>4600066880</v>
          </cell>
          <cell r="D1147" t="str">
            <v>M9007C</v>
          </cell>
          <cell r="E1147">
            <v>840</v>
          </cell>
          <cell r="F1147">
            <v>43565</v>
          </cell>
          <cell r="G1147" t="str">
            <v>01/02</v>
          </cell>
        </row>
        <row r="1148">
          <cell r="A1148" t="str">
            <v>Y1904-0079</v>
          </cell>
          <cell r="B1148">
            <v>201812</v>
          </cell>
          <cell r="C1148" t="str">
            <v>4600066881</v>
          </cell>
          <cell r="D1148" t="str">
            <v>M3310C</v>
          </cell>
          <cell r="E1148">
            <v>3480</v>
          </cell>
          <cell r="F1148">
            <v>43565</v>
          </cell>
          <cell r="G1148" t="str">
            <v>01/11</v>
          </cell>
        </row>
        <row r="1149">
          <cell r="A1149" t="str">
            <v>Y1904-0080</v>
          </cell>
          <cell r="B1149">
            <v>201812</v>
          </cell>
          <cell r="C1149" t="str">
            <v>4600066882</v>
          </cell>
          <cell r="D1149" t="str">
            <v>M5039C</v>
          </cell>
          <cell r="E1149">
            <v>19020</v>
          </cell>
          <cell r="F1149">
            <v>43565</v>
          </cell>
          <cell r="G1149" t="str">
            <v>01/11</v>
          </cell>
        </row>
        <row r="1150">
          <cell r="A1150" t="str">
            <v>Y1904-0081</v>
          </cell>
          <cell r="B1150">
            <v>201812</v>
          </cell>
          <cell r="C1150" t="str">
            <v>4600066883</v>
          </cell>
          <cell r="D1150" t="str">
            <v>M9166C</v>
          </cell>
          <cell r="E1150">
            <v>11520</v>
          </cell>
          <cell r="F1150">
            <v>43565</v>
          </cell>
          <cell r="G1150" t="str">
            <v>01/09</v>
          </cell>
        </row>
        <row r="1151">
          <cell r="A1151" t="str">
            <v>Y1904-0082</v>
          </cell>
          <cell r="B1151">
            <v>201812</v>
          </cell>
          <cell r="C1151" t="str">
            <v>4600066884</v>
          </cell>
          <cell r="D1151" t="str">
            <v>M7650C</v>
          </cell>
          <cell r="E1151">
            <v>10500</v>
          </cell>
          <cell r="F1151">
            <v>43563</v>
          </cell>
          <cell r="G1151" t="str">
            <v>01/11</v>
          </cell>
        </row>
        <row r="1152">
          <cell r="A1152" t="str">
            <v>Y1904-0083</v>
          </cell>
          <cell r="B1152">
            <v>201812</v>
          </cell>
          <cell r="C1152" t="str">
            <v>4600066885</v>
          </cell>
          <cell r="D1152" t="str">
            <v>M7652C</v>
          </cell>
          <cell r="E1152">
            <v>19788</v>
          </cell>
          <cell r="F1152">
            <v>43564</v>
          </cell>
          <cell r="G1152" t="str">
            <v>01/09</v>
          </cell>
        </row>
        <row r="1153">
          <cell r="A1153" t="str">
            <v>Y1904-0084</v>
          </cell>
          <cell r="B1153">
            <v>201812</v>
          </cell>
          <cell r="C1153" t="str">
            <v>4600066886</v>
          </cell>
          <cell r="D1153" t="str">
            <v>159627C</v>
          </cell>
          <cell r="E1153">
            <v>1860</v>
          </cell>
          <cell r="F1153">
            <v>43556</v>
          </cell>
          <cell r="G1153" t="str">
            <v>01/25</v>
          </cell>
        </row>
        <row r="1154">
          <cell r="A1154" t="str">
            <v>Y1904-0085</v>
          </cell>
          <cell r="B1154">
            <v>201812</v>
          </cell>
          <cell r="C1154" t="str">
            <v>4600066887</v>
          </cell>
          <cell r="D1154" t="str">
            <v>159628C</v>
          </cell>
          <cell r="E1154">
            <v>1860</v>
          </cell>
          <cell r="F1154">
            <v>43556</v>
          </cell>
          <cell r="G1154" t="str">
            <v>01/12</v>
          </cell>
        </row>
        <row r="1155">
          <cell r="A1155" t="str">
            <v>Y1904-0086</v>
          </cell>
          <cell r="B1155">
            <v>201812</v>
          </cell>
          <cell r="C1155" t="str">
            <v>4600066888</v>
          </cell>
          <cell r="D1155" t="str">
            <v>162378C</v>
          </cell>
          <cell r="E1155">
            <v>2400</v>
          </cell>
          <cell r="F1155">
            <v>43556</v>
          </cell>
          <cell r="G1155" t="str">
            <v>01/14</v>
          </cell>
        </row>
        <row r="1156">
          <cell r="A1156" t="str">
            <v>Y1904-0087</v>
          </cell>
          <cell r="B1156">
            <v>201812</v>
          </cell>
          <cell r="C1156" t="str">
            <v>4600066889</v>
          </cell>
          <cell r="D1156" t="str">
            <v>651825C</v>
          </cell>
          <cell r="E1156">
            <v>2400</v>
          </cell>
          <cell r="F1156">
            <v>43556</v>
          </cell>
          <cell r="G1156" t="str">
            <v>01/12</v>
          </cell>
        </row>
        <row r="1157">
          <cell r="A1157" t="str">
            <v>Y1904-0088</v>
          </cell>
          <cell r="B1157">
            <v>201812</v>
          </cell>
          <cell r="C1157" t="str">
            <v>4600066890</v>
          </cell>
          <cell r="D1157" t="str">
            <v>651825C</v>
          </cell>
          <cell r="E1157">
            <v>2400</v>
          </cell>
          <cell r="F1157">
            <v>43556</v>
          </cell>
          <cell r="G1157" t="str">
            <v>01/12</v>
          </cell>
        </row>
        <row r="1158">
          <cell r="A1158" t="str">
            <v>Y1904-0089</v>
          </cell>
          <cell r="B1158">
            <v>201812</v>
          </cell>
          <cell r="C1158" t="str">
            <v>4600066891</v>
          </cell>
          <cell r="D1158" t="str">
            <v>651826C</v>
          </cell>
          <cell r="E1158">
            <v>2400</v>
          </cell>
          <cell r="F1158">
            <v>43556</v>
          </cell>
          <cell r="G1158" t="str">
            <v>01/14</v>
          </cell>
        </row>
        <row r="1159">
          <cell r="A1159" t="str">
            <v>Y1904-0090</v>
          </cell>
          <cell r="B1159">
            <v>201812</v>
          </cell>
          <cell r="C1159" t="str">
            <v>4600066892</v>
          </cell>
          <cell r="D1159" t="str">
            <v>M9622C</v>
          </cell>
          <cell r="E1159">
            <v>5760</v>
          </cell>
          <cell r="F1159">
            <v>43565</v>
          </cell>
          <cell r="G1159" t="str">
            <v>01/29</v>
          </cell>
        </row>
        <row r="1160">
          <cell r="A1160" t="str">
            <v>Y1904-0091</v>
          </cell>
          <cell r="B1160">
            <v>201812</v>
          </cell>
          <cell r="C1160" t="str">
            <v>4600066893</v>
          </cell>
          <cell r="D1160" t="str">
            <v>651826C</v>
          </cell>
          <cell r="E1160">
            <v>2400</v>
          </cell>
          <cell r="F1160">
            <v>43556</v>
          </cell>
          <cell r="G1160" t="str">
            <v>01/14</v>
          </cell>
        </row>
        <row r="1161">
          <cell r="A1161" t="str">
            <v>Y1904-0092</v>
          </cell>
          <cell r="B1161">
            <v>201812</v>
          </cell>
          <cell r="C1161" t="str">
            <v>4600066894</v>
          </cell>
          <cell r="D1161" t="str">
            <v>M9697C</v>
          </cell>
          <cell r="E1161">
            <v>16020</v>
          </cell>
          <cell r="F1161">
            <v>43565</v>
          </cell>
          <cell r="G1161" t="str">
            <v>01/09</v>
          </cell>
        </row>
        <row r="1162">
          <cell r="A1162" t="str">
            <v>Y1904-0093</v>
          </cell>
          <cell r="B1162">
            <v>201812</v>
          </cell>
          <cell r="C1162" t="str">
            <v>4600066895</v>
          </cell>
          <cell r="D1162" t="str">
            <v>651826C</v>
          </cell>
          <cell r="E1162">
            <v>2400</v>
          </cell>
          <cell r="F1162">
            <v>43556</v>
          </cell>
          <cell r="G1162" t="str">
            <v>01/14</v>
          </cell>
        </row>
        <row r="1163">
          <cell r="A1163" t="str">
            <v>Y1904-0094</v>
          </cell>
          <cell r="B1163">
            <v>201812</v>
          </cell>
          <cell r="C1163" t="str">
            <v>4600066896</v>
          </cell>
          <cell r="D1163" t="str">
            <v>651826C</v>
          </cell>
          <cell r="E1163">
            <v>2400</v>
          </cell>
          <cell r="F1163">
            <v>43556</v>
          </cell>
          <cell r="G1163" t="str">
            <v>01/14</v>
          </cell>
        </row>
        <row r="1164">
          <cell r="A1164" t="str">
            <v>Y1904-0095</v>
          </cell>
          <cell r="B1164">
            <v>201812</v>
          </cell>
          <cell r="C1164" t="str">
            <v>4600066897</v>
          </cell>
          <cell r="D1164" t="str">
            <v>3J232C</v>
          </cell>
          <cell r="E1164">
            <v>1308</v>
          </cell>
          <cell r="F1164">
            <v>43563</v>
          </cell>
          <cell r="G1164" t="str">
            <v>01/22</v>
          </cell>
        </row>
        <row r="1165">
          <cell r="A1165" t="str">
            <v>Y1904-0096</v>
          </cell>
          <cell r="B1165">
            <v>201812</v>
          </cell>
          <cell r="C1165" t="str">
            <v>4600066898</v>
          </cell>
          <cell r="D1165" t="str">
            <v>651825C</v>
          </cell>
          <cell r="E1165">
            <v>4800</v>
          </cell>
          <cell r="F1165">
            <v>43584</v>
          </cell>
          <cell r="G1165" t="str">
            <v>01/12</v>
          </cell>
        </row>
        <row r="1166">
          <cell r="A1166" t="str">
            <v>Y1904-0097</v>
          </cell>
          <cell r="B1166">
            <v>201812</v>
          </cell>
          <cell r="C1166" t="str">
            <v>4600066899</v>
          </cell>
          <cell r="D1166" t="str">
            <v>651825C</v>
          </cell>
          <cell r="E1166">
            <v>4800</v>
          </cell>
          <cell r="F1166">
            <v>43584</v>
          </cell>
          <cell r="G1166" t="str">
            <v>01/12</v>
          </cell>
        </row>
        <row r="1167">
          <cell r="A1167" t="str">
            <v>Y1904-0098</v>
          </cell>
          <cell r="B1167">
            <v>201812</v>
          </cell>
          <cell r="C1167" t="str">
            <v>4600066900</v>
          </cell>
          <cell r="D1167" t="str">
            <v>651826C</v>
          </cell>
          <cell r="E1167">
            <v>4800</v>
          </cell>
          <cell r="F1167">
            <v>43583</v>
          </cell>
          <cell r="G1167" t="str">
            <v>01/14</v>
          </cell>
        </row>
        <row r="1168">
          <cell r="A1168" t="str">
            <v>Y1904-0099</v>
          </cell>
          <cell r="B1168">
            <v>201812</v>
          </cell>
          <cell r="C1168" t="str">
            <v>4600066901</v>
          </cell>
          <cell r="D1168" t="str">
            <v>651826C</v>
          </cell>
          <cell r="E1168">
            <v>4800</v>
          </cell>
          <cell r="F1168">
            <v>43584</v>
          </cell>
          <cell r="G1168" t="str">
            <v>01/14</v>
          </cell>
        </row>
        <row r="1169">
          <cell r="A1169" t="str">
            <v>Y1904-0100</v>
          </cell>
          <cell r="B1169">
            <v>201812</v>
          </cell>
          <cell r="C1169" t="str">
            <v>4600066902</v>
          </cell>
          <cell r="D1169" t="str">
            <v>155064C</v>
          </cell>
          <cell r="E1169">
            <v>3684</v>
          </cell>
          <cell r="F1169">
            <v>43576</v>
          </cell>
          <cell r="G1169" t="str">
            <v>01/14</v>
          </cell>
        </row>
        <row r="1170">
          <cell r="A1170" t="str">
            <v>Y1904-0101</v>
          </cell>
          <cell r="B1170">
            <v>201812</v>
          </cell>
          <cell r="C1170" t="str">
            <v>4600066903</v>
          </cell>
          <cell r="D1170" t="str">
            <v>155065C</v>
          </cell>
          <cell r="E1170">
            <v>3708</v>
          </cell>
          <cell r="F1170">
            <v>43576</v>
          </cell>
          <cell r="G1170" t="str">
            <v>01/14</v>
          </cell>
        </row>
        <row r="1171">
          <cell r="A1171" t="str">
            <v>Y1904-0102</v>
          </cell>
          <cell r="B1171">
            <v>201812</v>
          </cell>
          <cell r="C1171" t="str">
            <v>4600066904</v>
          </cell>
          <cell r="D1171" t="str">
            <v>155066C</v>
          </cell>
          <cell r="E1171">
            <v>3696</v>
          </cell>
          <cell r="F1171">
            <v>43576</v>
          </cell>
          <cell r="G1171" t="str">
            <v>01/14</v>
          </cell>
        </row>
        <row r="1172">
          <cell r="A1172" t="str">
            <v>Y1904-0103</v>
          </cell>
          <cell r="B1172">
            <v>201812</v>
          </cell>
          <cell r="C1172" t="str">
            <v>4600066905</v>
          </cell>
          <cell r="D1172" t="str">
            <v>M7652C</v>
          </cell>
          <cell r="E1172">
            <v>19788</v>
          </cell>
          <cell r="F1172">
            <v>43559</v>
          </cell>
          <cell r="G1172" t="str">
            <v>01/09</v>
          </cell>
        </row>
        <row r="1173">
          <cell r="A1173" t="str">
            <v>Y1904-0104</v>
          </cell>
          <cell r="B1173">
            <v>201812</v>
          </cell>
          <cell r="C1173" t="str">
            <v>4600066906</v>
          </cell>
          <cell r="D1173" t="str">
            <v>M7652C</v>
          </cell>
          <cell r="E1173">
            <v>19788</v>
          </cell>
          <cell r="F1173">
            <v>43563</v>
          </cell>
          <cell r="G1173" t="str">
            <v>01/09</v>
          </cell>
        </row>
        <row r="1174">
          <cell r="A1174" t="str">
            <v>Y1904-0105</v>
          </cell>
          <cell r="B1174">
            <v>201812</v>
          </cell>
          <cell r="C1174" t="str">
            <v>4600066907</v>
          </cell>
          <cell r="D1174" t="str">
            <v>M7652C</v>
          </cell>
          <cell r="E1174">
            <v>19788</v>
          </cell>
          <cell r="F1174">
            <v>43565</v>
          </cell>
          <cell r="G1174" t="str">
            <v>01/09</v>
          </cell>
        </row>
        <row r="1175">
          <cell r="A1175" t="str">
            <v>Y1904-0106</v>
          </cell>
          <cell r="B1175">
            <v>201812</v>
          </cell>
          <cell r="C1175" t="str">
            <v>4600066908</v>
          </cell>
          <cell r="D1175" t="str">
            <v>M7652C</v>
          </cell>
          <cell r="E1175">
            <v>1908</v>
          </cell>
          <cell r="F1175">
            <v>43558</v>
          </cell>
          <cell r="G1175" t="str">
            <v>01/09</v>
          </cell>
        </row>
        <row r="1176">
          <cell r="A1176" t="str">
            <v>Y1904-0107</v>
          </cell>
          <cell r="B1176">
            <v>201812</v>
          </cell>
          <cell r="C1176" t="str">
            <v>4600066909</v>
          </cell>
          <cell r="D1176" t="str">
            <v>651825C</v>
          </cell>
          <cell r="E1176">
            <v>2400</v>
          </cell>
          <cell r="F1176">
            <v>43556</v>
          </cell>
          <cell r="G1176" t="str">
            <v>01/12</v>
          </cell>
        </row>
        <row r="1177">
          <cell r="A1177" t="str">
            <v>Y1904-0108</v>
          </cell>
          <cell r="B1177">
            <v>201812</v>
          </cell>
          <cell r="C1177" t="str">
            <v>4600066910</v>
          </cell>
          <cell r="D1177" t="str">
            <v>651825C</v>
          </cell>
          <cell r="E1177">
            <v>2400</v>
          </cell>
          <cell r="F1177">
            <v>43556</v>
          </cell>
          <cell r="G1177" t="str">
            <v>01/12</v>
          </cell>
        </row>
        <row r="1178">
          <cell r="A1178" t="str">
            <v>Y1904-0109</v>
          </cell>
          <cell r="B1178">
            <v>201812</v>
          </cell>
          <cell r="C1178" t="str">
            <v>4600066911</v>
          </cell>
          <cell r="D1178" t="str">
            <v>M9621C</v>
          </cell>
          <cell r="E1178">
            <v>780</v>
          </cell>
          <cell r="F1178">
            <v>43565</v>
          </cell>
          <cell r="G1178" t="str">
            <v>01/29</v>
          </cell>
        </row>
        <row r="1179">
          <cell r="A1179" t="str">
            <v>Y1904-0110</v>
          </cell>
          <cell r="B1179">
            <v>201812</v>
          </cell>
          <cell r="C1179" t="str">
            <v>4600066912</v>
          </cell>
          <cell r="D1179" t="str">
            <v>M9696C</v>
          </cell>
          <cell r="E1179">
            <v>4560</v>
          </cell>
          <cell r="F1179">
            <v>43565</v>
          </cell>
          <cell r="G1179" t="str">
            <v>01/09</v>
          </cell>
        </row>
        <row r="1180">
          <cell r="A1180" t="str">
            <v>Y1904-0111</v>
          </cell>
          <cell r="B1180">
            <v>201812</v>
          </cell>
          <cell r="C1180" t="str">
            <v>4600066913</v>
          </cell>
          <cell r="D1180" t="str">
            <v>7J238C</v>
          </cell>
          <cell r="E1180">
            <v>804</v>
          </cell>
          <cell r="F1180">
            <v>43556</v>
          </cell>
          <cell r="G1180" t="str">
            <v>01/09</v>
          </cell>
        </row>
        <row r="1181">
          <cell r="A1181" t="str">
            <v>Y1903-0001</v>
          </cell>
          <cell r="B1181">
            <v>201810</v>
          </cell>
          <cell r="C1181" t="str">
            <v>0100175052</v>
          </cell>
          <cell r="D1181" t="str">
            <v>564204C</v>
          </cell>
          <cell r="E1181">
            <v>948</v>
          </cell>
          <cell r="F1181">
            <v>43532</v>
          </cell>
          <cell r="G1181" t="str">
            <v>OK</v>
          </cell>
        </row>
        <row r="1182">
          <cell r="A1182" t="str">
            <v>Y1903-0002</v>
          </cell>
          <cell r="B1182">
            <v>201810</v>
          </cell>
          <cell r="C1182" t="str">
            <v>0100175053</v>
          </cell>
          <cell r="D1182" t="str">
            <v>564205C</v>
          </cell>
          <cell r="E1182">
            <v>2460</v>
          </cell>
          <cell r="F1182">
            <v>43532</v>
          </cell>
          <cell r="G1182" t="str">
            <v>OK</v>
          </cell>
        </row>
        <row r="1183">
          <cell r="A1183" t="str">
            <v>Y1903-0003</v>
          </cell>
          <cell r="B1183">
            <v>201810</v>
          </cell>
          <cell r="C1183" t="str">
            <v>0100175054</v>
          </cell>
          <cell r="D1183" t="str">
            <v>564206C</v>
          </cell>
          <cell r="E1183">
            <v>1884</v>
          </cell>
          <cell r="F1183">
            <v>43533</v>
          </cell>
          <cell r="G1183" t="str">
            <v>OK</v>
          </cell>
        </row>
        <row r="1184">
          <cell r="A1184" t="str">
            <v>Y1903-0004</v>
          </cell>
          <cell r="B1184">
            <v>201810</v>
          </cell>
          <cell r="C1184" t="str">
            <v>0100175055</v>
          </cell>
          <cell r="D1184" t="str">
            <v>564207C</v>
          </cell>
          <cell r="E1184">
            <v>600</v>
          </cell>
          <cell r="F1184">
            <v>43533</v>
          </cell>
          <cell r="G1184" t="str">
            <v>OK</v>
          </cell>
        </row>
        <row r="1185">
          <cell r="A1185" t="str">
            <v>Y1903-0005</v>
          </cell>
          <cell r="B1185">
            <v>201810</v>
          </cell>
          <cell r="C1185" t="str">
            <v>0100175243</v>
          </cell>
          <cell r="D1185" t="str">
            <v>M7652C</v>
          </cell>
          <cell r="E1185">
            <v>3600</v>
          </cell>
          <cell r="F1185">
            <v>43530</v>
          </cell>
          <cell r="G1185" t="str">
            <v>OK</v>
          </cell>
        </row>
        <row r="1186">
          <cell r="A1186" t="str">
            <v>Y1903-0006</v>
          </cell>
          <cell r="B1186">
            <v>201810</v>
          </cell>
          <cell r="C1186" t="str">
            <v>0100175246</v>
          </cell>
          <cell r="D1186" t="str">
            <v>M7650C</v>
          </cell>
          <cell r="E1186">
            <v>1584</v>
          </cell>
          <cell r="F1186">
            <v>43530</v>
          </cell>
          <cell r="G1186" t="str">
            <v>OK</v>
          </cell>
        </row>
        <row r="1187">
          <cell r="A1187" t="str">
            <v>Y1903-0007</v>
          </cell>
          <cell r="B1187">
            <v>201810</v>
          </cell>
          <cell r="C1187" t="str">
            <v>0100175252</v>
          </cell>
          <cell r="D1187" t="str">
            <v>M9697C</v>
          </cell>
          <cell r="E1187">
            <v>468</v>
          </cell>
          <cell r="F1187">
            <v>43530</v>
          </cell>
          <cell r="G1187" t="str">
            <v>OK</v>
          </cell>
        </row>
        <row r="1188">
          <cell r="A1188" t="str">
            <v>Y1903-0008</v>
          </cell>
          <cell r="B1188">
            <v>201810</v>
          </cell>
          <cell r="C1188" t="str">
            <v>0100175257</v>
          </cell>
          <cell r="D1188" t="str">
            <v>3J256C</v>
          </cell>
          <cell r="E1188">
            <v>276</v>
          </cell>
          <cell r="F1188">
            <v>43530</v>
          </cell>
          <cell r="G1188" t="str">
            <v>OK</v>
          </cell>
        </row>
        <row r="1189">
          <cell r="A1189" t="str">
            <v>Y1903-0009</v>
          </cell>
          <cell r="B1189">
            <v>201810</v>
          </cell>
          <cell r="C1189" t="str">
            <v>0100175276</v>
          </cell>
          <cell r="D1189" t="str">
            <v>636930C</v>
          </cell>
          <cell r="E1189">
            <v>312</v>
          </cell>
          <cell r="F1189">
            <v>43542</v>
          </cell>
          <cell r="G1189" t="str">
            <v>OK</v>
          </cell>
        </row>
        <row r="1190">
          <cell r="A1190" t="str">
            <v>Y1903-0010</v>
          </cell>
          <cell r="B1190">
            <v>201810</v>
          </cell>
          <cell r="C1190" t="str">
            <v>0100175288</v>
          </cell>
          <cell r="D1190" t="str">
            <v>M9621C</v>
          </cell>
          <cell r="E1190">
            <v>1272</v>
          </cell>
          <cell r="F1190">
            <v>43525</v>
          </cell>
          <cell r="G1190" t="str">
            <v>OK</v>
          </cell>
        </row>
        <row r="1191">
          <cell r="A1191" t="str">
            <v>Y1903-0011</v>
          </cell>
          <cell r="B1191">
            <v>201810</v>
          </cell>
          <cell r="C1191" t="str">
            <v>0100175289</v>
          </cell>
          <cell r="D1191" t="str">
            <v>M9696C</v>
          </cell>
          <cell r="E1191">
            <v>972</v>
          </cell>
          <cell r="F1191">
            <v>43525</v>
          </cell>
          <cell r="G1191" t="str">
            <v>OK</v>
          </cell>
        </row>
        <row r="1192">
          <cell r="A1192" t="str">
            <v>Y1903-0012</v>
          </cell>
          <cell r="B1192">
            <v>201810</v>
          </cell>
          <cell r="C1192" t="str">
            <v>0100175290</v>
          </cell>
          <cell r="D1192" t="str">
            <v>3J256C</v>
          </cell>
          <cell r="E1192">
            <v>204</v>
          </cell>
          <cell r="F1192">
            <v>43525</v>
          </cell>
          <cell r="G1192" t="str">
            <v>OK</v>
          </cell>
        </row>
        <row r="1193">
          <cell r="A1193" t="str">
            <v>Y1903-0013</v>
          </cell>
          <cell r="B1193">
            <v>201810</v>
          </cell>
          <cell r="C1193" t="str">
            <v>0100175291</v>
          </cell>
          <cell r="D1193" t="str">
            <v>3J253C</v>
          </cell>
          <cell r="E1193">
            <v>168</v>
          </cell>
          <cell r="F1193">
            <v>43525</v>
          </cell>
          <cell r="G1193" t="str">
            <v>OK</v>
          </cell>
        </row>
        <row r="1194">
          <cell r="A1194" t="str">
            <v>Y1903-0014</v>
          </cell>
          <cell r="B1194">
            <v>201810</v>
          </cell>
          <cell r="C1194" t="str">
            <v>0100175292</v>
          </cell>
          <cell r="D1194" t="str">
            <v>158369C</v>
          </cell>
          <cell r="E1194">
            <v>1212</v>
          </cell>
          <cell r="F1194">
            <v>43525</v>
          </cell>
          <cell r="G1194" t="str">
            <v>OK</v>
          </cell>
        </row>
        <row r="1195">
          <cell r="A1195" t="str">
            <v>Y1903-0015</v>
          </cell>
          <cell r="B1195">
            <v>201810</v>
          </cell>
          <cell r="C1195" t="str">
            <v>0100175293</v>
          </cell>
          <cell r="D1195" t="str">
            <v>M9697C</v>
          </cell>
          <cell r="E1195">
            <v>2064</v>
          </cell>
          <cell r="F1195">
            <v>43525</v>
          </cell>
          <cell r="G1195" t="str">
            <v>OK</v>
          </cell>
        </row>
        <row r="1196">
          <cell r="A1196" t="str">
            <v>Y1903-0016</v>
          </cell>
          <cell r="B1196">
            <v>201810</v>
          </cell>
          <cell r="C1196" t="str">
            <v>0100175294</v>
          </cell>
          <cell r="D1196" t="str">
            <v>761307C</v>
          </cell>
          <cell r="E1196">
            <v>276</v>
          </cell>
          <cell r="F1196">
            <v>43525</v>
          </cell>
          <cell r="G1196" t="str">
            <v>OK</v>
          </cell>
        </row>
        <row r="1197">
          <cell r="A1197" t="str">
            <v>Y1903-0017</v>
          </cell>
          <cell r="B1197">
            <v>201810</v>
          </cell>
          <cell r="C1197" t="str">
            <v>0100175295</v>
          </cell>
          <cell r="D1197" t="str">
            <v>164525C</v>
          </cell>
          <cell r="E1197">
            <v>528</v>
          </cell>
          <cell r="F1197">
            <v>43525</v>
          </cell>
          <cell r="G1197" t="str">
            <v>OK</v>
          </cell>
        </row>
        <row r="1198">
          <cell r="A1198" t="str">
            <v>Y1903-0018</v>
          </cell>
          <cell r="B1198">
            <v>201810</v>
          </cell>
          <cell r="C1198" t="str">
            <v>0100175296</v>
          </cell>
          <cell r="D1198" t="str">
            <v>361307C</v>
          </cell>
          <cell r="E1198">
            <v>300</v>
          </cell>
          <cell r="F1198">
            <v>43525</v>
          </cell>
          <cell r="G1198" t="str">
            <v>OK</v>
          </cell>
        </row>
        <row r="1199">
          <cell r="A1199" t="str">
            <v>Y1903-0019</v>
          </cell>
          <cell r="B1199">
            <v>201810</v>
          </cell>
          <cell r="C1199" t="str">
            <v>0100175297</v>
          </cell>
          <cell r="D1199" t="str">
            <v>361308C</v>
          </cell>
          <cell r="E1199">
            <v>228</v>
          </cell>
          <cell r="F1199">
            <v>43525</v>
          </cell>
          <cell r="G1199" t="str">
            <v>OK</v>
          </cell>
        </row>
        <row r="1200">
          <cell r="A1200" t="str">
            <v>Y1903-0020</v>
          </cell>
          <cell r="B1200">
            <v>201810</v>
          </cell>
          <cell r="C1200" t="str">
            <v>0100175298</v>
          </cell>
          <cell r="D1200" t="str">
            <v>564608C</v>
          </cell>
          <cell r="E1200">
            <v>216</v>
          </cell>
          <cell r="F1200">
            <v>43525</v>
          </cell>
          <cell r="G1200" t="str">
            <v>OK</v>
          </cell>
        </row>
        <row r="1201">
          <cell r="A1201" t="str">
            <v>Y1903-0021</v>
          </cell>
          <cell r="B1201">
            <v>201810</v>
          </cell>
          <cell r="C1201" t="str">
            <v>0100175299</v>
          </cell>
          <cell r="D1201" t="str">
            <v>364169C</v>
          </cell>
          <cell r="E1201">
            <v>120</v>
          </cell>
          <cell r="F1201">
            <v>43525</v>
          </cell>
          <cell r="G1201" t="str">
            <v>OK</v>
          </cell>
        </row>
        <row r="1202">
          <cell r="A1202" t="str">
            <v>Y1903-0022</v>
          </cell>
          <cell r="B1202">
            <v>201810</v>
          </cell>
          <cell r="C1202" t="str">
            <v>0100175300</v>
          </cell>
          <cell r="D1202" t="str">
            <v>564609C</v>
          </cell>
          <cell r="E1202">
            <v>216</v>
          </cell>
          <cell r="F1202">
            <v>43525</v>
          </cell>
          <cell r="G1202" t="str">
            <v>OK</v>
          </cell>
        </row>
        <row r="1203">
          <cell r="A1203" t="str">
            <v>Y1903-0023</v>
          </cell>
          <cell r="B1203">
            <v>201810</v>
          </cell>
          <cell r="C1203" t="str">
            <v>0100175301</v>
          </cell>
          <cell r="D1203" t="str">
            <v>560659C</v>
          </cell>
          <cell r="E1203">
            <v>192</v>
          </cell>
          <cell r="F1203">
            <v>43525</v>
          </cell>
          <cell r="G1203" t="str">
            <v>OK</v>
          </cell>
        </row>
        <row r="1204">
          <cell r="A1204" t="str">
            <v>Y1903-0024</v>
          </cell>
          <cell r="B1204">
            <v>201810</v>
          </cell>
          <cell r="C1204" t="str">
            <v>0100175302</v>
          </cell>
          <cell r="D1204" t="str">
            <v>161577C</v>
          </cell>
          <cell r="E1204">
            <v>300</v>
          </cell>
          <cell r="F1204">
            <v>43525</v>
          </cell>
          <cell r="G1204" t="str">
            <v>OK</v>
          </cell>
        </row>
        <row r="1205">
          <cell r="A1205" t="str">
            <v>Y1903-0025</v>
          </cell>
          <cell r="B1205">
            <v>201810</v>
          </cell>
          <cell r="C1205" t="str">
            <v>0100175303</v>
          </cell>
          <cell r="D1205" t="str">
            <v>764172C</v>
          </cell>
          <cell r="E1205">
            <v>180</v>
          </cell>
          <cell r="F1205">
            <v>43525</v>
          </cell>
          <cell r="G1205" t="str">
            <v>OK</v>
          </cell>
        </row>
        <row r="1206">
          <cell r="A1206" t="str">
            <v>Y1903-0026</v>
          </cell>
          <cell r="B1206">
            <v>201810</v>
          </cell>
          <cell r="C1206" t="str">
            <v>0100175304</v>
          </cell>
          <cell r="D1206" t="str">
            <v>764173C</v>
          </cell>
          <cell r="E1206">
            <v>120</v>
          </cell>
          <cell r="F1206">
            <v>43525</v>
          </cell>
          <cell r="G1206" t="str">
            <v>OK</v>
          </cell>
        </row>
        <row r="1207">
          <cell r="A1207" t="str">
            <v>Y1903-0027</v>
          </cell>
          <cell r="B1207">
            <v>201810</v>
          </cell>
          <cell r="C1207" t="str">
            <v>0100175305</v>
          </cell>
          <cell r="D1207" t="str">
            <v>764174C</v>
          </cell>
          <cell r="E1207">
            <v>132</v>
          </cell>
          <cell r="F1207">
            <v>43525</v>
          </cell>
          <cell r="G1207" t="str">
            <v>OK</v>
          </cell>
        </row>
        <row r="1208">
          <cell r="A1208" t="str">
            <v>Y1903-0028</v>
          </cell>
          <cell r="B1208">
            <v>201810</v>
          </cell>
          <cell r="C1208" t="str">
            <v>0100175306</v>
          </cell>
          <cell r="D1208" t="str">
            <v>764238C</v>
          </cell>
          <cell r="E1208">
            <v>120</v>
          </cell>
          <cell r="F1208">
            <v>43525</v>
          </cell>
          <cell r="G1208" t="str">
            <v>OK</v>
          </cell>
        </row>
        <row r="1209">
          <cell r="A1209" t="str">
            <v>Y1903-0029</v>
          </cell>
          <cell r="B1209">
            <v>201810</v>
          </cell>
          <cell r="C1209" t="str">
            <v>0100175307</v>
          </cell>
          <cell r="D1209" t="str">
            <v>564150C</v>
          </cell>
          <cell r="E1209">
            <v>144</v>
          </cell>
          <cell r="F1209">
            <v>43525</v>
          </cell>
          <cell r="G1209" t="str">
            <v>OK</v>
          </cell>
        </row>
        <row r="1210">
          <cell r="A1210" t="str">
            <v>Y1903-0030</v>
          </cell>
          <cell r="B1210">
            <v>201810</v>
          </cell>
          <cell r="C1210" t="str">
            <v>0100175308</v>
          </cell>
          <cell r="D1210" t="str">
            <v>163269C</v>
          </cell>
          <cell r="E1210">
            <v>324</v>
          </cell>
          <cell r="F1210">
            <v>43525</v>
          </cell>
          <cell r="G1210" t="str">
            <v>OK</v>
          </cell>
        </row>
        <row r="1211">
          <cell r="A1211" t="str">
            <v>Y1903-0031</v>
          </cell>
          <cell r="B1211">
            <v>201810</v>
          </cell>
          <cell r="C1211" t="str">
            <v>0100175309</v>
          </cell>
          <cell r="D1211" t="str">
            <v>564151C</v>
          </cell>
          <cell r="E1211">
            <v>180</v>
          </cell>
          <cell r="F1211">
            <v>43525</v>
          </cell>
          <cell r="G1211" t="str">
            <v>OK</v>
          </cell>
        </row>
        <row r="1212">
          <cell r="A1212" t="str">
            <v>Y1903-0032</v>
          </cell>
          <cell r="B1212">
            <v>201810</v>
          </cell>
          <cell r="C1212" t="str">
            <v>0100175310</v>
          </cell>
          <cell r="D1212" t="str">
            <v>564152C</v>
          </cell>
          <cell r="E1212">
            <v>156</v>
          </cell>
          <cell r="F1212">
            <v>43525</v>
          </cell>
          <cell r="G1212" t="str">
            <v>OK</v>
          </cell>
        </row>
        <row r="1213">
          <cell r="A1213" t="str">
            <v>Y1903-0033</v>
          </cell>
          <cell r="B1213">
            <v>201810</v>
          </cell>
          <cell r="C1213" t="str">
            <v>0100175311</v>
          </cell>
          <cell r="D1213" t="str">
            <v>564153C</v>
          </cell>
          <cell r="E1213">
            <v>132</v>
          </cell>
          <cell r="F1213">
            <v>43525</v>
          </cell>
          <cell r="G1213" t="str">
            <v>OK</v>
          </cell>
        </row>
        <row r="1214">
          <cell r="A1214" t="str">
            <v>Y1903-0034</v>
          </cell>
          <cell r="B1214">
            <v>201810</v>
          </cell>
          <cell r="C1214" t="str">
            <v>0100175312</v>
          </cell>
          <cell r="D1214" t="str">
            <v>564204C</v>
          </cell>
          <cell r="E1214">
            <v>120</v>
          </cell>
          <cell r="F1214">
            <v>43554</v>
          </cell>
          <cell r="G1214" t="str">
            <v>OK</v>
          </cell>
        </row>
        <row r="1215">
          <cell r="A1215" t="str">
            <v>Y1903-0035</v>
          </cell>
          <cell r="B1215">
            <v>201810</v>
          </cell>
          <cell r="C1215" t="str">
            <v>0100175313</v>
          </cell>
          <cell r="D1215" t="str">
            <v>564205C</v>
          </cell>
          <cell r="E1215">
            <v>120</v>
          </cell>
          <cell r="F1215">
            <v>43554</v>
          </cell>
          <cell r="G1215" t="str">
            <v>OK</v>
          </cell>
        </row>
        <row r="1216">
          <cell r="A1216" t="str">
            <v>Y1903-0036</v>
          </cell>
          <cell r="B1216">
            <v>201810</v>
          </cell>
          <cell r="C1216" t="str">
            <v>0100175314</v>
          </cell>
          <cell r="D1216" t="str">
            <v>164358C</v>
          </cell>
          <cell r="E1216">
            <v>216</v>
          </cell>
          <cell r="F1216">
            <v>43525</v>
          </cell>
          <cell r="G1216" t="str">
            <v>OK</v>
          </cell>
        </row>
        <row r="1217">
          <cell r="A1217" t="str">
            <v>Y1903-0037</v>
          </cell>
          <cell r="B1217">
            <v>201810</v>
          </cell>
          <cell r="C1217" t="str">
            <v>0100175315</v>
          </cell>
          <cell r="D1217" t="str">
            <v>564206C</v>
          </cell>
          <cell r="E1217">
            <v>132</v>
          </cell>
          <cell r="F1217">
            <v>43554</v>
          </cell>
          <cell r="G1217" t="str">
            <v>OK</v>
          </cell>
        </row>
        <row r="1218">
          <cell r="A1218" t="str">
            <v>Y1903-0038</v>
          </cell>
          <cell r="B1218">
            <v>201810</v>
          </cell>
          <cell r="C1218" t="str">
            <v>0100175316</v>
          </cell>
          <cell r="D1218" t="str">
            <v>164359C</v>
          </cell>
          <cell r="E1218">
            <v>180</v>
          </cell>
          <cell r="F1218">
            <v>43525</v>
          </cell>
          <cell r="G1218" t="str">
            <v>OK</v>
          </cell>
        </row>
        <row r="1219">
          <cell r="A1219" t="str">
            <v>Y1903-0039</v>
          </cell>
          <cell r="B1219">
            <v>201810</v>
          </cell>
          <cell r="C1219" t="str">
            <v>0100175317</v>
          </cell>
          <cell r="D1219" t="str">
            <v>761308C</v>
          </cell>
          <cell r="E1219">
            <v>192</v>
          </cell>
          <cell r="F1219">
            <v>43525</v>
          </cell>
          <cell r="G1219" t="str">
            <v>OK</v>
          </cell>
        </row>
        <row r="1220">
          <cell r="A1220" t="str">
            <v>Y1903-0040</v>
          </cell>
          <cell r="B1220">
            <v>201810</v>
          </cell>
          <cell r="C1220" t="str">
            <v>0100175318</v>
          </cell>
          <cell r="D1220" t="str">
            <v>7J232C</v>
          </cell>
          <cell r="E1220">
            <v>120</v>
          </cell>
          <cell r="F1220">
            <v>43525</v>
          </cell>
          <cell r="G1220" t="str">
            <v>OK</v>
          </cell>
        </row>
        <row r="1221">
          <cell r="A1221" t="str">
            <v>Y1903-0041</v>
          </cell>
          <cell r="B1221">
            <v>201810</v>
          </cell>
          <cell r="C1221" t="str">
            <v>0100175319</v>
          </cell>
          <cell r="D1221" t="str">
            <v>7J253C</v>
          </cell>
          <cell r="E1221">
            <v>216</v>
          </cell>
          <cell r="F1221">
            <v>43525</v>
          </cell>
          <cell r="G1221" t="str">
            <v>OK</v>
          </cell>
        </row>
        <row r="1222">
          <cell r="A1222" t="str">
            <v>Y1903-0042</v>
          </cell>
          <cell r="B1222">
            <v>201810</v>
          </cell>
          <cell r="C1222" t="str">
            <v>0100175320</v>
          </cell>
          <cell r="D1222" t="str">
            <v>7J256C</v>
          </cell>
          <cell r="E1222">
            <v>204</v>
          </cell>
          <cell r="F1222">
            <v>43525</v>
          </cell>
          <cell r="G1222" t="str">
            <v>OK</v>
          </cell>
        </row>
        <row r="1223">
          <cell r="A1223" t="str">
            <v>Y1903-0043</v>
          </cell>
          <cell r="B1223">
            <v>201810</v>
          </cell>
          <cell r="C1223" t="str">
            <v>0100175321</v>
          </cell>
          <cell r="D1223">
            <v>88877</v>
          </cell>
          <cell r="E1223">
            <v>132</v>
          </cell>
          <cell r="F1223">
            <v>43525</v>
          </cell>
          <cell r="G1223" t="str">
            <v>OK</v>
          </cell>
        </row>
        <row r="1224">
          <cell r="A1224" t="str">
            <v>Y1903-0044</v>
          </cell>
          <cell r="B1224">
            <v>201810</v>
          </cell>
          <cell r="C1224" t="str">
            <v>0100175322</v>
          </cell>
          <cell r="D1224" t="str">
            <v>8J231</v>
          </cell>
          <cell r="E1224">
            <v>192</v>
          </cell>
          <cell r="F1224">
            <v>43525</v>
          </cell>
          <cell r="G1224" t="str">
            <v>OK</v>
          </cell>
        </row>
        <row r="1225">
          <cell r="A1225" t="str">
            <v>Y1903-0045</v>
          </cell>
          <cell r="B1225">
            <v>201810</v>
          </cell>
          <cell r="C1225" t="str">
            <v>0100175323</v>
          </cell>
          <cell r="D1225" t="str">
            <v>164360C</v>
          </cell>
          <cell r="E1225">
            <v>348</v>
          </cell>
          <cell r="F1225">
            <v>43525</v>
          </cell>
          <cell r="G1225" t="str">
            <v>OK</v>
          </cell>
        </row>
        <row r="1226">
          <cell r="A1226" t="str">
            <v>Y1903-0046</v>
          </cell>
          <cell r="B1226">
            <v>201810</v>
          </cell>
          <cell r="C1226" t="str">
            <v>0100175324</v>
          </cell>
          <cell r="D1226" t="str">
            <v>164361C</v>
          </cell>
          <cell r="E1226">
            <v>324</v>
          </cell>
          <cell r="F1226">
            <v>43525</v>
          </cell>
          <cell r="G1226" t="str">
            <v>OK</v>
          </cell>
        </row>
        <row r="1227">
          <cell r="A1227" t="str">
            <v>Y1903-0047</v>
          </cell>
          <cell r="B1227">
            <v>201810</v>
          </cell>
          <cell r="C1227" t="str">
            <v>0100175325</v>
          </cell>
          <cell r="D1227" t="str">
            <v>164362C</v>
          </cell>
          <cell r="E1227">
            <v>300</v>
          </cell>
          <cell r="F1227">
            <v>43525</v>
          </cell>
          <cell r="G1227" t="str">
            <v>OK</v>
          </cell>
        </row>
        <row r="1228">
          <cell r="A1228" t="str">
            <v>Y1903-0048</v>
          </cell>
          <cell r="B1228">
            <v>201810</v>
          </cell>
          <cell r="C1228" t="str">
            <v>0100175326</v>
          </cell>
          <cell r="D1228" t="str">
            <v>164390C</v>
          </cell>
          <cell r="E1228">
            <v>120</v>
          </cell>
          <cell r="F1228">
            <v>43525</v>
          </cell>
          <cell r="G1228" t="str">
            <v>OK</v>
          </cell>
        </row>
        <row r="1229">
          <cell r="A1229" t="str">
            <v>Y1903-0049</v>
          </cell>
          <cell r="B1229">
            <v>201810</v>
          </cell>
          <cell r="C1229" t="str">
            <v>0100175327</v>
          </cell>
          <cell r="D1229" t="str">
            <v>164392C</v>
          </cell>
          <cell r="E1229">
            <v>120</v>
          </cell>
          <cell r="F1229">
            <v>43525</v>
          </cell>
          <cell r="G1229" t="str">
            <v>OK</v>
          </cell>
        </row>
        <row r="1230">
          <cell r="A1230" t="str">
            <v>Y1903-0050</v>
          </cell>
          <cell r="B1230">
            <v>201810</v>
          </cell>
          <cell r="C1230" t="str">
            <v>0100175328</v>
          </cell>
          <cell r="D1230" t="str">
            <v>164393C</v>
          </cell>
          <cell r="E1230">
            <v>144</v>
          </cell>
          <cell r="F1230">
            <v>43525</v>
          </cell>
          <cell r="G1230" t="str">
            <v>OK</v>
          </cell>
        </row>
        <row r="1231">
          <cell r="A1231" t="str">
            <v>Y1903-0051</v>
          </cell>
          <cell r="B1231">
            <v>201810</v>
          </cell>
          <cell r="C1231" t="str">
            <v>0100175329</v>
          </cell>
          <cell r="D1231" t="str">
            <v>M3310C</v>
          </cell>
          <cell r="E1231">
            <v>780</v>
          </cell>
          <cell r="F1231">
            <v>43525</v>
          </cell>
          <cell r="G1231" t="str">
            <v>OK</v>
          </cell>
        </row>
        <row r="1232">
          <cell r="A1232" t="str">
            <v>Y1903-0052</v>
          </cell>
          <cell r="B1232">
            <v>201810</v>
          </cell>
          <cell r="C1232" t="str">
            <v>0100175330</v>
          </cell>
          <cell r="D1232" t="str">
            <v>M5039C</v>
          </cell>
          <cell r="E1232">
            <v>1992</v>
          </cell>
          <cell r="F1232">
            <v>43525</v>
          </cell>
          <cell r="G1232" t="str">
            <v>OK</v>
          </cell>
        </row>
        <row r="1233">
          <cell r="A1233" t="str">
            <v>Y1903-0053</v>
          </cell>
          <cell r="B1233">
            <v>201810</v>
          </cell>
          <cell r="C1233" t="str">
            <v>0100175377</v>
          </cell>
          <cell r="D1233" t="str">
            <v>564205C</v>
          </cell>
          <cell r="E1233">
            <v>276</v>
          </cell>
          <cell r="F1233">
            <v>43548</v>
          </cell>
          <cell r="G1233" t="str">
            <v>OK</v>
          </cell>
        </row>
        <row r="1234">
          <cell r="A1234" t="str">
            <v>Y1903-0054</v>
          </cell>
          <cell r="B1234">
            <v>201810</v>
          </cell>
          <cell r="C1234" t="str">
            <v>0100175378</v>
          </cell>
          <cell r="D1234" t="str">
            <v>564206C</v>
          </cell>
          <cell r="E1234">
            <v>180</v>
          </cell>
          <cell r="F1234">
            <v>43548</v>
          </cell>
          <cell r="G1234" t="str">
            <v>OK</v>
          </cell>
        </row>
        <row r="1235">
          <cell r="A1235" t="str">
            <v>Y1903-0055</v>
          </cell>
          <cell r="B1235">
            <v>201810</v>
          </cell>
          <cell r="C1235" t="str">
            <v>0100175411</v>
          </cell>
          <cell r="D1235" t="str">
            <v>663605C</v>
          </cell>
          <cell r="E1235">
            <v>360</v>
          </cell>
          <cell r="F1235">
            <v>43549</v>
          </cell>
          <cell r="G1235" t="str">
            <v>OK</v>
          </cell>
        </row>
        <row r="1236">
          <cell r="A1236" t="str">
            <v>Y1903-0056</v>
          </cell>
          <cell r="B1236">
            <v>201810</v>
          </cell>
          <cell r="C1236" t="str">
            <v>0100175484</v>
          </cell>
          <cell r="D1236" t="str">
            <v>549700F</v>
          </cell>
          <cell r="E1236">
            <v>360</v>
          </cell>
          <cell r="F1236">
            <v>43549</v>
          </cell>
          <cell r="G1236" t="str">
            <v>OK</v>
          </cell>
        </row>
        <row r="1237">
          <cell r="A1237" t="str">
            <v>Y1903-0057</v>
          </cell>
          <cell r="B1237">
            <v>201810</v>
          </cell>
          <cell r="C1237" t="str">
            <v>0100175541</v>
          </cell>
          <cell r="D1237" t="str">
            <v>549700F</v>
          </cell>
          <cell r="E1237">
            <v>402</v>
          </cell>
          <cell r="F1237">
            <v>43532</v>
          </cell>
          <cell r="G1237" t="str">
            <v>OK</v>
          </cell>
        </row>
        <row r="1238">
          <cell r="A1238" t="str">
            <v>Y1903-0058</v>
          </cell>
          <cell r="B1238">
            <v>201810</v>
          </cell>
          <cell r="C1238" t="str">
            <v>4600064500</v>
          </cell>
          <cell r="D1238" t="str">
            <v>564072C</v>
          </cell>
          <cell r="E1238">
            <v>804</v>
          </cell>
          <cell r="F1238">
            <v>43529</v>
          </cell>
          <cell r="G1238" t="str">
            <v>OK</v>
          </cell>
        </row>
        <row r="1239">
          <cell r="A1239" t="str">
            <v>Y1903-0059</v>
          </cell>
          <cell r="B1239">
            <v>201810</v>
          </cell>
          <cell r="C1239" t="str">
            <v>4600064501</v>
          </cell>
          <cell r="D1239" t="str">
            <v>564071C</v>
          </cell>
          <cell r="E1239">
            <v>1200</v>
          </cell>
          <cell r="F1239">
            <v>43529</v>
          </cell>
          <cell r="G1239" t="str">
            <v>OK</v>
          </cell>
        </row>
        <row r="1240">
          <cell r="A1240" t="str">
            <v>Y1903-0060</v>
          </cell>
          <cell r="B1240">
            <v>201810</v>
          </cell>
          <cell r="C1240" t="str">
            <v>4600064504</v>
          </cell>
          <cell r="D1240" t="str">
            <v>164060C</v>
          </cell>
          <cell r="E1240">
            <v>996</v>
          </cell>
          <cell r="F1240">
            <v>43525</v>
          </cell>
          <cell r="G1240" t="str">
            <v>OK</v>
          </cell>
        </row>
        <row r="1241">
          <cell r="A1241" t="str">
            <v>Y1903-0061</v>
          </cell>
          <cell r="B1241">
            <v>201810</v>
          </cell>
          <cell r="C1241" t="str">
            <v>4600064542</v>
          </cell>
          <cell r="D1241" t="str">
            <v>564072C</v>
          </cell>
          <cell r="E1241">
            <v>240</v>
          </cell>
          <cell r="F1241">
            <v>43529</v>
          </cell>
          <cell r="G1241" t="str">
            <v>OK</v>
          </cell>
        </row>
        <row r="1242">
          <cell r="A1242" t="str">
            <v>Y1903-0062</v>
          </cell>
          <cell r="B1242">
            <v>201810</v>
          </cell>
          <cell r="C1242" t="str">
            <v>4600064543</v>
          </cell>
          <cell r="D1242" t="str">
            <v>164060C</v>
          </cell>
          <cell r="E1242">
            <v>240</v>
          </cell>
          <cell r="F1242">
            <v>43525</v>
          </cell>
          <cell r="G1242" t="str">
            <v>OK</v>
          </cell>
        </row>
        <row r="1243">
          <cell r="A1243" t="str">
            <v>Y1903-0063</v>
          </cell>
          <cell r="B1243">
            <v>201810</v>
          </cell>
          <cell r="C1243" t="str">
            <v>4600064549</v>
          </cell>
          <cell r="D1243" t="str">
            <v>564071C</v>
          </cell>
          <cell r="E1243">
            <v>240</v>
          </cell>
          <cell r="F1243">
            <v>43529</v>
          </cell>
          <cell r="G1243" t="str">
            <v>OK</v>
          </cell>
        </row>
        <row r="1244">
          <cell r="A1244" t="str">
            <v>Y1903-0064</v>
          </cell>
          <cell r="B1244">
            <v>201810</v>
          </cell>
          <cell r="C1244" t="str">
            <v>4600064556</v>
          </cell>
          <cell r="D1244" t="str">
            <v>664184C</v>
          </cell>
          <cell r="E1244">
            <v>312</v>
          </cell>
          <cell r="F1244">
            <v>43529</v>
          </cell>
          <cell r="G1244" t="str">
            <v>OK</v>
          </cell>
        </row>
        <row r="1245">
          <cell r="A1245" t="str">
            <v>Y1903-0065</v>
          </cell>
          <cell r="B1245">
            <v>201810</v>
          </cell>
          <cell r="C1245" t="str">
            <v>4600064557</v>
          </cell>
          <cell r="D1245" t="str">
            <v>164281C</v>
          </cell>
          <cell r="E1245">
            <v>240</v>
          </cell>
          <cell r="F1245">
            <v>43529</v>
          </cell>
          <cell r="G1245" t="str">
            <v>OK</v>
          </cell>
        </row>
        <row r="1246">
          <cell r="A1246" t="str">
            <v>Y1903-0066</v>
          </cell>
          <cell r="B1246">
            <v>201810</v>
          </cell>
          <cell r="C1246" t="str">
            <v>4600064558</v>
          </cell>
          <cell r="D1246" t="str">
            <v>164280C</v>
          </cell>
          <cell r="E1246">
            <v>360</v>
          </cell>
          <cell r="F1246">
            <v>43529</v>
          </cell>
          <cell r="G1246" t="str">
            <v>OK</v>
          </cell>
        </row>
        <row r="1247">
          <cell r="A1247" t="str">
            <v>Y1903-0067</v>
          </cell>
          <cell r="B1247">
            <v>201810</v>
          </cell>
          <cell r="C1247" t="str">
            <v>4600064559</v>
          </cell>
          <cell r="D1247" t="str">
            <v>564071C</v>
          </cell>
          <cell r="E1247">
            <v>240</v>
          </cell>
          <cell r="F1247">
            <v>43529</v>
          </cell>
          <cell r="G1247" t="str">
            <v>OK</v>
          </cell>
        </row>
        <row r="1248">
          <cell r="A1248" t="str">
            <v>Y1903-0068</v>
          </cell>
          <cell r="B1248">
            <v>201810</v>
          </cell>
          <cell r="C1248" t="str">
            <v>4600064560</v>
          </cell>
          <cell r="D1248" t="str">
            <v>164282C</v>
          </cell>
          <cell r="E1248">
            <v>180</v>
          </cell>
          <cell r="F1248">
            <v>43529</v>
          </cell>
          <cell r="G1248" t="str">
            <v>OK</v>
          </cell>
        </row>
        <row r="1249">
          <cell r="A1249" t="str">
            <v>Y1903-0069</v>
          </cell>
          <cell r="B1249">
            <v>201810</v>
          </cell>
          <cell r="C1249" t="str">
            <v>4600064561</v>
          </cell>
          <cell r="D1249" t="str">
            <v>564072C</v>
          </cell>
          <cell r="E1249">
            <v>120</v>
          </cell>
          <cell r="F1249">
            <v>43529</v>
          </cell>
          <cell r="G1249" t="str">
            <v>OK</v>
          </cell>
        </row>
        <row r="1250">
          <cell r="A1250" t="str">
            <v>Y1903-0070</v>
          </cell>
          <cell r="B1250">
            <v>201810</v>
          </cell>
          <cell r="C1250" t="str">
            <v>4600064562</v>
          </cell>
          <cell r="D1250" t="str">
            <v>564070C</v>
          </cell>
          <cell r="E1250">
            <v>120</v>
          </cell>
          <cell r="F1250">
            <v>43529</v>
          </cell>
          <cell r="G1250" t="str">
            <v>OK</v>
          </cell>
        </row>
        <row r="1251">
          <cell r="A1251" t="str">
            <v>Y1903-0072</v>
          </cell>
          <cell r="B1251">
            <v>201810</v>
          </cell>
          <cell r="C1251" t="str">
            <v>4600064605</v>
          </cell>
          <cell r="D1251" t="str">
            <v>164220C</v>
          </cell>
          <cell r="E1251">
            <v>180</v>
          </cell>
          <cell r="F1251">
            <v>43529</v>
          </cell>
          <cell r="G1251" t="str">
            <v>OK</v>
          </cell>
        </row>
        <row r="1252">
          <cell r="A1252" t="str">
            <v>Y1903-0073</v>
          </cell>
          <cell r="B1252">
            <v>201810</v>
          </cell>
          <cell r="C1252" t="str">
            <v>4600064606</v>
          </cell>
          <cell r="D1252" t="str">
            <v>164217C</v>
          </cell>
          <cell r="E1252">
            <v>132</v>
          </cell>
          <cell r="F1252">
            <v>43529</v>
          </cell>
          <cell r="G1252" t="str">
            <v>OK</v>
          </cell>
        </row>
        <row r="1253">
          <cell r="A1253" t="str">
            <v>Y1903-0074</v>
          </cell>
          <cell r="B1253">
            <v>201810</v>
          </cell>
          <cell r="C1253" t="str">
            <v>4600064607</v>
          </cell>
          <cell r="D1253" t="str">
            <v>164217C</v>
          </cell>
          <cell r="E1253">
            <v>444</v>
          </cell>
          <cell r="F1253">
            <v>43529</v>
          </cell>
          <cell r="G1253" t="str">
            <v>OK</v>
          </cell>
        </row>
        <row r="1254">
          <cell r="A1254" t="str">
            <v>Y1903-0075</v>
          </cell>
          <cell r="B1254">
            <v>201810</v>
          </cell>
          <cell r="C1254" t="str">
            <v>4600064608</v>
          </cell>
          <cell r="D1254" t="str">
            <v>161577C</v>
          </cell>
          <cell r="E1254">
            <v>204</v>
          </cell>
          <cell r="F1254">
            <v>43529</v>
          </cell>
          <cell r="G1254" t="str">
            <v>OK</v>
          </cell>
        </row>
        <row r="1255">
          <cell r="A1255" t="str">
            <v>Y1903-0076</v>
          </cell>
          <cell r="B1255">
            <v>201810</v>
          </cell>
          <cell r="C1255" t="str">
            <v>4600064613</v>
          </cell>
          <cell r="D1255" t="str">
            <v>164282C</v>
          </cell>
          <cell r="E1255">
            <v>528</v>
          </cell>
          <cell r="F1255">
            <v>43529</v>
          </cell>
          <cell r="G1255" t="str">
            <v>OK</v>
          </cell>
        </row>
        <row r="1256">
          <cell r="A1256" t="str">
            <v>Y1903-0077</v>
          </cell>
          <cell r="B1256">
            <v>201810</v>
          </cell>
          <cell r="C1256" t="str">
            <v>4600064614</v>
          </cell>
          <cell r="D1256" t="str">
            <v>164282C</v>
          </cell>
          <cell r="E1256">
            <v>2052</v>
          </cell>
          <cell r="F1256">
            <v>43529</v>
          </cell>
          <cell r="G1256" t="str">
            <v>OK</v>
          </cell>
        </row>
        <row r="1257">
          <cell r="A1257" t="str">
            <v>Y1903-0078</v>
          </cell>
          <cell r="B1257">
            <v>201810</v>
          </cell>
          <cell r="C1257" t="str">
            <v>4600064615</v>
          </cell>
          <cell r="D1257" t="str">
            <v>164281C</v>
          </cell>
          <cell r="E1257">
            <v>528</v>
          </cell>
          <cell r="F1257">
            <v>43529</v>
          </cell>
          <cell r="G1257" t="str">
            <v>OK</v>
          </cell>
        </row>
        <row r="1258">
          <cell r="A1258" t="str">
            <v>Y1903-0079</v>
          </cell>
          <cell r="B1258">
            <v>201810</v>
          </cell>
          <cell r="C1258" t="str">
            <v>4600064616</v>
          </cell>
          <cell r="D1258" t="str">
            <v>164280C</v>
          </cell>
          <cell r="E1258">
            <v>492</v>
          </cell>
          <cell r="F1258">
            <v>43529</v>
          </cell>
          <cell r="G1258" t="str">
            <v>OK</v>
          </cell>
        </row>
        <row r="1259">
          <cell r="A1259" t="str">
            <v>Y1903-0080</v>
          </cell>
          <cell r="B1259">
            <v>201810</v>
          </cell>
          <cell r="C1259" t="str">
            <v>4600064617</v>
          </cell>
          <cell r="D1259" t="str">
            <v>164280C</v>
          </cell>
          <cell r="E1259">
            <v>1980</v>
          </cell>
          <cell r="F1259">
            <v>43529</v>
          </cell>
          <cell r="G1259" t="str">
            <v>OK</v>
          </cell>
        </row>
        <row r="1260">
          <cell r="A1260" t="str">
            <v>Y1903-0089</v>
          </cell>
          <cell r="B1260">
            <v>201810</v>
          </cell>
          <cell r="C1260" t="str">
            <v>4600064629</v>
          </cell>
          <cell r="D1260" t="str">
            <v>164525C</v>
          </cell>
          <cell r="E1260">
            <v>396</v>
          </cell>
          <cell r="F1260">
            <v>43529</v>
          </cell>
          <cell r="G1260" t="str">
            <v>OK</v>
          </cell>
        </row>
        <row r="1261">
          <cell r="A1261" t="str">
            <v>Y1903-0091</v>
          </cell>
          <cell r="B1261">
            <v>201810</v>
          </cell>
          <cell r="C1261" t="str">
            <v>4600064631</v>
          </cell>
          <cell r="D1261" t="str">
            <v>164525C</v>
          </cell>
          <cell r="E1261">
            <v>132</v>
          </cell>
          <cell r="F1261">
            <v>43529</v>
          </cell>
          <cell r="G1261" t="str">
            <v>OK</v>
          </cell>
        </row>
        <row r="1262">
          <cell r="A1262" t="str">
            <v>Y1903-0092</v>
          </cell>
          <cell r="B1262">
            <v>201810</v>
          </cell>
          <cell r="C1262" t="str">
            <v>4600064632</v>
          </cell>
          <cell r="D1262" t="str">
            <v>164390C</v>
          </cell>
          <cell r="E1262">
            <v>132</v>
          </cell>
          <cell r="F1262">
            <v>43529</v>
          </cell>
          <cell r="G1262" t="str">
            <v>OK</v>
          </cell>
        </row>
        <row r="1263">
          <cell r="A1263" t="str">
            <v>Y1903-0093</v>
          </cell>
          <cell r="B1263">
            <v>201810</v>
          </cell>
          <cell r="C1263" t="str">
            <v>4600064633</v>
          </cell>
          <cell r="D1263" t="str">
            <v>164390C</v>
          </cell>
          <cell r="E1263">
            <v>360</v>
          </cell>
          <cell r="F1263">
            <v>43529</v>
          </cell>
          <cell r="G1263" t="str">
            <v>OK</v>
          </cell>
        </row>
        <row r="1264">
          <cell r="A1264" t="str">
            <v>Y1903-0108</v>
          </cell>
          <cell r="B1264">
            <v>201810</v>
          </cell>
          <cell r="C1264" t="str">
            <v>4600064648</v>
          </cell>
          <cell r="D1264" t="str">
            <v>162580C</v>
          </cell>
          <cell r="E1264">
            <v>144</v>
          </cell>
          <cell r="F1264">
            <v>43529</v>
          </cell>
          <cell r="G1264" t="str">
            <v>OK</v>
          </cell>
        </row>
        <row r="1265">
          <cell r="A1265" t="str">
            <v>Y1903-0109</v>
          </cell>
          <cell r="B1265">
            <v>201810</v>
          </cell>
          <cell r="C1265" t="str">
            <v>4600064649</v>
          </cell>
          <cell r="D1265" t="str">
            <v>162580C</v>
          </cell>
          <cell r="E1265">
            <v>564</v>
          </cell>
          <cell r="F1265">
            <v>43529</v>
          </cell>
          <cell r="G1265" t="str">
            <v>OK</v>
          </cell>
        </row>
        <row r="1266">
          <cell r="A1266" t="str">
            <v>Y1903-0110</v>
          </cell>
          <cell r="B1266">
            <v>201810</v>
          </cell>
          <cell r="C1266" t="str">
            <v>4600064650</v>
          </cell>
          <cell r="D1266" t="str">
            <v>164281C</v>
          </cell>
          <cell r="E1266">
            <v>2016</v>
          </cell>
          <cell r="F1266">
            <v>43529</v>
          </cell>
          <cell r="G1266" t="str">
            <v>OK</v>
          </cell>
        </row>
        <row r="1267">
          <cell r="A1267" t="str">
            <v>Y1903-0111</v>
          </cell>
          <cell r="B1267">
            <v>201810</v>
          </cell>
          <cell r="C1267" t="str">
            <v>4600064651</v>
          </cell>
          <cell r="D1267" t="str">
            <v>164220C</v>
          </cell>
          <cell r="E1267">
            <v>732</v>
          </cell>
          <cell r="F1267">
            <v>43529</v>
          </cell>
          <cell r="G1267" t="str">
            <v>OK</v>
          </cell>
        </row>
        <row r="1268">
          <cell r="A1268" t="str">
            <v>Y1903-0112</v>
          </cell>
          <cell r="B1268">
            <v>201810</v>
          </cell>
          <cell r="C1268" t="str">
            <v>4600064652</v>
          </cell>
          <cell r="D1268" t="str">
            <v>164219C</v>
          </cell>
          <cell r="E1268">
            <v>180</v>
          </cell>
          <cell r="F1268">
            <v>43529</v>
          </cell>
          <cell r="G1268" t="str">
            <v>OK</v>
          </cell>
        </row>
        <row r="1269">
          <cell r="A1269" t="str">
            <v>Y1903-0113</v>
          </cell>
          <cell r="B1269">
            <v>201810</v>
          </cell>
          <cell r="C1269" t="str">
            <v>4600064653</v>
          </cell>
          <cell r="D1269" t="str">
            <v>164219C</v>
          </cell>
          <cell r="E1269">
            <v>744</v>
          </cell>
          <cell r="F1269">
            <v>43529</v>
          </cell>
          <cell r="G1269" t="str">
            <v>OK</v>
          </cell>
        </row>
        <row r="1270">
          <cell r="A1270" t="str">
            <v>Y1903-0114</v>
          </cell>
          <cell r="B1270">
            <v>201810</v>
          </cell>
          <cell r="C1270" t="str">
            <v>4600064654</v>
          </cell>
          <cell r="D1270" t="str">
            <v>161577C</v>
          </cell>
          <cell r="E1270">
            <v>144</v>
          </cell>
          <cell r="F1270">
            <v>43529</v>
          </cell>
          <cell r="G1270" t="str">
            <v>OK</v>
          </cell>
        </row>
        <row r="1271">
          <cell r="A1271" t="str">
            <v>Y1903-0115</v>
          </cell>
          <cell r="B1271">
            <v>201810</v>
          </cell>
          <cell r="C1271" t="str">
            <v>4600064770</v>
          </cell>
          <cell r="D1271" t="str">
            <v>164361C</v>
          </cell>
          <cell r="E1271">
            <v>216</v>
          </cell>
          <cell r="F1271">
            <v>43529</v>
          </cell>
          <cell r="G1271" t="str">
            <v>OK</v>
          </cell>
        </row>
        <row r="1272">
          <cell r="A1272" t="str">
            <v>Y1903-0116</v>
          </cell>
          <cell r="B1272">
            <v>201810</v>
          </cell>
          <cell r="C1272" t="str">
            <v>4600064774</v>
          </cell>
          <cell r="D1272" t="str">
            <v>764173C</v>
          </cell>
          <cell r="E1272">
            <v>648</v>
          </cell>
          <cell r="F1272">
            <v>43529</v>
          </cell>
          <cell r="G1272" t="str">
            <v>OK</v>
          </cell>
        </row>
        <row r="1273">
          <cell r="A1273" t="str">
            <v>Y1903-0117</v>
          </cell>
          <cell r="B1273">
            <v>201810</v>
          </cell>
          <cell r="C1273" t="str">
            <v>4600064776</v>
          </cell>
          <cell r="D1273" t="str">
            <v>564153C</v>
          </cell>
          <cell r="E1273">
            <v>120</v>
          </cell>
          <cell r="F1273">
            <v>43527</v>
          </cell>
          <cell r="G1273" t="str">
            <v>OK</v>
          </cell>
        </row>
        <row r="1274">
          <cell r="A1274" t="str">
            <v>Y1903-0118</v>
          </cell>
          <cell r="B1274">
            <v>201810</v>
          </cell>
          <cell r="C1274" t="str">
            <v>4600064777</v>
          </cell>
          <cell r="D1274" t="str">
            <v>564152C</v>
          </cell>
          <cell r="E1274">
            <v>120</v>
          </cell>
          <cell r="F1274">
            <v>43527</v>
          </cell>
          <cell r="G1274" t="str">
            <v>OK</v>
          </cell>
        </row>
        <row r="1275">
          <cell r="A1275" t="str">
            <v>Y1903-0119</v>
          </cell>
          <cell r="B1275">
            <v>201810</v>
          </cell>
          <cell r="C1275" t="str">
            <v>4600064778</v>
          </cell>
          <cell r="D1275" t="str">
            <v>164362C</v>
          </cell>
          <cell r="E1275">
            <v>120</v>
          </cell>
          <cell r="F1275">
            <v>43529</v>
          </cell>
          <cell r="G1275" t="str">
            <v>OK</v>
          </cell>
        </row>
        <row r="1276">
          <cell r="A1276" t="str">
            <v>Y1903-0120</v>
          </cell>
          <cell r="B1276">
            <v>201810</v>
          </cell>
          <cell r="C1276" t="str">
            <v>4600064779</v>
          </cell>
          <cell r="D1276" t="str">
            <v>164360C</v>
          </cell>
          <cell r="E1276">
            <v>216</v>
          </cell>
          <cell r="F1276">
            <v>43529</v>
          </cell>
          <cell r="G1276" t="str">
            <v>OK</v>
          </cell>
        </row>
        <row r="1277">
          <cell r="A1277" t="str">
            <v>Y1903-0121</v>
          </cell>
          <cell r="B1277">
            <v>201810</v>
          </cell>
          <cell r="C1277" t="str">
            <v>4600064780</v>
          </cell>
          <cell r="D1277" t="str">
            <v>164358C</v>
          </cell>
          <cell r="E1277">
            <v>180</v>
          </cell>
          <cell r="F1277">
            <v>43529</v>
          </cell>
          <cell r="G1277" t="str">
            <v>OK</v>
          </cell>
        </row>
        <row r="1278">
          <cell r="A1278" t="str">
            <v>Y1903-0122</v>
          </cell>
          <cell r="B1278">
            <v>201810</v>
          </cell>
          <cell r="C1278" t="str">
            <v>4600064781</v>
          </cell>
          <cell r="D1278" t="str">
            <v>164220C</v>
          </cell>
          <cell r="E1278">
            <v>1200</v>
          </cell>
          <cell r="F1278">
            <v>43529</v>
          </cell>
          <cell r="G1278" t="str">
            <v>OK</v>
          </cell>
        </row>
        <row r="1279">
          <cell r="A1279" t="str">
            <v>Y1903-0123</v>
          </cell>
          <cell r="B1279">
            <v>201810</v>
          </cell>
          <cell r="C1279" t="str">
            <v>4600064782</v>
          </cell>
          <cell r="D1279" t="str">
            <v>164219C</v>
          </cell>
          <cell r="E1279">
            <v>600</v>
          </cell>
          <cell r="F1279">
            <v>43529</v>
          </cell>
          <cell r="G1279" t="str">
            <v>OK</v>
          </cell>
        </row>
        <row r="1280">
          <cell r="A1280" t="str">
            <v>Y1903-0124</v>
          </cell>
          <cell r="B1280">
            <v>201810</v>
          </cell>
          <cell r="C1280" t="str">
            <v>4600064788</v>
          </cell>
          <cell r="D1280" t="str">
            <v>564206C</v>
          </cell>
          <cell r="E1280">
            <v>204</v>
          </cell>
          <cell r="F1280">
            <v>43535</v>
          </cell>
          <cell r="G1280" t="str">
            <v>OK</v>
          </cell>
        </row>
        <row r="1281">
          <cell r="A1281" t="str">
            <v>Y1903-0125</v>
          </cell>
          <cell r="B1281">
            <v>201810</v>
          </cell>
          <cell r="C1281" t="str">
            <v>4600064789</v>
          </cell>
          <cell r="D1281" t="str">
            <v>564154C</v>
          </cell>
          <cell r="E1281">
            <v>120</v>
          </cell>
          <cell r="F1281">
            <v>43527</v>
          </cell>
          <cell r="G1281" t="str">
            <v>OK</v>
          </cell>
        </row>
        <row r="1282">
          <cell r="A1282" t="str">
            <v>Y1903-0126</v>
          </cell>
          <cell r="B1282">
            <v>201810</v>
          </cell>
          <cell r="C1282" t="str">
            <v>4600064793</v>
          </cell>
          <cell r="D1282" t="str">
            <v>564070C</v>
          </cell>
          <cell r="E1282">
            <v>120</v>
          </cell>
          <cell r="F1282">
            <v>43525</v>
          </cell>
          <cell r="G1282" t="str">
            <v>OK</v>
          </cell>
        </row>
        <row r="1283">
          <cell r="A1283" t="str">
            <v>Y1903-0127</v>
          </cell>
          <cell r="B1283">
            <v>201810</v>
          </cell>
          <cell r="C1283" t="str">
            <v>4600064794</v>
          </cell>
          <cell r="D1283" t="str">
            <v>164282C</v>
          </cell>
          <cell r="E1283">
            <v>1356</v>
          </cell>
          <cell r="F1283">
            <v>43529</v>
          </cell>
          <cell r="G1283" t="str">
            <v>OK</v>
          </cell>
        </row>
        <row r="1284">
          <cell r="A1284" t="str">
            <v>Y1903-0128</v>
          </cell>
          <cell r="B1284">
            <v>201810</v>
          </cell>
          <cell r="C1284" t="str">
            <v>4600064795</v>
          </cell>
          <cell r="D1284" t="str">
            <v>764172C</v>
          </cell>
          <cell r="E1284">
            <v>120</v>
          </cell>
          <cell r="F1284">
            <v>43529</v>
          </cell>
          <cell r="G1284" t="str">
            <v>OK</v>
          </cell>
        </row>
        <row r="1285">
          <cell r="A1285" t="str">
            <v>Y1903-0133</v>
          </cell>
          <cell r="B1285">
            <v>201811</v>
          </cell>
          <cell r="C1285" t="str">
            <v>0100179976</v>
          </cell>
          <cell r="D1285">
            <v>88871</v>
          </cell>
          <cell r="E1285">
            <v>120</v>
          </cell>
          <cell r="F1285">
            <v>43540</v>
          </cell>
          <cell r="G1285" t="str">
            <v>01/04</v>
          </cell>
        </row>
        <row r="1286">
          <cell r="A1286" t="str">
            <v>Y1903-0134</v>
          </cell>
          <cell r="B1286">
            <v>201811</v>
          </cell>
          <cell r="C1286" t="str">
            <v>0100179986</v>
          </cell>
          <cell r="D1286" t="str">
            <v>164221C</v>
          </cell>
          <cell r="E1286">
            <v>1428</v>
          </cell>
          <cell r="F1286">
            <v>43533</v>
          </cell>
          <cell r="G1286" t="str">
            <v>01/04</v>
          </cell>
        </row>
        <row r="1287">
          <cell r="A1287" t="str">
            <v>Y1903-0135</v>
          </cell>
          <cell r="B1287">
            <v>201811</v>
          </cell>
          <cell r="C1287" t="str">
            <v>0100179987</v>
          </cell>
          <cell r="D1287" t="str">
            <v>164223C</v>
          </cell>
          <cell r="E1287">
            <v>1344</v>
          </cell>
          <cell r="F1287">
            <v>43532</v>
          </cell>
          <cell r="G1287" t="str">
            <v>01/04</v>
          </cell>
        </row>
        <row r="1288">
          <cell r="A1288" t="str">
            <v>Y1903-0136</v>
          </cell>
          <cell r="B1288">
            <v>201811</v>
          </cell>
          <cell r="C1288" t="str">
            <v>0100179988</v>
          </cell>
          <cell r="D1288" t="str">
            <v>164605C</v>
          </cell>
          <cell r="E1288">
            <v>1800</v>
          </cell>
          <cell r="F1288">
            <v>43532</v>
          </cell>
          <cell r="G1288" t="str">
            <v>01/11</v>
          </cell>
        </row>
        <row r="1289">
          <cell r="A1289" t="str">
            <v>Y1903-0137</v>
          </cell>
          <cell r="B1289">
            <v>201811</v>
          </cell>
          <cell r="C1289" t="str">
            <v>0100179989</v>
          </cell>
          <cell r="D1289" t="str">
            <v>164606C</v>
          </cell>
          <cell r="E1289">
            <v>1800</v>
          </cell>
          <cell r="F1289">
            <v>43534</v>
          </cell>
          <cell r="G1289" t="str">
            <v>01/11</v>
          </cell>
        </row>
        <row r="1290">
          <cell r="A1290" t="str">
            <v>Y1903-0138</v>
          </cell>
          <cell r="B1290">
            <v>201811</v>
          </cell>
          <cell r="C1290" t="str">
            <v>0100179990</v>
          </cell>
          <cell r="D1290" t="str">
            <v>164607C</v>
          </cell>
          <cell r="E1290">
            <v>3132</v>
          </cell>
          <cell r="F1290">
            <v>43532</v>
          </cell>
          <cell r="G1290" t="str">
            <v>01/11</v>
          </cell>
        </row>
        <row r="1291">
          <cell r="A1291" t="str">
            <v>Y1903-0140</v>
          </cell>
          <cell r="B1291">
            <v>201811</v>
          </cell>
          <cell r="C1291" t="str">
            <v>0100180003</v>
          </cell>
          <cell r="D1291" t="str">
            <v>1J793C</v>
          </cell>
          <cell r="E1291">
            <v>432</v>
          </cell>
          <cell r="F1291">
            <v>43549</v>
          </cell>
          <cell r="G1291" t="str">
            <v>01/08</v>
          </cell>
        </row>
        <row r="1292">
          <cell r="A1292" t="str">
            <v>Y1903-0142</v>
          </cell>
          <cell r="B1292">
            <v>201811</v>
          </cell>
          <cell r="C1292" t="str">
            <v>0100180010</v>
          </cell>
          <cell r="D1292" t="str">
            <v>144148C</v>
          </cell>
          <cell r="E1292">
            <v>1812</v>
          </cell>
          <cell r="F1292">
            <v>43537</v>
          </cell>
          <cell r="G1292" t="str">
            <v>OK</v>
          </cell>
        </row>
        <row r="1293">
          <cell r="A1293" t="str">
            <v>Y1903-0143</v>
          </cell>
          <cell r="B1293">
            <v>201811</v>
          </cell>
          <cell r="C1293" t="str">
            <v>0100180011</v>
          </cell>
          <cell r="D1293" t="str">
            <v>144150C</v>
          </cell>
          <cell r="E1293">
            <v>1800</v>
          </cell>
          <cell r="F1293">
            <v>43538</v>
          </cell>
          <cell r="G1293" t="str">
            <v>OK</v>
          </cell>
        </row>
        <row r="1294">
          <cell r="A1294" t="str">
            <v>Y1903-0144</v>
          </cell>
          <cell r="B1294">
            <v>201811</v>
          </cell>
          <cell r="C1294" t="str">
            <v>0100180012</v>
          </cell>
          <cell r="D1294" t="str">
            <v>144151C</v>
          </cell>
          <cell r="E1294">
            <v>1800</v>
          </cell>
          <cell r="F1294">
            <v>43538</v>
          </cell>
          <cell r="G1294" t="str">
            <v>OK</v>
          </cell>
        </row>
        <row r="1295">
          <cell r="A1295" t="str">
            <v>Y1903-0145</v>
          </cell>
          <cell r="B1295">
            <v>201811</v>
          </cell>
          <cell r="C1295" t="str">
            <v>0100180015</v>
          </cell>
          <cell r="D1295" t="str">
            <v>764172C</v>
          </cell>
          <cell r="E1295">
            <v>1812</v>
          </cell>
          <cell r="F1295">
            <v>43543</v>
          </cell>
          <cell r="G1295" t="str">
            <v>OK</v>
          </cell>
        </row>
        <row r="1296">
          <cell r="A1296" t="str">
            <v>Y1903-0146</v>
          </cell>
          <cell r="B1296">
            <v>201811</v>
          </cell>
          <cell r="C1296" t="str">
            <v>0100180016</v>
          </cell>
          <cell r="D1296" t="str">
            <v>651827C</v>
          </cell>
          <cell r="E1296">
            <v>1812</v>
          </cell>
          <cell r="F1296">
            <v>43525</v>
          </cell>
          <cell r="G1296" t="str">
            <v>OK</v>
          </cell>
        </row>
        <row r="1297">
          <cell r="A1297" t="str">
            <v>Y1903-0147</v>
          </cell>
          <cell r="B1297">
            <v>201811</v>
          </cell>
          <cell r="C1297" t="str">
            <v>0100180018</v>
          </cell>
          <cell r="D1297" t="str">
            <v>764437C</v>
          </cell>
          <cell r="E1297">
            <v>1824</v>
          </cell>
          <cell r="F1297">
            <v>43542</v>
          </cell>
          <cell r="G1297" t="str">
            <v>OK</v>
          </cell>
        </row>
        <row r="1298">
          <cell r="A1298" t="str">
            <v>Y1903-0148</v>
          </cell>
          <cell r="B1298">
            <v>201811</v>
          </cell>
          <cell r="C1298" t="str">
            <v>0100180019</v>
          </cell>
          <cell r="D1298" t="str">
            <v>764439C</v>
          </cell>
          <cell r="E1298">
            <v>1812</v>
          </cell>
          <cell r="F1298">
            <v>43542</v>
          </cell>
          <cell r="G1298" t="str">
            <v>OK</v>
          </cell>
        </row>
        <row r="1299">
          <cell r="A1299" t="str">
            <v>Y1903-0149</v>
          </cell>
          <cell r="B1299">
            <v>201811</v>
          </cell>
          <cell r="C1299" t="str">
            <v>0100180020</v>
          </cell>
          <cell r="D1299" t="str">
            <v>664434C</v>
          </cell>
          <cell r="E1299">
            <v>1800</v>
          </cell>
          <cell r="F1299">
            <v>43543</v>
          </cell>
          <cell r="G1299" t="str">
            <v>OK</v>
          </cell>
        </row>
        <row r="1300">
          <cell r="A1300" t="str">
            <v>Y1903-0150</v>
          </cell>
          <cell r="B1300">
            <v>201811</v>
          </cell>
          <cell r="C1300" t="str">
            <v>0100180022</v>
          </cell>
          <cell r="D1300" t="str">
            <v>664436C</v>
          </cell>
          <cell r="E1300">
            <v>1800</v>
          </cell>
          <cell r="F1300">
            <v>43539</v>
          </cell>
          <cell r="G1300" t="str">
            <v>01/02</v>
          </cell>
        </row>
        <row r="1301">
          <cell r="A1301" t="str">
            <v>Y1903-0151</v>
          </cell>
          <cell r="B1301">
            <v>201811</v>
          </cell>
          <cell r="C1301" t="str">
            <v>0100180023</v>
          </cell>
          <cell r="D1301" t="str">
            <v>164102C</v>
          </cell>
          <cell r="E1301">
            <v>336</v>
          </cell>
          <cell r="F1301">
            <v>43535</v>
          </cell>
          <cell r="G1301" t="str">
            <v>01/04</v>
          </cell>
        </row>
        <row r="1302">
          <cell r="A1302" t="str">
            <v>Y1903-0152</v>
          </cell>
          <cell r="B1302">
            <v>201811</v>
          </cell>
          <cell r="C1302" t="str">
            <v>0100180024</v>
          </cell>
          <cell r="D1302">
            <v>88865</v>
          </cell>
          <cell r="E1302">
            <v>912</v>
          </cell>
          <cell r="F1302">
            <v>43539</v>
          </cell>
          <cell r="G1302" t="str">
            <v>OK</v>
          </cell>
        </row>
        <row r="1303">
          <cell r="A1303" t="str">
            <v>Y1903-0153</v>
          </cell>
          <cell r="B1303">
            <v>201811</v>
          </cell>
          <cell r="C1303" t="str">
            <v>0100180025</v>
          </cell>
          <cell r="D1303" t="str">
            <v>164221C</v>
          </cell>
          <cell r="E1303">
            <v>120</v>
          </cell>
          <cell r="F1303">
            <v>43539</v>
          </cell>
          <cell r="G1303" t="str">
            <v>01/04</v>
          </cell>
        </row>
        <row r="1304">
          <cell r="A1304" t="str">
            <v>Y1903-0154</v>
          </cell>
          <cell r="B1304">
            <v>201811</v>
          </cell>
          <cell r="C1304" t="str">
            <v>0100180026</v>
          </cell>
          <cell r="D1304" t="str">
            <v>164223C</v>
          </cell>
          <cell r="E1304">
            <v>192</v>
          </cell>
          <cell r="F1304">
            <v>43542</v>
          </cell>
          <cell r="G1304" t="str">
            <v>01/04</v>
          </cell>
        </row>
        <row r="1305">
          <cell r="A1305" t="str">
            <v>Y1903-0155</v>
          </cell>
          <cell r="B1305">
            <v>201811</v>
          </cell>
          <cell r="C1305" t="str">
            <v>0100180027</v>
          </cell>
          <cell r="D1305">
            <v>88871</v>
          </cell>
          <cell r="E1305">
            <v>204</v>
          </cell>
          <cell r="F1305">
            <v>43539</v>
          </cell>
          <cell r="G1305" t="str">
            <v>01/04</v>
          </cell>
        </row>
        <row r="1306">
          <cell r="A1306" t="str">
            <v>Y1903-0156</v>
          </cell>
          <cell r="B1306">
            <v>201811</v>
          </cell>
          <cell r="C1306" t="str">
            <v>0100180028</v>
          </cell>
          <cell r="D1306">
            <v>88875</v>
          </cell>
          <cell r="E1306">
            <v>804</v>
          </cell>
          <cell r="F1306">
            <v>43539</v>
          </cell>
          <cell r="G1306" t="str">
            <v>01/04</v>
          </cell>
        </row>
        <row r="1307">
          <cell r="A1307" t="str">
            <v>Y1903-0157</v>
          </cell>
          <cell r="B1307">
            <v>201811</v>
          </cell>
          <cell r="C1307" t="str">
            <v>0100180029</v>
          </cell>
          <cell r="D1307">
            <v>88877</v>
          </cell>
          <cell r="E1307">
            <v>1440</v>
          </cell>
          <cell r="F1307">
            <v>43539</v>
          </cell>
          <cell r="G1307" t="str">
            <v>01/04</v>
          </cell>
        </row>
        <row r="1308">
          <cell r="A1308" t="str">
            <v>Y1903-0158</v>
          </cell>
          <cell r="B1308">
            <v>201811</v>
          </cell>
          <cell r="C1308" t="str">
            <v>0100180030</v>
          </cell>
          <cell r="D1308" t="str">
            <v>636930C</v>
          </cell>
          <cell r="E1308">
            <v>1812</v>
          </cell>
          <cell r="F1308">
            <v>43542</v>
          </cell>
          <cell r="G1308" t="str">
            <v>OK</v>
          </cell>
        </row>
        <row r="1309">
          <cell r="A1309" t="str">
            <v>Y1903-0159</v>
          </cell>
          <cell r="B1309">
            <v>201811</v>
          </cell>
          <cell r="C1309" t="str">
            <v>0100180031</v>
          </cell>
          <cell r="D1309" t="str">
            <v>164025C</v>
          </cell>
          <cell r="E1309">
            <v>108</v>
          </cell>
          <cell r="F1309">
            <v>43551</v>
          </cell>
          <cell r="G1309" t="str">
            <v>01/11</v>
          </cell>
        </row>
        <row r="1310">
          <cell r="A1310" t="str">
            <v>Y1903-0160</v>
          </cell>
          <cell r="B1310">
            <v>201811</v>
          </cell>
          <cell r="C1310" t="str">
            <v>0100180032</v>
          </cell>
          <cell r="D1310" t="str">
            <v>164025C</v>
          </cell>
          <cell r="E1310">
            <v>3143</v>
          </cell>
          <cell r="F1310">
            <v>43551</v>
          </cell>
          <cell r="G1310" t="str">
            <v>01/11</v>
          </cell>
        </row>
        <row r="1311">
          <cell r="A1311" t="str">
            <v>Y1903-0161</v>
          </cell>
          <cell r="B1311">
            <v>201811</v>
          </cell>
          <cell r="C1311" t="str">
            <v>0100180033</v>
          </cell>
          <cell r="D1311" t="str">
            <v>3J253C</v>
          </cell>
          <cell r="E1311">
            <v>300</v>
          </cell>
          <cell r="F1311">
            <v>43542</v>
          </cell>
          <cell r="G1311" t="str">
            <v>OK</v>
          </cell>
        </row>
        <row r="1312">
          <cell r="A1312" t="str">
            <v>Y1903-0164</v>
          </cell>
          <cell r="B1312">
            <v>201811</v>
          </cell>
          <cell r="C1312" t="str">
            <v>0100180036</v>
          </cell>
          <cell r="D1312" t="str">
            <v>M7650C</v>
          </cell>
          <cell r="E1312">
            <v>1668</v>
          </cell>
          <cell r="F1312">
            <v>43542</v>
          </cell>
          <cell r="G1312" t="str">
            <v>01/11</v>
          </cell>
        </row>
        <row r="1313">
          <cell r="A1313" t="str">
            <v>Y1903-0166</v>
          </cell>
          <cell r="B1313">
            <v>201811</v>
          </cell>
          <cell r="C1313" t="str">
            <v>0100180038</v>
          </cell>
          <cell r="D1313" t="str">
            <v>158369C</v>
          </cell>
          <cell r="E1313">
            <v>384</v>
          </cell>
          <cell r="F1313">
            <v>43542</v>
          </cell>
          <cell r="G1313" t="str">
            <v>OK</v>
          </cell>
        </row>
        <row r="1314">
          <cell r="A1314" t="str">
            <v>Y1903-0169</v>
          </cell>
          <cell r="B1314">
            <v>201811</v>
          </cell>
          <cell r="C1314" t="str">
            <v>0100180041</v>
          </cell>
          <cell r="D1314" t="str">
            <v>M7650C</v>
          </cell>
          <cell r="E1314">
            <v>756</v>
          </cell>
          <cell r="F1314">
            <v>43542</v>
          </cell>
          <cell r="G1314" t="str">
            <v>01/11</v>
          </cell>
        </row>
        <row r="1315">
          <cell r="A1315" t="str">
            <v>Y1903-0171</v>
          </cell>
          <cell r="B1315">
            <v>201811</v>
          </cell>
          <cell r="C1315" t="str">
            <v>0100180043</v>
          </cell>
          <cell r="D1315" t="str">
            <v>M7650C</v>
          </cell>
          <cell r="E1315">
            <v>408</v>
          </cell>
          <cell r="F1315">
            <v>43542</v>
          </cell>
          <cell r="G1315" t="str">
            <v>01/11</v>
          </cell>
        </row>
        <row r="1316">
          <cell r="A1316" t="str">
            <v>Y1903-0172</v>
          </cell>
          <cell r="B1316">
            <v>201811</v>
          </cell>
          <cell r="C1316" t="str">
            <v>0100180044</v>
          </cell>
          <cell r="D1316" t="str">
            <v>7J253C</v>
          </cell>
          <cell r="E1316">
            <v>408</v>
          </cell>
          <cell r="F1316">
            <v>43542</v>
          </cell>
          <cell r="G1316" t="str">
            <v>OK</v>
          </cell>
        </row>
        <row r="1317">
          <cell r="A1317" t="str">
            <v>Y1903-0174</v>
          </cell>
          <cell r="B1317">
            <v>201811</v>
          </cell>
          <cell r="C1317" t="str">
            <v>0100180046</v>
          </cell>
          <cell r="D1317" t="str">
            <v>3J253C</v>
          </cell>
          <cell r="E1317">
            <v>432</v>
          </cell>
          <cell r="F1317">
            <v>43542</v>
          </cell>
          <cell r="G1317" t="str">
            <v>OK</v>
          </cell>
        </row>
        <row r="1318">
          <cell r="A1318" t="str">
            <v>Y1903-0175</v>
          </cell>
          <cell r="B1318">
            <v>201811</v>
          </cell>
          <cell r="C1318" t="str">
            <v>0100180047</v>
          </cell>
          <cell r="D1318" t="str">
            <v>3J256C</v>
          </cell>
          <cell r="E1318">
            <v>672</v>
          </cell>
          <cell r="F1318">
            <v>43542</v>
          </cell>
          <cell r="G1318" t="str">
            <v>OK</v>
          </cell>
        </row>
        <row r="1319">
          <cell r="A1319" t="str">
            <v>Y1903-0176</v>
          </cell>
          <cell r="B1319">
            <v>201811</v>
          </cell>
          <cell r="C1319" t="str">
            <v>0100180048</v>
          </cell>
          <cell r="D1319" t="str">
            <v>3J256C</v>
          </cell>
          <cell r="E1319">
            <v>996</v>
          </cell>
          <cell r="F1319">
            <v>43542</v>
          </cell>
          <cell r="G1319" t="str">
            <v>OK</v>
          </cell>
        </row>
        <row r="1320">
          <cell r="A1320" t="str">
            <v>Y1903-0182</v>
          </cell>
          <cell r="B1320">
            <v>201811</v>
          </cell>
          <cell r="C1320" t="str">
            <v>0100180054</v>
          </cell>
          <cell r="D1320" t="str">
            <v>164607C</v>
          </cell>
          <cell r="E1320">
            <v>240</v>
          </cell>
          <cell r="F1320">
            <v>43554</v>
          </cell>
          <cell r="G1320" t="str">
            <v>01/18</v>
          </cell>
        </row>
        <row r="1321">
          <cell r="A1321" t="str">
            <v>Y1903-0183</v>
          </cell>
          <cell r="B1321">
            <v>201811</v>
          </cell>
          <cell r="C1321" t="str">
            <v>0100180072</v>
          </cell>
          <cell r="D1321">
            <v>81229</v>
          </cell>
          <cell r="E1321">
            <v>432</v>
          </cell>
          <cell r="F1321">
            <v>43549</v>
          </cell>
          <cell r="G1321" t="str">
            <v>OK</v>
          </cell>
        </row>
        <row r="1322">
          <cell r="A1322" t="str">
            <v>Y1903-0184</v>
          </cell>
          <cell r="B1322">
            <v>201811</v>
          </cell>
          <cell r="C1322" t="str">
            <v>0100180074</v>
          </cell>
          <cell r="D1322">
            <v>88871</v>
          </cell>
          <cell r="E1322">
            <v>468</v>
          </cell>
          <cell r="F1322">
            <v>43547</v>
          </cell>
          <cell r="G1322" t="str">
            <v>01/04</v>
          </cell>
        </row>
        <row r="1323">
          <cell r="A1323" t="str">
            <v>Y1903-0185</v>
          </cell>
          <cell r="B1323">
            <v>201811</v>
          </cell>
          <cell r="C1323" t="str">
            <v>0100180079</v>
          </cell>
          <cell r="D1323" t="str">
            <v>549700F</v>
          </cell>
          <cell r="E1323">
            <v>690</v>
          </cell>
          <cell r="F1323">
            <v>43532</v>
          </cell>
          <cell r="G1323" t="str">
            <v>01/04</v>
          </cell>
        </row>
        <row r="1324">
          <cell r="A1324" t="str">
            <v>Y1903-0186</v>
          </cell>
          <cell r="B1324">
            <v>201811</v>
          </cell>
          <cell r="C1324" t="str">
            <v>0100180080</v>
          </cell>
          <cell r="D1324" t="str">
            <v>549700F</v>
          </cell>
          <cell r="E1324">
            <v>408</v>
          </cell>
          <cell r="F1324">
            <v>43532</v>
          </cell>
          <cell r="G1324" t="str">
            <v>01/04</v>
          </cell>
        </row>
        <row r="1325">
          <cell r="A1325" t="str">
            <v>Y1903-0187</v>
          </cell>
          <cell r="B1325">
            <v>201811</v>
          </cell>
          <cell r="C1325" t="str">
            <v>0100180082</v>
          </cell>
          <cell r="D1325" t="str">
            <v>8J231</v>
          </cell>
          <cell r="E1325">
            <v>900</v>
          </cell>
          <cell r="F1325">
            <v>43541</v>
          </cell>
          <cell r="G1325" t="str">
            <v>01/04</v>
          </cell>
        </row>
        <row r="1326">
          <cell r="A1326" t="str">
            <v>Y1903-0188</v>
          </cell>
          <cell r="B1326">
            <v>201811</v>
          </cell>
          <cell r="C1326" t="str">
            <v>0100180083</v>
          </cell>
          <cell r="D1326">
            <v>81229</v>
          </cell>
          <cell r="E1326">
            <v>600</v>
          </cell>
          <cell r="F1326">
            <v>43541</v>
          </cell>
          <cell r="G1326" t="str">
            <v>OK</v>
          </cell>
        </row>
        <row r="1327">
          <cell r="A1327" t="str">
            <v>Y1903-0189</v>
          </cell>
          <cell r="B1327">
            <v>201811</v>
          </cell>
          <cell r="C1327" t="str">
            <v>0100180089</v>
          </cell>
          <cell r="D1327" t="str">
            <v>264477F</v>
          </cell>
          <cell r="E1327">
            <v>360</v>
          </cell>
          <cell r="F1327">
            <v>43546</v>
          </cell>
          <cell r="G1327" t="str">
            <v>01/04</v>
          </cell>
        </row>
        <row r="1328">
          <cell r="A1328" t="str">
            <v>Y1903-0190</v>
          </cell>
          <cell r="B1328">
            <v>201811</v>
          </cell>
          <cell r="C1328" t="str">
            <v>0100181203</v>
          </cell>
          <cell r="D1328" t="str">
            <v>164026C</v>
          </cell>
          <cell r="E1328">
            <v>108</v>
          </cell>
          <cell r="F1328">
            <v>43551</v>
          </cell>
          <cell r="G1328" t="str">
            <v>01/22</v>
          </cell>
        </row>
        <row r="1329">
          <cell r="A1329" t="str">
            <v>Y1903-0191</v>
          </cell>
          <cell r="B1329">
            <v>201811</v>
          </cell>
          <cell r="C1329" t="str">
            <v>0100181204</v>
          </cell>
          <cell r="D1329" t="str">
            <v>164026C</v>
          </cell>
          <cell r="E1329">
            <v>3143</v>
          </cell>
          <cell r="F1329">
            <v>43551</v>
          </cell>
          <cell r="G1329" t="str">
            <v>01/22</v>
          </cell>
        </row>
        <row r="1330">
          <cell r="A1330" t="str">
            <v>Y1903-0192</v>
          </cell>
          <cell r="B1330">
            <v>201811</v>
          </cell>
          <cell r="C1330" t="str">
            <v>0100181342</v>
          </cell>
          <cell r="D1330" t="str">
            <v>164025C</v>
          </cell>
          <cell r="E1330">
            <v>4849</v>
          </cell>
          <cell r="F1330">
            <v>43555</v>
          </cell>
          <cell r="G1330" t="str">
            <v>01/22</v>
          </cell>
        </row>
        <row r="1331">
          <cell r="A1331" t="str">
            <v>Y1903-0193</v>
          </cell>
          <cell r="B1331">
            <v>201811</v>
          </cell>
          <cell r="C1331" t="str">
            <v>0100181349</v>
          </cell>
          <cell r="D1331" t="str">
            <v>3J256C</v>
          </cell>
          <cell r="E1331">
            <v>360</v>
          </cell>
          <cell r="F1331">
            <v>43542</v>
          </cell>
          <cell r="G1331" t="str">
            <v>OK</v>
          </cell>
        </row>
        <row r="1332">
          <cell r="A1332" t="str">
            <v>Y1903-0194</v>
          </cell>
          <cell r="B1332">
            <v>201811</v>
          </cell>
          <cell r="C1332" t="str">
            <v>0100181350</v>
          </cell>
          <cell r="D1332" t="str">
            <v>164060C</v>
          </cell>
          <cell r="E1332">
            <v>792</v>
          </cell>
          <cell r="F1332">
            <v>43539</v>
          </cell>
          <cell r="G1332" t="str">
            <v>OK</v>
          </cell>
        </row>
        <row r="1333">
          <cell r="A1333" t="str">
            <v>Y1903-0195</v>
          </cell>
          <cell r="B1333">
            <v>201811</v>
          </cell>
          <cell r="C1333" t="str">
            <v>0100181351</v>
          </cell>
          <cell r="D1333" t="str">
            <v>164025C</v>
          </cell>
          <cell r="E1333">
            <v>513</v>
          </cell>
          <cell r="F1333">
            <v>43542</v>
          </cell>
          <cell r="G1333" t="str">
            <v>01/11</v>
          </cell>
        </row>
        <row r="1334">
          <cell r="A1334" t="str">
            <v>Y1903-0196</v>
          </cell>
          <cell r="B1334">
            <v>201811</v>
          </cell>
          <cell r="C1334" t="str">
            <v>0100181391</v>
          </cell>
          <cell r="D1334" t="str">
            <v>164026C</v>
          </cell>
          <cell r="E1334">
            <v>4855</v>
          </cell>
          <cell r="F1334">
            <v>43555</v>
          </cell>
          <cell r="G1334" t="str">
            <v>01/22</v>
          </cell>
        </row>
        <row r="1335">
          <cell r="A1335" t="str">
            <v>Y1903-0197</v>
          </cell>
          <cell r="B1335">
            <v>201811</v>
          </cell>
          <cell r="C1335" t="str">
            <v>0100181396</v>
          </cell>
          <cell r="D1335" t="str">
            <v>1J793C</v>
          </cell>
          <cell r="E1335">
            <v>636</v>
          </cell>
          <cell r="F1335">
            <v>43539</v>
          </cell>
          <cell r="G1335" t="str">
            <v>01/08</v>
          </cell>
        </row>
        <row r="1336">
          <cell r="A1336" t="str">
            <v>Y1903-0198</v>
          </cell>
          <cell r="B1336">
            <v>201811</v>
          </cell>
          <cell r="C1336" t="str">
            <v>0100181397</v>
          </cell>
          <cell r="D1336" t="str">
            <v>164026C</v>
          </cell>
          <cell r="E1336">
            <v>413</v>
          </cell>
          <cell r="F1336">
            <v>43542</v>
          </cell>
          <cell r="G1336" t="str">
            <v>01/22</v>
          </cell>
        </row>
        <row r="1337">
          <cell r="A1337" t="str">
            <v>Y1903-0200</v>
          </cell>
          <cell r="B1337">
            <v>201811</v>
          </cell>
          <cell r="C1337" t="str">
            <v>0100181446</v>
          </cell>
          <cell r="D1337">
            <v>88877</v>
          </cell>
          <cell r="E1337">
            <v>360</v>
          </cell>
          <cell r="F1337">
            <v>43542</v>
          </cell>
          <cell r="G1337" t="str">
            <v>01/04</v>
          </cell>
        </row>
        <row r="1338">
          <cell r="A1338" t="str">
            <v>Y1903-0201</v>
          </cell>
          <cell r="B1338">
            <v>201811</v>
          </cell>
          <cell r="C1338" t="str">
            <v>0100181447</v>
          </cell>
          <cell r="D1338" t="str">
            <v>M7650C</v>
          </cell>
          <cell r="E1338">
            <v>360</v>
          </cell>
          <cell r="F1338">
            <v>43542</v>
          </cell>
          <cell r="G1338" t="str">
            <v>01/11</v>
          </cell>
        </row>
        <row r="1339">
          <cell r="A1339" t="str">
            <v>Y1903-0203</v>
          </cell>
          <cell r="B1339">
            <v>201811</v>
          </cell>
          <cell r="C1339" t="str">
            <v>0100181545</v>
          </cell>
          <cell r="D1339" t="str">
            <v>164221C</v>
          </cell>
          <cell r="E1339">
            <v>204</v>
          </cell>
          <cell r="F1339">
            <v>43539</v>
          </cell>
          <cell r="G1339" t="str">
            <v>01/04</v>
          </cell>
        </row>
        <row r="1340">
          <cell r="A1340" t="str">
            <v>Y1903-0204</v>
          </cell>
          <cell r="B1340">
            <v>201811</v>
          </cell>
          <cell r="C1340" t="str">
            <v>0100181546</v>
          </cell>
          <cell r="D1340" t="str">
            <v>164223C</v>
          </cell>
          <cell r="E1340">
            <v>444</v>
          </cell>
          <cell r="F1340">
            <v>43539</v>
          </cell>
          <cell r="G1340" t="str">
            <v>01/04</v>
          </cell>
        </row>
        <row r="1341">
          <cell r="A1341" t="str">
            <v>Y1903-0205</v>
          </cell>
          <cell r="B1341">
            <v>201811</v>
          </cell>
          <cell r="C1341" t="str">
            <v>4600066197</v>
          </cell>
          <cell r="D1341" t="str">
            <v>M7650C</v>
          </cell>
          <cell r="E1341">
            <v>144</v>
          </cell>
          <cell r="F1341">
            <v>43537</v>
          </cell>
          <cell r="G1341" t="str">
            <v>01/04</v>
          </cell>
        </row>
        <row r="1342">
          <cell r="A1342" t="str">
            <v>Y1903-0206</v>
          </cell>
          <cell r="B1342">
            <v>201811</v>
          </cell>
          <cell r="C1342" t="str">
            <v>4600066199</v>
          </cell>
          <cell r="D1342" t="str">
            <v>M7652C</v>
          </cell>
          <cell r="E1342">
            <v>396</v>
          </cell>
          <cell r="F1342">
            <v>43537</v>
          </cell>
          <cell r="G1342" t="str">
            <v>01/04</v>
          </cell>
        </row>
        <row r="1343">
          <cell r="A1343" t="str">
            <v>Y1903-0207</v>
          </cell>
          <cell r="B1343">
            <v>201811</v>
          </cell>
          <cell r="C1343" t="str">
            <v>4600066200</v>
          </cell>
          <cell r="D1343" t="str">
            <v>M7650C</v>
          </cell>
          <cell r="E1343">
            <v>1200</v>
          </cell>
          <cell r="F1343">
            <v>43525</v>
          </cell>
          <cell r="G1343" t="str">
            <v>01/04</v>
          </cell>
        </row>
        <row r="1344">
          <cell r="A1344" t="str">
            <v>Y1903-0208</v>
          </cell>
          <cell r="B1344">
            <v>201811</v>
          </cell>
          <cell r="C1344" t="str">
            <v>4600066201</v>
          </cell>
          <cell r="D1344" t="str">
            <v>M7652C</v>
          </cell>
          <cell r="E1344">
            <v>1800</v>
          </cell>
          <cell r="F1344">
            <v>43525</v>
          </cell>
          <cell r="G1344" t="str">
            <v>01/04</v>
          </cell>
        </row>
        <row r="1345">
          <cell r="A1345" t="str">
            <v>Y1903-0209</v>
          </cell>
          <cell r="B1345">
            <v>201811</v>
          </cell>
          <cell r="C1345" t="str">
            <v>4600066204</v>
          </cell>
          <cell r="D1345" t="str">
            <v>164223C</v>
          </cell>
          <cell r="E1345">
            <v>204</v>
          </cell>
          <cell r="F1345">
            <v>43532</v>
          </cell>
          <cell r="G1345" t="str">
            <v>01/04</v>
          </cell>
        </row>
        <row r="1346">
          <cell r="A1346" t="str">
            <v>Y1903-0210</v>
          </cell>
          <cell r="B1346">
            <v>201811</v>
          </cell>
          <cell r="C1346" t="str">
            <v>4600066205</v>
          </cell>
          <cell r="D1346" t="str">
            <v>651826C</v>
          </cell>
          <cell r="E1346">
            <v>1416</v>
          </cell>
          <cell r="F1346">
            <v>43539</v>
          </cell>
          <cell r="G1346" t="str">
            <v>01/04</v>
          </cell>
        </row>
        <row r="1347">
          <cell r="A1347" t="str">
            <v>Y1903-0211</v>
          </cell>
          <cell r="B1347">
            <v>201811</v>
          </cell>
          <cell r="C1347" t="str">
            <v>4600066206</v>
          </cell>
          <cell r="D1347" t="str">
            <v>651826C</v>
          </cell>
          <cell r="E1347">
            <v>984</v>
          </cell>
          <cell r="F1347">
            <v>43539</v>
          </cell>
          <cell r="G1347" t="str">
            <v>01/04</v>
          </cell>
        </row>
        <row r="1348">
          <cell r="A1348" t="str">
            <v>Y1903-0212</v>
          </cell>
          <cell r="B1348">
            <v>201811</v>
          </cell>
          <cell r="C1348" t="str">
            <v>4600066207</v>
          </cell>
          <cell r="D1348" t="str">
            <v>3J253C</v>
          </cell>
          <cell r="E1348">
            <v>648</v>
          </cell>
          <cell r="F1348">
            <v>43532</v>
          </cell>
          <cell r="G1348" t="str">
            <v>OK</v>
          </cell>
        </row>
        <row r="1349">
          <cell r="A1349" t="str">
            <v>Y1903-0213</v>
          </cell>
          <cell r="B1349">
            <v>201811</v>
          </cell>
          <cell r="C1349" t="str">
            <v>4600066208</v>
          </cell>
          <cell r="D1349" t="str">
            <v>7J253C</v>
          </cell>
          <cell r="E1349">
            <v>3156</v>
          </cell>
          <cell r="F1349">
            <v>43532</v>
          </cell>
          <cell r="G1349" t="str">
            <v>OK</v>
          </cell>
        </row>
        <row r="1350">
          <cell r="A1350" t="str">
            <v>Y1903-0214</v>
          </cell>
          <cell r="B1350">
            <v>201811</v>
          </cell>
          <cell r="C1350" t="str">
            <v>4600066209</v>
          </cell>
          <cell r="D1350" t="str">
            <v>7J256C</v>
          </cell>
          <cell r="E1350">
            <v>1128</v>
          </cell>
          <cell r="F1350">
            <v>43532</v>
          </cell>
          <cell r="G1350" t="str">
            <v>01/04</v>
          </cell>
        </row>
        <row r="1351">
          <cell r="A1351" t="str">
            <v>Y1903-0215</v>
          </cell>
          <cell r="B1351">
            <v>201811</v>
          </cell>
          <cell r="C1351" t="str">
            <v>4600066210</v>
          </cell>
          <cell r="D1351">
            <v>81229</v>
          </cell>
          <cell r="E1351">
            <v>360</v>
          </cell>
          <cell r="F1351">
            <v>43532</v>
          </cell>
          <cell r="G1351" t="str">
            <v>OK</v>
          </cell>
        </row>
        <row r="1352">
          <cell r="A1352" t="str">
            <v>Y1903-0216</v>
          </cell>
          <cell r="B1352">
            <v>201811</v>
          </cell>
          <cell r="C1352" t="str">
            <v>4600066211</v>
          </cell>
          <cell r="D1352" t="str">
            <v>8J231</v>
          </cell>
          <cell r="E1352">
            <v>360</v>
          </cell>
          <cell r="F1352">
            <v>43532</v>
          </cell>
          <cell r="G1352" t="str">
            <v>01/04</v>
          </cell>
        </row>
        <row r="1353">
          <cell r="A1353" t="str">
            <v>Y1903-0217</v>
          </cell>
          <cell r="B1353">
            <v>201811</v>
          </cell>
          <cell r="C1353" t="str">
            <v>4600066212</v>
          </cell>
          <cell r="D1353" t="str">
            <v>651825C</v>
          </cell>
          <cell r="E1353">
            <v>1044</v>
          </cell>
          <cell r="F1353">
            <v>43539</v>
          </cell>
          <cell r="G1353" t="str">
            <v>01/04</v>
          </cell>
        </row>
        <row r="1354">
          <cell r="A1354" t="str">
            <v>Y1903-0218</v>
          </cell>
          <cell r="B1354">
            <v>201811</v>
          </cell>
          <cell r="C1354" t="str">
            <v>4600066213</v>
          </cell>
          <cell r="D1354" t="str">
            <v>651826C</v>
          </cell>
          <cell r="E1354">
            <v>804</v>
          </cell>
          <cell r="F1354">
            <v>43539</v>
          </cell>
          <cell r="G1354" t="str">
            <v>01/04</v>
          </cell>
        </row>
        <row r="1355">
          <cell r="A1355" t="str">
            <v>Y1903-0219</v>
          </cell>
          <cell r="B1355">
            <v>201811</v>
          </cell>
          <cell r="C1355" t="str">
            <v>4600066214</v>
          </cell>
          <cell r="D1355" t="str">
            <v>163110C</v>
          </cell>
          <cell r="E1355">
            <v>348</v>
          </cell>
          <cell r="F1355">
            <v>43532</v>
          </cell>
          <cell r="G1355" t="str">
            <v>01/04</v>
          </cell>
        </row>
        <row r="1356">
          <cell r="A1356" t="str">
            <v>Y1903-0220</v>
          </cell>
          <cell r="B1356">
            <v>201811</v>
          </cell>
          <cell r="C1356" t="str">
            <v>4600066215</v>
          </cell>
          <cell r="D1356" t="str">
            <v>651825C</v>
          </cell>
          <cell r="E1356">
            <v>3024</v>
          </cell>
          <cell r="F1356">
            <v>43539</v>
          </cell>
          <cell r="G1356" t="str">
            <v>01/04</v>
          </cell>
        </row>
        <row r="1357">
          <cell r="A1357" t="str">
            <v>Y1903-0221</v>
          </cell>
          <cell r="B1357">
            <v>201811</v>
          </cell>
          <cell r="C1357" t="str">
            <v>4600066216</v>
          </cell>
          <cell r="D1357" t="str">
            <v>M7652C</v>
          </cell>
          <cell r="E1357">
            <v>18648</v>
          </cell>
          <cell r="F1357">
            <v>43537</v>
          </cell>
          <cell r="G1357" t="str">
            <v>01/04</v>
          </cell>
        </row>
        <row r="1358">
          <cell r="A1358" t="str">
            <v>Y1903-0222</v>
          </cell>
          <cell r="B1358">
            <v>201811</v>
          </cell>
          <cell r="C1358" t="str">
            <v>4600066217</v>
          </cell>
          <cell r="D1358" t="str">
            <v>651825C</v>
          </cell>
          <cell r="E1358">
            <v>1572</v>
          </cell>
          <cell r="F1358">
            <v>43539</v>
          </cell>
          <cell r="G1358" t="str">
            <v>01/04</v>
          </cell>
        </row>
        <row r="1359">
          <cell r="A1359" t="str">
            <v>Y1903-0223</v>
          </cell>
          <cell r="B1359">
            <v>201811</v>
          </cell>
          <cell r="C1359" t="str">
            <v>4600066218</v>
          </cell>
          <cell r="D1359" t="str">
            <v>651825C</v>
          </cell>
          <cell r="E1359">
            <v>1380</v>
          </cell>
          <cell r="F1359">
            <v>43539</v>
          </cell>
          <cell r="G1359" t="str">
            <v>01/04</v>
          </cell>
        </row>
        <row r="1360">
          <cell r="A1360" t="str">
            <v>Y1903-0224</v>
          </cell>
          <cell r="B1360">
            <v>201811</v>
          </cell>
          <cell r="C1360" t="str">
            <v>4600066219</v>
          </cell>
          <cell r="D1360">
            <v>88865</v>
          </cell>
          <cell r="E1360">
            <v>360</v>
          </cell>
          <cell r="F1360">
            <v>43532</v>
          </cell>
          <cell r="G1360" t="str">
            <v>OK</v>
          </cell>
        </row>
        <row r="1361">
          <cell r="A1361" t="str">
            <v>Y1903-0225</v>
          </cell>
          <cell r="B1361">
            <v>201811</v>
          </cell>
          <cell r="C1361" t="str">
            <v>4600066220</v>
          </cell>
          <cell r="D1361">
            <v>88871</v>
          </cell>
          <cell r="E1361">
            <v>360</v>
          </cell>
          <cell r="F1361">
            <v>43532</v>
          </cell>
          <cell r="G1361" t="str">
            <v>01/04</v>
          </cell>
        </row>
        <row r="1362">
          <cell r="A1362" t="str">
            <v>Y1903-0226</v>
          </cell>
          <cell r="B1362">
            <v>201811</v>
          </cell>
          <cell r="C1362" t="str">
            <v>4600066221</v>
          </cell>
          <cell r="D1362" t="str">
            <v>164221C</v>
          </cell>
          <cell r="E1362">
            <v>204</v>
          </cell>
          <cell r="F1362">
            <v>43525</v>
          </cell>
          <cell r="G1362" t="str">
            <v>01/04</v>
          </cell>
        </row>
        <row r="1363">
          <cell r="A1363" t="str">
            <v>Y1903-0227</v>
          </cell>
          <cell r="B1363">
            <v>201811</v>
          </cell>
          <cell r="C1363" t="str">
            <v>4600066222</v>
          </cell>
          <cell r="D1363" t="str">
            <v>164223C</v>
          </cell>
          <cell r="E1363">
            <v>204</v>
          </cell>
          <cell r="F1363">
            <v>43525</v>
          </cell>
          <cell r="G1363" t="str">
            <v>01/04</v>
          </cell>
        </row>
        <row r="1364">
          <cell r="A1364" t="str">
            <v>Y1903-0228</v>
          </cell>
          <cell r="B1364">
            <v>201811</v>
          </cell>
          <cell r="C1364" t="str">
            <v>4600066223</v>
          </cell>
          <cell r="D1364" t="str">
            <v>651825C</v>
          </cell>
          <cell r="E1364">
            <v>4032</v>
          </cell>
          <cell r="F1364">
            <v>43539</v>
          </cell>
          <cell r="G1364" t="str">
            <v>01/18</v>
          </cell>
        </row>
        <row r="1365">
          <cell r="A1365" t="str">
            <v>Y1903-0229</v>
          </cell>
          <cell r="B1365">
            <v>201811</v>
          </cell>
          <cell r="C1365" t="str">
            <v>4600066224</v>
          </cell>
          <cell r="D1365" t="str">
            <v>651826C</v>
          </cell>
          <cell r="E1365">
            <v>13152</v>
          </cell>
          <cell r="F1365">
            <v>43532</v>
          </cell>
          <cell r="G1365" t="str">
            <v>OK</v>
          </cell>
        </row>
        <row r="1366">
          <cell r="A1366" t="str">
            <v>Y1903-0230</v>
          </cell>
          <cell r="B1366">
            <v>201811</v>
          </cell>
          <cell r="C1366" t="str">
            <v>4600066226</v>
          </cell>
          <cell r="D1366">
            <v>88875</v>
          </cell>
          <cell r="E1366">
            <v>360</v>
          </cell>
          <cell r="F1366">
            <v>43532</v>
          </cell>
          <cell r="G1366" t="str">
            <v>01/04</v>
          </cell>
        </row>
        <row r="1367">
          <cell r="A1367" t="str">
            <v>Y1903-0231</v>
          </cell>
          <cell r="B1367">
            <v>201811</v>
          </cell>
          <cell r="C1367" t="str">
            <v>4600066227</v>
          </cell>
          <cell r="D1367" t="str">
            <v>M7650C</v>
          </cell>
          <cell r="E1367">
            <v>12660</v>
          </cell>
          <cell r="F1367">
            <v>43532</v>
          </cell>
          <cell r="G1367" t="str">
            <v>01/04</v>
          </cell>
        </row>
        <row r="1368">
          <cell r="A1368" t="str">
            <v>Y1903-0232</v>
          </cell>
          <cell r="B1368">
            <v>201811</v>
          </cell>
          <cell r="C1368" t="str">
            <v>4600066228</v>
          </cell>
          <cell r="D1368" t="str">
            <v>M7652C</v>
          </cell>
          <cell r="E1368">
            <v>18648</v>
          </cell>
          <cell r="F1368">
            <v>43537</v>
          </cell>
          <cell r="G1368" t="str">
            <v>01/04</v>
          </cell>
        </row>
        <row r="1369">
          <cell r="A1369" t="str">
            <v>Y1903-0233</v>
          </cell>
          <cell r="B1369">
            <v>201811</v>
          </cell>
          <cell r="C1369" t="str">
            <v>4600066229</v>
          </cell>
          <cell r="D1369" t="str">
            <v>M7652C</v>
          </cell>
          <cell r="E1369">
            <v>18648</v>
          </cell>
          <cell r="F1369">
            <v>43537</v>
          </cell>
          <cell r="G1369" t="str">
            <v>01/04</v>
          </cell>
        </row>
        <row r="1370">
          <cell r="A1370" t="str">
            <v>Y1903-0234</v>
          </cell>
          <cell r="B1370">
            <v>201811</v>
          </cell>
          <cell r="C1370" t="str">
            <v>4600066230</v>
          </cell>
          <cell r="D1370" t="str">
            <v>M7652C</v>
          </cell>
          <cell r="E1370">
            <v>18648</v>
          </cell>
          <cell r="F1370">
            <v>43537</v>
          </cell>
          <cell r="G1370" t="str">
            <v>01/04</v>
          </cell>
        </row>
        <row r="1371">
          <cell r="A1371" t="str">
            <v>Y1903-0235</v>
          </cell>
          <cell r="B1371">
            <v>201811</v>
          </cell>
          <cell r="C1371" t="str">
            <v>4600066231</v>
          </cell>
          <cell r="D1371" t="str">
            <v>M7652C</v>
          </cell>
          <cell r="E1371">
            <v>18648</v>
          </cell>
          <cell r="F1371">
            <v>43537</v>
          </cell>
          <cell r="G1371" t="str">
            <v>01/04</v>
          </cell>
        </row>
        <row r="1372">
          <cell r="A1372" t="str">
            <v>Y1903-0236</v>
          </cell>
          <cell r="B1372">
            <v>201811</v>
          </cell>
          <cell r="C1372" t="str">
            <v>4600066232</v>
          </cell>
          <cell r="D1372" t="str">
            <v>651825C</v>
          </cell>
          <cell r="E1372">
            <v>1680</v>
          </cell>
          <cell r="F1372">
            <v>43539</v>
          </cell>
          <cell r="G1372" t="str">
            <v>01/18</v>
          </cell>
        </row>
        <row r="1373">
          <cell r="A1373" t="str">
            <v>Y1903-0237</v>
          </cell>
          <cell r="B1373">
            <v>201811</v>
          </cell>
          <cell r="C1373" t="str">
            <v>4600066233</v>
          </cell>
          <cell r="D1373">
            <v>88877</v>
          </cell>
          <cell r="E1373">
            <v>360</v>
          </cell>
          <cell r="F1373">
            <v>43532</v>
          </cell>
          <cell r="G1373" t="str">
            <v>01/04</v>
          </cell>
        </row>
        <row r="1374">
          <cell r="A1374" t="str">
            <v>Y1903-0238</v>
          </cell>
          <cell r="B1374">
            <v>201811</v>
          </cell>
          <cell r="C1374" t="str">
            <v>4600066236</v>
          </cell>
          <cell r="D1374" t="str">
            <v>164221C</v>
          </cell>
          <cell r="E1374">
            <v>204</v>
          </cell>
          <cell r="F1374">
            <v>43532</v>
          </cell>
          <cell r="G1374" t="str">
            <v>01/04</v>
          </cell>
        </row>
        <row r="1375">
          <cell r="A1375" t="str">
            <v>Y1903-0239</v>
          </cell>
          <cell r="B1375">
            <v>201811</v>
          </cell>
          <cell r="C1375" t="str">
            <v>4600066237</v>
          </cell>
          <cell r="D1375" t="str">
            <v>651826C</v>
          </cell>
          <cell r="E1375">
            <v>1560</v>
          </cell>
          <cell r="F1375">
            <v>43539</v>
          </cell>
          <cell r="G1375" t="str">
            <v>01/04</v>
          </cell>
        </row>
        <row r="1376">
          <cell r="A1376" t="str">
            <v>Y1903-0131</v>
          </cell>
          <cell r="B1376">
            <v>201811</v>
          </cell>
          <cell r="C1376" t="str">
            <v>4600066264</v>
          </cell>
          <cell r="D1376" t="str">
            <v>165598C</v>
          </cell>
          <cell r="E1376">
            <v>314</v>
          </cell>
          <cell r="F1376">
            <v>43525</v>
          </cell>
          <cell r="G1376" t="str">
            <v>01/22</v>
          </cell>
        </row>
        <row r="1377">
          <cell r="A1377" t="str">
            <v>Y1903-0132</v>
          </cell>
          <cell r="B1377">
            <v>201811</v>
          </cell>
          <cell r="C1377" t="str">
            <v>4600066265</v>
          </cell>
          <cell r="D1377" t="str">
            <v>165599C</v>
          </cell>
          <cell r="E1377">
            <v>312</v>
          </cell>
          <cell r="F1377">
            <v>43525</v>
          </cell>
          <cell r="G1377" t="str">
            <v>01/22</v>
          </cell>
        </row>
        <row r="1378">
          <cell r="A1378" t="str">
            <v>Y1902-0557</v>
          </cell>
          <cell r="B1378">
            <v>201811</v>
          </cell>
          <cell r="C1378" t="str">
            <v>0100179985</v>
          </cell>
          <cell r="D1378" t="str">
            <v>164102C</v>
          </cell>
          <cell r="E1378">
            <v>888</v>
          </cell>
          <cell r="F1378">
            <v>43530</v>
          </cell>
          <cell r="G1378" t="str">
            <v>01/04</v>
          </cell>
        </row>
        <row r="1379">
          <cell r="A1379" t="str">
            <v>Y1902-0573</v>
          </cell>
          <cell r="B1379">
            <v>201811</v>
          </cell>
          <cell r="C1379" t="str">
            <v>0100180062</v>
          </cell>
          <cell r="D1379" t="str">
            <v>164102C</v>
          </cell>
          <cell r="E1379">
            <v>696</v>
          </cell>
          <cell r="F1379">
            <v>43530</v>
          </cell>
          <cell r="G1379" t="str">
            <v>01/04</v>
          </cell>
        </row>
        <row r="1380">
          <cell r="A1380" t="str">
            <v>Y1903-0240</v>
          </cell>
          <cell r="B1380">
            <v>201811</v>
          </cell>
          <cell r="C1380" t="str">
            <v>0100181644</v>
          </cell>
          <cell r="D1380" t="str">
            <v>160504C</v>
          </cell>
          <cell r="E1380">
            <v>4164</v>
          </cell>
          <cell r="F1380">
            <v>43555</v>
          </cell>
          <cell r="G1380" t="str">
            <v>01/02</v>
          </cell>
        </row>
        <row r="1381">
          <cell r="A1381" t="str">
            <v>Y1902-0649</v>
          </cell>
          <cell r="B1381">
            <v>201811</v>
          </cell>
          <cell r="C1381" t="str">
            <v>0100181645</v>
          </cell>
          <cell r="D1381" t="str">
            <v>159627C</v>
          </cell>
          <cell r="E1381">
            <v>1572</v>
          </cell>
          <cell r="F1381">
            <v>43537</v>
          </cell>
          <cell r="G1381" t="str">
            <v>OK</v>
          </cell>
        </row>
        <row r="1382">
          <cell r="A1382" t="str">
            <v>Y1903-0241</v>
          </cell>
          <cell r="B1382">
            <v>201811</v>
          </cell>
          <cell r="C1382" t="str">
            <v>0100181650</v>
          </cell>
          <cell r="D1382" t="str">
            <v>160483C</v>
          </cell>
          <cell r="E1382">
            <v>3108</v>
          </cell>
          <cell r="F1382">
            <v>43555</v>
          </cell>
          <cell r="G1382" t="str">
            <v>OK</v>
          </cell>
        </row>
        <row r="1383">
          <cell r="A1383" t="str">
            <v>Y1903-0242</v>
          </cell>
          <cell r="B1383">
            <v>201811</v>
          </cell>
          <cell r="C1383" t="str">
            <v>0100181651</v>
          </cell>
          <cell r="D1383" t="str">
            <v>160484C</v>
          </cell>
          <cell r="E1383">
            <v>5472</v>
          </cell>
          <cell r="F1383">
            <v>43555</v>
          </cell>
          <cell r="G1383" t="str">
            <v>OK</v>
          </cell>
        </row>
        <row r="1384">
          <cell r="A1384" t="str">
            <v>Y1902-0655</v>
          </cell>
          <cell r="B1384">
            <v>201811</v>
          </cell>
          <cell r="C1384" t="str">
            <v>0100181654</v>
          </cell>
          <cell r="D1384" t="str">
            <v>160484C</v>
          </cell>
          <cell r="E1384">
            <v>7020</v>
          </cell>
          <cell r="F1384">
            <v>43537</v>
          </cell>
          <cell r="G1384" t="str">
            <v>OK</v>
          </cell>
        </row>
        <row r="1385">
          <cell r="A1385" t="str">
            <v>Y1903-0243</v>
          </cell>
          <cell r="B1385">
            <v>201811</v>
          </cell>
          <cell r="C1385" t="str">
            <v>0100181672</v>
          </cell>
          <cell r="D1385" t="str">
            <v>159627C</v>
          </cell>
          <cell r="E1385">
            <v>228</v>
          </cell>
          <cell r="F1385">
            <v>43555</v>
          </cell>
          <cell r="G1385" t="str">
            <v>01/02</v>
          </cell>
        </row>
        <row r="1386">
          <cell r="A1386" t="str">
            <v>Y1903-0244</v>
          </cell>
          <cell r="B1386">
            <v>201811</v>
          </cell>
          <cell r="C1386" t="str">
            <v>0100181673</v>
          </cell>
          <cell r="D1386" t="str">
            <v>159628C</v>
          </cell>
          <cell r="E1386">
            <v>264</v>
          </cell>
          <cell r="F1386">
            <v>43555</v>
          </cell>
          <cell r="G1386" t="str">
            <v>OK</v>
          </cell>
        </row>
        <row r="1387">
          <cell r="A1387" t="str">
            <v>Y1903-0245</v>
          </cell>
          <cell r="B1387">
            <v>201811</v>
          </cell>
          <cell r="C1387" t="str">
            <v>0100181674</v>
          </cell>
          <cell r="D1387" t="str">
            <v>159630C</v>
          </cell>
          <cell r="E1387">
            <v>228</v>
          </cell>
          <cell r="F1387">
            <v>43555</v>
          </cell>
          <cell r="G1387" t="str">
            <v>01/02</v>
          </cell>
        </row>
        <row r="1388">
          <cell r="A1388" t="str">
            <v>Y1903-0246</v>
          </cell>
          <cell r="B1388">
            <v>201811</v>
          </cell>
          <cell r="C1388" t="str">
            <v>0100181675</v>
          </cell>
          <cell r="D1388" t="str">
            <v>159631C</v>
          </cell>
          <cell r="E1388">
            <v>192</v>
          </cell>
          <cell r="F1388">
            <v>43555</v>
          </cell>
          <cell r="G1388" t="str">
            <v>01/02</v>
          </cell>
        </row>
        <row r="1389">
          <cell r="A1389" t="str">
            <v>Y1903-0247</v>
          </cell>
          <cell r="B1389">
            <v>201811</v>
          </cell>
          <cell r="C1389" t="str">
            <v>0100181676</v>
          </cell>
          <cell r="D1389" t="str">
            <v>160480C</v>
          </cell>
          <cell r="E1389">
            <v>240</v>
          </cell>
          <cell r="F1389">
            <v>43555</v>
          </cell>
          <cell r="G1389" t="str">
            <v>01/02</v>
          </cell>
        </row>
        <row r="1390">
          <cell r="A1390" t="str">
            <v>Y1903-0248</v>
          </cell>
          <cell r="B1390">
            <v>201811</v>
          </cell>
          <cell r="C1390" t="str">
            <v>0100181677</v>
          </cell>
          <cell r="D1390" t="str">
            <v>160481C</v>
          </cell>
          <cell r="E1390">
            <v>576</v>
          </cell>
          <cell r="F1390">
            <v>43555</v>
          </cell>
          <cell r="G1390" t="str">
            <v>OK</v>
          </cell>
        </row>
        <row r="1391">
          <cell r="A1391" t="str">
            <v>Y1903-0249</v>
          </cell>
          <cell r="B1391">
            <v>201811</v>
          </cell>
          <cell r="C1391" t="str">
            <v>0100181678</v>
          </cell>
          <cell r="D1391" t="str">
            <v>160483C</v>
          </cell>
          <cell r="E1391">
            <v>684</v>
          </cell>
          <cell r="F1391">
            <v>43555</v>
          </cell>
          <cell r="G1391" t="str">
            <v>01/02</v>
          </cell>
        </row>
        <row r="1392">
          <cell r="A1392" t="str">
            <v>Y1903-0250</v>
          </cell>
          <cell r="B1392">
            <v>201811</v>
          </cell>
          <cell r="C1392" t="str">
            <v>0100181679</v>
          </cell>
          <cell r="D1392" t="str">
            <v>160484C</v>
          </cell>
          <cell r="E1392">
            <v>384</v>
          </cell>
          <cell r="F1392">
            <v>43555</v>
          </cell>
          <cell r="G1392" t="str">
            <v>OK</v>
          </cell>
        </row>
        <row r="1393">
          <cell r="A1393" t="str">
            <v>Y1903-0251</v>
          </cell>
          <cell r="B1393">
            <v>201811</v>
          </cell>
          <cell r="C1393" t="str">
            <v>0100181681</v>
          </cell>
          <cell r="D1393" t="str">
            <v>162378C</v>
          </cell>
          <cell r="E1393">
            <v>312</v>
          </cell>
          <cell r="F1393">
            <v>43555</v>
          </cell>
          <cell r="G1393" t="str">
            <v>01/02</v>
          </cell>
        </row>
        <row r="1394">
          <cell r="A1394" t="str">
            <v>Y1903-0258</v>
          </cell>
          <cell r="B1394">
            <v>201812</v>
          </cell>
          <cell r="C1394" t="str">
            <v>0100182243</v>
          </cell>
          <cell r="D1394" t="str">
            <v>3J253C</v>
          </cell>
          <cell r="E1394">
            <v>576</v>
          </cell>
          <cell r="F1394">
            <v>43540</v>
          </cell>
          <cell r="G1394" t="str">
            <v>01/08</v>
          </cell>
        </row>
        <row r="1395">
          <cell r="A1395" t="str">
            <v>Y1903-0259</v>
          </cell>
          <cell r="B1395">
            <v>201812</v>
          </cell>
          <cell r="C1395" t="str">
            <v>0100182244</v>
          </cell>
          <cell r="D1395" t="str">
            <v>165767F</v>
          </cell>
          <cell r="E1395">
            <v>264</v>
          </cell>
          <cell r="F1395">
            <v>43536</v>
          </cell>
          <cell r="G1395" t="str">
            <v>02/12</v>
          </cell>
        </row>
        <row r="1396">
          <cell r="A1396" t="str">
            <v>Y1903-0260</v>
          </cell>
          <cell r="B1396">
            <v>201812</v>
          </cell>
          <cell r="C1396" t="str">
            <v>0100182245</v>
          </cell>
          <cell r="D1396" t="str">
            <v>165769F</v>
          </cell>
          <cell r="E1396">
            <v>264</v>
          </cell>
          <cell r="F1396">
            <v>43536</v>
          </cell>
          <cell r="G1396" t="str">
            <v>01/02</v>
          </cell>
        </row>
        <row r="1397">
          <cell r="A1397" t="str">
            <v>Y1903-0261</v>
          </cell>
          <cell r="B1397">
            <v>201812</v>
          </cell>
          <cell r="C1397" t="str">
            <v>0100182248</v>
          </cell>
          <cell r="D1397" t="str">
            <v>W9166</v>
          </cell>
          <cell r="E1397">
            <v>732</v>
          </cell>
          <cell r="F1397">
            <v>43540</v>
          </cell>
          <cell r="G1397" t="str">
            <v>01/09</v>
          </cell>
        </row>
        <row r="1398">
          <cell r="A1398" t="str">
            <v>Y1903-0262</v>
          </cell>
          <cell r="B1398">
            <v>201812</v>
          </cell>
          <cell r="C1398" t="str">
            <v>0100182249</v>
          </cell>
          <cell r="D1398" t="str">
            <v>7J235C</v>
          </cell>
          <cell r="E1398">
            <v>360</v>
          </cell>
          <cell r="F1398">
            <v>43540</v>
          </cell>
          <cell r="G1398" t="str">
            <v>01/09</v>
          </cell>
        </row>
        <row r="1399">
          <cell r="A1399" t="str">
            <v>Y1903-0263</v>
          </cell>
          <cell r="B1399">
            <v>201812</v>
          </cell>
          <cell r="C1399" t="str">
            <v>0100182250</v>
          </cell>
          <cell r="D1399" t="str">
            <v>165743C</v>
          </cell>
          <cell r="E1399">
            <v>131</v>
          </cell>
          <cell r="F1399">
            <v>43552</v>
          </cell>
          <cell r="G1399" t="str">
            <v>01/25</v>
          </cell>
        </row>
        <row r="1400">
          <cell r="A1400" t="str">
            <v>Y1903-0264</v>
          </cell>
          <cell r="B1400">
            <v>201812</v>
          </cell>
          <cell r="C1400" t="str">
            <v>0100182251</v>
          </cell>
          <cell r="D1400" t="str">
            <v>549700F</v>
          </cell>
          <cell r="E1400">
            <v>396</v>
          </cell>
          <cell r="F1400">
            <v>43538</v>
          </cell>
          <cell r="G1400" t="str">
            <v>01/09</v>
          </cell>
        </row>
        <row r="1401">
          <cell r="A1401" t="str">
            <v>Y1903-0265</v>
          </cell>
          <cell r="B1401">
            <v>201812</v>
          </cell>
          <cell r="C1401" t="str">
            <v>0100182252</v>
          </cell>
          <cell r="D1401" t="str">
            <v>549700F</v>
          </cell>
          <cell r="E1401">
            <v>1620</v>
          </cell>
          <cell r="F1401">
            <v>43538</v>
          </cell>
          <cell r="G1401" t="str">
            <v>01/09</v>
          </cell>
        </row>
        <row r="1402">
          <cell r="A1402" t="str">
            <v>Y1903-0266</v>
          </cell>
          <cell r="B1402">
            <v>201812</v>
          </cell>
          <cell r="C1402" t="str">
            <v>0100182255</v>
          </cell>
          <cell r="D1402" t="str">
            <v>564293C</v>
          </cell>
          <cell r="E1402">
            <v>588</v>
          </cell>
          <cell r="F1402">
            <v>43534</v>
          </cell>
          <cell r="G1402" t="str">
            <v>01/29</v>
          </cell>
        </row>
        <row r="1403">
          <cell r="A1403" t="str">
            <v>Y1903-0267</v>
          </cell>
          <cell r="B1403">
            <v>201812</v>
          </cell>
          <cell r="C1403" t="str">
            <v>0100182256</v>
          </cell>
          <cell r="D1403" t="str">
            <v>159627C</v>
          </cell>
          <cell r="E1403">
            <v>468</v>
          </cell>
          <cell r="F1403">
            <v>43551</v>
          </cell>
          <cell r="G1403" t="str">
            <v>01/14</v>
          </cell>
        </row>
        <row r="1404">
          <cell r="A1404" t="str">
            <v>Y1903-0268</v>
          </cell>
          <cell r="B1404">
            <v>201812</v>
          </cell>
          <cell r="C1404" t="str">
            <v>0100182257</v>
          </cell>
          <cell r="D1404" t="str">
            <v>M7652C</v>
          </cell>
          <cell r="E1404">
            <v>14028</v>
          </cell>
          <cell r="F1404">
            <v>43551</v>
          </cell>
          <cell r="G1404" t="str">
            <v>01/09</v>
          </cell>
        </row>
        <row r="1405">
          <cell r="A1405" t="str">
            <v>Y1903-0269</v>
          </cell>
          <cell r="B1405">
            <v>201812</v>
          </cell>
          <cell r="C1405" t="str">
            <v>0100182258</v>
          </cell>
          <cell r="D1405" t="str">
            <v>3J231C</v>
          </cell>
          <cell r="E1405">
            <v>264</v>
          </cell>
          <cell r="F1405">
            <v>43551</v>
          </cell>
          <cell r="G1405" t="str">
            <v>02/12</v>
          </cell>
        </row>
        <row r="1406">
          <cell r="A1406" t="str">
            <v>Y1903-0270</v>
          </cell>
          <cell r="B1406">
            <v>201812</v>
          </cell>
          <cell r="C1406" t="str">
            <v>0100182259</v>
          </cell>
          <cell r="D1406" t="str">
            <v>M7652C</v>
          </cell>
          <cell r="E1406">
            <v>14868</v>
          </cell>
          <cell r="F1406">
            <v>43551</v>
          </cell>
          <cell r="G1406" t="str">
            <v>01/09</v>
          </cell>
        </row>
        <row r="1407">
          <cell r="A1407" t="str">
            <v>Y1903-0271</v>
          </cell>
          <cell r="B1407">
            <v>201812</v>
          </cell>
          <cell r="C1407" t="str">
            <v>0100182260</v>
          </cell>
          <cell r="D1407" t="str">
            <v>M7652C</v>
          </cell>
          <cell r="E1407">
            <v>16008</v>
          </cell>
          <cell r="F1407">
            <v>43551</v>
          </cell>
          <cell r="G1407" t="str">
            <v>01/09</v>
          </cell>
        </row>
        <row r="1408">
          <cell r="A1408" t="str">
            <v>Y1903-0272</v>
          </cell>
          <cell r="B1408">
            <v>201812</v>
          </cell>
          <cell r="C1408" t="str">
            <v>0100182261</v>
          </cell>
          <cell r="D1408" t="str">
            <v>M7652C</v>
          </cell>
          <cell r="E1408">
            <v>13008</v>
          </cell>
          <cell r="F1408">
            <v>43551</v>
          </cell>
          <cell r="G1408" t="str">
            <v>01/09</v>
          </cell>
        </row>
        <row r="1409">
          <cell r="A1409" t="str">
            <v>Y1903-0273</v>
          </cell>
          <cell r="B1409">
            <v>201812</v>
          </cell>
          <cell r="C1409" t="str">
            <v>0100182262</v>
          </cell>
          <cell r="D1409" t="str">
            <v>3J233C</v>
          </cell>
          <cell r="E1409">
            <v>132</v>
          </cell>
          <cell r="F1409">
            <v>43544</v>
          </cell>
          <cell r="G1409" t="str">
            <v>02/15</v>
          </cell>
        </row>
        <row r="1410">
          <cell r="A1410" t="str">
            <v>Y1903-0274</v>
          </cell>
          <cell r="B1410">
            <v>201812</v>
          </cell>
          <cell r="C1410" t="str">
            <v>0100182263</v>
          </cell>
          <cell r="D1410" t="str">
            <v>3J236C</v>
          </cell>
          <cell r="E1410">
            <v>228</v>
          </cell>
          <cell r="F1410">
            <v>43544</v>
          </cell>
          <cell r="G1410" t="str">
            <v>01/09</v>
          </cell>
        </row>
        <row r="1411">
          <cell r="A1411" t="str">
            <v>Y1903-0275</v>
          </cell>
          <cell r="B1411">
            <v>201812</v>
          </cell>
          <cell r="C1411" t="str">
            <v>0100182265</v>
          </cell>
          <cell r="D1411" t="str">
            <v>3J253C</v>
          </cell>
          <cell r="E1411">
            <v>384</v>
          </cell>
          <cell r="F1411">
            <v>43544</v>
          </cell>
          <cell r="G1411" t="str">
            <v>01/08</v>
          </cell>
        </row>
        <row r="1412">
          <cell r="A1412" t="str">
            <v>Y1903-0276</v>
          </cell>
          <cell r="B1412">
            <v>201812</v>
          </cell>
          <cell r="C1412" t="str">
            <v>0100182266</v>
          </cell>
          <cell r="D1412" t="str">
            <v>M9160C</v>
          </cell>
          <cell r="E1412">
            <v>8328</v>
          </cell>
          <cell r="F1412">
            <v>43544</v>
          </cell>
          <cell r="G1412" t="str">
            <v>01/25</v>
          </cell>
        </row>
        <row r="1413">
          <cell r="A1413" t="str">
            <v>Y1903-0277</v>
          </cell>
          <cell r="B1413">
            <v>201812</v>
          </cell>
          <cell r="C1413" t="str">
            <v>0100182267</v>
          </cell>
          <cell r="D1413" t="str">
            <v>M9621C</v>
          </cell>
          <cell r="E1413">
            <v>4140</v>
          </cell>
          <cell r="F1413">
            <v>43544</v>
          </cell>
          <cell r="G1413" t="str">
            <v>01/25</v>
          </cell>
        </row>
        <row r="1414">
          <cell r="A1414" t="str">
            <v>Y1903-0278</v>
          </cell>
          <cell r="B1414">
            <v>201812</v>
          </cell>
          <cell r="C1414" t="str">
            <v>0100182270</v>
          </cell>
          <cell r="D1414" t="str">
            <v>7J237C</v>
          </cell>
          <cell r="E1414">
            <v>120</v>
          </cell>
          <cell r="F1414">
            <v>43544</v>
          </cell>
          <cell r="G1414" t="str">
            <v>01/09</v>
          </cell>
        </row>
        <row r="1415">
          <cell r="A1415" t="str">
            <v>Y1903-0279</v>
          </cell>
          <cell r="B1415">
            <v>201812</v>
          </cell>
          <cell r="C1415" t="str">
            <v>0100182271</v>
          </cell>
          <cell r="D1415" t="str">
            <v>564293C</v>
          </cell>
          <cell r="E1415">
            <v>1212</v>
          </cell>
          <cell r="F1415">
            <v>43539</v>
          </cell>
          <cell r="G1415" t="str">
            <v>01/29</v>
          </cell>
        </row>
        <row r="1416">
          <cell r="A1416" t="str">
            <v>Y1903-0280</v>
          </cell>
          <cell r="B1416">
            <v>201812</v>
          </cell>
          <cell r="C1416" t="str">
            <v>0100182272</v>
          </cell>
          <cell r="D1416">
            <v>88877</v>
          </cell>
          <cell r="E1416">
            <v>252</v>
          </cell>
          <cell r="F1416">
            <v>43546</v>
          </cell>
          <cell r="G1416" t="str">
            <v>01/22</v>
          </cell>
        </row>
        <row r="1417">
          <cell r="A1417" t="str">
            <v>Y1903-0281</v>
          </cell>
          <cell r="B1417">
            <v>201812</v>
          </cell>
          <cell r="C1417" t="str">
            <v>0100182273</v>
          </cell>
          <cell r="D1417" t="str">
            <v>165743C</v>
          </cell>
          <cell r="E1417">
            <v>3237</v>
          </cell>
          <cell r="F1417">
            <v>43546</v>
          </cell>
          <cell r="G1417" t="str">
            <v>01/25</v>
          </cell>
        </row>
        <row r="1418">
          <cell r="A1418" t="str">
            <v>Y1903-0282</v>
          </cell>
          <cell r="B1418">
            <v>201812</v>
          </cell>
          <cell r="C1418" t="str">
            <v>0100182286</v>
          </cell>
          <cell r="D1418" t="str">
            <v>8J231</v>
          </cell>
          <cell r="E1418">
            <v>1644</v>
          </cell>
          <cell r="F1418">
            <v>43549</v>
          </cell>
          <cell r="G1418" t="str">
            <v>01/15</v>
          </cell>
        </row>
        <row r="1419">
          <cell r="A1419" t="str">
            <v>Y1903-0283</v>
          </cell>
          <cell r="B1419">
            <v>201812</v>
          </cell>
          <cell r="C1419" t="str">
            <v>0100182287</v>
          </cell>
          <cell r="D1419" t="str">
            <v>165768F</v>
          </cell>
          <cell r="E1419">
            <v>6264</v>
          </cell>
          <cell r="F1419">
            <v>43536</v>
          </cell>
          <cell r="G1419" t="str">
            <v>01/25</v>
          </cell>
        </row>
        <row r="1420">
          <cell r="A1420" t="str">
            <v>Y1903-0284</v>
          </cell>
          <cell r="B1420">
            <v>201812</v>
          </cell>
          <cell r="C1420" t="str">
            <v>0100182288</v>
          </cell>
          <cell r="D1420" t="str">
            <v>164025C</v>
          </cell>
          <cell r="E1420">
            <v>3264</v>
          </cell>
          <cell r="F1420">
            <v>43542</v>
          </cell>
          <cell r="G1420" t="str">
            <v>01/29</v>
          </cell>
        </row>
        <row r="1421">
          <cell r="A1421" t="str">
            <v>Y1903-0285</v>
          </cell>
          <cell r="B1421">
            <v>201812</v>
          </cell>
          <cell r="C1421" t="str">
            <v>0100182289</v>
          </cell>
          <cell r="D1421" t="str">
            <v>164026C</v>
          </cell>
          <cell r="E1421">
            <v>2268</v>
          </cell>
          <cell r="F1421">
            <v>43542</v>
          </cell>
          <cell r="G1421" t="str">
            <v>02/12</v>
          </cell>
        </row>
        <row r="1422">
          <cell r="A1422" t="str">
            <v>Y1903-0286</v>
          </cell>
          <cell r="B1422">
            <v>201812</v>
          </cell>
          <cell r="C1422" t="str">
            <v>0100182290</v>
          </cell>
          <cell r="D1422" t="str">
            <v>665770F</v>
          </cell>
          <cell r="E1422">
            <v>1884</v>
          </cell>
          <cell r="F1422">
            <v>43536</v>
          </cell>
          <cell r="G1422" t="str">
            <v>01/25</v>
          </cell>
        </row>
        <row r="1423">
          <cell r="A1423" t="str">
            <v>Y1903-0287</v>
          </cell>
          <cell r="B1423">
            <v>201812</v>
          </cell>
          <cell r="C1423" t="str">
            <v>0100182291</v>
          </cell>
          <cell r="D1423" t="str">
            <v>665771F</v>
          </cell>
          <cell r="E1423">
            <v>1968</v>
          </cell>
          <cell r="F1423">
            <v>43536</v>
          </cell>
          <cell r="G1423" t="str">
            <v>01/02</v>
          </cell>
        </row>
        <row r="1424">
          <cell r="A1424" t="str">
            <v>Y1903-0288</v>
          </cell>
          <cell r="B1424">
            <v>201812</v>
          </cell>
          <cell r="C1424" t="str">
            <v>0100182292</v>
          </cell>
          <cell r="D1424">
            <v>81229</v>
          </cell>
          <cell r="E1424">
            <v>1200</v>
          </cell>
          <cell r="F1424">
            <v>43549</v>
          </cell>
          <cell r="G1424" t="str">
            <v>01/22</v>
          </cell>
        </row>
        <row r="1425">
          <cell r="A1425" t="str">
            <v>Y1903-0289</v>
          </cell>
          <cell r="B1425">
            <v>201812</v>
          </cell>
          <cell r="C1425" t="str">
            <v>0100182293</v>
          </cell>
          <cell r="D1425" t="str">
            <v>M9166</v>
          </cell>
          <cell r="E1425">
            <v>426</v>
          </cell>
          <cell r="F1425">
            <v>43549</v>
          </cell>
          <cell r="G1425" t="str">
            <v>01/09</v>
          </cell>
        </row>
        <row r="1426">
          <cell r="A1426" t="str">
            <v>Y1903-0290</v>
          </cell>
          <cell r="B1426">
            <v>201812</v>
          </cell>
          <cell r="C1426" t="str">
            <v>0100182297</v>
          </cell>
          <cell r="D1426" t="str">
            <v>7J235</v>
          </cell>
          <cell r="E1426">
            <v>11376</v>
          </cell>
          <cell r="F1426">
            <v>43549</v>
          </cell>
          <cell r="G1426" t="str">
            <v>01/09</v>
          </cell>
        </row>
        <row r="1427">
          <cell r="A1427" t="str">
            <v>Y1903-0291</v>
          </cell>
          <cell r="B1427">
            <v>201812</v>
          </cell>
          <cell r="C1427" t="str">
            <v>0100182298</v>
          </cell>
          <cell r="D1427" t="str">
            <v>165743C</v>
          </cell>
          <cell r="E1427">
            <v>996</v>
          </cell>
          <cell r="F1427">
            <v>43554</v>
          </cell>
          <cell r="G1427" t="str">
            <v>01/25</v>
          </cell>
        </row>
        <row r="1428">
          <cell r="A1428" t="str">
            <v>Y1903-0292</v>
          </cell>
          <cell r="B1428">
            <v>201812</v>
          </cell>
          <cell r="C1428" t="str">
            <v>0100182299</v>
          </cell>
          <cell r="D1428" t="str">
            <v>165769F</v>
          </cell>
          <cell r="E1428">
            <v>7200</v>
          </cell>
          <cell r="F1428">
            <v>43538</v>
          </cell>
          <cell r="G1428" t="str">
            <v>01/02</v>
          </cell>
        </row>
        <row r="1429">
          <cell r="A1429" t="str">
            <v>Y1903-0293</v>
          </cell>
          <cell r="B1429">
            <v>201812</v>
          </cell>
          <cell r="C1429" t="str">
            <v>0100182300</v>
          </cell>
          <cell r="D1429" t="str">
            <v>165767F</v>
          </cell>
          <cell r="E1429">
            <v>6288</v>
          </cell>
          <cell r="F1429">
            <v>43538</v>
          </cell>
          <cell r="G1429" t="str">
            <v>02/12</v>
          </cell>
        </row>
        <row r="1430">
          <cell r="A1430" t="str">
            <v>Y1903-0294</v>
          </cell>
          <cell r="B1430">
            <v>201812</v>
          </cell>
          <cell r="C1430" t="str">
            <v>0100182301</v>
          </cell>
          <cell r="D1430" t="str">
            <v>165766F</v>
          </cell>
          <cell r="E1430">
            <v>7116</v>
          </cell>
          <cell r="F1430">
            <v>43538</v>
          </cell>
          <cell r="G1430" t="str">
            <v>01/29</v>
          </cell>
        </row>
        <row r="1431">
          <cell r="A1431" t="str">
            <v>Y1903-0295</v>
          </cell>
          <cell r="B1431">
            <v>201812</v>
          </cell>
          <cell r="C1431" t="str">
            <v>0100182304</v>
          </cell>
          <cell r="D1431" t="str">
            <v>7J235</v>
          </cell>
          <cell r="E1431">
            <v>1200</v>
          </cell>
          <cell r="F1431">
            <v>43541</v>
          </cell>
          <cell r="G1431" t="str">
            <v>01/09</v>
          </cell>
        </row>
        <row r="1432">
          <cell r="A1432" t="str">
            <v>Y1903-0296</v>
          </cell>
          <cell r="B1432">
            <v>201812</v>
          </cell>
          <cell r="C1432" t="str">
            <v>0100182305</v>
          </cell>
          <cell r="D1432" t="str">
            <v>W9166</v>
          </cell>
          <cell r="E1432">
            <v>888</v>
          </cell>
          <cell r="F1432">
            <v>43546</v>
          </cell>
          <cell r="G1432" t="str">
            <v>01/09</v>
          </cell>
        </row>
        <row r="1433">
          <cell r="A1433" t="str">
            <v>Y1903-0297</v>
          </cell>
          <cell r="B1433">
            <v>201812</v>
          </cell>
          <cell r="C1433" t="str">
            <v>0100182306</v>
          </cell>
          <cell r="D1433" t="str">
            <v>W9160</v>
          </cell>
          <cell r="E1433">
            <v>804</v>
          </cell>
          <cell r="F1433">
            <v>43546</v>
          </cell>
          <cell r="G1433" t="str">
            <v>01/22</v>
          </cell>
        </row>
        <row r="1434">
          <cell r="A1434" t="str">
            <v>Y1903-0298</v>
          </cell>
          <cell r="B1434">
            <v>201812</v>
          </cell>
          <cell r="C1434" t="str">
            <v>0100182307</v>
          </cell>
          <cell r="D1434" t="str">
            <v>7J231</v>
          </cell>
          <cell r="E1434">
            <v>1404</v>
          </cell>
          <cell r="F1434">
            <v>43535</v>
          </cell>
          <cell r="G1434" t="str">
            <v>01/22</v>
          </cell>
        </row>
        <row r="1435">
          <cell r="A1435" t="str">
            <v>Y1903-0299</v>
          </cell>
          <cell r="B1435">
            <v>201812</v>
          </cell>
          <cell r="C1435" t="str">
            <v>0100182308</v>
          </cell>
          <cell r="D1435" t="str">
            <v>7J237</v>
          </cell>
          <cell r="E1435">
            <v>1104</v>
          </cell>
          <cell r="F1435">
            <v>43535</v>
          </cell>
          <cell r="G1435" t="str">
            <v>01/09</v>
          </cell>
        </row>
        <row r="1436">
          <cell r="A1436" t="str">
            <v>Y1903-0300</v>
          </cell>
          <cell r="B1436">
            <v>201812</v>
          </cell>
          <cell r="C1436" t="str">
            <v>0100182309</v>
          </cell>
          <cell r="D1436" t="str">
            <v>3J238</v>
          </cell>
          <cell r="E1436">
            <v>5700</v>
          </cell>
          <cell r="F1436">
            <v>43535</v>
          </cell>
          <cell r="G1436" t="str">
            <v>01/09</v>
          </cell>
        </row>
        <row r="1437">
          <cell r="A1437" t="str">
            <v>Y1903-0301</v>
          </cell>
          <cell r="B1437">
            <v>201812</v>
          </cell>
          <cell r="C1437" t="str">
            <v>0100182310</v>
          </cell>
          <cell r="D1437" t="str">
            <v>7J235</v>
          </cell>
          <cell r="E1437">
            <v>5796</v>
          </cell>
          <cell r="F1437">
            <v>43535</v>
          </cell>
          <cell r="G1437" t="str">
            <v>01/09</v>
          </cell>
        </row>
        <row r="1438">
          <cell r="A1438" t="str">
            <v>Y1903-0302</v>
          </cell>
          <cell r="B1438">
            <v>201812</v>
          </cell>
          <cell r="C1438" t="str">
            <v>0100182311</v>
          </cell>
          <cell r="D1438" t="str">
            <v>8J231</v>
          </cell>
          <cell r="E1438">
            <v>900</v>
          </cell>
          <cell r="F1438">
            <v>43555</v>
          </cell>
          <cell r="G1438" t="str">
            <v>01/15</v>
          </cell>
        </row>
        <row r="1439">
          <cell r="A1439" t="str">
            <v>Y1903-0303</v>
          </cell>
          <cell r="B1439">
            <v>201812</v>
          </cell>
          <cell r="C1439" t="str">
            <v>0100182313</v>
          </cell>
          <cell r="D1439" t="str">
            <v>7J237</v>
          </cell>
          <cell r="E1439">
            <v>600</v>
          </cell>
          <cell r="F1439">
            <v>43541</v>
          </cell>
          <cell r="G1439" t="str">
            <v>01/09</v>
          </cell>
        </row>
        <row r="1440">
          <cell r="A1440" t="str">
            <v>Y1903-0304</v>
          </cell>
          <cell r="B1440">
            <v>201812</v>
          </cell>
          <cell r="C1440" t="str">
            <v>0100182315</v>
          </cell>
          <cell r="D1440" t="str">
            <v>3J238</v>
          </cell>
          <cell r="E1440">
            <v>600</v>
          </cell>
          <cell r="F1440">
            <v>43541</v>
          </cell>
          <cell r="G1440" t="str">
            <v>01/09</v>
          </cell>
        </row>
        <row r="1441">
          <cell r="A1441" t="str">
            <v>Y1903-0305</v>
          </cell>
          <cell r="B1441">
            <v>201812</v>
          </cell>
          <cell r="C1441" t="str">
            <v>0100182320</v>
          </cell>
          <cell r="D1441" t="str">
            <v>7J235</v>
          </cell>
          <cell r="E1441">
            <v>360</v>
          </cell>
          <cell r="F1441">
            <v>43541</v>
          </cell>
          <cell r="G1441" t="str">
            <v>01/09</v>
          </cell>
        </row>
        <row r="1442">
          <cell r="A1442" t="str">
            <v>Y1903-0306</v>
          </cell>
          <cell r="B1442">
            <v>201812</v>
          </cell>
          <cell r="C1442" t="str">
            <v>0100182321</v>
          </cell>
          <cell r="D1442" t="str">
            <v>M9160</v>
          </cell>
          <cell r="E1442">
            <v>600</v>
          </cell>
          <cell r="F1442">
            <v>43541</v>
          </cell>
          <cell r="G1442" t="str">
            <v>01/11</v>
          </cell>
        </row>
        <row r="1443">
          <cell r="A1443" t="str">
            <v>Y1903-0307</v>
          </cell>
          <cell r="B1443">
            <v>201812</v>
          </cell>
          <cell r="C1443" t="str">
            <v>0100182322</v>
          </cell>
          <cell r="D1443" t="str">
            <v>M9166</v>
          </cell>
          <cell r="E1443">
            <v>2004</v>
          </cell>
          <cell r="F1443">
            <v>43541</v>
          </cell>
          <cell r="G1443" t="str">
            <v>01/09</v>
          </cell>
        </row>
        <row r="1444">
          <cell r="A1444" t="str">
            <v>Y1903-0308</v>
          </cell>
          <cell r="B1444">
            <v>201812</v>
          </cell>
          <cell r="C1444" t="str">
            <v>0100182323</v>
          </cell>
          <cell r="D1444" t="str">
            <v>M9160</v>
          </cell>
          <cell r="E1444">
            <v>1500</v>
          </cell>
          <cell r="F1444">
            <v>43541</v>
          </cell>
          <cell r="G1444" t="str">
            <v>01/11</v>
          </cell>
        </row>
        <row r="1445">
          <cell r="A1445" t="str">
            <v>Y1903-0309</v>
          </cell>
          <cell r="B1445">
            <v>201812</v>
          </cell>
          <cell r="C1445" t="str">
            <v>0100182326</v>
          </cell>
          <cell r="D1445" t="str">
            <v>3J253</v>
          </cell>
          <cell r="E1445">
            <v>6012</v>
          </cell>
          <cell r="F1445">
            <v>43546</v>
          </cell>
          <cell r="G1445" t="str">
            <v>01/11</v>
          </cell>
        </row>
        <row r="1446">
          <cell r="A1446" t="str">
            <v>Y1903-0310</v>
          </cell>
          <cell r="B1446">
            <v>201812</v>
          </cell>
          <cell r="C1446" t="str">
            <v>0100182327</v>
          </cell>
          <cell r="D1446" t="str">
            <v>M9160</v>
          </cell>
          <cell r="E1446">
            <v>2400</v>
          </cell>
          <cell r="F1446">
            <v>43555</v>
          </cell>
          <cell r="G1446" t="str">
            <v>01/11</v>
          </cell>
        </row>
        <row r="1447">
          <cell r="A1447" t="str">
            <v>Y1903-0311</v>
          </cell>
          <cell r="B1447">
            <v>201812</v>
          </cell>
          <cell r="C1447" t="str">
            <v>0100182328</v>
          </cell>
          <cell r="D1447" t="str">
            <v>M9166</v>
          </cell>
          <cell r="E1447">
            <v>1800</v>
          </cell>
          <cell r="F1447">
            <v>43555</v>
          </cell>
          <cell r="G1447" t="str">
            <v>01/09</v>
          </cell>
        </row>
        <row r="1448">
          <cell r="A1448" t="str">
            <v>Y1903-0312</v>
          </cell>
          <cell r="B1448">
            <v>201812</v>
          </cell>
          <cell r="C1448" t="str">
            <v>0100182329</v>
          </cell>
          <cell r="D1448" t="str">
            <v>3J253</v>
          </cell>
          <cell r="E1448">
            <v>384</v>
          </cell>
          <cell r="F1448">
            <v>43553</v>
          </cell>
          <cell r="G1448" t="str">
            <v>01/11</v>
          </cell>
        </row>
        <row r="1449">
          <cell r="A1449" t="str">
            <v>Y1903-0313</v>
          </cell>
          <cell r="B1449">
            <v>201812</v>
          </cell>
          <cell r="C1449" t="str">
            <v>0100182330</v>
          </cell>
          <cell r="D1449" t="str">
            <v>7J235</v>
          </cell>
          <cell r="E1449">
            <v>3012</v>
          </cell>
          <cell r="F1449">
            <v>43546</v>
          </cell>
          <cell r="G1449" t="str">
            <v>01/09</v>
          </cell>
        </row>
        <row r="1450">
          <cell r="A1450" t="str">
            <v>Y1903-0314</v>
          </cell>
          <cell r="B1450">
            <v>201812</v>
          </cell>
          <cell r="C1450" t="str">
            <v>0100182331</v>
          </cell>
          <cell r="D1450" t="str">
            <v>7J235</v>
          </cell>
          <cell r="E1450">
            <v>600</v>
          </cell>
          <cell r="F1450">
            <v>43546</v>
          </cell>
          <cell r="G1450" t="str">
            <v>01/09</v>
          </cell>
        </row>
        <row r="1451">
          <cell r="A1451" t="str">
            <v>Y1903-0315</v>
          </cell>
          <cell r="B1451">
            <v>201812</v>
          </cell>
          <cell r="C1451" t="str">
            <v>0100182332</v>
          </cell>
          <cell r="D1451" t="str">
            <v>7J237</v>
          </cell>
          <cell r="E1451">
            <v>1500</v>
          </cell>
          <cell r="F1451">
            <v>43546</v>
          </cell>
          <cell r="G1451" t="str">
            <v>01/09</v>
          </cell>
        </row>
        <row r="1452">
          <cell r="A1452" t="str">
            <v>Y1903-0316</v>
          </cell>
          <cell r="B1452">
            <v>201812</v>
          </cell>
          <cell r="C1452" t="str">
            <v>0100182333</v>
          </cell>
          <cell r="D1452" t="str">
            <v>M9166</v>
          </cell>
          <cell r="E1452">
            <v>600</v>
          </cell>
          <cell r="F1452">
            <v>43541</v>
          </cell>
          <cell r="G1452" t="str">
            <v>01/09</v>
          </cell>
        </row>
        <row r="1453">
          <cell r="A1453" t="str">
            <v>Y1903-0317</v>
          </cell>
          <cell r="B1453">
            <v>201812</v>
          </cell>
          <cell r="C1453" t="str">
            <v>0100182334</v>
          </cell>
          <cell r="D1453" t="str">
            <v>M9160</v>
          </cell>
          <cell r="E1453">
            <v>480</v>
          </cell>
          <cell r="F1453">
            <v>43541</v>
          </cell>
          <cell r="G1453" t="str">
            <v>01/11</v>
          </cell>
        </row>
        <row r="1454">
          <cell r="A1454" t="str">
            <v>Y1903-0318</v>
          </cell>
          <cell r="B1454">
            <v>201812</v>
          </cell>
          <cell r="C1454" t="str">
            <v>0100182338</v>
          </cell>
          <cell r="D1454" t="str">
            <v>M9166</v>
          </cell>
          <cell r="E1454">
            <v>2790</v>
          </cell>
          <cell r="F1454">
            <v>43554</v>
          </cell>
          <cell r="G1454" t="str">
            <v>01/09</v>
          </cell>
        </row>
        <row r="1455">
          <cell r="A1455" t="str">
            <v>Y1903-0319</v>
          </cell>
          <cell r="B1455">
            <v>201812</v>
          </cell>
          <cell r="C1455" t="str">
            <v>0100182339</v>
          </cell>
          <cell r="D1455" t="str">
            <v>M9166</v>
          </cell>
          <cell r="E1455">
            <v>5076</v>
          </cell>
          <cell r="F1455">
            <v>43554</v>
          </cell>
          <cell r="G1455" t="str">
            <v>01/09</v>
          </cell>
        </row>
        <row r="1456">
          <cell r="A1456" t="str">
            <v>Y1903-0320</v>
          </cell>
          <cell r="B1456">
            <v>201812</v>
          </cell>
          <cell r="C1456" t="str">
            <v>0100182340</v>
          </cell>
          <cell r="D1456" t="str">
            <v>M9160</v>
          </cell>
          <cell r="E1456">
            <v>5877</v>
          </cell>
          <cell r="F1456">
            <v>43554</v>
          </cell>
          <cell r="G1456" t="str">
            <v>01/11</v>
          </cell>
        </row>
        <row r="1457">
          <cell r="A1457" t="str">
            <v>Y1903-0321</v>
          </cell>
          <cell r="B1457">
            <v>201812</v>
          </cell>
          <cell r="C1457" t="str">
            <v>0100182341</v>
          </cell>
          <cell r="D1457" t="str">
            <v>M9160</v>
          </cell>
          <cell r="E1457">
            <v>1248</v>
          </cell>
          <cell r="F1457">
            <v>43554</v>
          </cell>
          <cell r="G1457" t="str">
            <v>01/11</v>
          </cell>
        </row>
        <row r="1458">
          <cell r="A1458" t="str">
            <v>Y1903-0322</v>
          </cell>
          <cell r="B1458">
            <v>201812</v>
          </cell>
          <cell r="C1458" t="str">
            <v>0100183260</v>
          </cell>
          <cell r="D1458" t="str">
            <v>159628C</v>
          </cell>
          <cell r="E1458">
            <v>432</v>
          </cell>
          <cell r="F1458">
            <v>43551</v>
          </cell>
          <cell r="G1458" t="str">
            <v>01/26</v>
          </cell>
        </row>
        <row r="1459">
          <cell r="A1459" t="str">
            <v>Y1903-0323</v>
          </cell>
          <cell r="B1459">
            <v>201812</v>
          </cell>
          <cell r="C1459" t="str">
            <v>0100183261</v>
          </cell>
          <cell r="D1459" t="str">
            <v>3J253C</v>
          </cell>
          <cell r="E1459">
            <v>648</v>
          </cell>
          <cell r="F1459">
            <v>43551</v>
          </cell>
          <cell r="G1459" t="str">
            <v>01/08</v>
          </cell>
        </row>
        <row r="1460">
          <cell r="A1460" t="str">
            <v>Y1903-0324</v>
          </cell>
          <cell r="B1460">
            <v>201812</v>
          </cell>
          <cell r="C1460" t="str">
            <v>0100183262</v>
          </cell>
          <cell r="D1460" t="str">
            <v>165743C</v>
          </cell>
          <cell r="E1460">
            <v>294</v>
          </cell>
          <cell r="F1460">
            <v>43554</v>
          </cell>
          <cell r="G1460" t="str">
            <v>01/25</v>
          </cell>
        </row>
        <row r="1461">
          <cell r="A1461" t="str">
            <v>Y1903-0325</v>
          </cell>
          <cell r="B1461">
            <v>201812</v>
          </cell>
          <cell r="C1461" t="str">
            <v>0100183263</v>
          </cell>
          <cell r="D1461" t="str">
            <v>M9166</v>
          </cell>
          <cell r="E1461">
            <v>16704</v>
          </cell>
          <cell r="F1461">
            <v>43538</v>
          </cell>
          <cell r="G1461" t="str">
            <v>01/09</v>
          </cell>
        </row>
        <row r="1462">
          <cell r="A1462" t="str">
            <v>Y1903-0326</v>
          </cell>
          <cell r="B1462">
            <v>201812</v>
          </cell>
          <cell r="C1462" t="str">
            <v>0100183323</v>
          </cell>
          <cell r="D1462" t="str">
            <v>3J231C</v>
          </cell>
          <cell r="E1462">
            <v>2772</v>
          </cell>
          <cell r="F1462">
            <v>43551</v>
          </cell>
          <cell r="G1462" t="str">
            <v>02/12</v>
          </cell>
        </row>
        <row r="1463">
          <cell r="A1463" t="str">
            <v>Y1903-0327</v>
          </cell>
          <cell r="B1463">
            <v>201812</v>
          </cell>
          <cell r="C1463" t="str">
            <v>0100183325</v>
          </cell>
          <cell r="D1463" t="str">
            <v>165743C</v>
          </cell>
          <cell r="E1463">
            <v>84</v>
          </cell>
          <cell r="F1463">
            <v>43554</v>
          </cell>
          <cell r="G1463" t="str">
            <v>01/25</v>
          </cell>
        </row>
        <row r="1464">
          <cell r="A1464" t="str">
            <v>Y1903-0328</v>
          </cell>
          <cell r="B1464">
            <v>201812</v>
          </cell>
          <cell r="C1464" t="str">
            <v>0100183326</v>
          </cell>
          <cell r="D1464" t="str">
            <v>3J233</v>
          </cell>
          <cell r="E1464">
            <v>360</v>
          </cell>
          <cell r="F1464">
            <v>43538</v>
          </cell>
          <cell r="G1464" t="str">
            <v>02/15</v>
          </cell>
        </row>
        <row r="1465">
          <cell r="A1465" t="str">
            <v>Y1903-0329</v>
          </cell>
          <cell r="B1465">
            <v>201812</v>
          </cell>
          <cell r="C1465" t="str">
            <v>0100183364</v>
          </cell>
          <cell r="D1465" t="str">
            <v>3J235C</v>
          </cell>
          <cell r="E1465">
            <v>1752</v>
          </cell>
          <cell r="F1465">
            <v>43551</v>
          </cell>
          <cell r="G1465" t="str">
            <v>01/09</v>
          </cell>
        </row>
        <row r="1466">
          <cell r="A1466" t="str">
            <v>Y1903-0330</v>
          </cell>
          <cell r="B1466">
            <v>201812</v>
          </cell>
          <cell r="C1466" t="str">
            <v>0100183365</v>
          </cell>
          <cell r="D1466" t="str">
            <v>7J231C</v>
          </cell>
          <cell r="E1466">
            <v>408</v>
          </cell>
          <cell r="F1466">
            <v>43551</v>
          </cell>
          <cell r="G1466" t="str">
            <v>02/15</v>
          </cell>
        </row>
        <row r="1467">
          <cell r="A1467" t="str">
            <v>Y1903-0331</v>
          </cell>
          <cell r="B1467">
            <v>201812</v>
          </cell>
          <cell r="C1467" t="str">
            <v>0100183367</v>
          </cell>
          <cell r="D1467" t="str">
            <v>165743C</v>
          </cell>
          <cell r="E1467">
            <v>87</v>
          </cell>
          <cell r="F1467">
            <v>43552</v>
          </cell>
          <cell r="G1467" t="str">
            <v>01/25</v>
          </cell>
        </row>
        <row r="1468">
          <cell r="A1468" t="str">
            <v>Y1903-0332</v>
          </cell>
          <cell r="B1468">
            <v>201812</v>
          </cell>
          <cell r="C1468" t="str">
            <v>0100183389</v>
          </cell>
          <cell r="D1468" t="str">
            <v>3J237C</v>
          </cell>
          <cell r="E1468">
            <v>480</v>
          </cell>
          <cell r="F1468">
            <v>43551</v>
          </cell>
          <cell r="G1468" t="str">
            <v>01/09</v>
          </cell>
        </row>
        <row r="1469">
          <cell r="A1469" t="str">
            <v>Y1903-0333</v>
          </cell>
          <cell r="B1469">
            <v>201812</v>
          </cell>
          <cell r="C1469" t="str">
            <v>0100183390</v>
          </cell>
          <cell r="D1469" t="str">
            <v>7J232C</v>
          </cell>
          <cell r="E1469">
            <v>588</v>
          </cell>
          <cell r="F1469">
            <v>43551</v>
          </cell>
          <cell r="G1469" t="str">
            <v>01/22</v>
          </cell>
        </row>
        <row r="1470">
          <cell r="A1470" t="str">
            <v>Y1903-0334</v>
          </cell>
          <cell r="B1470">
            <v>201812</v>
          </cell>
          <cell r="C1470" t="str">
            <v>0100183391</v>
          </cell>
          <cell r="D1470" t="str">
            <v>7J231C</v>
          </cell>
          <cell r="E1470">
            <v>240</v>
          </cell>
          <cell r="F1470">
            <v>43551</v>
          </cell>
          <cell r="G1470" t="str">
            <v>02/15</v>
          </cell>
        </row>
        <row r="1471">
          <cell r="A1471" t="str">
            <v>Y1903-0335</v>
          </cell>
          <cell r="B1471">
            <v>201812</v>
          </cell>
          <cell r="C1471" t="str">
            <v>0100183393</v>
          </cell>
          <cell r="D1471" t="str">
            <v>M9007</v>
          </cell>
          <cell r="E1471">
            <v>360</v>
          </cell>
          <cell r="F1471">
            <v>43538</v>
          </cell>
          <cell r="G1471" t="str">
            <v>01/09</v>
          </cell>
        </row>
        <row r="1472">
          <cell r="A1472" t="str">
            <v>Y1903-0336</v>
          </cell>
          <cell r="B1472">
            <v>201812</v>
          </cell>
          <cell r="C1472" t="str">
            <v>0100183403</v>
          </cell>
          <cell r="D1472" t="str">
            <v>3J253C</v>
          </cell>
          <cell r="E1472">
            <v>5232</v>
          </cell>
          <cell r="F1472">
            <v>43551</v>
          </cell>
          <cell r="G1472" t="str">
            <v>01/08</v>
          </cell>
        </row>
        <row r="1473">
          <cell r="A1473" t="str">
            <v>Y1903-0337</v>
          </cell>
          <cell r="B1473">
            <v>201812</v>
          </cell>
          <cell r="C1473" t="str">
            <v>0100183404</v>
          </cell>
          <cell r="D1473" t="str">
            <v>7J231C</v>
          </cell>
          <cell r="E1473">
            <v>120</v>
          </cell>
          <cell r="F1473">
            <v>43551</v>
          </cell>
          <cell r="G1473" t="str">
            <v>02/15</v>
          </cell>
        </row>
        <row r="1474">
          <cell r="A1474" t="str">
            <v>Y1903-0338</v>
          </cell>
          <cell r="B1474">
            <v>201812</v>
          </cell>
          <cell r="C1474" t="str">
            <v>0100183406</v>
          </cell>
          <cell r="D1474" t="str">
            <v>M9166</v>
          </cell>
          <cell r="E1474">
            <v>1800</v>
          </cell>
          <cell r="F1474">
            <v>43533</v>
          </cell>
          <cell r="G1474" t="str">
            <v>01/09</v>
          </cell>
        </row>
        <row r="1475">
          <cell r="A1475" t="str">
            <v>Y1903-0339</v>
          </cell>
          <cell r="B1475">
            <v>201812</v>
          </cell>
          <cell r="C1475" t="str">
            <v>0100183414</v>
          </cell>
          <cell r="D1475" t="str">
            <v>M7650C</v>
          </cell>
          <cell r="E1475">
            <v>384</v>
          </cell>
          <cell r="F1475">
            <v>43551</v>
          </cell>
          <cell r="G1475" t="str">
            <v>01/11</v>
          </cell>
        </row>
        <row r="1476">
          <cell r="A1476" t="str">
            <v>Y1903-0340</v>
          </cell>
          <cell r="B1476">
            <v>201812</v>
          </cell>
          <cell r="C1476" t="str">
            <v>0100183428</v>
          </cell>
          <cell r="D1476" t="str">
            <v>M7650C</v>
          </cell>
          <cell r="E1476">
            <v>912</v>
          </cell>
          <cell r="F1476">
            <v>43551</v>
          </cell>
          <cell r="G1476" t="str">
            <v>01/11</v>
          </cell>
        </row>
        <row r="1477">
          <cell r="A1477" t="str">
            <v>Y1903-0341</v>
          </cell>
          <cell r="B1477">
            <v>201812</v>
          </cell>
          <cell r="C1477" t="str">
            <v>0100183430</v>
          </cell>
          <cell r="D1477" t="str">
            <v>164025C</v>
          </cell>
          <cell r="E1477">
            <v>3000</v>
          </cell>
          <cell r="F1477">
            <v>43549</v>
          </cell>
          <cell r="G1477" t="str">
            <v>01/29</v>
          </cell>
        </row>
        <row r="1478">
          <cell r="A1478" t="str">
            <v>Y1903-0342</v>
          </cell>
          <cell r="B1478">
            <v>201812</v>
          </cell>
          <cell r="C1478" t="str">
            <v>0100183443</v>
          </cell>
          <cell r="D1478" t="str">
            <v>7J231C</v>
          </cell>
          <cell r="E1478">
            <v>360</v>
          </cell>
          <cell r="F1478">
            <v>43551</v>
          </cell>
          <cell r="G1478" t="str">
            <v>02/15</v>
          </cell>
        </row>
        <row r="1479">
          <cell r="A1479" t="str">
            <v>Y1903-0343</v>
          </cell>
          <cell r="B1479">
            <v>201812</v>
          </cell>
          <cell r="C1479" t="str">
            <v>0100183444</v>
          </cell>
          <cell r="D1479" t="str">
            <v>M7650C</v>
          </cell>
          <cell r="E1479">
            <v>1008</v>
          </cell>
          <cell r="F1479">
            <v>43551</v>
          </cell>
          <cell r="G1479" t="str">
            <v>01/11</v>
          </cell>
        </row>
        <row r="1480">
          <cell r="A1480" t="str">
            <v>Y1903-0344</v>
          </cell>
          <cell r="B1480">
            <v>201812</v>
          </cell>
          <cell r="C1480" t="str">
            <v>0100183451</v>
          </cell>
          <cell r="D1480" t="str">
            <v>M7652C</v>
          </cell>
          <cell r="E1480">
            <v>120</v>
          </cell>
          <cell r="F1480">
            <v>43551</v>
          </cell>
          <cell r="G1480" t="str">
            <v>01/09</v>
          </cell>
        </row>
        <row r="1481">
          <cell r="A1481" t="str">
            <v>Y1903-0345</v>
          </cell>
          <cell r="B1481">
            <v>201812</v>
          </cell>
          <cell r="C1481" t="str">
            <v>0100183461</v>
          </cell>
          <cell r="D1481" t="str">
            <v>M5039C</v>
          </cell>
          <cell r="E1481">
            <v>1392</v>
          </cell>
          <cell r="F1481">
            <v>43551</v>
          </cell>
          <cell r="G1481" t="str">
            <v>01/11</v>
          </cell>
        </row>
        <row r="1482">
          <cell r="A1482" t="str">
            <v>Y1903-0346</v>
          </cell>
          <cell r="B1482">
            <v>201812</v>
          </cell>
          <cell r="C1482" t="str">
            <v>0100183462</v>
          </cell>
          <cell r="D1482" t="str">
            <v>M7652C</v>
          </cell>
          <cell r="E1482">
            <v>1344</v>
          </cell>
          <cell r="F1482">
            <v>43551</v>
          </cell>
          <cell r="G1482" t="str">
            <v>01/09</v>
          </cell>
        </row>
        <row r="1483">
          <cell r="A1483" t="str">
            <v>Y1903-0347</v>
          </cell>
          <cell r="B1483">
            <v>201812</v>
          </cell>
          <cell r="C1483" t="str">
            <v>0100183465</v>
          </cell>
          <cell r="D1483" t="str">
            <v>W9160</v>
          </cell>
          <cell r="E1483">
            <v>1584</v>
          </cell>
          <cell r="F1483">
            <v>43533</v>
          </cell>
          <cell r="G1483" t="str">
            <v>01/22</v>
          </cell>
        </row>
        <row r="1484">
          <cell r="A1484" t="str">
            <v>Y1903-0348</v>
          </cell>
          <cell r="B1484">
            <v>201812</v>
          </cell>
          <cell r="C1484" t="str">
            <v>0100183470</v>
          </cell>
          <cell r="D1484" t="str">
            <v>M7650C</v>
          </cell>
          <cell r="E1484">
            <v>12420</v>
          </cell>
          <cell r="F1484">
            <v>43551</v>
          </cell>
          <cell r="G1484" t="str">
            <v>01/11</v>
          </cell>
        </row>
        <row r="1485">
          <cell r="A1485" t="str">
            <v>Y1903-0349</v>
          </cell>
          <cell r="B1485">
            <v>201812</v>
          </cell>
          <cell r="C1485" t="str">
            <v>0100183471</v>
          </cell>
          <cell r="D1485" t="str">
            <v>M7652C</v>
          </cell>
          <cell r="E1485">
            <v>360</v>
          </cell>
          <cell r="F1485">
            <v>43551</v>
          </cell>
          <cell r="G1485" t="str">
            <v>01/09</v>
          </cell>
        </row>
        <row r="1486">
          <cell r="A1486" t="str">
            <v>Y1903-0350</v>
          </cell>
          <cell r="B1486">
            <v>201812</v>
          </cell>
          <cell r="C1486" t="str">
            <v>0100183473</v>
          </cell>
          <cell r="D1486" t="str">
            <v>W9166</v>
          </cell>
          <cell r="E1486">
            <v>1584</v>
          </cell>
          <cell r="F1486">
            <v>43533</v>
          </cell>
          <cell r="G1486" t="str">
            <v>01/09</v>
          </cell>
        </row>
        <row r="1487">
          <cell r="A1487" t="str">
            <v>Y1903-0351</v>
          </cell>
          <cell r="B1487">
            <v>201812</v>
          </cell>
          <cell r="C1487" t="str">
            <v>0100183480</v>
          </cell>
          <cell r="D1487" t="str">
            <v>M7652C</v>
          </cell>
          <cell r="E1487">
            <v>16440</v>
          </cell>
          <cell r="F1487">
            <v>43551</v>
          </cell>
          <cell r="G1487" t="str">
            <v>01/09</v>
          </cell>
        </row>
        <row r="1488">
          <cell r="A1488" t="str">
            <v>Y1903-0352</v>
          </cell>
          <cell r="B1488">
            <v>201812</v>
          </cell>
          <cell r="C1488" t="str">
            <v>0100183481</v>
          </cell>
          <cell r="D1488" t="str">
            <v>M7652C</v>
          </cell>
          <cell r="E1488">
            <v>120</v>
          </cell>
          <cell r="F1488">
            <v>43551</v>
          </cell>
          <cell r="G1488" t="str">
            <v>01/09</v>
          </cell>
        </row>
        <row r="1489">
          <cell r="A1489" t="str">
            <v>Y1903-0353</v>
          </cell>
          <cell r="B1489">
            <v>201812</v>
          </cell>
          <cell r="C1489" t="str">
            <v>0100183483</v>
          </cell>
          <cell r="D1489" t="str">
            <v>M9007</v>
          </cell>
          <cell r="E1489">
            <v>1068</v>
          </cell>
          <cell r="F1489">
            <v>43538</v>
          </cell>
          <cell r="G1489" t="str">
            <v>01/09</v>
          </cell>
        </row>
        <row r="1490">
          <cell r="A1490" t="str">
            <v>Y1903-0354</v>
          </cell>
          <cell r="B1490">
            <v>201812</v>
          </cell>
          <cell r="C1490" t="str">
            <v>0100183487</v>
          </cell>
          <cell r="D1490" t="str">
            <v>M9160C</v>
          </cell>
          <cell r="E1490">
            <v>3204</v>
          </cell>
          <cell r="F1490">
            <v>43551</v>
          </cell>
          <cell r="G1490" t="str">
            <v>01/25</v>
          </cell>
        </row>
        <row r="1491">
          <cell r="A1491" t="str">
            <v>Y1903-0355</v>
          </cell>
          <cell r="B1491">
            <v>201812</v>
          </cell>
          <cell r="C1491" t="str">
            <v>0100183488</v>
          </cell>
          <cell r="D1491" t="str">
            <v>M7652C</v>
          </cell>
          <cell r="E1491">
            <v>420</v>
          </cell>
          <cell r="F1491">
            <v>43551</v>
          </cell>
          <cell r="G1491" t="str">
            <v>01/09</v>
          </cell>
        </row>
        <row r="1492">
          <cell r="A1492" t="str">
            <v>Y1903-0356</v>
          </cell>
          <cell r="B1492">
            <v>201812</v>
          </cell>
          <cell r="C1492" t="str">
            <v>0100183492</v>
          </cell>
          <cell r="D1492" t="str">
            <v>M9166C</v>
          </cell>
          <cell r="E1492">
            <v>11520</v>
          </cell>
          <cell r="F1492">
            <v>43551</v>
          </cell>
          <cell r="G1492" t="str">
            <v>01/09</v>
          </cell>
        </row>
        <row r="1493">
          <cell r="A1493" t="str">
            <v>Y1903-0357</v>
          </cell>
          <cell r="B1493">
            <v>201812</v>
          </cell>
          <cell r="C1493" t="str">
            <v>0100183493</v>
          </cell>
          <cell r="D1493" t="str">
            <v>M7652C</v>
          </cell>
          <cell r="E1493">
            <v>1008</v>
          </cell>
          <cell r="F1493">
            <v>43551</v>
          </cell>
          <cell r="G1493" t="str">
            <v>01/09</v>
          </cell>
        </row>
        <row r="1494">
          <cell r="A1494" t="str">
            <v>Y1903-0358</v>
          </cell>
          <cell r="B1494">
            <v>201812</v>
          </cell>
          <cell r="C1494" t="str">
            <v>0100183496</v>
          </cell>
          <cell r="D1494" t="str">
            <v>M9622C</v>
          </cell>
          <cell r="E1494">
            <v>7572</v>
          </cell>
          <cell r="F1494">
            <v>43551</v>
          </cell>
          <cell r="G1494" t="str">
            <v>01/29</v>
          </cell>
        </row>
        <row r="1495">
          <cell r="A1495" t="str">
            <v>Y1903-0359</v>
          </cell>
          <cell r="B1495">
            <v>201812</v>
          </cell>
          <cell r="C1495" t="str">
            <v>0100183497</v>
          </cell>
          <cell r="D1495" t="str">
            <v>M9160C</v>
          </cell>
          <cell r="E1495">
            <v>120</v>
          </cell>
          <cell r="F1495">
            <v>43551</v>
          </cell>
          <cell r="G1495" t="str">
            <v>01/25</v>
          </cell>
        </row>
        <row r="1496">
          <cell r="A1496" t="str">
            <v>Y1903-0360</v>
          </cell>
          <cell r="B1496">
            <v>201812</v>
          </cell>
          <cell r="C1496" t="str">
            <v>0100183500</v>
          </cell>
          <cell r="D1496" t="str">
            <v>M9697C</v>
          </cell>
          <cell r="E1496">
            <v>7488</v>
          </cell>
          <cell r="F1496">
            <v>43551</v>
          </cell>
          <cell r="G1496" t="str">
            <v>01/09</v>
          </cell>
        </row>
        <row r="1497">
          <cell r="A1497" t="str">
            <v>Y1903-0361</v>
          </cell>
          <cell r="B1497">
            <v>201812</v>
          </cell>
          <cell r="C1497" t="str">
            <v>0100183501</v>
          </cell>
          <cell r="D1497" t="str">
            <v>M9166C</v>
          </cell>
          <cell r="E1497">
            <v>120</v>
          </cell>
          <cell r="F1497">
            <v>43551</v>
          </cell>
          <cell r="G1497" t="str">
            <v>01/09</v>
          </cell>
        </row>
        <row r="1498">
          <cell r="A1498" t="str">
            <v>Y1903-0362</v>
          </cell>
          <cell r="B1498">
            <v>201812</v>
          </cell>
          <cell r="C1498" t="str">
            <v>0100183505</v>
          </cell>
          <cell r="D1498" t="str">
            <v>M9166C</v>
          </cell>
          <cell r="E1498">
            <v>156</v>
          </cell>
          <cell r="F1498">
            <v>43551</v>
          </cell>
          <cell r="G1498" t="str">
            <v>01/09</v>
          </cell>
        </row>
        <row r="1499">
          <cell r="A1499" t="str">
            <v>Y1903-0363</v>
          </cell>
          <cell r="B1499">
            <v>201812</v>
          </cell>
          <cell r="C1499" t="str">
            <v>0100183507</v>
          </cell>
          <cell r="D1499" t="str">
            <v>W9166</v>
          </cell>
          <cell r="E1499">
            <v>9012</v>
          </cell>
          <cell r="F1499">
            <v>43538</v>
          </cell>
          <cell r="G1499" t="str">
            <v>01/09</v>
          </cell>
        </row>
        <row r="1500">
          <cell r="A1500" t="str">
            <v>Y1903-0364</v>
          </cell>
          <cell r="B1500">
            <v>201812</v>
          </cell>
          <cell r="C1500" t="str">
            <v>0100183509</v>
          </cell>
          <cell r="D1500" t="str">
            <v>M9166C</v>
          </cell>
          <cell r="E1500">
            <v>1224</v>
          </cell>
          <cell r="F1500">
            <v>43551</v>
          </cell>
          <cell r="G1500" t="str">
            <v>01/09</v>
          </cell>
        </row>
        <row r="1501">
          <cell r="A1501" t="str">
            <v>Y1903-0365</v>
          </cell>
          <cell r="B1501">
            <v>201812</v>
          </cell>
          <cell r="C1501" t="str">
            <v>0100183513</v>
          </cell>
          <cell r="D1501" t="str">
            <v>M9166C</v>
          </cell>
          <cell r="E1501">
            <v>372</v>
          </cell>
          <cell r="F1501">
            <v>43551</v>
          </cell>
          <cell r="G1501" t="str">
            <v>01/09</v>
          </cell>
        </row>
        <row r="1502">
          <cell r="A1502" t="str">
            <v>Y1903-0366</v>
          </cell>
          <cell r="B1502">
            <v>201812</v>
          </cell>
          <cell r="C1502" t="str">
            <v>0100183515</v>
          </cell>
          <cell r="D1502" t="str">
            <v>W9160</v>
          </cell>
          <cell r="E1502">
            <v>4692</v>
          </cell>
          <cell r="F1502">
            <v>43538</v>
          </cell>
          <cell r="G1502" t="str">
            <v>01/22</v>
          </cell>
        </row>
        <row r="1503">
          <cell r="A1503" t="str">
            <v>Y1903-0367</v>
          </cell>
          <cell r="B1503">
            <v>201812</v>
          </cell>
          <cell r="C1503" t="str">
            <v>0100183517</v>
          </cell>
          <cell r="D1503" t="str">
            <v>M9166C</v>
          </cell>
          <cell r="E1503">
            <v>168</v>
          </cell>
          <cell r="F1503">
            <v>43551</v>
          </cell>
          <cell r="G1503" t="str">
            <v>01/09</v>
          </cell>
        </row>
        <row r="1504">
          <cell r="A1504" t="str">
            <v>Y1903-0368</v>
          </cell>
          <cell r="B1504">
            <v>201812</v>
          </cell>
          <cell r="C1504" t="str">
            <v>0100183518</v>
          </cell>
          <cell r="D1504" t="str">
            <v>M9622C</v>
          </cell>
          <cell r="E1504">
            <v>384</v>
          </cell>
          <cell r="F1504">
            <v>43551</v>
          </cell>
          <cell r="G1504" t="str">
            <v>01/29</v>
          </cell>
        </row>
        <row r="1505">
          <cell r="A1505" t="str">
            <v>Y1903-0369</v>
          </cell>
          <cell r="B1505">
            <v>201812</v>
          </cell>
          <cell r="C1505" t="str">
            <v>0100183519</v>
          </cell>
          <cell r="D1505" t="str">
            <v>M9697C</v>
          </cell>
          <cell r="E1505">
            <v>120</v>
          </cell>
          <cell r="F1505">
            <v>43551</v>
          </cell>
          <cell r="G1505" t="str">
            <v>01/09</v>
          </cell>
        </row>
        <row r="1506">
          <cell r="A1506" t="str">
            <v>Y1903-0370</v>
          </cell>
          <cell r="B1506">
            <v>201812</v>
          </cell>
          <cell r="C1506" t="str">
            <v>0100183520</v>
          </cell>
          <cell r="D1506" t="str">
            <v>M9697C</v>
          </cell>
          <cell r="E1506">
            <v>720</v>
          </cell>
          <cell r="F1506">
            <v>43551</v>
          </cell>
          <cell r="G1506" t="str">
            <v>01/09</v>
          </cell>
        </row>
        <row r="1507">
          <cell r="A1507" t="str">
            <v>Y1903-0371</v>
          </cell>
          <cell r="B1507">
            <v>201812</v>
          </cell>
          <cell r="C1507" t="str">
            <v>0100183521</v>
          </cell>
          <cell r="D1507" t="str">
            <v>M9697C</v>
          </cell>
          <cell r="E1507">
            <v>168</v>
          </cell>
          <cell r="F1507">
            <v>43551</v>
          </cell>
          <cell r="G1507" t="str">
            <v>01/09</v>
          </cell>
        </row>
        <row r="1508">
          <cell r="A1508" t="str">
            <v>Y1903-0372</v>
          </cell>
          <cell r="B1508">
            <v>201812</v>
          </cell>
          <cell r="C1508" t="str">
            <v>0100183532</v>
          </cell>
          <cell r="D1508" t="str">
            <v>3J238</v>
          </cell>
          <cell r="E1508">
            <v>5412</v>
          </cell>
          <cell r="F1508">
            <v>43538</v>
          </cell>
          <cell r="G1508" t="str">
            <v>01/09</v>
          </cell>
        </row>
        <row r="1509">
          <cell r="A1509" t="str">
            <v>Y1903-0373</v>
          </cell>
          <cell r="B1509">
            <v>201812</v>
          </cell>
          <cell r="C1509" t="str">
            <v>0100183533</v>
          </cell>
          <cell r="D1509" t="str">
            <v>3J253</v>
          </cell>
          <cell r="E1509">
            <v>5040</v>
          </cell>
          <cell r="F1509">
            <v>43538</v>
          </cell>
          <cell r="G1509" t="str">
            <v>01/11</v>
          </cell>
        </row>
        <row r="1510">
          <cell r="A1510" t="str">
            <v>Y1903-0374</v>
          </cell>
          <cell r="B1510">
            <v>201812</v>
          </cell>
          <cell r="C1510" t="str">
            <v>0100183534</v>
          </cell>
          <cell r="D1510" t="str">
            <v>3J234</v>
          </cell>
          <cell r="E1510">
            <v>1440</v>
          </cell>
          <cell r="F1510">
            <v>43538</v>
          </cell>
          <cell r="G1510" t="str">
            <v>01/22</v>
          </cell>
        </row>
        <row r="1511">
          <cell r="A1511" t="str">
            <v>Y1903-0375</v>
          </cell>
          <cell r="B1511">
            <v>201812</v>
          </cell>
          <cell r="C1511" t="str">
            <v>0100183535</v>
          </cell>
          <cell r="D1511" t="str">
            <v>3J233</v>
          </cell>
          <cell r="E1511">
            <v>1080</v>
          </cell>
          <cell r="F1511">
            <v>43538</v>
          </cell>
          <cell r="G1511" t="str">
            <v>02/15</v>
          </cell>
        </row>
        <row r="1512">
          <cell r="A1512" t="str">
            <v>Y1903-0376</v>
          </cell>
          <cell r="B1512">
            <v>201812</v>
          </cell>
          <cell r="C1512" t="str">
            <v>0100183536</v>
          </cell>
          <cell r="D1512" t="str">
            <v>7J237</v>
          </cell>
          <cell r="E1512">
            <v>4308</v>
          </cell>
          <cell r="F1512">
            <v>43538</v>
          </cell>
          <cell r="G1512" t="str">
            <v>01/09</v>
          </cell>
        </row>
        <row r="1513">
          <cell r="A1513" t="str">
            <v>Y1903-0377</v>
          </cell>
          <cell r="B1513">
            <v>201812</v>
          </cell>
          <cell r="C1513" t="str">
            <v>0100183537</v>
          </cell>
          <cell r="D1513" t="str">
            <v>7J231</v>
          </cell>
          <cell r="E1513">
            <v>2892</v>
          </cell>
          <cell r="F1513">
            <v>43538</v>
          </cell>
          <cell r="G1513" t="str">
            <v>01/22</v>
          </cell>
        </row>
        <row r="1514">
          <cell r="A1514" t="str">
            <v>Y1903-0378</v>
          </cell>
          <cell r="B1514">
            <v>201812</v>
          </cell>
          <cell r="C1514" t="str">
            <v>0100183538</v>
          </cell>
          <cell r="D1514" t="str">
            <v>7J233</v>
          </cell>
          <cell r="E1514">
            <v>360</v>
          </cell>
          <cell r="F1514">
            <v>43538</v>
          </cell>
          <cell r="G1514" t="str">
            <v>01/22</v>
          </cell>
        </row>
        <row r="1515">
          <cell r="A1515" t="str">
            <v>Y1903-0379</v>
          </cell>
          <cell r="B1515">
            <v>201812</v>
          </cell>
          <cell r="C1515" t="str">
            <v>0100183539</v>
          </cell>
          <cell r="D1515" t="str">
            <v>M9166</v>
          </cell>
          <cell r="E1515">
            <v>16872</v>
          </cell>
          <cell r="F1515">
            <v>43538</v>
          </cell>
          <cell r="G1515" t="str">
            <v>01/08</v>
          </cell>
        </row>
        <row r="1516">
          <cell r="A1516" t="str">
            <v>Y1903-0380</v>
          </cell>
          <cell r="B1516">
            <v>201812</v>
          </cell>
          <cell r="C1516" t="str">
            <v>0100183540</v>
          </cell>
          <cell r="D1516" t="str">
            <v>M9166</v>
          </cell>
          <cell r="E1516">
            <v>16872</v>
          </cell>
          <cell r="F1516">
            <v>43538</v>
          </cell>
          <cell r="G1516" t="str">
            <v>01/25</v>
          </cell>
        </row>
        <row r="1517">
          <cell r="A1517" t="str">
            <v>Y1903-0381</v>
          </cell>
          <cell r="B1517">
            <v>201812</v>
          </cell>
          <cell r="C1517" t="str">
            <v>0100183541</v>
          </cell>
          <cell r="D1517" t="str">
            <v>M9166</v>
          </cell>
          <cell r="E1517">
            <v>16872</v>
          </cell>
          <cell r="F1517">
            <v>43538</v>
          </cell>
          <cell r="G1517" t="str">
            <v>01/08</v>
          </cell>
        </row>
        <row r="1518">
          <cell r="A1518" t="str">
            <v>Y1903-0407</v>
          </cell>
          <cell r="B1518">
            <v>201812</v>
          </cell>
          <cell r="C1518" t="str">
            <v>0100183627</v>
          </cell>
          <cell r="D1518" t="str">
            <v>M9166C</v>
          </cell>
          <cell r="E1518">
            <v>792</v>
          </cell>
          <cell r="F1518">
            <v>43532</v>
          </cell>
          <cell r="G1518" t="str">
            <v>01/12</v>
          </cell>
        </row>
        <row r="1519">
          <cell r="A1519" t="str">
            <v>Y1903-0408</v>
          </cell>
          <cell r="B1519">
            <v>201812</v>
          </cell>
          <cell r="C1519" t="str">
            <v>0100183628</v>
          </cell>
          <cell r="D1519" t="str">
            <v>M9621</v>
          </cell>
          <cell r="E1519">
            <v>480</v>
          </cell>
          <cell r="F1519">
            <v>43541</v>
          </cell>
          <cell r="G1519" t="str">
            <v>01/25</v>
          </cell>
        </row>
        <row r="1520">
          <cell r="A1520" t="str">
            <v>Y1903-0409</v>
          </cell>
          <cell r="B1520">
            <v>201812</v>
          </cell>
          <cell r="C1520" t="str">
            <v>0100183629</v>
          </cell>
          <cell r="D1520" t="str">
            <v>M9621</v>
          </cell>
          <cell r="E1520">
            <v>588</v>
          </cell>
          <cell r="F1520">
            <v>43541</v>
          </cell>
          <cell r="G1520" t="str">
            <v>01/25</v>
          </cell>
        </row>
        <row r="1521">
          <cell r="A1521" t="str">
            <v>Y1903-0410</v>
          </cell>
          <cell r="B1521">
            <v>201812</v>
          </cell>
          <cell r="C1521" t="str">
            <v>0100183630</v>
          </cell>
          <cell r="D1521" t="str">
            <v>M9621</v>
          </cell>
          <cell r="E1521">
            <v>432</v>
          </cell>
          <cell r="F1521">
            <v>43541</v>
          </cell>
          <cell r="G1521" t="str">
            <v>01/25</v>
          </cell>
        </row>
        <row r="1522">
          <cell r="A1522" t="str">
            <v>Y1903-0411</v>
          </cell>
          <cell r="B1522">
            <v>201812</v>
          </cell>
          <cell r="C1522" t="str">
            <v>0100183631</v>
          </cell>
          <cell r="D1522" t="str">
            <v>M9696</v>
          </cell>
          <cell r="E1522">
            <v>1104</v>
          </cell>
          <cell r="F1522">
            <v>43541</v>
          </cell>
          <cell r="G1522" t="str">
            <v>01/12</v>
          </cell>
        </row>
        <row r="1523">
          <cell r="A1523" t="str">
            <v>Y1903-0412</v>
          </cell>
          <cell r="B1523">
            <v>201812</v>
          </cell>
          <cell r="C1523" t="str">
            <v>0100183632</v>
          </cell>
          <cell r="D1523" t="str">
            <v>M9696</v>
          </cell>
          <cell r="E1523">
            <v>924</v>
          </cell>
          <cell r="F1523">
            <v>43541</v>
          </cell>
          <cell r="G1523" t="str">
            <v>01/12</v>
          </cell>
        </row>
        <row r="1524">
          <cell r="A1524" t="str">
            <v>Y1903-0413</v>
          </cell>
          <cell r="B1524">
            <v>201812</v>
          </cell>
          <cell r="C1524" t="str">
            <v>0100183633</v>
          </cell>
          <cell r="D1524" t="str">
            <v>M9622</v>
          </cell>
          <cell r="E1524">
            <v>3000</v>
          </cell>
          <cell r="F1524">
            <v>43545</v>
          </cell>
          <cell r="G1524" t="str">
            <v>01/29</v>
          </cell>
        </row>
        <row r="1525">
          <cell r="A1525" t="str">
            <v>Y1903-0414</v>
          </cell>
          <cell r="B1525">
            <v>201812</v>
          </cell>
          <cell r="C1525" t="str">
            <v>0100183634</v>
          </cell>
          <cell r="D1525" t="str">
            <v>M9621</v>
          </cell>
          <cell r="E1525">
            <v>6000</v>
          </cell>
          <cell r="F1525">
            <v>43545</v>
          </cell>
          <cell r="G1525" t="str">
            <v>01/25</v>
          </cell>
        </row>
        <row r="1526">
          <cell r="A1526" t="str">
            <v>Y1903-0415</v>
          </cell>
          <cell r="B1526">
            <v>201812</v>
          </cell>
          <cell r="C1526" t="str">
            <v>0100183635</v>
          </cell>
          <cell r="D1526" t="str">
            <v>M9621</v>
          </cell>
          <cell r="E1526">
            <v>360</v>
          </cell>
          <cell r="F1526">
            <v>43541</v>
          </cell>
          <cell r="G1526" t="str">
            <v>01/25</v>
          </cell>
        </row>
        <row r="1527">
          <cell r="A1527" t="str">
            <v>Y1903-0382</v>
          </cell>
          <cell r="B1527">
            <v>201812</v>
          </cell>
          <cell r="C1527" t="str">
            <v>4600066833</v>
          </cell>
          <cell r="D1527" t="str">
            <v>162378C</v>
          </cell>
          <cell r="E1527">
            <v>804</v>
          </cell>
          <cell r="F1527">
            <v>43540</v>
          </cell>
          <cell r="G1527" t="str">
            <v>01/14</v>
          </cell>
        </row>
        <row r="1528">
          <cell r="A1528" t="str">
            <v>Y1903-0383</v>
          </cell>
          <cell r="B1528">
            <v>201812</v>
          </cell>
          <cell r="C1528" t="str">
            <v>4600066834</v>
          </cell>
          <cell r="D1528">
            <v>88877</v>
          </cell>
          <cell r="E1528">
            <v>2640</v>
          </cell>
          <cell r="F1528">
            <v>43540</v>
          </cell>
          <cell r="G1528" t="str">
            <v>01/22</v>
          </cell>
        </row>
        <row r="1529">
          <cell r="A1529" t="str">
            <v>Y1903-0384</v>
          </cell>
          <cell r="B1529">
            <v>201812</v>
          </cell>
          <cell r="C1529" t="str">
            <v>4600066835</v>
          </cell>
          <cell r="D1529" t="str">
            <v>8J231</v>
          </cell>
          <cell r="E1529">
            <v>924</v>
          </cell>
          <cell r="F1529">
            <v>43540</v>
          </cell>
          <cell r="G1529" t="str">
            <v>01/15</v>
          </cell>
        </row>
        <row r="1530">
          <cell r="A1530" t="str">
            <v>Y1903-0385</v>
          </cell>
          <cell r="B1530">
            <v>201812</v>
          </cell>
          <cell r="C1530" t="str">
            <v>4600066841</v>
          </cell>
          <cell r="D1530" t="str">
            <v>362540C</v>
          </cell>
          <cell r="E1530">
            <v>1800</v>
          </cell>
          <cell r="F1530">
            <v>43540</v>
          </cell>
          <cell r="G1530" t="str">
            <v>01/19</v>
          </cell>
        </row>
        <row r="1531">
          <cell r="A1531" t="str">
            <v>Y1903-0386</v>
          </cell>
          <cell r="B1531">
            <v>201812</v>
          </cell>
          <cell r="C1531" t="str">
            <v>4600066848</v>
          </cell>
          <cell r="D1531" t="str">
            <v>158369C</v>
          </cell>
          <cell r="E1531">
            <v>1440</v>
          </cell>
          <cell r="F1531">
            <v>43525</v>
          </cell>
          <cell r="G1531" t="str">
            <v>01/11</v>
          </cell>
        </row>
        <row r="1532">
          <cell r="A1532" t="str">
            <v>Y1903-0387</v>
          </cell>
          <cell r="B1532">
            <v>201812</v>
          </cell>
          <cell r="C1532" t="str">
            <v>4600066849</v>
          </cell>
          <cell r="D1532" t="str">
            <v>162378C</v>
          </cell>
          <cell r="E1532">
            <v>180</v>
          </cell>
          <cell r="F1532">
            <v>43540</v>
          </cell>
          <cell r="G1532" t="str">
            <v>01/14</v>
          </cell>
        </row>
        <row r="1533">
          <cell r="A1533" t="str">
            <v>Y1903-0388</v>
          </cell>
          <cell r="B1533">
            <v>201812</v>
          </cell>
          <cell r="C1533" t="str">
            <v>4600066855</v>
          </cell>
          <cell r="D1533" t="str">
            <v>8J231</v>
          </cell>
          <cell r="E1533">
            <v>432</v>
          </cell>
          <cell r="F1533">
            <v>43540</v>
          </cell>
          <cell r="G1533" t="str">
            <v>01/15</v>
          </cell>
        </row>
        <row r="1534">
          <cell r="A1534" t="str">
            <v>Y1903-0389</v>
          </cell>
          <cell r="B1534">
            <v>201812</v>
          </cell>
          <cell r="C1534" t="str">
            <v>4600066856</v>
          </cell>
          <cell r="D1534" t="str">
            <v>150765C</v>
          </cell>
          <cell r="E1534">
            <v>1812</v>
          </cell>
          <cell r="F1534">
            <v>43544</v>
          </cell>
          <cell r="G1534" t="str">
            <v>01/09</v>
          </cell>
        </row>
        <row r="1535">
          <cell r="A1535" t="str">
            <v>Y1903-0390</v>
          </cell>
          <cell r="B1535">
            <v>201812</v>
          </cell>
          <cell r="C1535" t="str">
            <v>4600066857</v>
          </cell>
          <cell r="D1535" t="str">
            <v>150763C</v>
          </cell>
          <cell r="E1535">
            <v>3264</v>
          </cell>
          <cell r="F1535">
            <v>43544</v>
          </cell>
          <cell r="G1535" t="str">
            <v>01/09</v>
          </cell>
        </row>
        <row r="1536">
          <cell r="A1536" t="str">
            <v>Y1903-0391</v>
          </cell>
          <cell r="B1536">
            <v>201812</v>
          </cell>
          <cell r="C1536" t="str">
            <v>4600066858</v>
          </cell>
          <cell r="D1536" t="str">
            <v>150767C</v>
          </cell>
          <cell r="E1536">
            <v>1848</v>
          </cell>
          <cell r="F1536">
            <v>43544</v>
          </cell>
          <cell r="G1536" t="str">
            <v>01/09</v>
          </cell>
        </row>
        <row r="1537">
          <cell r="A1537" t="str">
            <v>Y1903-0392</v>
          </cell>
          <cell r="B1537">
            <v>201812</v>
          </cell>
          <cell r="C1537" t="str">
            <v>4600066859</v>
          </cell>
          <cell r="D1537" t="str">
            <v>150756C</v>
          </cell>
          <cell r="E1537">
            <v>1800</v>
          </cell>
          <cell r="F1537">
            <v>43544</v>
          </cell>
          <cell r="G1537" t="str">
            <v>01/25</v>
          </cell>
        </row>
        <row r="1538">
          <cell r="A1538" t="str">
            <v>Y1903-0393</v>
          </cell>
          <cell r="B1538">
            <v>201812</v>
          </cell>
          <cell r="C1538" t="str">
            <v>4600066860</v>
          </cell>
          <cell r="D1538" t="str">
            <v>150760C</v>
          </cell>
          <cell r="E1538">
            <v>1944</v>
          </cell>
          <cell r="F1538">
            <v>43544</v>
          </cell>
          <cell r="G1538" t="str">
            <v>01/25</v>
          </cell>
        </row>
        <row r="1539">
          <cell r="A1539" t="str">
            <v>Y1903-0394</v>
          </cell>
          <cell r="B1539">
            <v>201812</v>
          </cell>
          <cell r="C1539" t="str">
            <v>4600066861</v>
          </cell>
          <cell r="D1539" t="str">
            <v>150768C</v>
          </cell>
          <cell r="E1539">
            <v>3468</v>
          </cell>
          <cell r="F1539">
            <v>43544</v>
          </cell>
          <cell r="G1539" t="str">
            <v>01/09</v>
          </cell>
        </row>
        <row r="1540">
          <cell r="A1540" t="str">
            <v>Y1903-0395</v>
          </cell>
          <cell r="B1540">
            <v>201812</v>
          </cell>
          <cell r="C1540" t="str">
            <v>4600066926</v>
          </cell>
          <cell r="D1540" t="str">
            <v>164025C</v>
          </cell>
          <cell r="E1540">
            <v>120</v>
          </cell>
          <cell r="F1540">
            <v>43541</v>
          </cell>
          <cell r="G1540" t="str">
            <v>01/29</v>
          </cell>
        </row>
        <row r="1541">
          <cell r="A1541" t="str">
            <v>Y1903-0396</v>
          </cell>
          <cell r="B1541">
            <v>201812</v>
          </cell>
          <cell r="C1541" t="str">
            <v>4600066927</v>
          </cell>
          <cell r="D1541" t="str">
            <v>164026C</v>
          </cell>
          <cell r="E1541">
            <v>120</v>
          </cell>
          <cell r="F1541">
            <v>43541</v>
          </cell>
          <cell r="G1541" t="str">
            <v>02/12</v>
          </cell>
        </row>
        <row r="1542">
          <cell r="A1542" t="str">
            <v>Y1902-0001</v>
          </cell>
          <cell r="B1542">
            <v>201808</v>
          </cell>
          <cell r="C1542" t="str">
            <v>0100166055</v>
          </cell>
          <cell r="D1542" t="str">
            <v>264476F</v>
          </cell>
          <cell r="E1542">
            <v>468</v>
          </cell>
          <cell r="F1542">
            <v>43510</v>
          </cell>
          <cell r="G1542" t="str">
            <v>OK</v>
          </cell>
        </row>
        <row r="1543">
          <cell r="A1543" t="str">
            <v>Y1902-0002</v>
          </cell>
          <cell r="B1543">
            <v>201809</v>
          </cell>
          <cell r="C1543" t="str">
            <v>0100169624</v>
          </cell>
          <cell r="D1543" t="str">
            <v>264477F</v>
          </cell>
          <cell r="E1543">
            <v>360</v>
          </cell>
          <cell r="F1543">
            <v>43510</v>
          </cell>
          <cell r="G1543" t="str">
            <v>OK</v>
          </cell>
        </row>
        <row r="1544">
          <cell r="A1544" t="str">
            <v>Y1902-0003</v>
          </cell>
          <cell r="B1544">
            <v>201809</v>
          </cell>
          <cell r="C1544" t="str">
            <v>0100169626</v>
          </cell>
          <cell r="D1544" t="str">
            <v>264477F</v>
          </cell>
          <cell r="E1544">
            <v>360</v>
          </cell>
          <cell r="F1544">
            <v>43510</v>
          </cell>
          <cell r="G1544" t="str">
            <v>OK</v>
          </cell>
        </row>
        <row r="1545">
          <cell r="A1545" t="str">
            <v>Y1902-0004</v>
          </cell>
          <cell r="B1545">
            <v>201809</v>
          </cell>
          <cell r="C1545" t="str">
            <v>0100169628</v>
          </cell>
          <cell r="D1545">
            <v>88875</v>
          </cell>
          <cell r="E1545">
            <v>240</v>
          </cell>
          <cell r="F1545">
            <v>43510</v>
          </cell>
          <cell r="G1545" t="str">
            <v>OK</v>
          </cell>
        </row>
        <row r="1546">
          <cell r="A1546" t="str">
            <v>Y1902-0020</v>
          </cell>
          <cell r="B1546">
            <v>201810</v>
          </cell>
          <cell r="C1546" t="str">
            <v>0100174979</v>
          </cell>
          <cell r="D1546">
            <v>88877</v>
          </cell>
          <cell r="E1546">
            <v>552</v>
          </cell>
          <cell r="F1546">
            <v>43510</v>
          </cell>
          <cell r="G1546" t="str">
            <v>OK</v>
          </cell>
        </row>
        <row r="1547">
          <cell r="A1547" t="str">
            <v>Y1902-0021</v>
          </cell>
          <cell r="B1547">
            <v>201810</v>
          </cell>
          <cell r="C1547" t="str">
            <v>0100174980</v>
          </cell>
          <cell r="D1547">
            <v>81229</v>
          </cell>
          <cell r="E1547">
            <v>240</v>
          </cell>
          <cell r="F1547">
            <v>43510</v>
          </cell>
          <cell r="G1547" t="str">
            <v>OK</v>
          </cell>
        </row>
        <row r="1548">
          <cell r="A1548" t="str">
            <v>Y1902-0022</v>
          </cell>
          <cell r="B1548">
            <v>201810</v>
          </cell>
          <cell r="C1548" t="str">
            <v>0100174982</v>
          </cell>
          <cell r="D1548" t="str">
            <v>8J231</v>
          </cell>
          <cell r="E1548">
            <v>792</v>
          </cell>
          <cell r="F1548">
            <v>43510</v>
          </cell>
          <cell r="G1548" t="str">
            <v>OK</v>
          </cell>
        </row>
        <row r="1549">
          <cell r="A1549" t="str">
            <v>Y1902-0023</v>
          </cell>
          <cell r="B1549">
            <v>201810</v>
          </cell>
          <cell r="C1549" t="str">
            <v>0100174992</v>
          </cell>
          <cell r="D1549" t="str">
            <v>664184C</v>
          </cell>
          <cell r="E1549">
            <v>156</v>
          </cell>
          <cell r="F1549">
            <v>43510</v>
          </cell>
          <cell r="G1549" t="str">
            <v>OK</v>
          </cell>
        </row>
        <row r="1550">
          <cell r="A1550" t="str">
            <v>Y1902-0024</v>
          </cell>
          <cell r="B1550">
            <v>201810</v>
          </cell>
          <cell r="C1550" t="str">
            <v>0100174994</v>
          </cell>
          <cell r="D1550">
            <v>88871</v>
          </cell>
          <cell r="E1550">
            <v>612</v>
          </cell>
          <cell r="F1550">
            <v>43510</v>
          </cell>
          <cell r="G1550" t="str">
            <v>OK</v>
          </cell>
        </row>
        <row r="1551">
          <cell r="A1551" t="str">
            <v>Y1902-0025</v>
          </cell>
          <cell r="B1551">
            <v>201810</v>
          </cell>
          <cell r="C1551" t="str">
            <v>0100174996</v>
          </cell>
          <cell r="D1551">
            <v>88875</v>
          </cell>
          <cell r="E1551">
            <v>120</v>
          </cell>
          <cell r="F1551">
            <v>43510</v>
          </cell>
          <cell r="G1551" t="str">
            <v>OK</v>
          </cell>
        </row>
        <row r="1552">
          <cell r="A1552" t="str">
            <v>Y1902-0026</v>
          </cell>
          <cell r="B1552">
            <v>201810</v>
          </cell>
          <cell r="C1552" t="str">
            <v>0100175000</v>
          </cell>
          <cell r="D1552" t="str">
            <v>663599C</v>
          </cell>
          <cell r="E1552">
            <v>336</v>
          </cell>
          <cell r="F1552">
            <v>43510</v>
          </cell>
          <cell r="G1552" t="str">
            <v>OK</v>
          </cell>
        </row>
        <row r="1553">
          <cell r="A1553" t="str">
            <v>Y1902-0027</v>
          </cell>
          <cell r="B1553">
            <v>201810</v>
          </cell>
          <cell r="C1553" t="str">
            <v>0100175010</v>
          </cell>
          <cell r="D1553" t="str">
            <v>3J253C</v>
          </cell>
          <cell r="E1553">
            <v>576</v>
          </cell>
          <cell r="F1553">
            <v>43506</v>
          </cell>
          <cell r="G1553" t="str">
            <v>OK</v>
          </cell>
        </row>
        <row r="1554">
          <cell r="A1554" t="str">
            <v>Y1902-0028</v>
          </cell>
          <cell r="B1554">
            <v>201810</v>
          </cell>
          <cell r="C1554" t="str">
            <v>0100175011</v>
          </cell>
          <cell r="D1554" t="str">
            <v>3J253C</v>
          </cell>
          <cell r="E1554">
            <v>2508</v>
          </cell>
          <cell r="F1554">
            <v>43510</v>
          </cell>
          <cell r="G1554" t="str">
            <v>OK</v>
          </cell>
        </row>
        <row r="1555">
          <cell r="A1555" t="str">
            <v>Y1902-0029</v>
          </cell>
          <cell r="B1555">
            <v>201810</v>
          </cell>
          <cell r="C1555" t="str">
            <v>0100175012</v>
          </cell>
          <cell r="D1555" t="str">
            <v>3J236C</v>
          </cell>
          <cell r="E1555">
            <v>1584</v>
          </cell>
          <cell r="F1555">
            <v>43510</v>
          </cell>
          <cell r="G1555" t="str">
            <v>OK</v>
          </cell>
        </row>
        <row r="1556">
          <cell r="A1556" t="str">
            <v>Y1902-0030</v>
          </cell>
          <cell r="B1556">
            <v>201810</v>
          </cell>
          <cell r="C1556" t="str">
            <v>0100175014</v>
          </cell>
          <cell r="D1556" t="str">
            <v>3J232C</v>
          </cell>
          <cell r="E1556">
            <v>1692</v>
          </cell>
          <cell r="F1556">
            <v>43510</v>
          </cell>
          <cell r="G1556" t="str">
            <v>OK</v>
          </cell>
        </row>
        <row r="1557">
          <cell r="A1557" t="str">
            <v>Y1902-0032</v>
          </cell>
          <cell r="B1557">
            <v>201810</v>
          </cell>
          <cell r="C1557" t="str">
            <v>0100175016</v>
          </cell>
          <cell r="D1557" t="str">
            <v>M8437C</v>
          </cell>
          <cell r="E1557">
            <v>2736</v>
          </cell>
          <cell r="F1557">
            <v>43510</v>
          </cell>
          <cell r="G1557" t="str">
            <v>OK</v>
          </cell>
        </row>
        <row r="1558">
          <cell r="A1558" t="str">
            <v>Y1902-0033</v>
          </cell>
          <cell r="B1558">
            <v>201810</v>
          </cell>
          <cell r="C1558" t="str">
            <v>0100175018</v>
          </cell>
          <cell r="D1558" t="str">
            <v>3J256C</v>
          </cell>
          <cell r="E1558">
            <v>2940</v>
          </cell>
          <cell r="F1558">
            <v>43510</v>
          </cell>
          <cell r="G1558" t="str">
            <v>OK</v>
          </cell>
        </row>
        <row r="1559">
          <cell r="A1559" t="str">
            <v>Y1902-0037</v>
          </cell>
          <cell r="B1559">
            <v>201810</v>
          </cell>
          <cell r="C1559" t="str">
            <v>0100175023</v>
          </cell>
          <cell r="D1559" t="str">
            <v>7J253C</v>
          </cell>
          <cell r="E1559">
            <v>420</v>
          </cell>
          <cell r="F1559">
            <v>43506</v>
          </cell>
          <cell r="G1559" t="str">
            <v>OK</v>
          </cell>
        </row>
        <row r="1560">
          <cell r="A1560" t="str">
            <v>Y1902-0038</v>
          </cell>
          <cell r="B1560">
            <v>201810</v>
          </cell>
          <cell r="C1560" t="str">
            <v>0100175024</v>
          </cell>
          <cell r="D1560" t="str">
            <v>7J253C</v>
          </cell>
          <cell r="E1560">
            <v>1020</v>
          </cell>
          <cell r="F1560">
            <v>43510</v>
          </cell>
          <cell r="G1560" t="str">
            <v>OK</v>
          </cell>
        </row>
        <row r="1561">
          <cell r="A1561" t="str">
            <v>Y1902-0039</v>
          </cell>
          <cell r="B1561">
            <v>201810</v>
          </cell>
          <cell r="C1561" t="str">
            <v>0100175026</v>
          </cell>
          <cell r="D1561">
            <v>88871</v>
          </cell>
          <cell r="E1561">
            <v>300</v>
          </cell>
          <cell r="F1561">
            <v>43506</v>
          </cell>
          <cell r="G1561" t="str">
            <v>OK</v>
          </cell>
        </row>
        <row r="1562">
          <cell r="A1562" t="str">
            <v>Y1902-0045</v>
          </cell>
          <cell r="B1562">
            <v>201810</v>
          </cell>
          <cell r="C1562" t="str">
            <v>0100175032</v>
          </cell>
          <cell r="D1562" t="str">
            <v>M3494</v>
          </cell>
          <cell r="E1562">
            <v>2772</v>
          </cell>
          <cell r="F1562">
            <v>43510</v>
          </cell>
          <cell r="G1562" t="str">
            <v>OK</v>
          </cell>
        </row>
        <row r="1563">
          <cell r="A1563" t="str">
            <v>Y1902-0052</v>
          </cell>
          <cell r="B1563">
            <v>201810</v>
          </cell>
          <cell r="C1563" t="str">
            <v>0100175039</v>
          </cell>
          <cell r="D1563" t="str">
            <v>162884C</v>
          </cell>
          <cell r="E1563">
            <v>492</v>
          </cell>
          <cell r="F1563">
            <v>43513</v>
          </cell>
          <cell r="G1563" t="str">
            <v>OK</v>
          </cell>
        </row>
        <row r="1564">
          <cell r="A1564" t="str">
            <v>Y1902-0056</v>
          </cell>
          <cell r="B1564">
            <v>201810</v>
          </cell>
          <cell r="C1564" t="str">
            <v>0100175043</v>
          </cell>
          <cell r="D1564" t="str">
            <v>364169C</v>
          </cell>
          <cell r="E1564">
            <v>168</v>
          </cell>
          <cell r="F1564">
            <v>43513</v>
          </cell>
          <cell r="G1564" t="str">
            <v>OK</v>
          </cell>
        </row>
        <row r="1565">
          <cell r="A1565" t="str">
            <v>Y1902-0061</v>
          </cell>
          <cell r="B1565">
            <v>201810</v>
          </cell>
          <cell r="C1565" t="str">
            <v>0100175048</v>
          </cell>
          <cell r="D1565" t="str">
            <v>564151C</v>
          </cell>
          <cell r="E1565">
            <v>744</v>
          </cell>
          <cell r="F1565">
            <v>43513</v>
          </cell>
          <cell r="G1565" t="str">
            <v>OK</v>
          </cell>
        </row>
        <row r="1566">
          <cell r="A1566" t="str">
            <v>Y1902-0064</v>
          </cell>
          <cell r="B1566">
            <v>201810</v>
          </cell>
          <cell r="C1566" t="str">
            <v>0100175051</v>
          </cell>
          <cell r="D1566" t="str">
            <v>564154C</v>
          </cell>
          <cell r="E1566">
            <v>576</v>
          </cell>
          <cell r="F1566">
            <v>43513</v>
          </cell>
          <cell r="G1566" t="str">
            <v>OK</v>
          </cell>
        </row>
        <row r="1567">
          <cell r="A1567" t="str">
            <v>Y1902-0071</v>
          </cell>
          <cell r="B1567">
            <v>201810</v>
          </cell>
          <cell r="C1567" t="str">
            <v>0100175062</v>
          </cell>
          <cell r="D1567" t="str">
            <v>164217C</v>
          </cell>
          <cell r="E1567">
            <v>324</v>
          </cell>
          <cell r="F1567">
            <v>43513</v>
          </cell>
          <cell r="G1567" t="str">
            <v>OK</v>
          </cell>
        </row>
        <row r="1568">
          <cell r="A1568" t="str">
            <v>Y1902-0072</v>
          </cell>
          <cell r="B1568">
            <v>201810</v>
          </cell>
          <cell r="C1568" t="str">
            <v>0100175063</v>
          </cell>
          <cell r="D1568" t="str">
            <v>164218C</v>
          </cell>
          <cell r="E1568">
            <v>300</v>
          </cell>
          <cell r="F1568">
            <v>43513</v>
          </cell>
          <cell r="G1568" t="str">
            <v>OK</v>
          </cell>
        </row>
        <row r="1569">
          <cell r="A1569" t="str">
            <v>Y1902-0073</v>
          </cell>
          <cell r="B1569">
            <v>201810</v>
          </cell>
          <cell r="C1569" t="str">
            <v>0100175064</v>
          </cell>
          <cell r="D1569" t="str">
            <v>164220C</v>
          </cell>
          <cell r="E1569">
            <v>372</v>
          </cell>
          <cell r="F1569">
            <v>43513</v>
          </cell>
          <cell r="G1569" t="str">
            <v>OK</v>
          </cell>
        </row>
        <row r="1570">
          <cell r="A1570" t="str">
            <v>Y1902-0075</v>
          </cell>
          <cell r="B1570">
            <v>201810</v>
          </cell>
          <cell r="C1570" t="str">
            <v>0100175066</v>
          </cell>
          <cell r="D1570" t="str">
            <v>164359C</v>
          </cell>
          <cell r="E1570">
            <v>624</v>
          </cell>
          <cell r="F1570">
            <v>43513</v>
          </cell>
          <cell r="G1570" t="str">
            <v>OK</v>
          </cell>
        </row>
        <row r="1571">
          <cell r="A1571" t="str">
            <v>Y1902-0087</v>
          </cell>
          <cell r="B1571">
            <v>201810</v>
          </cell>
          <cell r="C1571" t="str">
            <v>0100175079</v>
          </cell>
          <cell r="D1571" t="str">
            <v>160472C</v>
          </cell>
          <cell r="E1571">
            <v>3060</v>
          </cell>
          <cell r="F1571">
            <v>43513</v>
          </cell>
          <cell r="G1571" t="str">
            <v>OK</v>
          </cell>
        </row>
        <row r="1572">
          <cell r="A1572" t="str">
            <v>Y1902-0088</v>
          </cell>
          <cell r="B1572">
            <v>201810</v>
          </cell>
          <cell r="C1572" t="str">
            <v>0100175080</v>
          </cell>
          <cell r="D1572" t="str">
            <v>160471C</v>
          </cell>
          <cell r="E1572">
            <v>3072</v>
          </cell>
          <cell r="F1572">
            <v>43513</v>
          </cell>
          <cell r="G1572" t="str">
            <v>OK</v>
          </cell>
        </row>
        <row r="1573">
          <cell r="A1573" t="str">
            <v>Y1902-0091</v>
          </cell>
          <cell r="B1573">
            <v>201810</v>
          </cell>
          <cell r="C1573" t="str">
            <v>0100175101</v>
          </cell>
          <cell r="D1573" t="str">
            <v>3J253C</v>
          </cell>
          <cell r="E1573">
            <v>2100</v>
          </cell>
          <cell r="F1573">
            <v>43517</v>
          </cell>
          <cell r="G1573" t="str">
            <v>OK</v>
          </cell>
        </row>
        <row r="1574">
          <cell r="A1574" t="str">
            <v>Y1902-0092</v>
          </cell>
          <cell r="B1574">
            <v>201810</v>
          </cell>
          <cell r="C1574" t="str">
            <v>0100175104</v>
          </cell>
          <cell r="D1574" t="str">
            <v>3J256C</v>
          </cell>
          <cell r="E1574">
            <v>7152</v>
          </cell>
          <cell r="F1574">
            <v>43517</v>
          </cell>
          <cell r="G1574" t="str">
            <v>OK</v>
          </cell>
        </row>
        <row r="1575">
          <cell r="A1575" t="str">
            <v>Y1902-0093</v>
          </cell>
          <cell r="B1575">
            <v>201810</v>
          </cell>
          <cell r="C1575" t="str">
            <v>0100175106</v>
          </cell>
          <cell r="D1575" t="str">
            <v>M7650C</v>
          </cell>
          <cell r="E1575">
            <v>19560</v>
          </cell>
          <cell r="F1575">
            <v>43517</v>
          </cell>
          <cell r="G1575" t="str">
            <v>OK</v>
          </cell>
        </row>
        <row r="1576">
          <cell r="A1576" t="str">
            <v>Y1902-0094</v>
          </cell>
          <cell r="B1576">
            <v>201810</v>
          </cell>
          <cell r="C1576" t="str">
            <v>0100175107</v>
          </cell>
          <cell r="D1576" t="str">
            <v>M7652C</v>
          </cell>
          <cell r="E1576">
            <v>18828</v>
          </cell>
          <cell r="F1576">
            <v>43517</v>
          </cell>
          <cell r="G1576" t="str">
            <v>OK</v>
          </cell>
        </row>
        <row r="1577">
          <cell r="A1577" t="str">
            <v>Y1902-0096</v>
          </cell>
          <cell r="B1577">
            <v>201810</v>
          </cell>
          <cell r="C1577" t="str">
            <v>0100175112</v>
          </cell>
          <cell r="D1577" t="str">
            <v>155065C</v>
          </cell>
          <cell r="E1577">
            <v>1404</v>
          </cell>
          <cell r="F1577">
            <v>43510</v>
          </cell>
          <cell r="G1577" t="str">
            <v>OK</v>
          </cell>
        </row>
        <row r="1578">
          <cell r="A1578" t="str">
            <v>Y1902-0098</v>
          </cell>
          <cell r="B1578">
            <v>201810</v>
          </cell>
          <cell r="C1578" t="str">
            <v>0100175119</v>
          </cell>
          <cell r="D1578" t="str">
            <v>763527C</v>
          </cell>
          <cell r="E1578">
            <v>1800</v>
          </cell>
          <cell r="F1578">
            <v>43507</v>
          </cell>
          <cell r="G1578" t="str">
            <v>OK</v>
          </cell>
        </row>
        <row r="1579">
          <cell r="A1579" t="str">
            <v>Y1902-0099</v>
          </cell>
          <cell r="B1579">
            <v>201810</v>
          </cell>
          <cell r="C1579" t="str">
            <v>0100175122</v>
          </cell>
          <cell r="D1579" t="str">
            <v>361817C</v>
          </cell>
          <cell r="E1579">
            <v>3240</v>
          </cell>
          <cell r="F1579">
            <v>43511</v>
          </cell>
          <cell r="G1579" t="str">
            <v>OK</v>
          </cell>
        </row>
        <row r="1580">
          <cell r="A1580" t="str">
            <v>Y1902-0100</v>
          </cell>
          <cell r="B1580">
            <v>201810</v>
          </cell>
          <cell r="C1580" t="str">
            <v>0100175123</v>
          </cell>
          <cell r="D1580" t="str">
            <v>361818C</v>
          </cell>
          <cell r="E1580">
            <v>1680</v>
          </cell>
          <cell r="F1580">
            <v>43511</v>
          </cell>
          <cell r="G1580" t="str">
            <v>OK</v>
          </cell>
        </row>
        <row r="1581">
          <cell r="A1581" t="str">
            <v>Y1902-0101</v>
          </cell>
          <cell r="B1581">
            <v>201810</v>
          </cell>
          <cell r="C1581" t="str">
            <v>0100175126</v>
          </cell>
          <cell r="D1581" t="str">
            <v>364009C</v>
          </cell>
          <cell r="E1581">
            <v>1800</v>
          </cell>
          <cell r="F1581">
            <v>43507</v>
          </cell>
          <cell r="G1581" t="str">
            <v>OK</v>
          </cell>
        </row>
        <row r="1582">
          <cell r="A1582" t="str">
            <v>Y1902-0102</v>
          </cell>
          <cell r="B1582">
            <v>201810</v>
          </cell>
          <cell r="C1582" t="str">
            <v>0100175127</v>
          </cell>
          <cell r="D1582" t="str">
            <v>364169C</v>
          </cell>
          <cell r="E1582">
            <v>516</v>
          </cell>
          <cell r="F1582">
            <v>43508</v>
          </cell>
          <cell r="G1582" t="str">
            <v>OK</v>
          </cell>
        </row>
        <row r="1583">
          <cell r="A1583" t="str">
            <v>Y1902-0104</v>
          </cell>
          <cell r="B1583">
            <v>201810</v>
          </cell>
          <cell r="C1583" t="str">
            <v>0100175130</v>
          </cell>
          <cell r="D1583" t="str">
            <v>764172C</v>
          </cell>
          <cell r="E1583">
            <v>636</v>
          </cell>
          <cell r="F1583">
            <v>43508</v>
          </cell>
          <cell r="G1583" t="str">
            <v>OK</v>
          </cell>
        </row>
        <row r="1584">
          <cell r="A1584" t="str">
            <v>Y1902-0113</v>
          </cell>
          <cell r="B1584">
            <v>201810</v>
          </cell>
          <cell r="C1584" t="str">
            <v>0100175142</v>
          </cell>
          <cell r="D1584" t="str">
            <v>764437C</v>
          </cell>
          <cell r="E1584">
            <v>3420</v>
          </cell>
          <cell r="F1584">
            <v>43508</v>
          </cell>
          <cell r="G1584" t="str">
            <v>OK</v>
          </cell>
        </row>
        <row r="1585">
          <cell r="A1585" t="str">
            <v>Y1902-0114</v>
          </cell>
          <cell r="B1585">
            <v>201810</v>
          </cell>
          <cell r="C1585" t="str">
            <v>0100175143</v>
          </cell>
          <cell r="D1585" t="str">
            <v>764438C</v>
          </cell>
          <cell r="E1585">
            <v>1224</v>
          </cell>
          <cell r="F1585">
            <v>43507</v>
          </cell>
          <cell r="G1585" t="str">
            <v>OK</v>
          </cell>
        </row>
        <row r="1586">
          <cell r="A1586" t="str">
            <v>Y1902-0115</v>
          </cell>
          <cell r="B1586">
            <v>201810</v>
          </cell>
          <cell r="C1586" t="str">
            <v>0100175144</v>
          </cell>
          <cell r="D1586" t="str">
            <v>764439C</v>
          </cell>
          <cell r="E1586">
            <v>2364</v>
          </cell>
          <cell r="F1586">
            <v>43508</v>
          </cell>
          <cell r="G1586" t="str">
            <v>OK</v>
          </cell>
        </row>
        <row r="1587">
          <cell r="A1587" t="str">
            <v>Y1902-0116</v>
          </cell>
          <cell r="B1587">
            <v>201810</v>
          </cell>
          <cell r="C1587" t="str">
            <v>0100175145</v>
          </cell>
          <cell r="D1587" t="str">
            <v>764861C</v>
          </cell>
          <cell r="E1587">
            <v>1800</v>
          </cell>
          <cell r="F1587">
            <v>43507</v>
          </cell>
          <cell r="G1587" t="str">
            <v>OK</v>
          </cell>
        </row>
        <row r="1588">
          <cell r="A1588" t="str">
            <v>Y1902-0117</v>
          </cell>
          <cell r="B1588">
            <v>201810</v>
          </cell>
          <cell r="C1588" t="str">
            <v>0100175146</v>
          </cell>
          <cell r="D1588" t="str">
            <v>M3494</v>
          </cell>
          <cell r="E1588">
            <v>1800</v>
          </cell>
          <cell r="F1588">
            <v>43508</v>
          </cell>
          <cell r="G1588" t="str">
            <v>OK</v>
          </cell>
        </row>
        <row r="1589">
          <cell r="A1589" t="str">
            <v>Y1902-0118</v>
          </cell>
          <cell r="B1589">
            <v>201810</v>
          </cell>
          <cell r="C1589" t="str">
            <v>0100175147</v>
          </cell>
          <cell r="D1589" t="str">
            <v>163376C</v>
          </cell>
          <cell r="E1589">
            <v>954</v>
          </cell>
          <cell r="F1589">
            <v>43508</v>
          </cell>
          <cell r="G1589" t="str">
            <v>OK</v>
          </cell>
        </row>
        <row r="1590">
          <cell r="A1590" t="str">
            <v>Y1902-0119</v>
          </cell>
          <cell r="B1590">
            <v>201810</v>
          </cell>
          <cell r="C1590" t="str">
            <v>0100175148</v>
          </cell>
          <cell r="D1590" t="str">
            <v>764862C</v>
          </cell>
          <cell r="E1590">
            <v>1728</v>
          </cell>
          <cell r="F1590">
            <v>43507</v>
          </cell>
          <cell r="G1590" t="str">
            <v>OK</v>
          </cell>
        </row>
        <row r="1591">
          <cell r="A1591" t="str">
            <v>Y1902-0126</v>
          </cell>
          <cell r="B1591">
            <v>201810</v>
          </cell>
          <cell r="C1591" t="str">
            <v>0100175160</v>
          </cell>
          <cell r="D1591" t="str">
            <v>664434C</v>
          </cell>
          <cell r="E1591">
            <v>5124</v>
          </cell>
          <cell r="F1591">
            <v>43508</v>
          </cell>
          <cell r="G1591" t="str">
            <v>OK</v>
          </cell>
        </row>
        <row r="1592">
          <cell r="A1592" t="str">
            <v>Y1902-0127</v>
          </cell>
          <cell r="B1592">
            <v>201810</v>
          </cell>
          <cell r="C1592" t="str">
            <v>0100175161</v>
          </cell>
          <cell r="D1592" t="str">
            <v>664436C</v>
          </cell>
          <cell r="E1592">
            <v>1764</v>
          </cell>
          <cell r="F1592">
            <v>43508</v>
          </cell>
          <cell r="G1592" t="str">
            <v>OK</v>
          </cell>
        </row>
        <row r="1593">
          <cell r="A1593" t="str">
            <v>Y1902-0128</v>
          </cell>
          <cell r="B1593">
            <v>201810</v>
          </cell>
          <cell r="C1593" t="str">
            <v>0100175163</v>
          </cell>
          <cell r="D1593" t="str">
            <v>664859C</v>
          </cell>
          <cell r="E1593">
            <v>1800</v>
          </cell>
          <cell r="F1593">
            <v>43507</v>
          </cell>
          <cell r="G1593" t="str">
            <v>OK</v>
          </cell>
        </row>
        <row r="1594">
          <cell r="A1594" t="str">
            <v>Y1902-0129</v>
          </cell>
          <cell r="B1594">
            <v>201810</v>
          </cell>
          <cell r="C1594" t="str">
            <v>0100175164</v>
          </cell>
          <cell r="D1594" t="str">
            <v>664860C</v>
          </cell>
          <cell r="E1594">
            <v>1356</v>
          </cell>
          <cell r="F1594">
            <v>43507</v>
          </cell>
          <cell r="G1594" t="str">
            <v>OK</v>
          </cell>
        </row>
        <row r="1595">
          <cell r="A1595" t="str">
            <v>Y1902-0130</v>
          </cell>
          <cell r="B1595">
            <v>201810</v>
          </cell>
          <cell r="C1595" t="str">
            <v>0100175165</v>
          </cell>
          <cell r="D1595" t="str">
            <v>7J253C</v>
          </cell>
          <cell r="E1595">
            <v>840</v>
          </cell>
          <cell r="F1595">
            <v>43517</v>
          </cell>
          <cell r="G1595" t="str">
            <v>OK</v>
          </cell>
        </row>
        <row r="1596">
          <cell r="A1596" t="str">
            <v>Y1902-0131</v>
          </cell>
          <cell r="B1596">
            <v>201810</v>
          </cell>
          <cell r="C1596" t="str">
            <v>0100175167</v>
          </cell>
          <cell r="D1596" t="str">
            <v>7J256C</v>
          </cell>
          <cell r="E1596">
            <v>4452</v>
          </cell>
          <cell r="F1596">
            <v>43517</v>
          </cell>
          <cell r="G1596" t="str">
            <v>OK</v>
          </cell>
        </row>
        <row r="1597">
          <cell r="A1597" t="str">
            <v>Y1902-0132</v>
          </cell>
          <cell r="B1597">
            <v>201810</v>
          </cell>
          <cell r="C1597" t="str">
            <v>0100175169</v>
          </cell>
          <cell r="D1597" t="str">
            <v>164058C</v>
          </cell>
          <cell r="E1597">
            <v>4668</v>
          </cell>
          <cell r="F1597">
            <v>43510</v>
          </cell>
          <cell r="G1597" t="str">
            <v>OK</v>
          </cell>
        </row>
        <row r="1598">
          <cell r="A1598" t="str">
            <v>Y1902-0133</v>
          </cell>
          <cell r="B1598">
            <v>201810</v>
          </cell>
          <cell r="C1598" t="str">
            <v>0100175170</v>
          </cell>
          <cell r="D1598" t="str">
            <v>164059C</v>
          </cell>
          <cell r="E1598">
            <v>6036</v>
          </cell>
          <cell r="F1598">
            <v>43508</v>
          </cell>
          <cell r="G1598" t="str">
            <v>OK</v>
          </cell>
        </row>
        <row r="1599">
          <cell r="A1599" t="str">
            <v>Y1902-0134</v>
          </cell>
          <cell r="B1599">
            <v>201810</v>
          </cell>
          <cell r="C1599" t="str">
            <v>0100175171</v>
          </cell>
          <cell r="D1599" t="str">
            <v>164060C</v>
          </cell>
          <cell r="E1599">
            <v>276</v>
          </cell>
          <cell r="F1599">
            <v>43510</v>
          </cell>
          <cell r="G1599" t="str">
            <v>OK</v>
          </cell>
        </row>
        <row r="1600">
          <cell r="A1600" t="str">
            <v>Y1902-0135</v>
          </cell>
          <cell r="B1600">
            <v>201810</v>
          </cell>
          <cell r="C1600" t="str">
            <v>0100175172</v>
          </cell>
          <cell r="D1600" t="str">
            <v>164101C</v>
          </cell>
          <cell r="E1600">
            <v>264</v>
          </cell>
          <cell r="F1600">
            <v>43508</v>
          </cell>
          <cell r="G1600" t="str">
            <v>OK</v>
          </cell>
        </row>
        <row r="1601">
          <cell r="A1601" t="str">
            <v>Y1902-0136</v>
          </cell>
          <cell r="B1601">
            <v>201810</v>
          </cell>
          <cell r="C1601" t="str">
            <v>0100175173</v>
          </cell>
          <cell r="D1601" t="str">
            <v>164103C</v>
          </cell>
          <cell r="E1601">
            <v>684</v>
          </cell>
          <cell r="F1601">
            <v>43507</v>
          </cell>
          <cell r="G1601" t="str">
            <v>OK</v>
          </cell>
        </row>
        <row r="1602">
          <cell r="A1602" t="str">
            <v>Y1902-0141</v>
          </cell>
          <cell r="B1602">
            <v>201810</v>
          </cell>
          <cell r="C1602" t="str">
            <v>0100175178</v>
          </cell>
          <cell r="D1602" t="str">
            <v>164281C</v>
          </cell>
          <cell r="E1602">
            <v>180</v>
          </cell>
          <cell r="F1602">
            <v>43509</v>
          </cell>
          <cell r="G1602" t="str">
            <v>OK</v>
          </cell>
        </row>
        <row r="1603">
          <cell r="A1603" t="str">
            <v>Y1902-0149</v>
          </cell>
          <cell r="B1603">
            <v>201810</v>
          </cell>
          <cell r="C1603" t="str">
            <v>0100175188</v>
          </cell>
          <cell r="D1603" t="str">
            <v>164363C</v>
          </cell>
          <cell r="E1603">
            <v>1590</v>
          </cell>
          <cell r="F1603">
            <v>43507</v>
          </cell>
          <cell r="G1603" t="str">
            <v>OK</v>
          </cell>
        </row>
        <row r="1604">
          <cell r="A1604" t="str">
            <v>Y1902-0152</v>
          </cell>
          <cell r="B1604">
            <v>201810</v>
          </cell>
          <cell r="C1604" t="str">
            <v>0100175191</v>
          </cell>
          <cell r="D1604" t="str">
            <v>164392C</v>
          </cell>
          <cell r="E1604">
            <v>876</v>
          </cell>
          <cell r="F1604">
            <v>43508</v>
          </cell>
          <cell r="G1604" t="str">
            <v>OK</v>
          </cell>
        </row>
        <row r="1605">
          <cell r="A1605" t="str">
            <v>Y1902-0154</v>
          </cell>
          <cell r="B1605">
            <v>201810</v>
          </cell>
          <cell r="C1605" t="str">
            <v>0100175195</v>
          </cell>
          <cell r="D1605" t="str">
            <v>565548C</v>
          </cell>
          <cell r="E1605">
            <v>893</v>
          </cell>
          <cell r="F1605">
            <v>43521</v>
          </cell>
          <cell r="G1605" t="str">
            <v>OK</v>
          </cell>
        </row>
        <row r="1606">
          <cell r="A1606" t="str">
            <v>Y1902-0161</v>
          </cell>
          <cell r="B1606">
            <v>201810</v>
          </cell>
          <cell r="C1606" t="str">
            <v>0100175203</v>
          </cell>
          <cell r="D1606" t="str">
            <v>M7652C</v>
          </cell>
          <cell r="E1606">
            <v>8508</v>
          </cell>
          <cell r="F1606">
            <v>43510</v>
          </cell>
          <cell r="G1606" t="str">
            <v>OK</v>
          </cell>
        </row>
        <row r="1607">
          <cell r="A1607" t="str">
            <v>Y1902-0162</v>
          </cell>
          <cell r="B1607">
            <v>201810</v>
          </cell>
          <cell r="C1607" t="str">
            <v>0100175204</v>
          </cell>
          <cell r="D1607" t="str">
            <v>M7650C</v>
          </cell>
          <cell r="E1607">
            <v>408</v>
          </cell>
          <cell r="F1607">
            <v>43510</v>
          </cell>
          <cell r="G1607" t="str">
            <v>OK</v>
          </cell>
        </row>
        <row r="1608">
          <cell r="A1608" t="str">
            <v>Y1902-0163</v>
          </cell>
          <cell r="B1608">
            <v>201810</v>
          </cell>
          <cell r="C1608" t="str">
            <v>0100175205</v>
          </cell>
          <cell r="D1608" t="str">
            <v>M7652C</v>
          </cell>
          <cell r="E1608">
            <v>756</v>
          </cell>
          <cell r="F1608">
            <v>43510</v>
          </cell>
          <cell r="G1608" t="str">
            <v>OK</v>
          </cell>
        </row>
        <row r="1609">
          <cell r="A1609" t="str">
            <v>Y1902-0164</v>
          </cell>
          <cell r="B1609">
            <v>201810</v>
          </cell>
          <cell r="C1609" t="str">
            <v>0100175206</v>
          </cell>
          <cell r="D1609" t="str">
            <v>M7652C</v>
          </cell>
          <cell r="E1609">
            <v>516</v>
          </cell>
          <cell r="F1609">
            <v>43510</v>
          </cell>
          <cell r="G1609" t="str">
            <v>OK</v>
          </cell>
        </row>
        <row r="1610">
          <cell r="A1610" t="str">
            <v>Y1902-0165</v>
          </cell>
          <cell r="B1610">
            <v>201810</v>
          </cell>
          <cell r="C1610" t="str">
            <v>0100175207</v>
          </cell>
          <cell r="D1610" t="str">
            <v>M9697C</v>
          </cell>
          <cell r="E1610">
            <v>396</v>
          </cell>
          <cell r="F1610">
            <v>43510</v>
          </cell>
          <cell r="G1610" t="str">
            <v>OK</v>
          </cell>
        </row>
        <row r="1611">
          <cell r="A1611" t="str">
            <v>Y1902-0166</v>
          </cell>
          <cell r="B1611">
            <v>201810</v>
          </cell>
          <cell r="C1611" t="str">
            <v>0100175208</v>
          </cell>
          <cell r="D1611" t="str">
            <v>M3310C</v>
          </cell>
          <cell r="E1611">
            <v>432</v>
          </cell>
          <cell r="F1611">
            <v>43510</v>
          </cell>
          <cell r="G1611" t="str">
            <v>OK</v>
          </cell>
        </row>
        <row r="1612">
          <cell r="A1612" t="str">
            <v>Y1902-0167</v>
          </cell>
          <cell r="B1612">
            <v>201810</v>
          </cell>
          <cell r="C1612" t="str">
            <v>0100175209</v>
          </cell>
          <cell r="D1612" t="str">
            <v>M7650C</v>
          </cell>
          <cell r="E1612">
            <v>420</v>
          </cell>
          <cell r="F1612">
            <v>43510</v>
          </cell>
          <cell r="G1612" t="str">
            <v>OK</v>
          </cell>
        </row>
        <row r="1613">
          <cell r="A1613" t="str">
            <v>Y1902-0168</v>
          </cell>
          <cell r="B1613">
            <v>201810</v>
          </cell>
          <cell r="C1613" t="str">
            <v>0100175210</v>
          </cell>
          <cell r="D1613" t="str">
            <v>M7652C</v>
          </cell>
          <cell r="E1613">
            <v>516</v>
          </cell>
          <cell r="F1613">
            <v>43510</v>
          </cell>
          <cell r="G1613" t="str">
            <v>OK</v>
          </cell>
        </row>
        <row r="1614">
          <cell r="A1614" t="str">
            <v>Y1902-0169</v>
          </cell>
          <cell r="B1614">
            <v>201810</v>
          </cell>
          <cell r="C1614" t="str">
            <v>0100175211</v>
          </cell>
          <cell r="D1614" t="str">
            <v>M7650C</v>
          </cell>
          <cell r="E1614">
            <v>420</v>
          </cell>
          <cell r="F1614">
            <v>43510</v>
          </cell>
          <cell r="G1614" t="str">
            <v>OK</v>
          </cell>
        </row>
        <row r="1615">
          <cell r="A1615" t="str">
            <v>Y1902-0170</v>
          </cell>
          <cell r="B1615">
            <v>201810</v>
          </cell>
          <cell r="C1615" t="str">
            <v>0100175212</v>
          </cell>
          <cell r="D1615" t="str">
            <v>M7652C</v>
          </cell>
          <cell r="E1615">
            <v>576</v>
          </cell>
          <cell r="F1615">
            <v>43510</v>
          </cell>
          <cell r="G1615" t="str">
            <v>OK</v>
          </cell>
        </row>
        <row r="1616">
          <cell r="A1616" t="str">
            <v>Y1902-0171</v>
          </cell>
          <cell r="B1616">
            <v>201810</v>
          </cell>
          <cell r="C1616" t="str">
            <v>0100175213</v>
          </cell>
          <cell r="D1616" t="str">
            <v>M7650C</v>
          </cell>
          <cell r="E1616">
            <v>420</v>
          </cell>
          <cell r="F1616">
            <v>43510</v>
          </cell>
          <cell r="G1616" t="str">
            <v>OK</v>
          </cell>
        </row>
        <row r="1617">
          <cell r="A1617" t="str">
            <v>Y1902-0172</v>
          </cell>
          <cell r="B1617">
            <v>201810</v>
          </cell>
          <cell r="C1617" t="str">
            <v>0100175214</v>
          </cell>
          <cell r="D1617" t="str">
            <v>M7652C</v>
          </cell>
          <cell r="E1617">
            <v>720</v>
          </cell>
          <cell r="F1617">
            <v>43510</v>
          </cell>
          <cell r="G1617" t="str">
            <v>OK</v>
          </cell>
        </row>
        <row r="1618">
          <cell r="A1618" t="str">
            <v>Y1902-0173</v>
          </cell>
          <cell r="B1618">
            <v>201810</v>
          </cell>
          <cell r="C1618" t="str">
            <v>0100175215</v>
          </cell>
          <cell r="D1618" t="str">
            <v>M7650C</v>
          </cell>
          <cell r="E1618">
            <v>1008</v>
          </cell>
          <cell r="F1618">
            <v>43510</v>
          </cell>
          <cell r="G1618" t="str">
            <v>OK</v>
          </cell>
        </row>
        <row r="1619">
          <cell r="A1619" t="str">
            <v>Y1902-0174</v>
          </cell>
          <cell r="B1619">
            <v>201810</v>
          </cell>
          <cell r="C1619" t="str">
            <v>0100175216</v>
          </cell>
          <cell r="D1619" t="str">
            <v>M7652C</v>
          </cell>
          <cell r="E1619">
            <v>5004</v>
          </cell>
          <cell r="F1619">
            <v>43510</v>
          </cell>
          <cell r="G1619" t="str">
            <v>OK</v>
          </cell>
        </row>
        <row r="1620">
          <cell r="A1620" t="str">
            <v>Y1902-0175</v>
          </cell>
          <cell r="B1620">
            <v>201810</v>
          </cell>
          <cell r="C1620" t="str">
            <v>0100175217</v>
          </cell>
          <cell r="D1620" t="str">
            <v>M7652C</v>
          </cell>
          <cell r="E1620">
            <v>5004</v>
          </cell>
          <cell r="F1620">
            <v>43510</v>
          </cell>
          <cell r="G1620" t="str">
            <v>OK</v>
          </cell>
        </row>
        <row r="1621">
          <cell r="A1621" t="str">
            <v>Y1902-0176</v>
          </cell>
          <cell r="B1621">
            <v>201810</v>
          </cell>
          <cell r="C1621" t="str">
            <v>0100175218</v>
          </cell>
          <cell r="D1621" t="str">
            <v>M7652C</v>
          </cell>
          <cell r="E1621">
            <v>5004</v>
          </cell>
          <cell r="F1621">
            <v>43510</v>
          </cell>
          <cell r="G1621" t="str">
            <v>OK</v>
          </cell>
        </row>
        <row r="1622">
          <cell r="A1622" t="str">
            <v>Y1902-0177</v>
          </cell>
          <cell r="B1622">
            <v>201810</v>
          </cell>
          <cell r="C1622" t="str">
            <v>0100175219</v>
          </cell>
          <cell r="D1622" t="str">
            <v>155065C</v>
          </cell>
          <cell r="E1622">
            <v>3012</v>
          </cell>
          <cell r="F1622">
            <v>43510</v>
          </cell>
          <cell r="G1622" t="str">
            <v>OK</v>
          </cell>
        </row>
        <row r="1623">
          <cell r="A1623" t="str">
            <v>Y1902-0178</v>
          </cell>
          <cell r="B1623">
            <v>201810</v>
          </cell>
          <cell r="C1623" t="str">
            <v>0100175220</v>
          </cell>
          <cell r="D1623" t="str">
            <v>155064C</v>
          </cell>
          <cell r="E1623">
            <v>576</v>
          </cell>
          <cell r="F1623">
            <v>43510</v>
          </cell>
          <cell r="G1623" t="str">
            <v>OK</v>
          </cell>
        </row>
        <row r="1624">
          <cell r="A1624" t="str">
            <v>Y1902-0179</v>
          </cell>
          <cell r="B1624">
            <v>201810</v>
          </cell>
          <cell r="C1624" t="str">
            <v>0100175221</v>
          </cell>
          <cell r="D1624" t="str">
            <v>155065C</v>
          </cell>
          <cell r="E1624">
            <v>960</v>
          </cell>
          <cell r="F1624">
            <v>43510</v>
          </cell>
          <cell r="G1624" t="str">
            <v>OK</v>
          </cell>
        </row>
        <row r="1625">
          <cell r="A1625" t="str">
            <v>Y1902-0180</v>
          </cell>
          <cell r="B1625">
            <v>201810</v>
          </cell>
          <cell r="C1625" t="str">
            <v>0100175222</v>
          </cell>
          <cell r="D1625" t="str">
            <v>155064C</v>
          </cell>
          <cell r="E1625">
            <v>552</v>
          </cell>
          <cell r="F1625">
            <v>43510</v>
          </cell>
          <cell r="G1625" t="str">
            <v>OK</v>
          </cell>
        </row>
        <row r="1626">
          <cell r="A1626" t="str">
            <v>Y1902-0181</v>
          </cell>
          <cell r="B1626">
            <v>201810</v>
          </cell>
          <cell r="C1626" t="str">
            <v>0100175223</v>
          </cell>
          <cell r="D1626" t="str">
            <v>155065C</v>
          </cell>
          <cell r="E1626">
            <v>2328</v>
          </cell>
          <cell r="F1626">
            <v>43510</v>
          </cell>
          <cell r="G1626" t="str">
            <v>OK</v>
          </cell>
        </row>
        <row r="1627">
          <cell r="A1627" t="str">
            <v>Y1902-0182</v>
          </cell>
          <cell r="B1627">
            <v>201810</v>
          </cell>
          <cell r="C1627" t="str">
            <v>0100175224</v>
          </cell>
          <cell r="D1627" t="str">
            <v>155064C</v>
          </cell>
          <cell r="E1627">
            <v>1368</v>
          </cell>
          <cell r="F1627">
            <v>43510</v>
          </cell>
          <cell r="G1627" t="str">
            <v>OK</v>
          </cell>
        </row>
        <row r="1628">
          <cell r="A1628" t="str">
            <v>Y1902-0183</v>
          </cell>
          <cell r="B1628">
            <v>201810</v>
          </cell>
          <cell r="C1628" t="str">
            <v>0100175225</v>
          </cell>
          <cell r="D1628" t="str">
            <v>764438C</v>
          </cell>
          <cell r="E1628">
            <v>408</v>
          </cell>
          <cell r="F1628">
            <v>43510</v>
          </cell>
          <cell r="G1628" t="str">
            <v>OK</v>
          </cell>
        </row>
        <row r="1629">
          <cell r="A1629" t="str">
            <v>Y1902-0184</v>
          </cell>
          <cell r="B1629">
            <v>201810</v>
          </cell>
          <cell r="C1629" t="str">
            <v>0100175226</v>
          </cell>
          <cell r="D1629" t="str">
            <v>764439C</v>
          </cell>
          <cell r="E1629">
            <v>408</v>
          </cell>
          <cell r="F1629">
            <v>43510</v>
          </cell>
          <cell r="G1629" t="str">
            <v>OK</v>
          </cell>
        </row>
        <row r="1630">
          <cell r="A1630" t="str">
            <v>Y1902-0185</v>
          </cell>
          <cell r="B1630">
            <v>201810</v>
          </cell>
          <cell r="C1630" t="str">
            <v>0100175227</v>
          </cell>
          <cell r="D1630" t="str">
            <v>M7650C</v>
          </cell>
          <cell r="E1630">
            <v>384</v>
          </cell>
          <cell r="F1630">
            <v>43510</v>
          </cell>
          <cell r="G1630" t="str">
            <v>OK</v>
          </cell>
        </row>
        <row r="1631">
          <cell r="A1631" t="str">
            <v>Y1902-0186</v>
          </cell>
          <cell r="B1631">
            <v>201810</v>
          </cell>
          <cell r="C1631" t="str">
            <v>0100175228</v>
          </cell>
          <cell r="D1631" t="str">
            <v>160359C</v>
          </cell>
          <cell r="E1631">
            <v>1860</v>
          </cell>
          <cell r="F1631">
            <v>43510</v>
          </cell>
          <cell r="G1631" t="str">
            <v>OK</v>
          </cell>
        </row>
        <row r="1632">
          <cell r="A1632" t="str">
            <v>Y1902-0188</v>
          </cell>
          <cell r="B1632">
            <v>201810</v>
          </cell>
          <cell r="C1632" t="str">
            <v>0100175230</v>
          </cell>
          <cell r="D1632" t="str">
            <v>M7652C</v>
          </cell>
          <cell r="E1632">
            <v>420</v>
          </cell>
          <cell r="F1632">
            <v>43510</v>
          </cell>
          <cell r="G1632" t="str">
            <v>OK</v>
          </cell>
        </row>
        <row r="1633">
          <cell r="A1633" t="str">
            <v>Y1902-0189</v>
          </cell>
          <cell r="B1633">
            <v>201810</v>
          </cell>
          <cell r="C1633" t="str">
            <v>0100175231</v>
          </cell>
          <cell r="D1633" t="str">
            <v>162884C</v>
          </cell>
          <cell r="E1633">
            <v>804</v>
          </cell>
          <cell r="F1633">
            <v>43510</v>
          </cell>
          <cell r="G1633" t="str">
            <v>OK</v>
          </cell>
        </row>
        <row r="1634">
          <cell r="A1634" t="str">
            <v>Y1902-0190</v>
          </cell>
          <cell r="B1634">
            <v>201810</v>
          </cell>
          <cell r="C1634" t="str">
            <v>0100175232</v>
          </cell>
          <cell r="D1634" t="str">
            <v>162884C</v>
          </cell>
          <cell r="E1634">
            <v>1104</v>
          </cell>
          <cell r="F1634">
            <v>43510</v>
          </cell>
          <cell r="G1634" t="str">
            <v>OK</v>
          </cell>
        </row>
        <row r="1635">
          <cell r="A1635" t="str">
            <v>Y1902-0191</v>
          </cell>
          <cell r="B1635">
            <v>201810</v>
          </cell>
          <cell r="C1635" t="str">
            <v>0100175233</v>
          </cell>
          <cell r="D1635" t="str">
            <v>160359C</v>
          </cell>
          <cell r="E1635">
            <v>1140</v>
          </cell>
          <cell r="F1635">
            <v>43510</v>
          </cell>
          <cell r="G1635" t="str">
            <v>OK</v>
          </cell>
        </row>
        <row r="1636">
          <cell r="A1636" t="str">
            <v>Y1902-0192</v>
          </cell>
          <cell r="B1636">
            <v>201810</v>
          </cell>
          <cell r="C1636" t="str">
            <v>0100175234</v>
          </cell>
          <cell r="D1636" t="str">
            <v>7J253C</v>
          </cell>
          <cell r="E1636">
            <v>432</v>
          </cell>
          <cell r="F1636">
            <v>43510</v>
          </cell>
          <cell r="G1636" t="str">
            <v>OK</v>
          </cell>
        </row>
        <row r="1637">
          <cell r="A1637" t="str">
            <v>Y1902-0193</v>
          </cell>
          <cell r="B1637">
            <v>201810</v>
          </cell>
          <cell r="C1637" t="str">
            <v>0100175235</v>
          </cell>
          <cell r="D1637" t="str">
            <v>7J256C</v>
          </cell>
          <cell r="E1637">
            <v>1188</v>
          </cell>
          <cell r="F1637">
            <v>43510</v>
          </cell>
          <cell r="G1637" t="str">
            <v>OK</v>
          </cell>
        </row>
        <row r="1638">
          <cell r="A1638" t="str">
            <v>Y1902-0194</v>
          </cell>
          <cell r="B1638">
            <v>201810</v>
          </cell>
          <cell r="C1638" t="str">
            <v>0100175236</v>
          </cell>
          <cell r="D1638" t="str">
            <v>3J256C</v>
          </cell>
          <cell r="E1638">
            <v>528</v>
          </cell>
          <cell r="F1638">
            <v>43510</v>
          </cell>
          <cell r="G1638" t="str">
            <v>OK</v>
          </cell>
        </row>
        <row r="1639">
          <cell r="A1639" t="str">
            <v>Y1902-0195</v>
          </cell>
          <cell r="B1639">
            <v>201810</v>
          </cell>
          <cell r="C1639" t="str">
            <v>0100175237</v>
          </cell>
          <cell r="D1639" t="str">
            <v>764862C</v>
          </cell>
          <cell r="E1639">
            <v>600</v>
          </cell>
          <cell r="F1639">
            <v>43510</v>
          </cell>
          <cell r="G1639" t="str">
            <v>OK</v>
          </cell>
        </row>
        <row r="1640">
          <cell r="A1640" t="str">
            <v>Y1902-0196</v>
          </cell>
          <cell r="B1640">
            <v>201810</v>
          </cell>
          <cell r="C1640" t="str">
            <v>0100175238</v>
          </cell>
          <cell r="D1640" t="str">
            <v>664860C</v>
          </cell>
          <cell r="E1640">
            <v>384</v>
          </cell>
          <cell r="F1640">
            <v>43510</v>
          </cell>
          <cell r="G1640" t="str">
            <v>OK</v>
          </cell>
        </row>
        <row r="1641">
          <cell r="A1641" t="str">
            <v>Y1902-0198</v>
          </cell>
          <cell r="B1641">
            <v>201810</v>
          </cell>
          <cell r="C1641" t="str">
            <v>0100175240</v>
          </cell>
          <cell r="D1641" t="str">
            <v>3J253C</v>
          </cell>
          <cell r="E1641">
            <v>348</v>
          </cell>
          <cell r="F1641">
            <v>43510</v>
          </cell>
          <cell r="G1641" t="str">
            <v>OK</v>
          </cell>
        </row>
        <row r="1642">
          <cell r="A1642" t="str">
            <v>Y1902-0199</v>
          </cell>
          <cell r="B1642">
            <v>201810</v>
          </cell>
          <cell r="C1642" t="str">
            <v>0100175241</v>
          </cell>
          <cell r="D1642" t="str">
            <v>3J256C</v>
          </cell>
          <cell r="E1642">
            <v>996</v>
          </cell>
          <cell r="F1642">
            <v>43510</v>
          </cell>
          <cell r="G1642" t="str">
            <v>OK</v>
          </cell>
        </row>
        <row r="1643">
          <cell r="A1643" t="str">
            <v>Y1902-0200</v>
          </cell>
          <cell r="B1643">
            <v>201810</v>
          </cell>
          <cell r="C1643" t="str">
            <v>0100175242</v>
          </cell>
          <cell r="D1643" t="str">
            <v>159484C</v>
          </cell>
          <cell r="E1643">
            <v>204</v>
          </cell>
          <cell r="F1643">
            <v>43507</v>
          </cell>
          <cell r="G1643" t="str">
            <v>OK</v>
          </cell>
        </row>
        <row r="1644">
          <cell r="A1644" t="str">
            <v>Y1902-0201</v>
          </cell>
          <cell r="B1644">
            <v>201810</v>
          </cell>
          <cell r="C1644" t="str">
            <v>0100175244</v>
          </cell>
          <cell r="D1644" t="str">
            <v>M7652C</v>
          </cell>
          <cell r="E1644">
            <v>3300</v>
          </cell>
          <cell r="F1644">
            <v>43510</v>
          </cell>
          <cell r="G1644" t="str">
            <v>OK</v>
          </cell>
        </row>
        <row r="1645">
          <cell r="A1645" t="str">
            <v>Y1902-0202</v>
          </cell>
          <cell r="B1645">
            <v>201810</v>
          </cell>
          <cell r="C1645" t="str">
            <v>0100175245</v>
          </cell>
          <cell r="D1645" t="str">
            <v>M7652C</v>
          </cell>
          <cell r="E1645">
            <v>3024</v>
          </cell>
          <cell r="F1645">
            <v>43524</v>
          </cell>
          <cell r="G1645" t="str">
            <v>OK</v>
          </cell>
        </row>
        <row r="1646">
          <cell r="A1646" t="str">
            <v>Y1902-0203</v>
          </cell>
          <cell r="B1646">
            <v>201810</v>
          </cell>
          <cell r="C1646" t="str">
            <v>0100175247</v>
          </cell>
          <cell r="D1646" t="str">
            <v>M7650C</v>
          </cell>
          <cell r="E1646">
            <v>1452</v>
          </cell>
          <cell r="F1646">
            <v>43510</v>
          </cell>
          <cell r="G1646" t="str">
            <v>OK</v>
          </cell>
        </row>
        <row r="1647">
          <cell r="A1647" t="str">
            <v>Y1902-0204</v>
          </cell>
          <cell r="B1647">
            <v>201810</v>
          </cell>
          <cell r="C1647" t="str">
            <v>0100175248</v>
          </cell>
          <cell r="D1647" t="str">
            <v>M7650C</v>
          </cell>
          <cell r="E1647">
            <v>1092</v>
          </cell>
          <cell r="F1647">
            <v>43524</v>
          </cell>
          <cell r="G1647" t="str">
            <v>OK</v>
          </cell>
        </row>
        <row r="1648">
          <cell r="A1648" t="str">
            <v>Y1902-0205</v>
          </cell>
          <cell r="B1648">
            <v>201810</v>
          </cell>
          <cell r="C1648" t="str">
            <v>0100175249</v>
          </cell>
          <cell r="D1648" t="str">
            <v>M7652C</v>
          </cell>
          <cell r="E1648">
            <v>732</v>
          </cell>
          <cell r="F1648">
            <v>43510</v>
          </cell>
          <cell r="G1648" t="str">
            <v>OK</v>
          </cell>
        </row>
        <row r="1649">
          <cell r="A1649" t="str">
            <v>Y1902-0206</v>
          </cell>
          <cell r="B1649">
            <v>201810</v>
          </cell>
          <cell r="C1649" t="str">
            <v>0100175250</v>
          </cell>
          <cell r="D1649" t="str">
            <v>M9697C</v>
          </cell>
          <cell r="E1649">
            <v>468</v>
          </cell>
          <cell r="F1649">
            <v>43510</v>
          </cell>
          <cell r="G1649" t="str">
            <v>OK</v>
          </cell>
        </row>
        <row r="1650">
          <cell r="A1650" t="str">
            <v>Y1902-0207</v>
          </cell>
          <cell r="B1650">
            <v>201810</v>
          </cell>
          <cell r="C1650" t="str">
            <v>0100175251</v>
          </cell>
          <cell r="D1650" t="str">
            <v>3J256C</v>
          </cell>
          <cell r="E1650">
            <v>468</v>
          </cell>
          <cell r="F1650">
            <v>43510</v>
          </cell>
          <cell r="G1650" t="str">
            <v>OK</v>
          </cell>
        </row>
        <row r="1651">
          <cell r="A1651" t="str">
            <v>Y1902-0208</v>
          </cell>
          <cell r="B1651">
            <v>201810</v>
          </cell>
          <cell r="C1651" t="str">
            <v>0100175253</v>
          </cell>
          <cell r="D1651" t="str">
            <v>M9697C</v>
          </cell>
          <cell r="E1651">
            <v>456</v>
          </cell>
          <cell r="F1651">
            <v>43510</v>
          </cell>
          <cell r="G1651" t="str">
            <v>OK</v>
          </cell>
        </row>
        <row r="1652">
          <cell r="A1652" t="str">
            <v>Y1902-0209</v>
          </cell>
          <cell r="B1652">
            <v>201810</v>
          </cell>
          <cell r="C1652" t="str">
            <v>0100175254</v>
          </cell>
          <cell r="D1652" t="str">
            <v>M7650C</v>
          </cell>
          <cell r="E1652">
            <v>432</v>
          </cell>
          <cell r="F1652">
            <v>43510</v>
          </cell>
          <cell r="G1652" t="str">
            <v>OK</v>
          </cell>
        </row>
        <row r="1653">
          <cell r="A1653" t="str">
            <v>Y1902-0210</v>
          </cell>
          <cell r="B1653">
            <v>201810</v>
          </cell>
          <cell r="C1653" t="str">
            <v>0100175255</v>
          </cell>
          <cell r="D1653" t="str">
            <v>M9697C</v>
          </cell>
          <cell r="E1653">
            <v>420</v>
          </cell>
          <cell r="F1653">
            <v>43524</v>
          </cell>
          <cell r="G1653" t="str">
            <v>OK</v>
          </cell>
        </row>
        <row r="1654">
          <cell r="A1654" t="str">
            <v>Y1902-0211</v>
          </cell>
          <cell r="B1654">
            <v>201810</v>
          </cell>
          <cell r="C1654" t="str">
            <v>0100175256</v>
          </cell>
          <cell r="D1654" t="str">
            <v>M7652C</v>
          </cell>
          <cell r="E1654">
            <v>276</v>
          </cell>
          <cell r="F1654">
            <v>43524</v>
          </cell>
          <cell r="G1654" t="str">
            <v>OK</v>
          </cell>
        </row>
        <row r="1655">
          <cell r="A1655" t="str">
            <v>Y1902-0213</v>
          </cell>
          <cell r="B1655">
            <v>201810</v>
          </cell>
          <cell r="C1655" t="str">
            <v>0100175259</v>
          </cell>
          <cell r="D1655" t="str">
            <v>144148C</v>
          </cell>
          <cell r="E1655">
            <v>672</v>
          </cell>
          <cell r="F1655">
            <v>43510</v>
          </cell>
          <cell r="G1655" t="str">
            <v>OK</v>
          </cell>
        </row>
        <row r="1656">
          <cell r="A1656" t="str">
            <v>Y1902-0214</v>
          </cell>
          <cell r="B1656">
            <v>201810</v>
          </cell>
          <cell r="C1656" t="str">
            <v>0100175260</v>
          </cell>
          <cell r="D1656" t="str">
            <v>144150C</v>
          </cell>
          <cell r="E1656">
            <v>672</v>
          </cell>
          <cell r="F1656">
            <v>43510</v>
          </cell>
          <cell r="G1656" t="str">
            <v>OK</v>
          </cell>
        </row>
        <row r="1657">
          <cell r="A1657" t="str">
            <v>Y1902-0215</v>
          </cell>
          <cell r="B1657">
            <v>201810</v>
          </cell>
          <cell r="C1657" t="str">
            <v>0100175261</v>
          </cell>
          <cell r="D1657" t="str">
            <v>144151C</v>
          </cell>
          <cell r="E1657">
            <v>672</v>
          </cell>
          <cell r="F1657">
            <v>43510</v>
          </cell>
          <cell r="G1657" t="str">
            <v>OK</v>
          </cell>
        </row>
        <row r="1658">
          <cell r="A1658" t="str">
            <v>Y1902-0216</v>
          </cell>
          <cell r="B1658">
            <v>201810</v>
          </cell>
          <cell r="C1658" t="str">
            <v>0100175262</v>
          </cell>
          <cell r="D1658" t="str">
            <v>144151C</v>
          </cell>
          <cell r="E1658">
            <v>396</v>
          </cell>
          <cell r="F1658">
            <v>43510</v>
          </cell>
          <cell r="G1658" t="str">
            <v>OK</v>
          </cell>
        </row>
        <row r="1659">
          <cell r="A1659" t="str">
            <v>Y1902-0217</v>
          </cell>
          <cell r="B1659">
            <v>201810</v>
          </cell>
          <cell r="C1659" t="str">
            <v>0100175263</v>
          </cell>
          <cell r="D1659" t="str">
            <v>M7652C</v>
          </cell>
          <cell r="E1659">
            <v>420</v>
          </cell>
          <cell r="F1659">
            <v>43510</v>
          </cell>
          <cell r="G1659" t="str">
            <v>OK</v>
          </cell>
        </row>
        <row r="1660">
          <cell r="A1660" t="str">
            <v>Y1902-0218</v>
          </cell>
          <cell r="B1660">
            <v>201810</v>
          </cell>
          <cell r="C1660" t="str">
            <v>0100175264</v>
          </cell>
          <cell r="D1660" t="str">
            <v>3J253C</v>
          </cell>
          <cell r="E1660">
            <v>1008</v>
          </cell>
          <cell r="F1660">
            <v>43518</v>
          </cell>
          <cell r="G1660" t="str">
            <v>OK</v>
          </cell>
        </row>
        <row r="1661">
          <cell r="A1661" t="str">
            <v>Y1902-0219</v>
          </cell>
          <cell r="B1661">
            <v>201810</v>
          </cell>
          <cell r="C1661" t="str">
            <v>0100175265</v>
          </cell>
          <cell r="D1661" t="str">
            <v>7J253C</v>
          </cell>
          <cell r="E1661">
            <v>1008</v>
          </cell>
          <cell r="F1661">
            <v>43518</v>
          </cell>
          <cell r="G1661" t="str">
            <v>OK</v>
          </cell>
        </row>
        <row r="1662">
          <cell r="A1662" t="str">
            <v>Y1902-0220</v>
          </cell>
          <cell r="B1662">
            <v>201810</v>
          </cell>
          <cell r="C1662" t="str">
            <v>0100175266</v>
          </cell>
          <cell r="D1662" t="str">
            <v>7J256C</v>
          </cell>
          <cell r="E1662">
            <v>4104</v>
          </cell>
          <cell r="F1662">
            <v>43518</v>
          </cell>
          <cell r="G1662" t="str">
            <v>OK</v>
          </cell>
        </row>
        <row r="1663">
          <cell r="A1663" t="str">
            <v>Y1902-0221</v>
          </cell>
          <cell r="B1663">
            <v>201810</v>
          </cell>
          <cell r="C1663" t="str">
            <v>0100175267</v>
          </cell>
          <cell r="D1663" t="str">
            <v>3J256C</v>
          </cell>
          <cell r="E1663">
            <v>1008</v>
          </cell>
          <cell r="F1663">
            <v>43518</v>
          </cell>
          <cell r="G1663" t="str">
            <v>OK</v>
          </cell>
        </row>
        <row r="1664">
          <cell r="A1664" t="str">
            <v>Y1902-0222</v>
          </cell>
          <cell r="B1664">
            <v>201810</v>
          </cell>
          <cell r="C1664" t="str">
            <v>0100175268</v>
          </cell>
          <cell r="D1664" t="str">
            <v>M7652C</v>
          </cell>
          <cell r="E1664">
            <v>1008</v>
          </cell>
          <cell r="F1664">
            <v>43509</v>
          </cell>
          <cell r="G1664" t="str">
            <v>OK</v>
          </cell>
        </row>
        <row r="1665">
          <cell r="A1665" t="str">
            <v>Y1902-0223</v>
          </cell>
          <cell r="B1665">
            <v>201810</v>
          </cell>
          <cell r="C1665" t="str">
            <v>0100175269</v>
          </cell>
          <cell r="D1665" t="str">
            <v>M7652C</v>
          </cell>
          <cell r="E1665">
            <v>444</v>
          </cell>
          <cell r="F1665">
            <v>43510</v>
          </cell>
          <cell r="G1665" t="str">
            <v>OK</v>
          </cell>
        </row>
        <row r="1666">
          <cell r="A1666" t="str">
            <v>Y1902-0224</v>
          </cell>
          <cell r="B1666">
            <v>201810</v>
          </cell>
          <cell r="C1666" t="str">
            <v>0100175270</v>
          </cell>
          <cell r="D1666" t="str">
            <v>M7652C</v>
          </cell>
          <cell r="E1666">
            <v>444</v>
          </cell>
          <cell r="F1666">
            <v>43510</v>
          </cell>
          <cell r="G1666" t="str">
            <v>OK</v>
          </cell>
        </row>
        <row r="1667">
          <cell r="A1667" t="str">
            <v>Y1902-0225</v>
          </cell>
          <cell r="B1667">
            <v>201810</v>
          </cell>
          <cell r="C1667" t="str">
            <v>0100175271</v>
          </cell>
          <cell r="D1667" t="str">
            <v>M7652C</v>
          </cell>
          <cell r="E1667">
            <v>444</v>
          </cell>
          <cell r="F1667">
            <v>43510</v>
          </cell>
          <cell r="G1667" t="str">
            <v>OK</v>
          </cell>
        </row>
        <row r="1668">
          <cell r="A1668" t="str">
            <v>Y1902-0226</v>
          </cell>
          <cell r="B1668">
            <v>201810</v>
          </cell>
          <cell r="C1668" t="str">
            <v>0100175272</v>
          </cell>
          <cell r="D1668" t="str">
            <v>3J256C</v>
          </cell>
          <cell r="E1668">
            <v>600</v>
          </cell>
          <cell r="F1668">
            <v>43510</v>
          </cell>
          <cell r="G1668" t="str">
            <v>OK</v>
          </cell>
        </row>
        <row r="1669">
          <cell r="A1669" t="str">
            <v>Y1902-0227</v>
          </cell>
          <cell r="B1669">
            <v>201810</v>
          </cell>
          <cell r="C1669" t="str">
            <v>0100175273</v>
          </cell>
          <cell r="D1669" t="str">
            <v>M7652C</v>
          </cell>
          <cell r="E1669">
            <v>600</v>
          </cell>
          <cell r="F1669">
            <v>43510</v>
          </cell>
          <cell r="G1669" t="str">
            <v>OK</v>
          </cell>
        </row>
        <row r="1670">
          <cell r="A1670" t="str">
            <v>Y1902-0228</v>
          </cell>
          <cell r="B1670">
            <v>201810</v>
          </cell>
          <cell r="C1670" t="str">
            <v>0100175274</v>
          </cell>
          <cell r="D1670" t="str">
            <v>1J794C</v>
          </cell>
          <cell r="E1670">
            <v>240</v>
          </cell>
          <cell r="F1670">
            <v>43510</v>
          </cell>
          <cell r="G1670" t="str">
            <v>OK</v>
          </cell>
        </row>
        <row r="1671">
          <cell r="A1671" t="str">
            <v>Y1902-0229</v>
          </cell>
          <cell r="B1671">
            <v>201810</v>
          </cell>
          <cell r="C1671" t="str">
            <v>0100175275</v>
          </cell>
          <cell r="D1671" t="str">
            <v>M7650C</v>
          </cell>
          <cell r="E1671">
            <v>600</v>
          </cell>
          <cell r="F1671">
            <v>43510</v>
          </cell>
          <cell r="G1671" t="str">
            <v>OK</v>
          </cell>
        </row>
        <row r="1672">
          <cell r="A1672" t="str">
            <v>Y1902-0230</v>
          </cell>
          <cell r="B1672">
            <v>201810</v>
          </cell>
          <cell r="C1672" t="str">
            <v>0100175277</v>
          </cell>
          <cell r="D1672" t="str">
            <v>3J256C</v>
          </cell>
          <cell r="E1672">
            <v>1272</v>
          </cell>
          <cell r="F1672">
            <v>43510</v>
          </cell>
          <cell r="G1672" t="str">
            <v>OK</v>
          </cell>
        </row>
        <row r="1673">
          <cell r="A1673" t="str">
            <v>Y1902-0231</v>
          </cell>
          <cell r="B1673">
            <v>201810</v>
          </cell>
          <cell r="C1673" t="str">
            <v>0100175278</v>
          </cell>
          <cell r="D1673" t="str">
            <v>7J256C</v>
          </cell>
          <cell r="E1673">
            <v>720</v>
          </cell>
          <cell r="F1673">
            <v>43510</v>
          </cell>
          <cell r="G1673" t="str">
            <v>OK</v>
          </cell>
        </row>
        <row r="1674">
          <cell r="A1674" t="str">
            <v>Y1902-0232</v>
          </cell>
          <cell r="B1674">
            <v>201810</v>
          </cell>
          <cell r="C1674" t="str">
            <v>0100175279</v>
          </cell>
          <cell r="D1674" t="str">
            <v>M7652C</v>
          </cell>
          <cell r="E1674">
            <v>720</v>
          </cell>
          <cell r="F1674">
            <v>43510</v>
          </cell>
          <cell r="G1674" t="str">
            <v>OK</v>
          </cell>
        </row>
        <row r="1675">
          <cell r="A1675" t="str">
            <v>Y1902-0233</v>
          </cell>
          <cell r="B1675">
            <v>201810</v>
          </cell>
          <cell r="C1675" t="str">
            <v>0100175280</v>
          </cell>
          <cell r="D1675" t="str">
            <v>3J253C</v>
          </cell>
          <cell r="E1675">
            <v>924</v>
          </cell>
          <cell r="F1675">
            <v>43510</v>
          </cell>
          <cell r="G1675" t="str">
            <v>OK</v>
          </cell>
        </row>
        <row r="1676">
          <cell r="A1676" t="str">
            <v>Y1902-0234</v>
          </cell>
          <cell r="B1676">
            <v>201810</v>
          </cell>
          <cell r="C1676" t="str">
            <v>0100175281</v>
          </cell>
          <cell r="D1676" t="str">
            <v>636930C</v>
          </cell>
          <cell r="E1676">
            <v>816</v>
          </cell>
          <cell r="F1676">
            <v>43510</v>
          </cell>
          <cell r="G1676" t="str">
            <v>OK</v>
          </cell>
        </row>
        <row r="1677">
          <cell r="A1677" t="str">
            <v>Y1902-0235</v>
          </cell>
          <cell r="B1677">
            <v>201810</v>
          </cell>
          <cell r="C1677" t="str">
            <v>0100175282</v>
          </cell>
          <cell r="D1677" t="str">
            <v>7J253C</v>
          </cell>
          <cell r="E1677">
            <v>792</v>
          </cell>
          <cell r="F1677">
            <v>43510</v>
          </cell>
          <cell r="G1677" t="str">
            <v>OK</v>
          </cell>
        </row>
        <row r="1678">
          <cell r="A1678" t="str">
            <v>Y1902-0236</v>
          </cell>
          <cell r="B1678">
            <v>201810</v>
          </cell>
          <cell r="C1678" t="str">
            <v>0100175283</v>
          </cell>
          <cell r="D1678" t="str">
            <v>7J234C</v>
          </cell>
          <cell r="E1678">
            <v>300</v>
          </cell>
          <cell r="F1678">
            <v>43510</v>
          </cell>
          <cell r="G1678" t="str">
            <v>OK</v>
          </cell>
        </row>
        <row r="1679">
          <cell r="A1679" t="str">
            <v>Y1902-0237</v>
          </cell>
          <cell r="B1679">
            <v>201810</v>
          </cell>
          <cell r="C1679" t="str">
            <v>0100175284</v>
          </cell>
          <cell r="D1679" t="str">
            <v>7J256C</v>
          </cell>
          <cell r="E1679">
            <v>300</v>
          </cell>
          <cell r="F1679">
            <v>43510</v>
          </cell>
          <cell r="G1679" t="str">
            <v>OK</v>
          </cell>
        </row>
        <row r="1680">
          <cell r="A1680" t="str">
            <v>Y1902-0238</v>
          </cell>
          <cell r="B1680">
            <v>201810</v>
          </cell>
          <cell r="C1680" t="str">
            <v>0100175285</v>
          </cell>
          <cell r="D1680" t="str">
            <v>M7652C</v>
          </cell>
          <cell r="E1680">
            <v>2760</v>
          </cell>
          <cell r="F1680">
            <v>43510</v>
          </cell>
          <cell r="G1680" t="str">
            <v>OK</v>
          </cell>
        </row>
        <row r="1681">
          <cell r="A1681" t="str">
            <v>Y1902-0239</v>
          </cell>
          <cell r="B1681">
            <v>201810</v>
          </cell>
          <cell r="C1681" t="str">
            <v>0100175286</v>
          </cell>
          <cell r="D1681" t="str">
            <v>3J253C</v>
          </cell>
          <cell r="E1681">
            <v>264</v>
          </cell>
          <cell r="F1681">
            <v>43510</v>
          </cell>
          <cell r="G1681" t="str">
            <v>OK</v>
          </cell>
        </row>
        <row r="1682">
          <cell r="A1682" t="str">
            <v>Y1902-0240</v>
          </cell>
          <cell r="B1682">
            <v>201810</v>
          </cell>
          <cell r="C1682" t="str">
            <v>0100175287</v>
          </cell>
          <cell r="D1682" t="str">
            <v>664860C</v>
          </cell>
          <cell r="E1682">
            <v>240</v>
          </cell>
          <cell r="F1682">
            <v>43510</v>
          </cell>
          <cell r="G1682" t="str">
            <v>OK</v>
          </cell>
        </row>
        <row r="1683">
          <cell r="A1683" t="str">
            <v>Y1902-0242</v>
          </cell>
          <cell r="B1683">
            <v>201810</v>
          </cell>
          <cell r="C1683" t="str">
            <v>0100175332</v>
          </cell>
          <cell r="D1683" t="str">
            <v>158369C</v>
          </cell>
          <cell r="E1683">
            <v>492</v>
          </cell>
          <cell r="F1683">
            <v>43511</v>
          </cell>
          <cell r="G1683" t="str">
            <v>OK</v>
          </cell>
        </row>
        <row r="1684">
          <cell r="A1684" t="str">
            <v>Y1902-0243</v>
          </cell>
          <cell r="B1684">
            <v>201810</v>
          </cell>
          <cell r="C1684" t="str">
            <v>0100175333</v>
          </cell>
          <cell r="D1684" t="str">
            <v>M7650C</v>
          </cell>
          <cell r="E1684">
            <v>2520</v>
          </cell>
          <cell r="F1684">
            <v>43511</v>
          </cell>
          <cell r="G1684" t="str">
            <v>OK</v>
          </cell>
        </row>
        <row r="1685">
          <cell r="A1685" t="str">
            <v>Y1902-0244</v>
          </cell>
          <cell r="B1685">
            <v>201810</v>
          </cell>
          <cell r="C1685" t="str">
            <v>0100175334</v>
          </cell>
          <cell r="D1685" t="str">
            <v>M7652C</v>
          </cell>
          <cell r="E1685">
            <v>16632</v>
          </cell>
          <cell r="F1685">
            <v>43511</v>
          </cell>
          <cell r="G1685" t="str">
            <v>OK</v>
          </cell>
        </row>
        <row r="1686">
          <cell r="A1686" t="str">
            <v>Y1902-0245</v>
          </cell>
          <cell r="B1686">
            <v>201810</v>
          </cell>
          <cell r="C1686" t="str">
            <v>0100175335</v>
          </cell>
          <cell r="D1686" t="str">
            <v>164525C</v>
          </cell>
          <cell r="E1686">
            <v>768</v>
          </cell>
          <cell r="F1686">
            <v>43511</v>
          </cell>
          <cell r="G1686" t="str">
            <v>OK</v>
          </cell>
        </row>
        <row r="1687">
          <cell r="A1687" t="str">
            <v>Y1902-0246</v>
          </cell>
          <cell r="B1687">
            <v>201810</v>
          </cell>
          <cell r="C1687" t="str">
            <v>0100175336</v>
          </cell>
          <cell r="D1687" t="str">
            <v>564151C</v>
          </cell>
          <cell r="E1687">
            <v>1476</v>
          </cell>
          <cell r="F1687">
            <v>43511</v>
          </cell>
          <cell r="G1687" t="str">
            <v>OK</v>
          </cell>
        </row>
        <row r="1688">
          <cell r="A1688" t="str">
            <v>Y1902-0247</v>
          </cell>
          <cell r="B1688">
            <v>201810</v>
          </cell>
          <cell r="C1688" t="str">
            <v>0100175337</v>
          </cell>
          <cell r="D1688" t="str">
            <v>564152C</v>
          </cell>
          <cell r="E1688">
            <v>804</v>
          </cell>
          <cell r="F1688">
            <v>43511</v>
          </cell>
          <cell r="G1688" t="str">
            <v>OK</v>
          </cell>
        </row>
        <row r="1689">
          <cell r="A1689" t="str">
            <v>Y1902-0248</v>
          </cell>
          <cell r="B1689">
            <v>201810</v>
          </cell>
          <cell r="C1689" t="str">
            <v>0100175338</v>
          </cell>
          <cell r="D1689" t="str">
            <v>564153C</v>
          </cell>
          <cell r="E1689">
            <v>804</v>
          </cell>
          <cell r="F1689">
            <v>43511</v>
          </cell>
          <cell r="G1689" t="str">
            <v>OK</v>
          </cell>
        </row>
        <row r="1690">
          <cell r="A1690" t="str">
            <v>Y1902-0249</v>
          </cell>
          <cell r="B1690">
            <v>201810</v>
          </cell>
          <cell r="C1690" t="str">
            <v>0100175339</v>
          </cell>
          <cell r="D1690" t="str">
            <v>564154C</v>
          </cell>
          <cell r="E1690">
            <v>1344</v>
          </cell>
          <cell r="F1690">
            <v>43511</v>
          </cell>
          <cell r="G1690" t="str">
            <v>OK</v>
          </cell>
        </row>
        <row r="1691">
          <cell r="A1691" t="str">
            <v>Y1902-0250</v>
          </cell>
          <cell r="B1691">
            <v>201810</v>
          </cell>
          <cell r="C1691" t="str">
            <v>0100175340</v>
          </cell>
          <cell r="D1691" t="str">
            <v>564204C</v>
          </cell>
          <cell r="E1691">
            <v>756</v>
          </cell>
          <cell r="F1691">
            <v>43511</v>
          </cell>
          <cell r="G1691" t="str">
            <v>OK</v>
          </cell>
        </row>
        <row r="1692">
          <cell r="A1692" t="str">
            <v>Y1902-0251</v>
          </cell>
          <cell r="B1692">
            <v>201810</v>
          </cell>
          <cell r="C1692" t="str">
            <v>0100175341</v>
          </cell>
          <cell r="D1692" t="str">
            <v>564205C</v>
          </cell>
          <cell r="E1692">
            <v>888</v>
          </cell>
          <cell r="F1692">
            <v>43511</v>
          </cell>
          <cell r="G1692" t="str">
            <v>OK</v>
          </cell>
        </row>
        <row r="1693">
          <cell r="A1693" t="str">
            <v>Y1902-0252</v>
          </cell>
          <cell r="B1693">
            <v>201810</v>
          </cell>
          <cell r="C1693" t="str">
            <v>0100175342</v>
          </cell>
          <cell r="D1693" t="str">
            <v>162066C</v>
          </cell>
          <cell r="E1693">
            <v>3036</v>
          </cell>
          <cell r="F1693">
            <v>43511</v>
          </cell>
          <cell r="G1693" t="str">
            <v>OK</v>
          </cell>
        </row>
        <row r="1694">
          <cell r="A1694" t="str">
            <v>Y1902-0253</v>
          </cell>
          <cell r="B1694">
            <v>201810</v>
          </cell>
          <cell r="C1694" t="str">
            <v>0100175343</v>
          </cell>
          <cell r="D1694" t="str">
            <v>162068C</v>
          </cell>
          <cell r="E1694">
            <v>1956</v>
          </cell>
          <cell r="F1694">
            <v>43511</v>
          </cell>
          <cell r="G1694" t="str">
            <v>OK</v>
          </cell>
        </row>
        <row r="1695">
          <cell r="A1695" t="str">
            <v>Y1902-0254</v>
          </cell>
          <cell r="B1695">
            <v>201810</v>
          </cell>
          <cell r="C1695" t="str">
            <v>0100175344</v>
          </cell>
          <cell r="D1695" t="str">
            <v>162884C</v>
          </cell>
          <cell r="E1695">
            <v>684</v>
          </cell>
          <cell r="F1695">
            <v>43511</v>
          </cell>
          <cell r="G1695" t="str">
            <v>OK</v>
          </cell>
        </row>
        <row r="1696">
          <cell r="A1696" t="str">
            <v>Y1902-0255</v>
          </cell>
          <cell r="B1696">
            <v>201810</v>
          </cell>
          <cell r="C1696" t="str">
            <v>0100175345</v>
          </cell>
          <cell r="D1696" t="str">
            <v>564206C</v>
          </cell>
          <cell r="E1696">
            <v>816</v>
          </cell>
          <cell r="F1696">
            <v>43511</v>
          </cell>
          <cell r="G1696" t="str">
            <v>OK</v>
          </cell>
        </row>
        <row r="1697">
          <cell r="A1697" t="str">
            <v>Y1902-0256</v>
          </cell>
          <cell r="B1697">
            <v>201810</v>
          </cell>
          <cell r="C1697" t="str">
            <v>0100175346</v>
          </cell>
          <cell r="D1697" t="str">
            <v>164358C</v>
          </cell>
          <cell r="E1697">
            <v>624</v>
          </cell>
          <cell r="F1697">
            <v>43511</v>
          </cell>
          <cell r="G1697" t="str">
            <v>OK</v>
          </cell>
        </row>
        <row r="1698">
          <cell r="A1698" t="str">
            <v>Y1902-0257</v>
          </cell>
          <cell r="B1698">
            <v>201810</v>
          </cell>
          <cell r="C1698" t="str">
            <v>0100175347</v>
          </cell>
          <cell r="D1698" t="str">
            <v>164360C</v>
          </cell>
          <cell r="E1698">
            <v>912</v>
          </cell>
          <cell r="F1698">
            <v>43511</v>
          </cell>
          <cell r="G1698" t="str">
            <v>OK</v>
          </cell>
        </row>
        <row r="1699">
          <cell r="A1699" t="str">
            <v>Y1902-0258</v>
          </cell>
          <cell r="B1699">
            <v>201810</v>
          </cell>
          <cell r="C1699" t="str">
            <v>0100175348</v>
          </cell>
          <cell r="D1699" t="str">
            <v>164361C</v>
          </cell>
          <cell r="E1699">
            <v>1008</v>
          </cell>
          <cell r="F1699">
            <v>43511</v>
          </cell>
          <cell r="G1699" t="str">
            <v>OK</v>
          </cell>
        </row>
        <row r="1700">
          <cell r="A1700" t="str">
            <v>Y1902-0259</v>
          </cell>
          <cell r="B1700">
            <v>201810</v>
          </cell>
          <cell r="C1700" t="str">
            <v>0100175349</v>
          </cell>
          <cell r="D1700" t="str">
            <v>164390C</v>
          </cell>
          <cell r="E1700">
            <v>552</v>
          </cell>
          <cell r="F1700">
            <v>43511</v>
          </cell>
          <cell r="G1700" t="str">
            <v>OK</v>
          </cell>
        </row>
        <row r="1701">
          <cell r="A1701" t="str">
            <v>Y1902-0260</v>
          </cell>
          <cell r="B1701">
            <v>201810</v>
          </cell>
          <cell r="C1701" t="str">
            <v>0100175350</v>
          </cell>
          <cell r="D1701" t="str">
            <v>164391C</v>
          </cell>
          <cell r="E1701">
            <v>576</v>
          </cell>
          <cell r="F1701">
            <v>43511</v>
          </cell>
          <cell r="G1701" t="str">
            <v>OK</v>
          </cell>
        </row>
        <row r="1702">
          <cell r="A1702" t="str">
            <v>Y1902-0261</v>
          </cell>
          <cell r="B1702">
            <v>201810</v>
          </cell>
          <cell r="C1702" t="str">
            <v>0100175351</v>
          </cell>
          <cell r="D1702" t="str">
            <v>164392C</v>
          </cell>
          <cell r="E1702">
            <v>504</v>
          </cell>
          <cell r="F1702">
            <v>43511</v>
          </cell>
          <cell r="G1702" t="str">
            <v>OK</v>
          </cell>
        </row>
        <row r="1703">
          <cell r="A1703" t="str">
            <v>Y1902-0262</v>
          </cell>
          <cell r="B1703">
            <v>201810</v>
          </cell>
          <cell r="C1703" t="str">
            <v>0100175352</v>
          </cell>
          <cell r="D1703" t="str">
            <v>164393C</v>
          </cell>
          <cell r="E1703">
            <v>468</v>
          </cell>
          <cell r="F1703">
            <v>43511</v>
          </cell>
          <cell r="G1703" t="str">
            <v>OK</v>
          </cell>
        </row>
        <row r="1704">
          <cell r="A1704" t="str">
            <v>Y1902-0263</v>
          </cell>
          <cell r="B1704">
            <v>201810</v>
          </cell>
          <cell r="C1704" t="str">
            <v>0100175353</v>
          </cell>
          <cell r="D1704" t="str">
            <v>163269C</v>
          </cell>
          <cell r="E1704">
            <v>804</v>
          </cell>
          <cell r="F1704">
            <v>43511</v>
          </cell>
          <cell r="G1704" t="str">
            <v>OK</v>
          </cell>
        </row>
        <row r="1705">
          <cell r="A1705" t="str">
            <v>Y1902-0264</v>
          </cell>
          <cell r="B1705">
            <v>201810</v>
          </cell>
          <cell r="C1705" t="str">
            <v>0100175354</v>
          </cell>
          <cell r="D1705" t="str">
            <v>162069C</v>
          </cell>
          <cell r="E1705">
            <v>804</v>
          </cell>
          <cell r="F1705">
            <v>43511</v>
          </cell>
          <cell r="G1705" t="str">
            <v>OK</v>
          </cell>
        </row>
        <row r="1706">
          <cell r="A1706" t="str">
            <v>Y1902-0265</v>
          </cell>
          <cell r="B1706">
            <v>201810</v>
          </cell>
          <cell r="C1706" t="str">
            <v>0100175358</v>
          </cell>
          <cell r="D1706" t="str">
            <v>3J256C</v>
          </cell>
          <cell r="E1706">
            <v>192</v>
          </cell>
          <cell r="F1706">
            <v>43519</v>
          </cell>
          <cell r="G1706" t="str">
            <v>OK</v>
          </cell>
        </row>
        <row r="1707">
          <cell r="A1707" t="str">
            <v>Y1902-0272</v>
          </cell>
          <cell r="B1707">
            <v>201810</v>
          </cell>
          <cell r="C1707" t="str">
            <v>0100175365</v>
          </cell>
          <cell r="D1707" t="str">
            <v>M9166C</v>
          </cell>
          <cell r="E1707">
            <v>8460</v>
          </cell>
          <cell r="F1707">
            <v>43519</v>
          </cell>
          <cell r="G1707" t="str">
            <v>OK</v>
          </cell>
        </row>
        <row r="1708">
          <cell r="A1708" t="str">
            <v>Y1902-0274</v>
          </cell>
          <cell r="B1708">
            <v>201810</v>
          </cell>
          <cell r="C1708" t="str">
            <v>0100175367</v>
          </cell>
          <cell r="D1708" t="str">
            <v>761307C</v>
          </cell>
          <cell r="E1708">
            <v>396</v>
          </cell>
          <cell r="F1708">
            <v>43519</v>
          </cell>
          <cell r="G1708" t="str">
            <v>OK</v>
          </cell>
        </row>
        <row r="1709">
          <cell r="A1709" t="str">
            <v>Y1902-0275</v>
          </cell>
          <cell r="B1709">
            <v>201810</v>
          </cell>
          <cell r="C1709" t="str">
            <v>0100175368</v>
          </cell>
          <cell r="D1709" t="str">
            <v>161577C</v>
          </cell>
          <cell r="E1709">
            <v>396</v>
          </cell>
          <cell r="F1709">
            <v>43519</v>
          </cell>
          <cell r="G1709" t="str">
            <v>OK</v>
          </cell>
        </row>
        <row r="1710">
          <cell r="A1710" t="str">
            <v>Y1902-0276</v>
          </cell>
          <cell r="B1710">
            <v>201810</v>
          </cell>
          <cell r="C1710" t="str">
            <v>0100175369</v>
          </cell>
          <cell r="D1710" t="str">
            <v>7J256C</v>
          </cell>
          <cell r="E1710">
            <v>120</v>
          </cell>
          <cell r="F1710">
            <v>43519</v>
          </cell>
          <cell r="G1710" t="str">
            <v>OK</v>
          </cell>
        </row>
        <row r="1711">
          <cell r="A1711" t="str">
            <v>Y1902-0277</v>
          </cell>
          <cell r="B1711">
            <v>201810</v>
          </cell>
          <cell r="C1711" t="str">
            <v>0100175370</v>
          </cell>
          <cell r="D1711" t="str">
            <v>M3310C</v>
          </cell>
          <cell r="E1711">
            <v>504</v>
          </cell>
          <cell r="F1711">
            <v>43519</v>
          </cell>
          <cell r="G1711" t="str">
            <v>OK</v>
          </cell>
        </row>
        <row r="1712">
          <cell r="A1712" t="str">
            <v>Y1902-0278</v>
          </cell>
          <cell r="B1712">
            <v>201810</v>
          </cell>
          <cell r="C1712" t="str">
            <v>0100175371</v>
          </cell>
          <cell r="D1712" t="str">
            <v>761308C</v>
          </cell>
          <cell r="E1712">
            <v>396</v>
          </cell>
          <cell r="F1712">
            <v>43519</v>
          </cell>
          <cell r="G1712" t="str">
            <v>OK</v>
          </cell>
        </row>
        <row r="1713">
          <cell r="A1713" t="str">
            <v>Y1902-0279</v>
          </cell>
          <cell r="B1713">
            <v>201810</v>
          </cell>
          <cell r="C1713" t="str">
            <v>0100175372</v>
          </cell>
          <cell r="D1713" t="str">
            <v>361307C</v>
          </cell>
          <cell r="E1713">
            <v>468</v>
          </cell>
          <cell r="F1713">
            <v>43519</v>
          </cell>
          <cell r="G1713" t="str">
            <v>OK</v>
          </cell>
        </row>
        <row r="1714">
          <cell r="A1714" t="str">
            <v>Y1902-0280</v>
          </cell>
          <cell r="B1714">
            <v>201810</v>
          </cell>
          <cell r="C1714" t="str">
            <v>0100175373</v>
          </cell>
          <cell r="D1714" t="str">
            <v>361308C</v>
          </cell>
          <cell r="E1714">
            <v>432</v>
          </cell>
          <cell r="F1714">
            <v>43519</v>
          </cell>
          <cell r="G1714" t="str">
            <v>OK</v>
          </cell>
        </row>
        <row r="1715">
          <cell r="A1715" t="str">
            <v>Y1902-0281</v>
          </cell>
          <cell r="B1715">
            <v>201810</v>
          </cell>
          <cell r="C1715" t="str">
            <v>0100175374</v>
          </cell>
          <cell r="D1715" t="str">
            <v>M5039C</v>
          </cell>
          <cell r="E1715">
            <v>1884</v>
          </cell>
          <cell r="F1715">
            <v>43519</v>
          </cell>
          <cell r="G1715" t="str">
            <v>OK</v>
          </cell>
        </row>
        <row r="1716">
          <cell r="A1716" t="str">
            <v>Y1902-0282</v>
          </cell>
          <cell r="B1716">
            <v>201810</v>
          </cell>
          <cell r="C1716" t="str">
            <v>0100175375</v>
          </cell>
          <cell r="D1716" t="str">
            <v>564152C</v>
          </cell>
          <cell r="E1716">
            <v>276</v>
          </cell>
          <cell r="F1716">
            <v>43519</v>
          </cell>
          <cell r="G1716" t="str">
            <v>OK</v>
          </cell>
        </row>
        <row r="1717">
          <cell r="A1717" t="str">
            <v>Y1902-0283</v>
          </cell>
          <cell r="B1717">
            <v>201810</v>
          </cell>
          <cell r="C1717" t="str">
            <v>0100175376</v>
          </cell>
          <cell r="D1717" t="str">
            <v>564153C</v>
          </cell>
          <cell r="E1717">
            <v>168</v>
          </cell>
          <cell r="F1717">
            <v>43519</v>
          </cell>
          <cell r="G1717" t="str">
            <v>OK</v>
          </cell>
        </row>
        <row r="1718">
          <cell r="A1718" t="str">
            <v>Y1902-0284</v>
          </cell>
          <cell r="B1718">
            <v>201810</v>
          </cell>
          <cell r="C1718" t="str">
            <v>0100175379</v>
          </cell>
          <cell r="D1718" t="str">
            <v>164217C</v>
          </cell>
          <cell r="E1718">
            <v>168</v>
          </cell>
          <cell r="F1718">
            <v>43519</v>
          </cell>
          <cell r="G1718" t="str">
            <v>OK</v>
          </cell>
        </row>
        <row r="1719">
          <cell r="A1719" t="str">
            <v>Y1902-0285</v>
          </cell>
          <cell r="B1719">
            <v>201810</v>
          </cell>
          <cell r="C1719" t="str">
            <v>0100175380</v>
          </cell>
          <cell r="D1719" t="str">
            <v>164218C</v>
          </cell>
          <cell r="E1719">
            <v>516</v>
          </cell>
          <cell r="F1719">
            <v>43519</v>
          </cell>
          <cell r="G1719" t="str">
            <v>OK</v>
          </cell>
        </row>
        <row r="1720">
          <cell r="A1720" t="str">
            <v>Y1902-0286</v>
          </cell>
          <cell r="B1720">
            <v>201810</v>
          </cell>
          <cell r="C1720" t="str">
            <v>0100175381</v>
          </cell>
          <cell r="D1720" t="str">
            <v>164220C</v>
          </cell>
          <cell r="E1720">
            <v>528</v>
          </cell>
          <cell r="F1720">
            <v>43519</v>
          </cell>
          <cell r="G1720" t="str">
            <v>OK</v>
          </cell>
        </row>
        <row r="1721">
          <cell r="A1721" t="str">
            <v>Y1902-0287</v>
          </cell>
          <cell r="B1721">
            <v>201810</v>
          </cell>
          <cell r="C1721" t="str">
            <v>0100175382</v>
          </cell>
          <cell r="D1721" t="str">
            <v>164359C</v>
          </cell>
          <cell r="E1721">
            <v>240</v>
          </cell>
          <cell r="F1721">
            <v>43519</v>
          </cell>
          <cell r="G1721" t="str">
            <v>OK</v>
          </cell>
        </row>
        <row r="1722">
          <cell r="A1722" t="str">
            <v>Y1902-0288</v>
          </cell>
          <cell r="B1722">
            <v>201810</v>
          </cell>
          <cell r="C1722" t="str">
            <v>0100175383</v>
          </cell>
          <cell r="D1722" t="str">
            <v>164360C</v>
          </cell>
          <cell r="E1722">
            <v>840</v>
          </cell>
          <cell r="F1722">
            <v>43519</v>
          </cell>
          <cell r="G1722" t="str">
            <v>OK</v>
          </cell>
        </row>
        <row r="1723">
          <cell r="A1723" t="str">
            <v>Y1902-0289</v>
          </cell>
          <cell r="B1723">
            <v>201810</v>
          </cell>
          <cell r="C1723" t="str">
            <v>0100175384</v>
          </cell>
          <cell r="D1723" t="str">
            <v>164361C</v>
          </cell>
          <cell r="E1723">
            <v>492</v>
          </cell>
          <cell r="F1723">
            <v>43519</v>
          </cell>
          <cell r="G1723" t="str">
            <v>OK</v>
          </cell>
        </row>
        <row r="1724">
          <cell r="A1724" t="str">
            <v>Y1902-0290</v>
          </cell>
          <cell r="B1724">
            <v>201810</v>
          </cell>
          <cell r="C1724" t="str">
            <v>0100175385</v>
          </cell>
          <cell r="D1724" t="str">
            <v>162066C</v>
          </cell>
          <cell r="E1724">
            <v>780</v>
          </cell>
          <cell r="F1724">
            <v>43519</v>
          </cell>
          <cell r="G1724" t="str">
            <v>OK</v>
          </cell>
        </row>
        <row r="1725">
          <cell r="A1725" t="str">
            <v>Y1902-0291</v>
          </cell>
          <cell r="B1725">
            <v>201810</v>
          </cell>
          <cell r="C1725" t="str">
            <v>0100175386</v>
          </cell>
          <cell r="D1725" t="str">
            <v>162068C</v>
          </cell>
          <cell r="E1725">
            <v>468</v>
          </cell>
          <cell r="F1725">
            <v>43519</v>
          </cell>
          <cell r="G1725" t="str">
            <v>OK</v>
          </cell>
        </row>
        <row r="1726">
          <cell r="A1726" t="str">
            <v>Y1902-0292</v>
          </cell>
          <cell r="B1726">
            <v>201810</v>
          </cell>
          <cell r="C1726" t="str">
            <v>0100175387</v>
          </cell>
          <cell r="D1726" t="str">
            <v>162069C</v>
          </cell>
          <cell r="E1726">
            <v>240</v>
          </cell>
          <cell r="F1726">
            <v>43519</v>
          </cell>
          <cell r="G1726" t="str">
            <v>OK</v>
          </cell>
        </row>
        <row r="1727">
          <cell r="A1727" t="str">
            <v>Y1902-0293</v>
          </cell>
          <cell r="B1727">
            <v>201810</v>
          </cell>
          <cell r="C1727" t="str">
            <v>0100175389</v>
          </cell>
          <cell r="D1727" t="str">
            <v>163269C</v>
          </cell>
          <cell r="E1727">
            <v>336</v>
          </cell>
          <cell r="F1727">
            <v>43519</v>
          </cell>
          <cell r="G1727" t="str">
            <v>OK</v>
          </cell>
        </row>
        <row r="1728">
          <cell r="A1728" t="str">
            <v>Y1902-0294</v>
          </cell>
          <cell r="B1728">
            <v>201810</v>
          </cell>
          <cell r="C1728" t="str">
            <v>0100175390</v>
          </cell>
          <cell r="D1728" t="str">
            <v>164390C</v>
          </cell>
          <cell r="E1728">
            <v>504</v>
          </cell>
          <cell r="F1728">
            <v>43519</v>
          </cell>
          <cell r="G1728" t="str">
            <v>OK</v>
          </cell>
        </row>
        <row r="1729">
          <cell r="A1729" t="str">
            <v>Y1902-0295</v>
          </cell>
          <cell r="B1729">
            <v>201810</v>
          </cell>
          <cell r="C1729" t="str">
            <v>0100175391</v>
          </cell>
          <cell r="D1729" t="str">
            <v>164525C</v>
          </cell>
          <cell r="E1729">
            <v>708</v>
          </cell>
          <cell r="F1729">
            <v>43519</v>
          </cell>
          <cell r="G1729" t="str">
            <v>OK</v>
          </cell>
        </row>
        <row r="1730">
          <cell r="A1730" t="str">
            <v>Y1902-0296</v>
          </cell>
          <cell r="B1730">
            <v>201810</v>
          </cell>
          <cell r="C1730" t="str">
            <v>0100175459</v>
          </cell>
          <cell r="D1730" t="str">
            <v>617660F</v>
          </cell>
          <cell r="E1730">
            <v>528</v>
          </cell>
          <cell r="F1730">
            <v>43519</v>
          </cell>
          <cell r="G1730" t="str">
            <v>OK</v>
          </cell>
        </row>
        <row r="1731">
          <cell r="A1731" t="str">
            <v>Y1902-0297</v>
          </cell>
          <cell r="B1731">
            <v>201810</v>
          </cell>
          <cell r="C1731" t="str">
            <v>0100175463</v>
          </cell>
          <cell r="D1731" t="str">
            <v>617663F</v>
          </cell>
          <cell r="E1731">
            <v>612</v>
          </cell>
          <cell r="F1731">
            <v>43519</v>
          </cell>
          <cell r="G1731" t="str">
            <v>OK</v>
          </cell>
        </row>
        <row r="1732">
          <cell r="A1732" t="str">
            <v>Y1902-0301</v>
          </cell>
          <cell r="B1732">
            <v>201810</v>
          </cell>
          <cell r="C1732" t="str">
            <v>0100175542</v>
          </cell>
          <cell r="D1732">
            <v>81229</v>
          </cell>
          <cell r="E1732">
            <v>600</v>
          </cell>
          <cell r="F1732">
            <v>43511</v>
          </cell>
          <cell r="G1732" t="str">
            <v>OK</v>
          </cell>
        </row>
        <row r="1733">
          <cell r="A1733" t="str">
            <v>Y1902-0303</v>
          </cell>
          <cell r="B1733">
            <v>201810</v>
          </cell>
          <cell r="C1733" t="str">
            <v>0100177703</v>
          </cell>
          <cell r="D1733" t="str">
            <v>M7650C</v>
          </cell>
          <cell r="E1733">
            <v>3444</v>
          </cell>
          <cell r="F1733">
            <v>43517</v>
          </cell>
          <cell r="G1733" t="str">
            <v>OK</v>
          </cell>
        </row>
        <row r="1734">
          <cell r="A1734" t="str">
            <v>Y1902-0304</v>
          </cell>
          <cell r="B1734">
            <v>201810</v>
          </cell>
          <cell r="C1734" t="str">
            <v>0100177704</v>
          </cell>
          <cell r="D1734" t="str">
            <v>M7652C</v>
          </cell>
          <cell r="E1734">
            <v>18828</v>
          </cell>
          <cell r="F1734">
            <v>43517</v>
          </cell>
          <cell r="G1734" t="str">
            <v>OK</v>
          </cell>
        </row>
        <row r="1735">
          <cell r="A1735" t="str">
            <v>Y1902-0305</v>
          </cell>
          <cell r="B1735">
            <v>201810</v>
          </cell>
          <cell r="C1735" t="str">
            <v>0100177705</v>
          </cell>
          <cell r="D1735" t="str">
            <v>565536C</v>
          </cell>
          <cell r="E1735">
            <v>1295</v>
          </cell>
          <cell r="F1735">
            <v>43521</v>
          </cell>
          <cell r="G1735" t="str">
            <v>OK</v>
          </cell>
        </row>
        <row r="1736">
          <cell r="A1736" t="str">
            <v>Y1902-0306</v>
          </cell>
          <cell r="B1736">
            <v>201810</v>
          </cell>
          <cell r="C1736" t="str">
            <v>0100177706</v>
          </cell>
          <cell r="D1736" t="str">
            <v>164359C</v>
          </cell>
          <cell r="E1736">
            <v>204</v>
          </cell>
          <cell r="F1736">
            <v>43507</v>
          </cell>
          <cell r="G1736" t="str">
            <v>OK</v>
          </cell>
        </row>
        <row r="1737">
          <cell r="A1737" t="str">
            <v>Y1902-0309</v>
          </cell>
          <cell r="B1737">
            <v>201810</v>
          </cell>
          <cell r="C1737" t="str">
            <v>0100177850</v>
          </cell>
          <cell r="D1737" t="str">
            <v>M7652C</v>
          </cell>
          <cell r="E1737">
            <v>18240</v>
          </cell>
          <cell r="F1737">
            <v>43517</v>
          </cell>
          <cell r="G1737" t="str">
            <v>OK</v>
          </cell>
        </row>
        <row r="1738">
          <cell r="A1738" t="str">
            <v>Y1902-0310</v>
          </cell>
          <cell r="B1738">
            <v>201810</v>
          </cell>
          <cell r="C1738" t="str">
            <v>0100177851</v>
          </cell>
          <cell r="D1738" t="str">
            <v>565548C</v>
          </cell>
          <cell r="E1738">
            <v>12</v>
          </cell>
          <cell r="F1738">
            <v>43521</v>
          </cell>
          <cell r="G1738" t="str">
            <v>OK</v>
          </cell>
        </row>
        <row r="1739">
          <cell r="A1739" t="str">
            <v>Y1902-0311</v>
          </cell>
          <cell r="B1739">
            <v>201810</v>
          </cell>
          <cell r="C1739" t="str">
            <v>0100177852</v>
          </cell>
          <cell r="D1739" t="str">
            <v>164390C</v>
          </cell>
          <cell r="E1739">
            <v>120</v>
          </cell>
          <cell r="F1739">
            <v>43507</v>
          </cell>
          <cell r="G1739" t="str">
            <v>OK</v>
          </cell>
        </row>
        <row r="1740">
          <cell r="A1740" t="str">
            <v>Y1902-0312</v>
          </cell>
          <cell r="B1740">
            <v>201810</v>
          </cell>
          <cell r="C1740" t="str">
            <v>0100177853</v>
          </cell>
          <cell r="D1740" t="str">
            <v>164390C</v>
          </cell>
          <cell r="E1740">
            <v>384</v>
          </cell>
          <cell r="F1740">
            <v>43509</v>
          </cell>
          <cell r="G1740" t="str">
            <v>OK</v>
          </cell>
        </row>
        <row r="1741">
          <cell r="A1741" t="str">
            <v>Y1902-0313</v>
          </cell>
          <cell r="B1741">
            <v>201810</v>
          </cell>
          <cell r="C1741" t="str">
            <v>0100177854</v>
          </cell>
          <cell r="D1741" t="str">
            <v>155064C</v>
          </cell>
          <cell r="E1741">
            <v>324</v>
          </cell>
          <cell r="F1741">
            <v>43509</v>
          </cell>
          <cell r="G1741" t="str">
            <v>OK</v>
          </cell>
        </row>
        <row r="1742">
          <cell r="A1742" t="str">
            <v>Y1902-0314</v>
          </cell>
          <cell r="B1742">
            <v>201810</v>
          </cell>
          <cell r="C1742" t="str">
            <v>0100177855</v>
          </cell>
          <cell r="D1742" t="str">
            <v>M7652C</v>
          </cell>
          <cell r="E1742">
            <v>492</v>
          </cell>
          <cell r="F1742">
            <v>43510</v>
          </cell>
          <cell r="G1742" t="str">
            <v>OK</v>
          </cell>
        </row>
        <row r="1743">
          <cell r="A1743" t="str">
            <v>Y1902-0315</v>
          </cell>
          <cell r="B1743">
            <v>201810</v>
          </cell>
          <cell r="C1743" t="str">
            <v>0100177936</v>
          </cell>
          <cell r="D1743" t="str">
            <v>565536C</v>
          </cell>
          <cell r="E1743">
            <v>18</v>
          </cell>
          <cell r="F1743">
            <v>43521</v>
          </cell>
          <cell r="G1743" t="str">
            <v>OK</v>
          </cell>
        </row>
        <row r="1744">
          <cell r="A1744" t="str">
            <v>Y1902-0316</v>
          </cell>
          <cell r="B1744">
            <v>201810</v>
          </cell>
          <cell r="C1744" t="str">
            <v>0100177937</v>
          </cell>
          <cell r="D1744" t="str">
            <v>164392C</v>
          </cell>
          <cell r="E1744">
            <v>516</v>
          </cell>
          <cell r="F1744">
            <v>43509</v>
          </cell>
          <cell r="G1744" t="str">
            <v>OK</v>
          </cell>
        </row>
        <row r="1745">
          <cell r="A1745" t="str">
            <v>Y1902-0317</v>
          </cell>
          <cell r="B1745">
            <v>201810</v>
          </cell>
          <cell r="C1745" t="str">
            <v>0100177938</v>
          </cell>
          <cell r="D1745" t="str">
            <v>155066C</v>
          </cell>
          <cell r="E1745">
            <v>240</v>
          </cell>
          <cell r="F1745">
            <v>43509</v>
          </cell>
          <cell r="G1745" t="str">
            <v>OK</v>
          </cell>
        </row>
        <row r="1746">
          <cell r="A1746" t="str">
            <v>Y1902-0318</v>
          </cell>
          <cell r="B1746">
            <v>201810</v>
          </cell>
          <cell r="C1746" t="str">
            <v>0100177939</v>
          </cell>
          <cell r="D1746" t="str">
            <v>1J794C</v>
          </cell>
          <cell r="E1746">
            <v>264</v>
          </cell>
          <cell r="F1746">
            <v>43510</v>
          </cell>
          <cell r="G1746" t="str">
            <v>OK</v>
          </cell>
        </row>
        <row r="1747">
          <cell r="A1747" t="str">
            <v>Y1902-0319</v>
          </cell>
          <cell r="B1747">
            <v>201810</v>
          </cell>
          <cell r="C1747" t="str">
            <v>0100178006</v>
          </cell>
          <cell r="D1747" t="str">
            <v>164393C</v>
          </cell>
          <cell r="E1747">
            <v>516</v>
          </cell>
          <cell r="F1747">
            <v>43509</v>
          </cell>
          <cell r="G1747" t="str">
            <v>OK</v>
          </cell>
        </row>
        <row r="1748">
          <cell r="A1748" t="str">
            <v>Y1902-0322</v>
          </cell>
          <cell r="B1748">
            <v>201810</v>
          </cell>
          <cell r="C1748" t="str">
            <v>0100178078</v>
          </cell>
          <cell r="D1748" t="str">
            <v>164219C</v>
          </cell>
          <cell r="E1748">
            <v>120</v>
          </cell>
          <cell r="F1748">
            <v>43507</v>
          </cell>
          <cell r="G1748" t="str">
            <v>OK</v>
          </cell>
        </row>
        <row r="1749">
          <cell r="A1749" t="str">
            <v>Y1902-0323</v>
          </cell>
          <cell r="B1749">
            <v>201810</v>
          </cell>
          <cell r="C1749" t="str">
            <v>0100178079</v>
          </cell>
          <cell r="D1749" t="str">
            <v>164220C</v>
          </cell>
          <cell r="E1749">
            <v>120</v>
          </cell>
          <cell r="F1749">
            <v>43507</v>
          </cell>
          <cell r="G1749" t="str">
            <v>OK</v>
          </cell>
        </row>
        <row r="1750">
          <cell r="A1750" t="str">
            <v>Y1902-0324</v>
          </cell>
          <cell r="B1750">
            <v>201810</v>
          </cell>
          <cell r="C1750" t="str">
            <v>0100178080</v>
          </cell>
          <cell r="D1750" t="str">
            <v>164280C</v>
          </cell>
          <cell r="E1750">
            <v>204</v>
          </cell>
          <cell r="F1750">
            <v>43507</v>
          </cell>
          <cell r="G1750" t="str">
            <v>OK</v>
          </cell>
        </row>
        <row r="1751">
          <cell r="A1751" t="str">
            <v>Y1902-0325</v>
          </cell>
          <cell r="B1751">
            <v>201810</v>
          </cell>
          <cell r="C1751" t="str">
            <v>0100178081</v>
          </cell>
          <cell r="D1751" t="str">
            <v>564204C</v>
          </cell>
          <cell r="E1751">
            <v>192</v>
          </cell>
          <cell r="F1751">
            <v>43507</v>
          </cell>
          <cell r="G1751" t="str">
            <v>OK</v>
          </cell>
        </row>
        <row r="1752">
          <cell r="A1752" t="str">
            <v>Y1902-0326</v>
          </cell>
          <cell r="B1752">
            <v>201810</v>
          </cell>
          <cell r="C1752" t="str">
            <v>0100178082</v>
          </cell>
          <cell r="D1752" t="str">
            <v>564206C</v>
          </cell>
          <cell r="E1752">
            <v>192</v>
          </cell>
          <cell r="F1752">
            <v>43507</v>
          </cell>
          <cell r="G1752" t="str">
            <v>OK</v>
          </cell>
        </row>
        <row r="1753">
          <cell r="A1753" t="str">
            <v>Y1902-0328</v>
          </cell>
          <cell r="B1753">
            <v>201810</v>
          </cell>
          <cell r="C1753" t="str">
            <v>0100178084</v>
          </cell>
          <cell r="D1753" t="str">
            <v>159484C</v>
          </cell>
          <cell r="E1753">
            <v>132</v>
          </cell>
          <cell r="F1753">
            <v>43509</v>
          </cell>
          <cell r="G1753" t="str">
            <v>OK</v>
          </cell>
        </row>
        <row r="1754">
          <cell r="A1754" t="str">
            <v>Y1902-0329</v>
          </cell>
          <cell r="B1754">
            <v>201810</v>
          </cell>
          <cell r="C1754" t="str">
            <v>0100178085</v>
          </cell>
          <cell r="D1754" t="str">
            <v>159786C</v>
          </cell>
          <cell r="E1754">
            <v>288</v>
          </cell>
          <cell r="F1754">
            <v>43509</v>
          </cell>
          <cell r="G1754" t="str">
            <v>OK</v>
          </cell>
        </row>
        <row r="1755">
          <cell r="A1755" t="str">
            <v>Y1902-0332</v>
          </cell>
          <cell r="B1755">
            <v>201810</v>
          </cell>
          <cell r="C1755" t="str">
            <v>0100178088</v>
          </cell>
          <cell r="D1755" t="str">
            <v>1J794C</v>
          </cell>
          <cell r="E1755">
            <v>2280</v>
          </cell>
          <cell r="F1755">
            <v>43509</v>
          </cell>
          <cell r="G1755" t="str">
            <v>OK</v>
          </cell>
        </row>
        <row r="1756">
          <cell r="A1756" t="str">
            <v>Y1902-0333</v>
          </cell>
          <cell r="B1756">
            <v>201810</v>
          </cell>
          <cell r="C1756" t="str">
            <v>0100178089</v>
          </cell>
          <cell r="D1756" t="str">
            <v>M3310C</v>
          </cell>
          <cell r="E1756">
            <v>1800</v>
          </cell>
          <cell r="F1756">
            <v>43509</v>
          </cell>
          <cell r="G1756" t="str">
            <v>OK</v>
          </cell>
        </row>
        <row r="1757">
          <cell r="A1757" t="str">
            <v>Y1902-0336</v>
          </cell>
          <cell r="B1757">
            <v>201810</v>
          </cell>
          <cell r="C1757" t="str">
            <v>0100178092</v>
          </cell>
          <cell r="D1757" t="str">
            <v>M3310C</v>
          </cell>
          <cell r="E1757">
            <v>432</v>
          </cell>
          <cell r="F1757">
            <v>43510</v>
          </cell>
          <cell r="G1757" t="str">
            <v>OK</v>
          </cell>
        </row>
        <row r="1758">
          <cell r="A1758" t="str">
            <v>Y1902-0337</v>
          </cell>
          <cell r="B1758">
            <v>201810</v>
          </cell>
          <cell r="C1758" t="str">
            <v>0100178235</v>
          </cell>
          <cell r="D1758" t="str">
            <v>164281C</v>
          </cell>
          <cell r="E1758">
            <v>144</v>
          </cell>
          <cell r="F1758">
            <v>43507</v>
          </cell>
          <cell r="G1758" t="str">
            <v>OK</v>
          </cell>
        </row>
        <row r="1759">
          <cell r="A1759" t="str">
            <v>Y1902-0338</v>
          </cell>
          <cell r="B1759">
            <v>201810</v>
          </cell>
          <cell r="C1759" t="str">
            <v>0100178236</v>
          </cell>
          <cell r="D1759" t="str">
            <v>164282C</v>
          </cell>
          <cell r="E1759">
            <v>180</v>
          </cell>
          <cell r="F1759">
            <v>43507</v>
          </cell>
          <cell r="G1759" t="str">
            <v>OK</v>
          </cell>
        </row>
        <row r="1760">
          <cell r="A1760" t="str">
            <v>Y1902-0339</v>
          </cell>
          <cell r="B1760">
            <v>201810</v>
          </cell>
          <cell r="C1760" t="str">
            <v>0100178237</v>
          </cell>
          <cell r="D1760" t="str">
            <v>M3310C</v>
          </cell>
          <cell r="E1760">
            <v>168</v>
          </cell>
          <cell r="F1760">
            <v>43507</v>
          </cell>
          <cell r="G1760" t="str">
            <v>OK</v>
          </cell>
        </row>
        <row r="1761">
          <cell r="A1761" t="str">
            <v>Y1902-0340</v>
          </cell>
          <cell r="B1761">
            <v>201810</v>
          </cell>
          <cell r="C1761" t="str">
            <v>0100178238</v>
          </cell>
          <cell r="D1761" t="str">
            <v>M7650C</v>
          </cell>
          <cell r="E1761">
            <v>216</v>
          </cell>
          <cell r="F1761">
            <v>43507</v>
          </cell>
          <cell r="G1761" t="str">
            <v>OK</v>
          </cell>
        </row>
        <row r="1762">
          <cell r="A1762" t="str">
            <v>Y1902-0341</v>
          </cell>
          <cell r="B1762">
            <v>201810</v>
          </cell>
          <cell r="C1762" t="str">
            <v>0100178239</v>
          </cell>
          <cell r="D1762" t="str">
            <v>M7652C</v>
          </cell>
          <cell r="E1762">
            <v>672</v>
          </cell>
          <cell r="F1762">
            <v>43507</v>
          </cell>
          <cell r="G1762" t="str">
            <v>OK</v>
          </cell>
        </row>
        <row r="1763">
          <cell r="A1763" t="str">
            <v>Y1902-0342</v>
          </cell>
          <cell r="B1763">
            <v>201810</v>
          </cell>
          <cell r="C1763" t="str">
            <v>0100178240</v>
          </cell>
          <cell r="D1763" t="str">
            <v>163380C</v>
          </cell>
          <cell r="E1763">
            <v>420</v>
          </cell>
          <cell r="F1763">
            <v>43507</v>
          </cell>
          <cell r="G1763" t="str">
            <v>OK</v>
          </cell>
        </row>
        <row r="1764">
          <cell r="A1764" t="str">
            <v>Y1902-0343</v>
          </cell>
          <cell r="B1764">
            <v>201810</v>
          </cell>
          <cell r="C1764" t="str">
            <v>0100178241</v>
          </cell>
          <cell r="D1764" t="str">
            <v>M7650C</v>
          </cell>
          <cell r="E1764">
            <v>2244</v>
          </cell>
          <cell r="F1764">
            <v>43509</v>
          </cell>
          <cell r="G1764" t="str">
            <v>OK</v>
          </cell>
        </row>
        <row r="1765">
          <cell r="A1765" t="str">
            <v>Y1902-0344</v>
          </cell>
          <cell r="B1765">
            <v>201810</v>
          </cell>
          <cell r="C1765" t="str">
            <v>0100178242</v>
          </cell>
          <cell r="D1765" t="str">
            <v>M7652C</v>
          </cell>
          <cell r="E1765">
            <v>14892</v>
          </cell>
          <cell r="F1765">
            <v>43509</v>
          </cell>
          <cell r="G1765" t="str">
            <v>OK</v>
          </cell>
        </row>
        <row r="1766">
          <cell r="A1766" t="str">
            <v>Y1902-0349</v>
          </cell>
          <cell r="B1766">
            <v>201810</v>
          </cell>
          <cell r="C1766" t="str">
            <v>0100178247</v>
          </cell>
          <cell r="D1766" t="str">
            <v>M7650C</v>
          </cell>
          <cell r="E1766">
            <v>876</v>
          </cell>
          <cell r="F1766">
            <v>43510</v>
          </cell>
          <cell r="G1766" t="str">
            <v>OK</v>
          </cell>
        </row>
        <row r="1767">
          <cell r="A1767" t="str">
            <v>Y1902-0350</v>
          </cell>
          <cell r="B1767">
            <v>201810</v>
          </cell>
          <cell r="C1767" t="str">
            <v>0100178325</v>
          </cell>
          <cell r="D1767" t="str">
            <v>164358C</v>
          </cell>
          <cell r="E1767">
            <v>120</v>
          </cell>
          <cell r="F1767">
            <v>43507</v>
          </cell>
          <cell r="G1767" t="str">
            <v>OK</v>
          </cell>
        </row>
        <row r="1768">
          <cell r="A1768" t="str">
            <v>Y1902-0351</v>
          </cell>
          <cell r="B1768">
            <v>201810</v>
          </cell>
          <cell r="C1768" t="str">
            <v>0100178326</v>
          </cell>
          <cell r="D1768" t="str">
            <v>164360C</v>
          </cell>
          <cell r="E1768">
            <v>144</v>
          </cell>
          <cell r="F1768">
            <v>43507</v>
          </cell>
          <cell r="G1768" t="str">
            <v>OK</v>
          </cell>
        </row>
        <row r="1769">
          <cell r="A1769" t="str">
            <v>Y1902-0352</v>
          </cell>
          <cell r="B1769">
            <v>201810</v>
          </cell>
          <cell r="C1769" t="str">
            <v>0100178327</v>
          </cell>
          <cell r="D1769" t="str">
            <v>164361C</v>
          </cell>
          <cell r="E1769">
            <v>144</v>
          </cell>
          <cell r="F1769">
            <v>43507</v>
          </cell>
          <cell r="G1769" t="str">
            <v>OK</v>
          </cell>
        </row>
        <row r="1770">
          <cell r="A1770" t="str">
            <v>Y1902-0353</v>
          </cell>
          <cell r="B1770">
            <v>201810</v>
          </cell>
          <cell r="C1770" t="str">
            <v>0100178328</v>
          </cell>
          <cell r="D1770" t="str">
            <v>164390C</v>
          </cell>
          <cell r="E1770">
            <v>120</v>
          </cell>
          <cell r="F1770">
            <v>43507</v>
          </cell>
          <cell r="G1770" t="str">
            <v>OK</v>
          </cell>
        </row>
        <row r="1771">
          <cell r="A1771" t="str">
            <v>Y1902-0354</v>
          </cell>
          <cell r="B1771">
            <v>201810</v>
          </cell>
          <cell r="C1771" t="str">
            <v>0100178329</v>
          </cell>
          <cell r="D1771" t="str">
            <v>164392C</v>
          </cell>
          <cell r="E1771">
            <v>120</v>
          </cell>
          <cell r="F1771">
            <v>43507</v>
          </cell>
          <cell r="G1771" t="str">
            <v>OK</v>
          </cell>
        </row>
        <row r="1772">
          <cell r="A1772" t="str">
            <v>Y1902-0355</v>
          </cell>
          <cell r="B1772">
            <v>201810</v>
          </cell>
          <cell r="C1772" t="str">
            <v>0100178330</v>
          </cell>
          <cell r="D1772" t="str">
            <v>M9697C</v>
          </cell>
          <cell r="E1772">
            <v>1560</v>
          </cell>
          <cell r="F1772">
            <v>43509</v>
          </cell>
          <cell r="G1772" t="str">
            <v>OK</v>
          </cell>
        </row>
        <row r="1773">
          <cell r="A1773" t="str">
            <v>Y1902-0356</v>
          </cell>
          <cell r="B1773">
            <v>201810</v>
          </cell>
          <cell r="C1773" t="str">
            <v>0100178331</v>
          </cell>
          <cell r="D1773" t="str">
            <v>M9697C</v>
          </cell>
          <cell r="E1773">
            <v>444</v>
          </cell>
          <cell r="F1773">
            <v>43510</v>
          </cell>
          <cell r="G1773" t="str">
            <v>OK</v>
          </cell>
        </row>
        <row r="1774">
          <cell r="A1774" t="str">
            <v>Y1902-0357</v>
          </cell>
          <cell r="B1774">
            <v>201810</v>
          </cell>
          <cell r="C1774" t="str">
            <v>0100178332</v>
          </cell>
          <cell r="D1774" t="str">
            <v>M7652C</v>
          </cell>
          <cell r="E1774">
            <v>1080</v>
          </cell>
          <cell r="F1774">
            <v>43510</v>
          </cell>
          <cell r="G1774" t="str">
            <v>OK</v>
          </cell>
        </row>
        <row r="1775">
          <cell r="A1775" t="str">
            <v>Y1902-0358</v>
          </cell>
          <cell r="B1775">
            <v>201810</v>
          </cell>
          <cell r="C1775" t="str">
            <v>0100178333</v>
          </cell>
          <cell r="D1775" t="str">
            <v>1J794C</v>
          </cell>
          <cell r="E1775">
            <v>432</v>
          </cell>
          <cell r="F1775">
            <v>43510</v>
          </cell>
          <cell r="G1775" t="str">
            <v>OK</v>
          </cell>
        </row>
        <row r="1776">
          <cell r="A1776" t="str">
            <v>Y1902-0359</v>
          </cell>
          <cell r="B1776">
            <v>201810</v>
          </cell>
          <cell r="C1776" t="str">
            <v>0100178400</v>
          </cell>
          <cell r="D1776" t="str">
            <v>1J794C</v>
          </cell>
          <cell r="E1776">
            <v>120</v>
          </cell>
          <cell r="F1776">
            <v>43507</v>
          </cell>
          <cell r="G1776" t="str">
            <v>OK</v>
          </cell>
        </row>
        <row r="1777">
          <cell r="A1777" t="str">
            <v>Y1902-0364</v>
          </cell>
          <cell r="B1777">
            <v>201810</v>
          </cell>
          <cell r="C1777" t="str">
            <v>0100178456</v>
          </cell>
          <cell r="D1777" t="str">
            <v>364169C</v>
          </cell>
          <cell r="E1777">
            <v>120</v>
          </cell>
          <cell r="F1777">
            <v>43507</v>
          </cell>
          <cell r="G1777" t="str">
            <v>OK</v>
          </cell>
        </row>
        <row r="1778">
          <cell r="A1778" t="str">
            <v>Y1902-0365</v>
          </cell>
          <cell r="B1778">
            <v>201810</v>
          </cell>
          <cell r="C1778" t="str">
            <v>0100178457</v>
          </cell>
          <cell r="D1778" t="str">
            <v>3J256C</v>
          </cell>
          <cell r="E1778">
            <v>120</v>
          </cell>
          <cell r="F1778">
            <v>43507</v>
          </cell>
          <cell r="G1778" t="str">
            <v>OK</v>
          </cell>
        </row>
        <row r="1779">
          <cell r="A1779" t="str">
            <v>Y1902-0366</v>
          </cell>
          <cell r="B1779">
            <v>201810</v>
          </cell>
          <cell r="C1779" t="str">
            <v>0100178522</v>
          </cell>
          <cell r="D1779" t="str">
            <v>764172C</v>
          </cell>
          <cell r="E1779">
            <v>180</v>
          </cell>
          <cell r="F1779">
            <v>43507</v>
          </cell>
          <cell r="G1779" t="str">
            <v>OK</v>
          </cell>
        </row>
        <row r="1780">
          <cell r="A1780" t="str">
            <v>Y1902-0367</v>
          </cell>
          <cell r="B1780">
            <v>201810</v>
          </cell>
          <cell r="C1780" t="str">
            <v>0100178523</v>
          </cell>
          <cell r="D1780" t="str">
            <v>164281C</v>
          </cell>
          <cell r="E1780">
            <v>156</v>
          </cell>
          <cell r="F1780">
            <v>43509</v>
          </cell>
          <cell r="G1780" t="str">
            <v>OK</v>
          </cell>
        </row>
        <row r="1781">
          <cell r="A1781" t="str">
            <v>Y1902-0369</v>
          </cell>
          <cell r="B1781">
            <v>201810</v>
          </cell>
          <cell r="C1781" t="str">
            <v>0100178625</v>
          </cell>
          <cell r="D1781" t="str">
            <v>7J256C</v>
          </cell>
          <cell r="E1781">
            <v>120</v>
          </cell>
          <cell r="F1781">
            <v>43507</v>
          </cell>
          <cell r="G1781" t="str">
            <v>OK</v>
          </cell>
        </row>
        <row r="1782">
          <cell r="A1782" t="str">
            <v>Y1902-0370</v>
          </cell>
          <cell r="B1782">
            <v>201810</v>
          </cell>
          <cell r="C1782" t="str">
            <v>0100178626</v>
          </cell>
          <cell r="D1782" t="str">
            <v>M7650C</v>
          </cell>
          <cell r="E1782">
            <v>936</v>
          </cell>
          <cell r="F1782">
            <v>43507</v>
          </cell>
          <cell r="G1782" t="str">
            <v>OK</v>
          </cell>
        </row>
        <row r="1783">
          <cell r="A1783" t="str">
            <v>Y1902-0371</v>
          </cell>
          <cell r="B1783">
            <v>201810</v>
          </cell>
          <cell r="C1783" t="str">
            <v>0100178627</v>
          </cell>
          <cell r="D1783" t="str">
            <v>M7652C</v>
          </cell>
          <cell r="E1783">
            <v>1656</v>
          </cell>
          <cell r="F1783">
            <v>43507</v>
          </cell>
          <cell r="G1783" t="str">
            <v>OK</v>
          </cell>
        </row>
        <row r="1784">
          <cell r="A1784" t="str">
            <v>Y1902-0372</v>
          </cell>
          <cell r="B1784">
            <v>201810</v>
          </cell>
          <cell r="C1784" t="str">
            <v>0100178628</v>
          </cell>
          <cell r="D1784" t="str">
            <v>164358C</v>
          </cell>
          <cell r="E1784">
            <v>516</v>
          </cell>
          <cell r="F1784">
            <v>43509</v>
          </cell>
          <cell r="G1784" t="str">
            <v>OK</v>
          </cell>
        </row>
        <row r="1785">
          <cell r="A1785" t="str">
            <v>Y1902-0373</v>
          </cell>
          <cell r="B1785">
            <v>201810</v>
          </cell>
          <cell r="C1785" t="str">
            <v>0100178629</v>
          </cell>
          <cell r="D1785" t="str">
            <v>164359C</v>
          </cell>
          <cell r="E1785">
            <v>528</v>
          </cell>
          <cell r="F1785">
            <v>43509</v>
          </cell>
          <cell r="G1785" t="str">
            <v>OK</v>
          </cell>
        </row>
        <row r="1786">
          <cell r="A1786" t="str">
            <v>Y1902-0374</v>
          </cell>
          <cell r="B1786">
            <v>201810</v>
          </cell>
          <cell r="C1786" t="str">
            <v>0100178630</v>
          </cell>
          <cell r="D1786" t="str">
            <v>164360C</v>
          </cell>
          <cell r="E1786">
            <v>468</v>
          </cell>
          <cell r="F1786">
            <v>43509</v>
          </cell>
          <cell r="G1786" t="str">
            <v>OK</v>
          </cell>
        </row>
        <row r="1787">
          <cell r="A1787" t="str">
            <v>Y1902-0375</v>
          </cell>
          <cell r="B1787">
            <v>201810</v>
          </cell>
          <cell r="C1787" t="str">
            <v>0100178631</v>
          </cell>
          <cell r="D1787" t="str">
            <v>164361C</v>
          </cell>
          <cell r="E1787">
            <v>300</v>
          </cell>
          <cell r="F1787">
            <v>43509</v>
          </cell>
          <cell r="G1787" t="str">
            <v>OK</v>
          </cell>
        </row>
        <row r="1788">
          <cell r="A1788" t="str">
            <v>Y1902-0376</v>
          </cell>
          <cell r="B1788">
            <v>201810</v>
          </cell>
          <cell r="C1788" t="str">
            <v>0100178632</v>
          </cell>
          <cell r="D1788" t="str">
            <v>164362C</v>
          </cell>
          <cell r="E1788">
            <v>384</v>
          </cell>
          <cell r="F1788">
            <v>43509</v>
          </cell>
          <cell r="G1788" t="str">
            <v>OK</v>
          </cell>
        </row>
        <row r="1789">
          <cell r="A1789" t="str">
            <v>Y1902-0377</v>
          </cell>
          <cell r="B1789">
            <v>201810</v>
          </cell>
          <cell r="C1789" t="str">
            <v>0100178633</v>
          </cell>
          <cell r="D1789" t="str">
            <v>164390C</v>
          </cell>
          <cell r="E1789">
            <v>288</v>
          </cell>
          <cell r="F1789">
            <v>43509</v>
          </cell>
          <cell r="G1789" t="str">
            <v>OK</v>
          </cell>
        </row>
        <row r="1790">
          <cell r="A1790" t="str">
            <v>Y1902-0379</v>
          </cell>
          <cell r="B1790">
            <v>201810</v>
          </cell>
          <cell r="C1790" t="str">
            <v>0100178688</v>
          </cell>
          <cell r="D1790" t="str">
            <v>M9697C</v>
          </cell>
          <cell r="E1790">
            <v>204</v>
          </cell>
          <cell r="F1790">
            <v>43507</v>
          </cell>
          <cell r="G1790" t="str">
            <v>OK</v>
          </cell>
        </row>
        <row r="1791">
          <cell r="A1791" t="str">
            <v>Y1902-0380</v>
          </cell>
          <cell r="B1791">
            <v>201810</v>
          </cell>
          <cell r="C1791" t="str">
            <v>0100178689</v>
          </cell>
          <cell r="D1791" t="str">
            <v>164392C</v>
          </cell>
          <cell r="E1791">
            <v>540</v>
          </cell>
          <cell r="F1791">
            <v>43509</v>
          </cell>
          <cell r="G1791" t="str">
            <v>OK</v>
          </cell>
        </row>
        <row r="1792">
          <cell r="A1792" t="str">
            <v>Y1902-0381</v>
          </cell>
          <cell r="B1792">
            <v>201810</v>
          </cell>
          <cell r="C1792" t="str">
            <v>0100178690</v>
          </cell>
          <cell r="D1792" t="str">
            <v>164393C</v>
          </cell>
          <cell r="E1792">
            <v>540</v>
          </cell>
          <cell r="F1792">
            <v>43509</v>
          </cell>
          <cell r="G1792" t="str">
            <v>OK</v>
          </cell>
        </row>
        <row r="1793">
          <cell r="A1793" t="str">
            <v>Y1902-0382</v>
          </cell>
          <cell r="B1793">
            <v>201810</v>
          </cell>
          <cell r="C1793" t="str">
            <v>0100178739</v>
          </cell>
          <cell r="D1793" t="str">
            <v>164525C</v>
          </cell>
          <cell r="E1793">
            <v>120</v>
          </cell>
          <cell r="F1793">
            <v>43509</v>
          </cell>
          <cell r="G1793" t="str">
            <v>OK</v>
          </cell>
        </row>
        <row r="1794">
          <cell r="A1794" t="str">
            <v>Y1902-0383</v>
          </cell>
          <cell r="B1794">
            <v>201810</v>
          </cell>
          <cell r="C1794" t="str">
            <v>0100178740</v>
          </cell>
          <cell r="D1794" t="str">
            <v>364169C</v>
          </cell>
          <cell r="E1794">
            <v>216</v>
          </cell>
          <cell r="F1794">
            <v>43509</v>
          </cell>
          <cell r="G1794" t="str">
            <v>OK</v>
          </cell>
        </row>
        <row r="1795">
          <cell r="A1795" t="str">
            <v>Y1902-0384</v>
          </cell>
          <cell r="B1795">
            <v>201810</v>
          </cell>
          <cell r="C1795" t="str">
            <v>0100178741</v>
          </cell>
          <cell r="D1795" t="str">
            <v>364170C</v>
          </cell>
          <cell r="E1795">
            <v>216</v>
          </cell>
          <cell r="F1795">
            <v>43509</v>
          </cell>
          <cell r="G1795" t="str">
            <v>OK</v>
          </cell>
        </row>
        <row r="1796">
          <cell r="A1796" t="str">
            <v>Y1902-0385</v>
          </cell>
          <cell r="B1796">
            <v>201810</v>
          </cell>
          <cell r="C1796" t="str">
            <v>0100178742</v>
          </cell>
          <cell r="D1796" t="str">
            <v>3J234C</v>
          </cell>
          <cell r="E1796">
            <v>156</v>
          </cell>
          <cell r="F1796">
            <v>43509</v>
          </cell>
          <cell r="G1796" t="str">
            <v>OK</v>
          </cell>
        </row>
        <row r="1797">
          <cell r="A1797" t="str">
            <v>Y1902-0388</v>
          </cell>
          <cell r="B1797">
            <v>201810</v>
          </cell>
          <cell r="C1797" t="str">
            <v>0100178769</v>
          </cell>
          <cell r="D1797" t="str">
            <v>3J238C</v>
          </cell>
          <cell r="E1797">
            <v>204</v>
          </cell>
          <cell r="F1797">
            <v>43509</v>
          </cell>
          <cell r="G1797" t="str">
            <v>OK</v>
          </cell>
        </row>
        <row r="1798">
          <cell r="A1798" t="str">
            <v>Y1902-0389</v>
          </cell>
          <cell r="B1798">
            <v>201810</v>
          </cell>
          <cell r="C1798" t="str">
            <v>0100178770</v>
          </cell>
          <cell r="D1798" t="str">
            <v>3J253C</v>
          </cell>
          <cell r="E1798">
            <v>288</v>
          </cell>
          <cell r="F1798">
            <v>43509</v>
          </cell>
          <cell r="G1798" t="str">
            <v>OK</v>
          </cell>
        </row>
        <row r="1799">
          <cell r="A1799" t="str">
            <v>Y1902-0390</v>
          </cell>
          <cell r="B1799">
            <v>201810</v>
          </cell>
          <cell r="C1799" t="str">
            <v>0100178771</v>
          </cell>
          <cell r="D1799" t="str">
            <v>3J256C</v>
          </cell>
          <cell r="E1799">
            <v>792</v>
          </cell>
          <cell r="F1799">
            <v>43509</v>
          </cell>
          <cell r="G1799" t="str">
            <v>OK</v>
          </cell>
        </row>
        <row r="1800">
          <cell r="A1800" t="str">
            <v>Y1902-0391</v>
          </cell>
          <cell r="B1800">
            <v>201810</v>
          </cell>
          <cell r="C1800" t="str">
            <v>0100178855</v>
          </cell>
          <cell r="D1800" t="str">
            <v>564151C</v>
          </cell>
          <cell r="E1800">
            <v>1932</v>
          </cell>
          <cell r="F1800">
            <v>43509</v>
          </cell>
          <cell r="G1800" t="str">
            <v>OK</v>
          </cell>
        </row>
        <row r="1801">
          <cell r="A1801" t="str">
            <v>Y1902-0392</v>
          </cell>
          <cell r="B1801">
            <v>201810</v>
          </cell>
          <cell r="C1801" t="str">
            <v>0100178856</v>
          </cell>
          <cell r="D1801" t="str">
            <v>564152C</v>
          </cell>
          <cell r="E1801">
            <v>756</v>
          </cell>
          <cell r="F1801">
            <v>43509</v>
          </cell>
          <cell r="G1801" t="str">
            <v>OK</v>
          </cell>
        </row>
        <row r="1802">
          <cell r="A1802" t="str">
            <v>Y1902-0393</v>
          </cell>
          <cell r="B1802">
            <v>201810</v>
          </cell>
          <cell r="C1802" t="str">
            <v>0100178857</v>
          </cell>
          <cell r="D1802" t="str">
            <v>564153C</v>
          </cell>
          <cell r="E1802">
            <v>2040</v>
          </cell>
          <cell r="F1802">
            <v>43509</v>
          </cell>
          <cell r="G1802" t="str">
            <v>OK</v>
          </cell>
        </row>
        <row r="1803">
          <cell r="A1803" t="str">
            <v>Y1902-0394</v>
          </cell>
          <cell r="B1803">
            <v>201810</v>
          </cell>
          <cell r="C1803" t="str">
            <v>0100178858</v>
          </cell>
          <cell r="D1803" t="str">
            <v>564154C</v>
          </cell>
          <cell r="E1803">
            <v>324</v>
          </cell>
          <cell r="F1803">
            <v>43509</v>
          </cell>
          <cell r="G1803" t="str">
            <v>OK</v>
          </cell>
        </row>
        <row r="1804">
          <cell r="A1804" t="str">
            <v>Y1902-0395</v>
          </cell>
          <cell r="B1804">
            <v>201810</v>
          </cell>
          <cell r="C1804" t="str">
            <v>0100178859</v>
          </cell>
          <cell r="D1804" t="str">
            <v>664184C</v>
          </cell>
          <cell r="E1804">
            <v>384</v>
          </cell>
          <cell r="F1804">
            <v>43509</v>
          </cell>
          <cell r="G1804" t="str">
            <v>OK</v>
          </cell>
        </row>
        <row r="1805">
          <cell r="A1805" t="str">
            <v>Y1902-0396</v>
          </cell>
          <cell r="B1805">
            <v>201810</v>
          </cell>
          <cell r="C1805" t="str">
            <v>0100178860</v>
          </cell>
          <cell r="D1805" t="str">
            <v>764172C</v>
          </cell>
          <cell r="E1805">
            <v>228</v>
          </cell>
          <cell r="F1805">
            <v>43509</v>
          </cell>
          <cell r="G1805" t="str">
            <v>OK</v>
          </cell>
        </row>
        <row r="1806">
          <cell r="A1806" t="str">
            <v>Y1902-0397</v>
          </cell>
          <cell r="B1806">
            <v>201810</v>
          </cell>
          <cell r="C1806" t="str">
            <v>0100178861</v>
          </cell>
          <cell r="D1806" t="str">
            <v>764173C</v>
          </cell>
          <cell r="E1806">
            <v>228</v>
          </cell>
          <cell r="F1806">
            <v>43509</v>
          </cell>
          <cell r="G1806" t="str">
            <v>OK</v>
          </cell>
        </row>
        <row r="1807">
          <cell r="A1807" t="str">
            <v>Y1902-0398</v>
          </cell>
          <cell r="B1807">
            <v>201810</v>
          </cell>
          <cell r="C1807" t="str">
            <v>0100178862</v>
          </cell>
          <cell r="D1807" t="str">
            <v>7J234C</v>
          </cell>
          <cell r="E1807">
            <v>120</v>
          </cell>
          <cell r="F1807">
            <v>43509</v>
          </cell>
          <cell r="G1807" t="str">
            <v>OK</v>
          </cell>
        </row>
        <row r="1808">
          <cell r="A1808" t="str">
            <v>Y1902-0399</v>
          </cell>
          <cell r="B1808">
            <v>201810</v>
          </cell>
          <cell r="C1808" t="str">
            <v>0100178863</v>
          </cell>
          <cell r="D1808" t="str">
            <v>7J253C</v>
          </cell>
          <cell r="E1808">
            <v>168</v>
          </cell>
          <cell r="F1808">
            <v>43509</v>
          </cell>
          <cell r="G1808" t="str">
            <v>OK</v>
          </cell>
        </row>
        <row r="1809">
          <cell r="A1809" t="str">
            <v>Y1902-0400</v>
          </cell>
          <cell r="B1809">
            <v>201810</v>
          </cell>
          <cell r="C1809" t="str">
            <v>0100178864</v>
          </cell>
          <cell r="D1809" t="str">
            <v>7J256C</v>
          </cell>
          <cell r="E1809">
            <v>468</v>
          </cell>
          <cell r="F1809">
            <v>43509</v>
          </cell>
          <cell r="G1809" t="str">
            <v>OK</v>
          </cell>
        </row>
        <row r="1810">
          <cell r="A1810" t="str">
            <v>Y1902-0401</v>
          </cell>
          <cell r="B1810">
            <v>201810</v>
          </cell>
          <cell r="C1810" t="str">
            <v>0100178865</v>
          </cell>
          <cell r="D1810">
            <v>88865</v>
          </cell>
          <cell r="E1810">
            <v>156</v>
          </cell>
          <cell r="F1810">
            <v>43509</v>
          </cell>
          <cell r="G1810" t="str">
            <v>OK</v>
          </cell>
        </row>
        <row r="1811">
          <cell r="A1811" t="str">
            <v>Y1902-0402</v>
          </cell>
          <cell r="B1811">
            <v>201810</v>
          </cell>
          <cell r="C1811" t="str">
            <v>0100178866</v>
          </cell>
          <cell r="D1811">
            <v>88871</v>
          </cell>
          <cell r="E1811">
            <v>156</v>
          </cell>
          <cell r="F1811">
            <v>43509</v>
          </cell>
          <cell r="G1811" t="str">
            <v>OK</v>
          </cell>
        </row>
        <row r="1812">
          <cell r="A1812" t="str">
            <v>Y1902-0403</v>
          </cell>
          <cell r="B1812">
            <v>201810</v>
          </cell>
          <cell r="C1812" t="str">
            <v>0100178867</v>
          </cell>
          <cell r="D1812">
            <v>88877</v>
          </cell>
          <cell r="E1812">
            <v>132</v>
          </cell>
          <cell r="F1812">
            <v>43509</v>
          </cell>
          <cell r="G1812" t="str">
            <v>OK</v>
          </cell>
        </row>
        <row r="1813">
          <cell r="A1813" t="str">
            <v>Y1902-0404</v>
          </cell>
          <cell r="B1813">
            <v>201810</v>
          </cell>
          <cell r="C1813" t="str">
            <v>0100178868</v>
          </cell>
          <cell r="D1813" t="str">
            <v>8J231</v>
          </cell>
          <cell r="E1813">
            <v>144</v>
          </cell>
          <cell r="F1813">
            <v>43509</v>
          </cell>
          <cell r="G1813" t="str">
            <v>OK</v>
          </cell>
        </row>
        <row r="1814">
          <cell r="A1814" t="str">
            <v>Y1902-0423</v>
          </cell>
          <cell r="B1814">
            <v>201810</v>
          </cell>
          <cell r="C1814" t="str">
            <v>4600064609</v>
          </cell>
          <cell r="D1814" t="str">
            <v>M9696C</v>
          </cell>
          <cell r="E1814">
            <v>684</v>
          </cell>
          <cell r="F1814">
            <v>43509</v>
          </cell>
          <cell r="G1814" t="str">
            <v>OK</v>
          </cell>
        </row>
        <row r="1815">
          <cell r="A1815" t="str">
            <v>Y1902-0424</v>
          </cell>
          <cell r="B1815">
            <v>201810</v>
          </cell>
          <cell r="C1815" t="str">
            <v>4600064610</v>
          </cell>
          <cell r="D1815" t="str">
            <v>M9613C</v>
          </cell>
          <cell r="E1815">
            <v>132</v>
          </cell>
          <cell r="F1815">
            <v>43521</v>
          </cell>
          <cell r="G1815" t="str">
            <v>OK</v>
          </cell>
        </row>
        <row r="1816">
          <cell r="A1816" t="str">
            <v>Y1902-0425</v>
          </cell>
          <cell r="B1816">
            <v>201810</v>
          </cell>
          <cell r="C1816" t="str">
            <v>4600064611</v>
          </cell>
          <cell r="D1816" t="str">
            <v>M7652C</v>
          </cell>
          <cell r="E1816">
            <v>204</v>
          </cell>
          <cell r="F1816">
            <v>43509</v>
          </cell>
          <cell r="G1816" t="str">
            <v>OK</v>
          </cell>
        </row>
        <row r="1817">
          <cell r="A1817" t="str">
            <v>Y1902-0426</v>
          </cell>
          <cell r="B1817">
            <v>201810</v>
          </cell>
          <cell r="C1817" t="str">
            <v>4600064612</v>
          </cell>
          <cell r="D1817" t="str">
            <v>M7650C</v>
          </cell>
          <cell r="E1817">
            <v>204</v>
          </cell>
          <cell r="F1817">
            <v>43509</v>
          </cell>
          <cell r="G1817" t="str">
            <v>OK</v>
          </cell>
        </row>
        <row r="1818">
          <cell r="A1818" t="str">
            <v>Y1902-0428</v>
          </cell>
          <cell r="B1818">
            <v>201810</v>
          </cell>
          <cell r="C1818" t="str">
            <v>4600064656</v>
          </cell>
          <cell r="D1818" t="str">
            <v>164359C</v>
          </cell>
          <cell r="E1818">
            <v>168</v>
          </cell>
          <cell r="F1818">
            <v>43520</v>
          </cell>
          <cell r="G1818" t="str">
            <v>OK</v>
          </cell>
        </row>
        <row r="1819">
          <cell r="A1819" t="str">
            <v>Y1902-0429</v>
          </cell>
          <cell r="B1819">
            <v>201810</v>
          </cell>
          <cell r="C1819" t="str">
            <v>4600064657</v>
          </cell>
          <cell r="D1819" t="str">
            <v>164360C</v>
          </cell>
          <cell r="E1819">
            <v>168</v>
          </cell>
          <cell r="F1819">
            <v>43520</v>
          </cell>
          <cell r="G1819" t="str">
            <v>OK</v>
          </cell>
        </row>
        <row r="1820">
          <cell r="A1820" t="str">
            <v>Y1902-0430</v>
          </cell>
          <cell r="B1820">
            <v>201810</v>
          </cell>
          <cell r="C1820" t="str">
            <v>4600064658</v>
          </cell>
          <cell r="D1820" t="str">
            <v>164282C</v>
          </cell>
          <cell r="E1820">
            <v>2136</v>
          </cell>
          <cell r="F1820">
            <v>43520</v>
          </cell>
          <cell r="G1820" t="str">
            <v>OK</v>
          </cell>
        </row>
        <row r="1821">
          <cell r="A1821" t="str">
            <v>Y1902-0431</v>
          </cell>
          <cell r="B1821">
            <v>201810</v>
          </cell>
          <cell r="C1821" t="str">
            <v>4600064659</v>
          </cell>
          <cell r="D1821" t="str">
            <v>M7652C</v>
          </cell>
          <cell r="E1821">
            <v>13176</v>
          </cell>
          <cell r="F1821">
            <v>43509</v>
          </cell>
          <cell r="G1821" t="str">
            <v>OK</v>
          </cell>
        </row>
        <row r="1822">
          <cell r="A1822" t="str">
            <v>Y1902-0432</v>
          </cell>
          <cell r="B1822">
            <v>201810</v>
          </cell>
          <cell r="C1822" t="str">
            <v>4600064660</v>
          </cell>
          <cell r="D1822" t="str">
            <v>164280C</v>
          </cell>
          <cell r="E1822">
            <v>300</v>
          </cell>
          <cell r="F1822">
            <v>43520</v>
          </cell>
          <cell r="G1822" t="str">
            <v>OK</v>
          </cell>
        </row>
        <row r="1823">
          <cell r="A1823" t="str">
            <v>Y1902-0433</v>
          </cell>
          <cell r="B1823">
            <v>201810</v>
          </cell>
          <cell r="C1823" t="str">
            <v>4600064661</v>
          </cell>
          <cell r="D1823" t="str">
            <v>164220C</v>
          </cell>
          <cell r="E1823">
            <v>120</v>
          </cell>
          <cell r="F1823">
            <v>43520</v>
          </cell>
          <cell r="G1823" t="str">
            <v>OK</v>
          </cell>
        </row>
        <row r="1824">
          <cell r="A1824" t="str">
            <v>Y1902-0434</v>
          </cell>
          <cell r="B1824">
            <v>201810</v>
          </cell>
          <cell r="C1824" t="str">
            <v>4600064662</v>
          </cell>
          <cell r="D1824" t="str">
            <v>164059C</v>
          </cell>
          <cell r="E1824">
            <v>180</v>
          </cell>
          <cell r="F1824">
            <v>43520</v>
          </cell>
          <cell r="G1824" t="str">
            <v>OK</v>
          </cell>
        </row>
        <row r="1825">
          <cell r="A1825" t="str">
            <v>Y1902-0435</v>
          </cell>
          <cell r="B1825">
            <v>201810</v>
          </cell>
          <cell r="C1825" t="str">
            <v>4600064663</v>
          </cell>
          <cell r="D1825" t="str">
            <v>164361C</v>
          </cell>
          <cell r="E1825">
            <v>120</v>
          </cell>
          <cell r="F1825">
            <v>43520</v>
          </cell>
          <cell r="G1825" t="str">
            <v>OK</v>
          </cell>
        </row>
        <row r="1826">
          <cell r="A1826" t="str">
            <v>Y1902-0436</v>
          </cell>
          <cell r="B1826">
            <v>201810</v>
          </cell>
          <cell r="C1826" t="str">
            <v>4600064664</v>
          </cell>
          <cell r="D1826" t="str">
            <v>564206C</v>
          </cell>
          <cell r="E1826">
            <v>384</v>
          </cell>
          <cell r="F1826">
            <v>43520</v>
          </cell>
          <cell r="G1826" t="str">
            <v>OK</v>
          </cell>
        </row>
        <row r="1827">
          <cell r="A1827" t="str">
            <v>Y1902-0437</v>
          </cell>
          <cell r="B1827">
            <v>201810</v>
          </cell>
          <cell r="C1827" t="str">
            <v>4600064665</v>
          </cell>
          <cell r="D1827" t="str">
            <v>364169C</v>
          </cell>
          <cell r="E1827">
            <v>468</v>
          </cell>
          <cell r="F1827">
            <v>43520</v>
          </cell>
          <cell r="G1827" t="str">
            <v>OK</v>
          </cell>
        </row>
        <row r="1828">
          <cell r="A1828" t="str">
            <v>Y1902-0438</v>
          </cell>
          <cell r="B1828">
            <v>201810</v>
          </cell>
          <cell r="C1828" t="str">
            <v>4600064666</v>
          </cell>
          <cell r="D1828" t="str">
            <v>364170C</v>
          </cell>
          <cell r="E1828">
            <v>276</v>
          </cell>
          <cell r="F1828">
            <v>43520</v>
          </cell>
          <cell r="G1828" t="str">
            <v>OK</v>
          </cell>
        </row>
        <row r="1829">
          <cell r="A1829" t="str">
            <v>Y1902-0442</v>
          </cell>
          <cell r="B1829">
            <v>201810</v>
          </cell>
          <cell r="C1829" t="str">
            <v>4600064670</v>
          </cell>
          <cell r="D1829" t="str">
            <v>164360C</v>
          </cell>
          <cell r="E1829">
            <v>276</v>
          </cell>
          <cell r="F1829">
            <v>43520</v>
          </cell>
          <cell r="G1829" t="str">
            <v>OK</v>
          </cell>
        </row>
        <row r="1830">
          <cell r="A1830" t="str">
            <v>Y1902-0443</v>
          </cell>
          <cell r="B1830">
            <v>201810</v>
          </cell>
          <cell r="C1830" t="str">
            <v>4600064671</v>
          </cell>
          <cell r="D1830" t="str">
            <v>164360C</v>
          </cell>
          <cell r="E1830">
            <v>120</v>
          </cell>
          <cell r="F1830">
            <v>43520</v>
          </cell>
          <cell r="G1830" t="str">
            <v>OK</v>
          </cell>
        </row>
        <row r="1831">
          <cell r="A1831" t="str">
            <v>Y1902-0444</v>
          </cell>
          <cell r="B1831">
            <v>201810</v>
          </cell>
          <cell r="C1831" t="str">
            <v>4600064673</v>
          </cell>
          <cell r="D1831" t="str">
            <v>164359C</v>
          </cell>
          <cell r="E1831">
            <v>120</v>
          </cell>
          <cell r="F1831">
            <v>43520</v>
          </cell>
          <cell r="G1831" t="str">
            <v>OK</v>
          </cell>
        </row>
        <row r="1832">
          <cell r="A1832" t="str">
            <v>Y1902-0445</v>
          </cell>
          <cell r="B1832">
            <v>201810</v>
          </cell>
          <cell r="C1832" t="str">
            <v>4600064674</v>
          </cell>
          <cell r="D1832" t="str">
            <v>164058C</v>
          </cell>
          <cell r="E1832">
            <v>240</v>
          </cell>
          <cell r="F1832">
            <v>43520</v>
          </cell>
          <cell r="G1832" t="str">
            <v>OK</v>
          </cell>
        </row>
        <row r="1833">
          <cell r="A1833" t="str">
            <v>Y1902-0446</v>
          </cell>
          <cell r="B1833">
            <v>201810</v>
          </cell>
          <cell r="C1833" t="str">
            <v>4600064675</v>
          </cell>
          <cell r="D1833" t="str">
            <v>7J253C</v>
          </cell>
          <cell r="E1833">
            <v>2832</v>
          </cell>
          <cell r="F1833">
            <v>43509</v>
          </cell>
          <cell r="G1833" t="str">
            <v>OK</v>
          </cell>
        </row>
        <row r="1834">
          <cell r="A1834" t="str">
            <v>Y1902-0447</v>
          </cell>
          <cell r="B1834">
            <v>201810</v>
          </cell>
          <cell r="C1834" t="str">
            <v>4600064676</v>
          </cell>
          <cell r="D1834" t="str">
            <v>564205C</v>
          </cell>
          <cell r="E1834">
            <v>384</v>
          </cell>
          <cell r="F1834">
            <v>43520</v>
          </cell>
          <cell r="G1834" t="str">
            <v>OK</v>
          </cell>
        </row>
        <row r="1835">
          <cell r="A1835" t="str">
            <v>Y1902-0449</v>
          </cell>
          <cell r="B1835">
            <v>201810</v>
          </cell>
          <cell r="C1835" t="str">
            <v>4600064678</v>
          </cell>
          <cell r="D1835" t="str">
            <v>364170C</v>
          </cell>
          <cell r="E1835">
            <v>480</v>
          </cell>
          <cell r="F1835">
            <v>43520</v>
          </cell>
          <cell r="G1835" t="str">
            <v>OK</v>
          </cell>
        </row>
        <row r="1836">
          <cell r="A1836" t="str">
            <v>Y1902-0450</v>
          </cell>
          <cell r="B1836">
            <v>201810</v>
          </cell>
          <cell r="C1836" t="str">
            <v>4600064679</v>
          </cell>
          <cell r="D1836" t="str">
            <v>564207C</v>
          </cell>
          <cell r="E1836">
            <v>120</v>
          </cell>
          <cell r="F1836">
            <v>43520</v>
          </cell>
          <cell r="G1836" t="str">
            <v>OK</v>
          </cell>
        </row>
        <row r="1837">
          <cell r="A1837" t="str">
            <v>Y1902-0453</v>
          </cell>
          <cell r="B1837">
            <v>201810</v>
          </cell>
          <cell r="C1837" t="str">
            <v>4600064682</v>
          </cell>
          <cell r="D1837" t="str">
            <v>564204C</v>
          </cell>
          <cell r="E1837">
            <v>120</v>
          </cell>
          <cell r="F1837">
            <v>43520</v>
          </cell>
          <cell r="G1837" t="str">
            <v>OK</v>
          </cell>
        </row>
        <row r="1838">
          <cell r="A1838" t="str">
            <v>Y1902-0455</v>
          </cell>
          <cell r="B1838">
            <v>201810</v>
          </cell>
          <cell r="C1838" t="str">
            <v>4600064684</v>
          </cell>
          <cell r="D1838" t="str">
            <v>564154C</v>
          </cell>
          <cell r="E1838">
            <v>528</v>
          </cell>
          <cell r="F1838">
            <v>43520</v>
          </cell>
          <cell r="G1838" t="str">
            <v>OK</v>
          </cell>
        </row>
        <row r="1839">
          <cell r="A1839" t="str">
            <v>Y1902-0456</v>
          </cell>
          <cell r="B1839">
            <v>201810</v>
          </cell>
          <cell r="C1839" t="str">
            <v>4600064685</v>
          </cell>
          <cell r="D1839" t="str">
            <v>564152C</v>
          </cell>
          <cell r="E1839">
            <v>240</v>
          </cell>
          <cell r="F1839">
            <v>43520</v>
          </cell>
          <cell r="G1839" t="str">
            <v>OK</v>
          </cell>
        </row>
        <row r="1840">
          <cell r="A1840" t="str">
            <v>Y1902-0458</v>
          </cell>
          <cell r="B1840">
            <v>201810</v>
          </cell>
          <cell r="C1840" t="str">
            <v>4600064687</v>
          </cell>
          <cell r="D1840" t="str">
            <v>3J234C</v>
          </cell>
          <cell r="E1840">
            <v>1584</v>
          </cell>
          <cell r="F1840">
            <v>43509</v>
          </cell>
          <cell r="G1840" t="str">
            <v>OK</v>
          </cell>
        </row>
        <row r="1841">
          <cell r="A1841" t="str">
            <v>Y1902-0460</v>
          </cell>
          <cell r="B1841">
            <v>201810</v>
          </cell>
          <cell r="C1841" t="str">
            <v>4600064689</v>
          </cell>
          <cell r="D1841" t="str">
            <v>564151C</v>
          </cell>
          <cell r="E1841">
            <v>408</v>
          </cell>
          <cell r="F1841">
            <v>43520</v>
          </cell>
          <cell r="G1841" t="str">
            <v>OK</v>
          </cell>
        </row>
        <row r="1842">
          <cell r="A1842" t="str">
            <v>Y1902-0461</v>
          </cell>
          <cell r="B1842">
            <v>201810</v>
          </cell>
          <cell r="C1842" t="str">
            <v>4600064690</v>
          </cell>
          <cell r="D1842" t="str">
            <v>764173C</v>
          </cell>
          <cell r="E1842">
            <v>276</v>
          </cell>
          <cell r="F1842">
            <v>43520</v>
          </cell>
          <cell r="G1842" t="str">
            <v>OK</v>
          </cell>
        </row>
        <row r="1843">
          <cell r="A1843" t="str">
            <v>Y1902-0463</v>
          </cell>
          <cell r="B1843">
            <v>201810</v>
          </cell>
          <cell r="C1843" t="str">
            <v>4600064692</v>
          </cell>
          <cell r="D1843" t="str">
            <v>764172C</v>
          </cell>
          <cell r="E1843">
            <v>288</v>
          </cell>
          <cell r="F1843">
            <v>43520</v>
          </cell>
          <cell r="G1843" t="str">
            <v>OK</v>
          </cell>
        </row>
        <row r="1844">
          <cell r="A1844" t="str">
            <v>Y1902-0464</v>
          </cell>
          <cell r="B1844">
            <v>201810</v>
          </cell>
          <cell r="C1844" t="str">
            <v>4600064693</v>
          </cell>
          <cell r="D1844" t="str">
            <v>764173C</v>
          </cell>
          <cell r="E1844">
            <v>420</v>
          </cell>
          <cell r="F1844">
            <v>43520</v>
          </cell>
          <cell r="G1844" t="str">
            <v>OK</v>
          </cell>
        </row>
        <row r="1845">
          <cell r="A1845" t="str">
            <v>Y1902-0465</v>
          </cell>
          <cell r="B1845">
            <v>201810</v>
          </cell>
          <cell r="C1845" t="str">
            <v>4600064694</v>
          </cell>
          <cell r="D1845" t="str">
            <v>155066C</v>
          </cell>
          <cell r="E1845">
            <v>1224</v>
          </cell>
          <cell r="F1845">
            <v>43516</v>
          </cell>
          <cell r="G1845" t="str">
            <v>OK</v>
          </cell>
        </row>
        <row r="1846">
          <cell r="A1846" t="str">
            <v>Y1902-0466</v>
          </cell>
          <cell r="B1846">
            <v>201810</v>
          </cell>
          <cell r="C1846" t="str">
            <v>4600064695</v>
          </cell>
          <cell r="D1846" t="str">
            <v>7J256C</v>
          </cell>
          <cell r="E1846">
            <v>5664</v>
          </cell>
          <cell r="F1846">
            <v>43509</v>
          </cell>
          <cell r="G1846" t="str">
            <v>OK</v>
          </cell>
        </row>
        <row r="1847">
          <cell r="A1847" t="str">
            <v>Y1902-0467</v>
          </cell>
          <cell r="B1847">
            <v>201810</v>
          </cell>
          <cell r="C1847" t="str">
            <v>4600064696</v>
          </cell>
          <cell r="D1847" t="str">
            <v>164282C</v>
          </cell>
          <cell r="E1847">
            <v>180</v>
          </cell>
          <cell r="F1847">
            <v>43520</v>
          </cell>
          <cell r="G1847" t="str">
            <v>OK</v>
          </cell>
        </row>
        <row r="1848">
          <cell r="A1848" t="str">
            <v>Y1902-0468</v>
          </cell>
          <cell r="B1848">
            <v>201810</v>
          </cell>
          <cell r="C1848" t="str">
            <v>4600064697</v>
          </cell>
          <cell r="D1848" t="str">
            <v>164281C</v>
          </cell>
          <cell r="E1848">
            <v>300</v>
          </cell>
          <cell r="F1848">
            <v>43520</v>
          </cell>
          <cell r="G1848" t="str">
            <v>OK</v>
          </cell>
        </row>
        <row r="1849">
          <cell r="A1849" t="str">
            <v>Y1902-0469</v>
          </cell>
          <cell r="B1849">
            <v>201810</v>
          </cell>
          <cell r="C1849" t="str">
            <v>4600064698</v>
          </cell>
          <cell r="D1849" t="str">
            <v>164218C</v>
          </cell>
          <cell r="E1849">
            <v>120</v>
          </cell>
          <cell r="F1849">
            <v>43520</v>
          </cell>
          <cell r="G1849" t="str">
            <v>OK</v>
          </cell>
        </row>
        <row r="1850">
          <cell r="A1850" t="str">
            <v>Y1902-0470</v>
          </cell>
          <cell r="B1850">
            <v>201810</v>
          </cell>
          <cell r="C1850" t="str">
            <v>4600064699</v>
          </cell>
          <cell r="D1850" t="str">
            <v>164060C</v>
          </cell>
          <cell r="E1850">
            <v>240</v>
          </cell>
          <cell r="F1850">
            <v>43520</v>
          </cell>
          <cell r="G1850" t="str">
            <v>OK</v>
          </cell>
        </row>
        <row r="1851">
          <cell r="A1851" t="str">
            <v>Y1902-0471</v>
          </cell>
          <cell r="B1851">
            <v>201810</v>
          </cell>
          <cell r="C1851" t="str">
            <v>4600064700</v>
          </cell>
          <cell r="D1851" t="str">
            <v>3J256C</v>
          </cell>
          <cell r="E1851">
            <v>8688</v>
          </cell>
          <cell r="F1851">
            <v>43509</v>
          </cell>
          <cell r="G1851" t="str">
            <v>OK</v>
          </cell>
        </row>
        <row r="1852">
          <cell r="A1852" t="str">
            <v>Y1902-0473</v>
          </cell>
          <cell r="B1852">
            <v>201810</v>
          </cell>
          <cell r="C1852" t="str">
            <v>4600064702</v>
          </cell>
          <cell r="D1852" t="str">
            <v>155064C</v>
          </cell>
          <cell r="E1852">
            <v>2700</v>
          </cell>
          <cell r="F1852">
            <v>43516</v>
          </cell>
          <cell r="G1852" t="str">
            <v>OK</v>
          </cell>
        </row>
        <row r="1853">
          <cell r="A1853" t="str">
            <v>Y1902-0474</v>
          </cell>
          <cell r="B1853">
            <v>201810</v>
          </cell>
          <cell r="C1853" t="str">
            <v>4600064703</v>
          </cell>
          <cell r="D1853" t="str">
            <v>7J238C</v>
          </cell>
          <cell r="E1853">
            <v>1116</v>
          </cell>
          <cell r="F1853">
            <v>43509</v>
          </cell>
          <cell r="G1853" t="str">
            <v>OK</v>
          </cell>
        </row>
        <row r="1854">
          <cell r="A1854" t="str">
            <v>Y1902-0475</v>
          </cell>
          <cell r="B1854">
            <v>201810</v>
          </cell>
          <cell r="C1854" t="str">
            <v>4600064704</v>
          </cell>
          <cell r="D1854" t="str">
            <v>7J234C</v>
          </cell>
          <cell r="E1854">
            <v>1020</v>
          </cell>
          <cell r="F1854">
            <v>43509</v>
          </cell>
          <cell r="G1854" t="str">
            <v>OK</v>
          </cell>
        </row>
        <row r="1855">
          <cell r="A1855" t="str">
            <v>Y1902-0476</v>
          </cell>
          <cell r="B1855">
            <v>201810</v>
          </cell>
          <cell r="C1855" t="str">
            <v>4600064705</v>
          </cell>
          <cell r="D1855" t="str">
            <v>7J232C</v>
          </cell>
          <cell r="E1855">
            <v>708</v>
          </cell>
          <cell r="F1855">
            <v>43509</v>
          </cell>
          <cell r="G1855" t="str">
            <v>OK</v>
          </cell>
        </row>
        <row r="1856">
          <cell r="A1856" t="str">
            <v>Y1902-0477</v>
          </cell>
          <cell r="B1856">
            <v>201810</v>
          </cell>
          <cell r="C1856" t="str">
            <v>4600064706</v>
          </cell>
          <cell r="D1856" t="str">
            <v>164361C</v>
          </cell>
          <cell r="E1856">
            <v>216</v>
          </cell>
          <cell r="F1856">
            <v>43520</v>
          </cell>
          <cell r="G1856" t="str">
            <v>OK</v>
          </cell>
        </row>
        <row r="1857">
          <cell r="A1857" t="str">
            <v>Y1902-0478</v>
          </cell>
          <cell r="B1857">
            <v>201810</v>
          </cell>
          <cell r="C1857" t="str">
            <v>4600064707</v>
          </cell>
          <cell r="D1857" t="str">
            <v>164360C</v>
          </cell>
          <cell r="E1857">
            <v>240</v>
          </cell>
          <cell r="F1857">
            <v>43520</v>
          </cell>
          <cell r="G1857" t="str">
            <v>OK</v>
          </cell>
        </row>
        <row r="1858">
          <cell r="A1858" t="str">
            <v>Y1902-0479</v>
          </cell>
          <cell r="B1858">
            <v>201810</v>
          </cell>
          <cell r="C1858" t="str">
            <v>4600064708</v>
          </cell>
          <cell r="D1858" t="str">
            <v>M7652C</v>
          </cell>
          <cell r="E1858">
            <v>13284</v>
          </cell>
          <cell r="F1858">
            <v>43509</v>
          </cell>
          <cell r="G1858" t="str">
            <v>OK</v>
          </cell>
        </row>
        <row r="1859">
          <cell r="A1859" t="str">
            <v>Y1902-0481</v>
          </cell>
          <cell r="B1859">
            <v>201810</v>
          </cell>
          <cell r="C1859" t="str">
            <v>4600064763</v>
          </cell>
          <cell r="D1859" t="str">
            <v>155066C</v>
          </cell>
          <cell r="E1859">
            <v>444</v>
          </cell>
          <cell r="F1859">
            <v>43516</v>
          </cell>
          <cell r="G1859" t="str">
            <v>OK</v>
          </cell>
        </row>
        <row r="1860">
          <cell r="A1860" t="str">
            <v>Y1902-0482</v>
          </cell>
          <cell r="B1860">
            <v>201810</v>
          </cell>
          <cell r="C1860" t="str">
            <v>4600064764</v>
          </cell>
          <cell r="D1860" t="str">
            <v>155064C</v>
          </cell>
          <cell r="E1860">
            <v>672</v>
          </cell>
          <cell r="F1860">
            <v>43514</v>
          </cell>
          <cell r="G1860" t="str">
            <v>OK</v>
          </cell>
        </row>
        <row r="1861">
          <cell r="A1861" t="str">
            <v>Y1902-0483</v>
          </cell>
          <cell r="B1861">
            <v>201810</v>
          </cell>
          <cell r="C1861" t="str">
            <v>4600064765</v>
          </cell>
          <cell r="D1861" t="str">
            <v>164393C</v>
          </cell>
          <cell r="E1861">
            <v>168</v>
          </cell>
          <cell r="F1861">
            <v>43523</v>
          </cell>
          <cell r="G1861" t="str">
            <v>OK</v>
          </cell>
        </row>
        <row r="1862">
          <cell r="A1862" t="str">
            <v>Y1902-0484</v>
          </cell>
          <cell r="B1862">
            <v>201810</v>
          </cell>
          <cell r="C1862" t="str">
            <v>4600064766</v>
          </cell>
          <cell r="D1862" t="str">
            <v>164391C</v>
          </cell>
          <cell r="E1862">
            <v>2328</v>
          </cell>
          <cell r="F1862">
            <v>43523</v>
          </cell>
          <cell r="G1862" t="str">
            <v>OK</v>
          </cell>
        </row>
        <row r="1863">
          <cell r="A1863" t="str">
            <v>Y1902-0485</v>
          </cell>
          <cell r="B1863">
            <v>201810</v>
          </cell>
          <cell r="C1863" t="str">
            <v>4600064767</v>
          </cell>
          <cell r="D1863" t="str">
            <v>164390C</v>
          </cell>
          <cell r="E1863">
            <v>276</v>
          </cell>
          <cell r="F1863">
            <v>43523</v>
          </cell>
          <cell r="G1863" t="str">
            <v>OK</v>
          </cell>
        </row>
        <row r="1864">
          <cell r="A1864" t="str">
            <v>Y1902-0486</v>
          </cell>
          <cell r="B1864">
            <v>201810</v>
          </cell>
          <cell r="C1864" t="str">
            <v>4600064768</v>
          </cell>
          <cell r="D1864" t="str">
            <v>163269C</v>
          </cell>
          <cell r="E1864">
            <v>1092</v>
          </cell>
          <cell r="F1864">
            <v>43509</v>
          </cell>
          <cell r="G1864" t="str">
            <v>OK</v>
          </cell>
        </row>
        <row r="1865">
          <cell r="A1865" t="str">
            <v>Y1902-0487</v>
          </cell>
          <cell r="B1865">
            <v>201810</v>
          </cell>
          <cell r="C1865" t="str">
            <v>4600064769</v>
          </cell>
          <cell r="D1865" t="str">
            <v>164525C</v>
          </cell>
          <cell r="E1865">
            <v>2100</v>
          </cell>
          <cell r="F1865">
            <v>43509</v>
          </cell>
          <cell r="G1865" t="str">
            <v>OK</v>
          </cell>
        </row>
        <row r="1866">
          <cell r="A1866" t="str">
            <v>Y1902-0488</v>
          </cell>
          <cell r="B1866">
            <v>201810</v>
          </cell>
          <cell r="C1866" t="str">
            <v>4600064771</v>
          </cell>
          <cell r="D1866" t="str">
            <v>161603C</v>
          </cell>
          <cell r="E1866">
            <v>528</v>
          </cell>
          <cell r="F1866">
            <v>43516</v>
          </cell>
          <cell r="G1866" t="str">
            <v>OK</v>
          </cell>
        </row>
        <row r="1867">
          <cell r="A1867" t="str">
            <v>Y1902-0489</v>
          </cell>
          <cell r="B1867">
            <v>201810</v>
          </cell>
          <cell r="C1867" t="str">
            <v>4600064772</v>
          </cell>
          <cell r="D1867" t="str">
            <v>161599C</v>
          </cell>
          <cell r="E1867">
            <v>720</v>
          </cell>
          <cell r="F1867">
            <v>43516</v>
          </cell>
          <cell r="G1867" t="str">
            <v>OK</v>
          </cell>
        </row>
        <row r="1868">
          <cell r="A1868" t="str">
            <v>Y1902-0490</v>
          </cell>
          <cell r="B1868">
            <v>201810</v>
          </cell>
          <cell r="C1868" t="str">
            <v>4600064773</v>
          </cell>
          <cell r="D1868" t="str">
            <v>161599C</v>
          </cell>
          <cell r="E1868">
            <v>480</v>
          </cell>
          <cell r="F1868">
            <v>43516</v>
          </cell>
          <cell r="G1868" t="str">
            <v>OK</v>
          </cell>
        </row>
        <row r="1869">
          <cell r="A1869" t="str">
            <v>Y1902-0491</v>
          </cell>
          <cell r="B1869">
            <v>201810</v>
          </cell>
          <cell r="C1869" t="str">
            <v>4600064775</v>
          </cell>
          <cell r="D1869" t="str">
            <v>664184C</v>
          </cell>
          <cell r="E1869">
            <v>528</v>
          </cell>
          <cell r="F1869">
            <v>43523</v>
          </cell>
          <cell r="G1869" t="str">
            <v>OK</v>
          </cell>
        </row>
        <row r="1870">
          <cell r="A1870" t="str">
            <v>Y1902-0492</v>
          </cell>
          <cell r="B1870">
            <v>201810</v>
          </cell>
          <cell r="C1870" t="str">
            <v>4600064783</v>
          </cell>
          <cell r="D1870" t="str">
            <v>159786C</v>
          </cell>
          <cell r="E1870">
            <v>600</v>
          </cell>
          <cell r="F1870">
            <v>43514</v>
          </cell>
          <cell r="G1870" t="str">
            <v>OK</v>
          </cell>
        </row>
        <row r="1871">
          <cell r="A1871" t="str">
            <v>Y1902-0493</v>
          </cell>
          <cell r="B1871">
            <v>201810</v>
          </cell>
          <cell r="C1871" t="str">
            <v>4600064784</v>
          </cell>
          <cell r="D1871" t="str">
            <v>159786C</v>
          </cell>
          <cell r="E1871">
            <v>1572</v>
          </cell>
          <cell r="F1871">
            <v>43514</v>
          </cell>
          <cell r="G1871" t="str">
            <v>OK</v>
          </cell>
        </row>
        <row r="1872">
          <cell r="A1872" t="str">
            <v>Y1902-0494</v>
          </cell>
          <cell r="B1872">
            <v>201810</v>
          </cell>
          <cell r="C1872" t="str">
            <v>4600064785</v>
          </cell>
          <cell r="D1872" t="str">
            <v>155064C</v>
          </cell>
          <cell r="E1872">
            <v>1956</v>
          </cell>
          <cell r="F1872">
            <v>43514</v>
          </cell>
          <cell r="G1872" t="str">
            <v>OK</v>
          </cell>
        </row>
        <row r="1873">
          <cell r="A1873" t="str">
            <v>Y1902-0495</v>
          </cell>
          <cell r="B1873">
            <v>201810</v>
          </cell>
          <cell r="C1873" t="str">
            <v>4600064786</v>
          </cell>
          <cell r="D1873" t="str">
            <v>164281C</v>
          </cell>
          <cell r="E1873">
            <v>1596</v>
          </cell>
          <cell r="F1873">
            <v>43514</v>
          </cell>
          <cell r="G1873" t="str">
            <v>OK</v>
          </cell>
        </row>
        <row r="1874">
          <cell r="A1874" t="str">
            <v>Y1902-0496</v>
          </cell>
          <cell r="B1874">
            <v>201810</v>
          </cell>
          <cell r="C1874" t="str">
            <v>4600064790</v>
          </cell>
          <cell r="D1874" t="str">
            <v>164281C</v>
          </cell>
          <cell r="E1874">
            <v>924</v>
          </cell>
          <cell r="F1874">
            <v>43514</v>
          </cell>
          <cell r="G1874" t="str">
            <v>OK</v>
          </cell>
        </row>
        <row r="1875">
          <cell r="A1875" t="str">
            <v>Y1902-0497</v>
          </cell>
          <cell r="B1875">
            <v>201810</v>
          </cell>
          <cell r="C1875" t="str">
            <v>4600064791</v>
          </cell>
          <cell r="D1875" t="str">
            <v>164280C</v>
          </cell>
          <cell r="E1875">
            <v>1824</v>
          </cell>
          <cell r="F1875">
            <v>43514</v>
          </cell>
          <cell r="G1875" t="str">
            <v>OK</v>
          </cell>
        </row>
        <row r="1876">
          <cell r="A1876" t="str">
            <v>Y1902-0498</v>
          </cell>
          <cell r="B1876">
            <v>201810</v>
          </cell>
          <cell r="C1876" t="str">
            <v>4600064792</v>
          </cell>
          <cell r="D1876" t="str">
            <v>164280C</v>
          </cell>
          <cell r="E1876">
            <v>1452</v>
          </cell>
          <cell r="F1876">
            <v>43514</v>
          </cell>
          <cell r="G1876" t="str">
            <v>OK</v>
          </cell>
        </row>
        <row r="1877">
          <cell r="A1877" t="str">
            <v>Y1902-0546</v>
          </cell>
          <cell r="B1877">
            <v>201811</v>
          </cell>
          <cell r="C1877" t="str">
            <v>0100179962</v>
          </cell>
          <cell r="D1877">
            <v>88877</v>
          </cell>
          <cell r="E1877">
            <v>360</v>
          </cell>
          <cell r="F1877">
            <v>43510</v>
          </cell>
          <cell r="G1877" t="str">
            <v>01/04</v>
          </cell>
        </row>
        <row r="1878">
          <cell r="A1878" t="str">
            <v>Y1902-0501</v>
          </cell>
          <cell r="B1878">
            <v>201811</v>
          </cell>
          <cell r="C1878" t="str">
            <v>0100179970</v>
          </cell>
          <cell r="D1878" t="str">
            <v>165598C</v>
          </cell>
          <cell r="E1878">
            <v>18</v>
          </cell>
          <cell r="F1878">
            <v>43512</v>
          </cell>
          <cell r="G1878" t="str">
            <v>OK</v>
          </cell>
        </row>
        <row r="1879">
          <cell r="A1879" t="str">
            <v>Y1902-0547</v>
          </cell>
          <cell r="B1879">
            <v>201811</v>
          </cell>
          <cell r="C1879" t="str">
            <v>0100179972</v>
          </cell>
          <cell r="D1879" t="str">
            <v>M7650C</v>
          </cell>
          <cell r="E1879">
            <v>408</v>
          </cell>
          <cell r="F1879">
            <v>43510</v>
          </cell>
          <cell r="G1879" t="str">
            <v>01/04</v>
          </cell>
        </row>
        <row r="1880">
          <cell r="A1880" t="str">
            <v>Y1902-0548</v>
          </cell>
          <cell r="B1880">
            <v>201811</v>
          </cell>
          <cell r="C1880" t="str">
            <v>0100179973</v>
          </cell>
          <cell r="D1880" t="str">
            <v>M7652C</v>
          </cell>
          <cell r="E1880">
            <v>5556</v>
          </cell>
          <cell r="F1880">
            <v>43510</v>
          </cell>
          <cell r="G1880" t="str">
            <v>OK</v>
          </cell>
        </row>
        <row r="1881">
          <cell r="A1881" t="str">
            <v>Y1902-0549</v>
          </cell>
          <cell r="B1881">
            <v>201811</v>
          </cell>
          <cell r="C1881" t="str">
            <v>0100179975</v>
          </cell>
          <cell r="D1881" t="str">
            <v>7J256C</v>
          </cell>
          <cell r="E1881">
            <v>1572</v>
          </cell>
          <cell r="F1881">
            <v>43510</v>
          </cell>
          <cell r="G1881" t="str">
            <v>OK</v>
          </cell>
        </row>
        <row r="1882">
          <cell r="A1882" t="str">
            <v>Y1902-0551</v>
          </cell>
          <cell r="B1882">
            <v>201811</v>
          </cell>
          <cell r="C1882" t="str">
            <v>0100179979</v>
          </cell>
          <cell r="D1882" t="str">
            <v>264477F</v>
          </cell>
          <cell r="E1882">
            <v>972</v>
          </cell>
          <cell r="F1882">
            <v>43510</v>
          </cell>
          <cell r="G1882" t="str">
            <v>01/04</v>
          </cell>
        </row>
        <row r="1883">
          <cell r="A1883" t="str">
            <v>Y1902-0552</v>
          </cell>
          <cell r="B1883">
            <v>201811</v>
          </cell>
          <cell r="C1883" t="str">
            <v>0100179980</v>
          </cell>
          <cell r="D1883" t="str">
            <v>M7652C</v>
          </cell>
          <cell r="E1883">
            <v>900</v>
          </cell>
          <cell r="F1883">
            <v>43511</v>
          </cell>
          <cell r="G1883" t="str">
            <v>01/04</v>
          </cell>
        </row>
        <row r="1884">
          <cell r="A1884" t="str">
            <v>Y1902-0553</v>
          </cell>
          <cell r="B1884">
            <v>201811</v>
          </cell>
          <cell r="C1884" t="str">
            <v>0100179981</v>
          </cell>
          <cell r="D1884" t="str">
            <v>M7652C</v>
          </cell>
          <cell r="E1884">
            <v>780</v>
          </cell>
          <cell r="F1884">
            <v>43511</v>
          </cell>
          <cell r="G1884" t="str">
            <v>OK</v>
          </cell>
        </row>
        <row r="1885">
          <cell r="A1885" t="str">
            <v>Y1902-0555</v>
          </cell>
          <cell r="B1885">
            <v>201811</v>
          </cell>
          <cell r="C1885" t="str">
            <v>0100179983</v>
          </cell>
          <cell r="D1885" t="str">
            <v>158427C</v>
          </cell>
          <cell r="E1885">
            <v>1800</v>
          </cell>
          <cell r="F1885">
            <v>43513</v>
          </cell>
          <cell r="G1885" t="str">
            <v>01/11</v>
          </cell>
        </row>
        <row r="1886">
          <cell r="A1886" t="str">
            <v>Y1902-0556</v>
          </cell>
          <cell r="B1886">
            <v>201811</v>
          </cell>
          <cell r="C1886" t="str">
            <v>0100179984</v>
          </cell>
          <cell r="D1886" t="str">
            <v>161602C</v>
          </cell>
          <cell r="E1886">
            <v>1008</v>
          </cell>
          <cell r="F1886">
            <v>43513</v>
          </cell>
          <cell r="G1886" t="str">
            <v>01/04</v>
          </cell>
        </row>
        <row r="1887">
          <cell r="A1887" t="str">
            <v>Y1902-0502</v>
          </cell>
          <cell r="B1887">
            <v>201811</v>
          </cell>
          <cell r="C1887" t="str">
            <v>0100179991</v>
          </cell>
          <cell r="D1887" t="str">
            <v>165598C</v>
          </cell>
          <cell r="E1887">
            <v>1169</v>
          </cell>
          <cell r="F1887">
            <v>43512</v>
          </cell>
          <cell r="G1887" t="str">
            <v>OK</v>
          </cell>
        </row>
        <row r="1888">
          <cell r="A1888" t="str">
            <v>Y1903-0139</v>
          </cell>
          <cell r="B1888">
            <v>201811</v>
          </cell>
          <cell r="C1888" t="str">
            <v>0100179992</v>
          </cell>
          <cell r="D1888" t="str">
            <v>164360C</v>
          </cell>
          <cell r="E1888">
            <v>1848</v>
          </cell>
          <cell r="F1888">
            <v>43516</v>
          </cell>
          <cell r="G1888" t="str">
            <v>01/11</v>
          </cell>
        </row>
        <row r="1889">
          <cell r="A1889" t="str">
            <v>Y1902-0559</v>
          </cell>
          <cell r="B1889">
            <v>201811</v>
          </cell>
          <cell r="C1889" t="str">
            <v>0100179994</v>
          </cell>
          <cell r="D1889" t="str">
            <v>1J793C</v>
          </cell>
          <cell r="E1889">
            <v>276</v>
          </cell>
          <cell r="F1889">
            <v>43520</v>
          </cell>
          <cell r="G1889" t="str">
            <v>01/08</v>
          </cell>
        </row>
        <row r="1890">
          <cell r="A1890" t="str">
            <v>Y1902-0560</v>
          </cell>
          <cell r="B1890">
            <v>201811</v>
          </cell>
          <cell r="C1890" t="str">
            <v>0100179995</v>
          </cell>
          <cell r="D1890" t="str">
            <v>164025C</v>
          </cell>
          <cell r="E1890">
            <v>108</v>
          </cell>
          <cell r="F1890">
            <v>43520</v>
          </cell>
          <cell r="G1890" t="str">
            <v>01/11</v>
          </cell>
        </row>
        <row r="1891">
          <cell r="A1891" t="str">
            <v>Y1902-0503</v>
          </cell>
          <cell r="B1891">
            <v>201811</v>
          </cell>
          <cell r="C1891" t="str">
            <v>0100179996</v>
          </cell>
          <cell r="D1891" t="str">
            <v>165598C</v>
          </cell>
          <cell r="E1891">
            <v>36</v>
          </cell>
          <cell r="F1891">
            <v>43520</v>
          </cell>
          <cell r="G1891" t="str">
            <v>01/22</v>
          </cell>
        </row>
        <row r="1892">
          <cell r="A1892" t="str">
            <v>Y1902-0504</v>
          </cell>
          <cell r="B1892">
            <v>201811</v>
          </cell>
          <cell r="C1892" t="str">
            <v>0100179997</v>
          </cell>
          <cell r="D1892" t="str">
            <v>165598C</v>
          </cell>
          <cell r="E1892">
            <v>45</v>
          </cell>
          <cell r="F1892">
            <v>43520</v>
          </cell>
          <cell r="G1892" t="str">
            <v>01/22</v>
          </cell>
        </row>
        <row r="1893">
          <cell r="A1893" t="str">
            <v>Y1902-0561</v>
          </cell>
          <cell r="B1893">
            <v>201811</v>
          </cell>
          <cell r="C1893" t="str">
            <v>0100179998</v>
          </cell>
          <cell r="D1893" t="str">
            <v>164025C</v>
          </cell>
          <cell r="E1893">
            <v>11</v>
          </cell>
          <cell r="F1893">
            <v>43520</v>
          </cell>
          <cell r="G1893" t="str">
            <v>01/11</v>
          </cell>
        </row>
        <row r="1894">
          <cell r="A1894" t="str">
            <v>Y1902-0505</v>
          </cell>
          <cell r="B1894">
            <v>201811</v>
          </cell>
          <cell r="C1894" t="str">
            <v>0100179999</v>
          </cell>
          <cell r="D1894" t="str">
            <v>165598C</v>
          </cell>
          <cell r="E1894">
            <v>104</v>
          </cell>
          <cell r="F1894">
            <v>43520</v>
          </cell>
          <cell r="G1894" t="str">
            <v>01/22</v>
          </cell>
        </row>
        <row r="1895">
          <cell r="A1895" t="str">
            <v>Y1902-0506</v>
          </cell>
          <cell r="B1895">
            <v>201811</v>
          </cell>
          <cell r="C1895" t="str">
            <v>0100180000</v>
          </cell>
          <cell r="D1895" t="str">
            <v>165598C</v>
          </cell>
          <cell r="E1895">
            <v>48</v>
          </cell>
          <cell r="F1895">
            <v>43520</v>
          </cell>
          <cell r="G1895" t="str">
            <v>01/22</v>
          </cell>
        </row>
        <row r="1896">
          <cell r="A1896" t="str">
            <v>Y1902-0507</v>
          </cell>
          <cell r="B1896">
            <v>201811</v>
          </cell>
          <cell r="C1896" t="str">
            <v>0100180001</v>
          </cell>
          <cell r="D1896" t="str">
            <v>165598C</v>
          </cell>
          <cell r="E1896">
            <v>5723</v>
          </cell>
          <cell r="F1896">
            <v>43512</v>
          </cell>
          <cell r="G1896" t="str">
            <v>01/08</v>
          </cell>
        </row>
        <row r="1897">
          <cell r="A1897" t="str">
            <v>Y1902-0562</v>
          </cell>
          <cell r="B1897">
            <v>201811</v>
          </cell>
          <cell r="C1897" t="str">
            <v>0100180002</v>
          </cell>
          <cell r="D1897" t="str">
            <v>1J793C</v>
          </cell>
          <cell r="E1897">
            <v>558</v>
          </cell>
          <cell r="F1897">
            <v>43517</v>
          </cell>
          <cell r="G1897" t="str">
            <v>01/08</v>
          </cell>
        </row>
        <row r="1898">
          <cell r="A1898" t="str">
            <v>Y1902-0563</v>
          </cell>
          <cell r="B1898">
            <v>201811</v>
          </cell>
          <cell r="C1898" t="str">
            <v>0100180004</v>
          </cell>
          <cell r="D1898" t="str">
            <v>M8437C</v>
          </cell>
          <cell r="E1898">
            <v>1824</v>
          </cell>
          <cell r="F1898">
            <v>43517</v>
          </cell>
          <cell r="G1898" t="str">
            <v>01/04</v>
          </cell>
        </row>
        <row r="1899">
          <cell r="A1899" t="str">
            <v>Y1902-0564</v>
          </cell>
          <cell r="B1899">
            <v>201811</v>
          </cell>
          <cell r="C1899" t="str">
            <v>0100180005</v>
          </cell>
          <cell r="D1899" t="str">
            <v>155064C</v>
          </cell>
          <cell r="E1899">
            <v>1800</v>
          </cell>
          <cell r="F1899">
            <v>43516</v>
          </cell>
          <cell r="G1899" t="str">
            <v>01/04</v>
          </cell>
        </row>
        <row r="1900">
          <cell r="A1900" t="str">
            <v>Y1902-0565</v>
          </cell>
          <cell r="B1900">
            <v>201811</v>
          </cell>
          <cell r="C1900" t="str">
            <v>0100180006</v>
          </cell>
          <cell r="D1900" t="str">
            <v>144145C</v>
          </cell>
          <cell r="E1900">
            <v>1800</v>
          </cell>
          <cell r="F1900">
            <v>43521</v>
          </cell>
          <cell r="G1900" t="str">
            <v>OK</v>
          </cell>
        </row>
        <row r="1901">
          <cell r="A1901" t="str">
            <v>Y1902-0566</v>
          </cell>
          <cell r="B1901">
            <v>201811</v>
          </cell>
          <cell r="C1901" t="str">
            <v>0100180007</v>
          </cell>
          <cell r="D1901" t="str">
            <v>163110C</v>
          </cell>
          <cell r="E1901">
            <v>1440</v>
          </cell>
          <cell r="F1901">
            <v>43522</v>
          </cell>
          <cell r="G1901" t="str">
            <v>01/04</v>
          </cell>
        </row>
        <row r="1902">
          <cell r="A1902" t="str">
            <v>Y1902-0567</v>
          </cell>
          <cell r="B1902">
            <v>201811</v>
          </cell>
          <cell r="C1902" t="str">
            <v>0100180008</v>
          </cell>
          <cell r="D1902" t="str">
            <v>1J794C</v>
          </cell>
          <cell r="E1902">
            <v>1242</v>
          </cell>
          <cell r="F1902">
            <v>43517</v>
          </cell>
          <cell r="G1902" t="str">
            <v>OK</v>
          </cell>
        </row>
        <row r="1903">
          <cell r="A1903" t="str">
            <v>Y1903-0141</v>
          </cell>
          <cell r="B1903">
            <v>201811</v>
          </cell>
          <cell r="C1903" t="str">
            <v>0100180009</v>
          </cell>
          <cell r="D1903" t="str">
            <v>1J794C</v>
          </cell>
          <cell r="E1903">
            <v>1860</v>
          </cell>
          <cell r="F1903">
            <v>43519</v>
          </cell>
          <cell r="G1903" t="str">
            <v>OK</v>
          </cell>
        </row>
        <row r="1904">
          <cell r="A1904" t="str">
            <v>Y1902-0568</v>
          </cell>
          <cell r="B1904">
            <v>201811</v>
          </cell>
          <cell r="C1904" t="str">
            <v>0100180013</v>
          </cell>
          <cell r="D1904" t="str">
            <v>161602C</v>
          </cell>
          <cell r="E1904">
            <v>792</v>
          </cell>
          <cell r="F1904">
            <v>43516</v>
          </cell>
          <cell r="G1904" t="str">
            <v>01/04</v>
          </cell>
        </row>
        <row r="1905">
          <cell r="A1905" t="str">
            <v>Y1902-0569</v>
          </cell>
          <cell r="B1905">
            <v>201811</v>
          </cell>
          <cell r="C1905" t="str">
            <v>0100180014</v>
          </cell>
          <cell r="D1905" t="str">
            <v>261794C</v>
          </cell>
          <cell r="E1905">
            <v>1800</v>
          </cell>
          <cell r="F1905">
            <v>43516</v>
          </cell>
          <cell r="G1905" t="str">
            <v>OK</v>
          </cell>
        </row>
        <row r="1906">
          <cell r="A1906" t="str">
            <v>Y1902-0570</v>
          </cell>
          <cell r="B1906">
            <v>201811</v>
          </cell>
          <cell r="C1906" t="str">
            <v>0100180017</v>
          </cell>
          <cell r="D1906" t="str">
            <v>159792C</v>
          </cell>
          <cell r="E1906">
            <v>3720</v>
          </cell>
          <cell r="F1906">
            <v>43521</v>
          </cell>
          <cell r="G1906" t="str">
            <v>01/04</v>
          </cell>
        </row>
        <row r="1907">
          <cell r="A1907" t="str">
            <v>Y1902-0571</v>
          </cell>
          <cell r="B1907">
            <v>201811</v>
          </cell>
          <cell r="C1907" t="str">
            <v>0100180021</v>
          </cell>
          <cell r="D1907" t="str">
            <v>664435C</v>
          </cell>
          <cell r="E1907">
            <v>1800</v>
          </cell>
          <cell r="F1907">
            <v>43522</v>
          </cell>
          <cell r="G1907" t="str">
            <v>01/02</v>
          </cell>
        </row>
        <row r="1908">
          <cell r="A1908" t="str">
            <v>Y1903-0162</v>
          </cell>
          <cell r="B1908">
            <v>201811</v>
          </cell>
          <cell r="C1908" t="str">
            <v>0100180034</v>
          </cell>
          <cell r="D1908" t="str">
            <v>7J256C</v>
          </cell>
          <cell r="E1908">
            <v>5076</v>
          </cell>
          <cell r="F1908">
            <v>43512</v>
          </cell>
          <cell r="G1908" t="str">
            <v>OK</v>
          </cell>
        </row>
        <row r="1909">
          <cell r="A1909" t="str">
            <v>Y1903-0163</v>
          </cell>
          <cell r="B1909">
            <v>201811</v>
          </cell>
          <cell r="C1909" t="str">
            <v>0100180035</v>
          </cell>
          <cell r="D1909" t="str">
            <v>M7652C</v>
          </cell>
          <cell r="E1909">
            <v>1008</v>
          </cell>
          <cell r="F1909">
            <v>43509</v>
          </cell>
          <cell r="G1909" t="str">
            <v>OK</v>
          </cell>
        </row>
        <row r="1910">
          <cell r="A1910" t="str">
            <v>Y1903-0165</v>
          </cell>
          <cell r="B1910">
            <v>201811</v>
          </cell>
          <cell r="C1910" t="str">
            <v>0100180037</v>
          </cell>
          <cell r="D1910" t="str">
            <v>M7652C</v>
          </cell>
          <cell r="E1910">
            <v>5016</v>
          </cell>
          <cell r="F1910">
            <v>43512</v>
          </cell>
          <cell r="G1910" t="str">
            <v>01/04</v>
          </cell>
        </row>
        <row r="1911">
          <cell r="A1911" t="str">
            <v>Y1903-0167</v>
          </cell>
          <cell r="B1911">
            <v>201811</v>
          </cell>
          <cell r="C1911" t="str">
            <v>0100180039</v>
          </cell>
          <cell r="D1911" t="str">
            <v>M7652C</v>
          </cell>
          <cell r="E1911">
            <v>1512</v>
          </cell>
          <cell r="F1911">
            <v>43512</v>
          </cell>
          <cell r="G1911" t="str">
            <v>01/04</v>
          </cell>
        </row>
        <row r="1912">
          <cell r="A1912" t="str">
            <v>Y1903-0168</v>
          </cell>
          <cell r="B1912">
            <v>201811</v>
          </cell>
          <cell r="C1912" t="str">
            <v>0100180040</v>
          </cell>
          <cell r="D1912" t="str">
            <v>M7652C</v>
          </cell>
          <cell r="E1912">
            <v>10008</v>
          </cell>
          <cell r="F1912">
            <v>43512</v>
          </cell>
          <cell r="G1912" t="str">
            <v>01/04</v>
          </cell>
        </row>
        <row r="1913">
          <cell r="A1913" t="str">
            <v>Y1903-0170</v>
          </cell>
          <cell r="B1913">
            <v>201811</v>
          </cell>
          <cell r="C1913" t="str">
            <v>0100180042</v>
          </cell>
          <cell r="D1913" t="str">
            <v>M7652C</v>
          </cell>
          <cell r="E1913">
            <v>2004</v>
          </cell>
          <cell r="F1913">
            <v>43512</v>
          </cell>
          <cell r="G1913" t="str">
            <v>OK</v>
          </cell>
        </row>
        <row r="1914">
          <cell r="A1914" t="str">
            <v>Y1903-0173</v>
          </cell>
          <cell r="B1914">
            <v>201811</v>
          </cell>
          <cell r="C1914" t="str">
            <v>0100180045</v>
          </cell>
          <cell r="D1914" t="str">
            <v>7J256C</v>
          </cell>
          <cell r="E1914">
            <v>1176</v>
          </cell>
          <cell r="F1914">
            <v>43512</v>
          </cell>
          <cell r="G1914" t="str">
            <v>OK</v>
          </cell>
        </row>
        <row r="1915">
          <cell r="A1915" t="str">
            <v>Y1903-0177</v>
          </cell>
          <cell r="B1915">
            <v>201811</v>
          </cell>
          <cell r="C1915" t="str">
            <v>0100180049</v>
          </cell>
          <cell r="D1915" t="str">
            <v>7J256C</v>
          </cell>
          <cell r="E1915">
            <v>2004</v>
          </cell>
          <cell r="F1915">
            <v>43512</v>
          </cell>
          <cell r="G1915" t="str">
            <v>OK</v>
          </cell>
        </row>
        <row r="1916">
          <cell r="A1916" t="str">
            <v>Y1903-0178</v>
          </cell>
          <cell r="B1916">
            <v>201811</v>
          </cell>
          <cell r="C1916" t="str">
            <v>0100180050</v>
          </cell>
          <cell r="D1916" t="str">
            <v>7J256C</v>
          </cell>
          <cell r="E1916">
            <v>2508</v>
          </cell>
          <cell r="F1916">
            <v>43512</v>
          </cell>
          <cell r="G1916" t="str">
            <v>OK</v>
          </cell>
        </row>
        <row r="1917">
          <cell r="A1917" t="str">
            <v>Y1903-0179</v>
          </cell>
          <cell r="B1917">
            <v>201811</v>
          </cell>
          <cell r="C1917" t="str">
            <v>0100180051</v>
          </cell>
          <cell r="D1917" t="str">
            <v>M7652C</v>
          </cell>
          <cell r="E1917">
            <v>444</v>
          </cell>
          <cell r="F1917">
            <v>43512</v>
          </cell>
          <cell r="G1917" t="str">
            <v>01/04</v>
          </cell>
        </row>
        <row r="1918">
          <cell r="A1918" t="str">
            <v>Y1903-0180</v>
          </cell>
          <cell r="B1918">
            <v>201811</v>
          </cell>
          <cell r="C1918" t="str">
            <v>0100180052</v>
          </cell>
          <cell r="D1918" t="str">
            <v>M7652C</v>
          </cell>
          <cell r="E1918">
            <v>420</v>
          </cell>
          <cell r="F1918">
            <v>43512</v>
          </cell>
          <cell r="G1918" t="str">
            <v>01/04</v>
          </cell>
        </row>
        <row r="1919">
          <cell r="A1919" t="str">
            <v>Y1903-0181</v>
          </cell>
          <cell r="B1919">
            <v>201811</v>
          </cell>
          <cell r="C1919" t="str">
            <v>0100180053</v>
          </cell>
          <cell r="D1919" t="str">
            <v>M7652C</v>
          </cell>
          <cell r="E1919">
            <v>372</v>
          </cell>
          <cell r="F1919">
            <v>43512</v>
          </cell>
          <cell r="G1919" t="str">
            <v>01/04</v>
          </cell>
        </row>
        <row r="1920">
          <cell r="A1920" t="str">
            <v>Y1902-0508</v>
          </cell>
          <cell r="B1920">
            <v>201811</v>
          </cell>
          <cell r="C1920" t="str">
            <v>0100180055</v>
          </cell>
          <cell r="D1920" t="str">
            <v>165598C</v>
          </cell>
          <cell r="E1920">
            <v>162</v>
          </cell>
          <cell r="F1920">
            <v>43512</v>
          </cell>
          <cell r="G1920" t="str">
            <v>01/08</v>
          </cell>
        </row>
        <row r="1921">
          <cell r="A1921" t="str">
            <v>Y1901-0621</v>
          </cell>
          <cell r="B1921">
            <v>201811</v>
          </cell>
          <cell r="C1921" t="str">
            <v>0100180056</v>
          </cell>
          <cell r="D1921" t="str">
            <v>165598C</v>
          </cell>
          <cell r="E1921">
            <v>451</v>
          </cell>
          <cell r="F1921">
            <v>43512</v>
          </cell>
          <cell r="G1921" t="str">
            <v>OK</v>
          </cell>
        </row>
        <row r="1922">
          <cell r="A1922" t="str">
            <v>Y1902-0509</v>
          </cell>
          <cell r="B1922">
            <v>201811</v>
          </cell>
          <cell r="C1922" t="str">
            <v>0100180058</v>
          </cell>
          <cell r="D1922" t="str">
            <v>165598C</v>
          </cell>
          <cell r="E1922">
            <v>58</v>
          </cell>
          <cell r="F1922">
            <v>43512</v>
          </cell>
          <cell r="G1922" t="str">
            <v>OK</v>
          </cell>
        </row>
        <row r="1923">
          <cell r="A1923" t="str">
            <v>Y1902-0574</v>
          </cell>
          <cell r="B1923">
            <v>201811</v>
          </cell>
          <cell r="C1923" t="str">
            <v>0100180063</v>
          </cell>
          <cell r="D1923">
            <v>88865</v>
          </cell>
          <cell r="E1923">
            <v>456</v>
          </cell>
          <cell r="F1923">
            <v>43519</v>
          </cell>
          <cell r="G1923" t="str">
            <v>OK</v>
          </cell>
        </row>
        <row r="1924">
          <cell r="A1924" t="str">
            <v>Y1902-0575</v>
          </cell>
          <cell r="B1924">
            <v>201811</v>
          </cell>
          <cell r="C1924" t="str">
            <v>0100180064</v>
          </cell>
          <cell r="D1924">
            <v>88877</v>
          </cell>
          <cell r="E1924">
            <v>804</v>
          </cell>
          <cell r="F1924">
            <v>43519</v>
          </cell>
          <cell r="G1924" t="str">
            <v>01/04</v>
          </cell>
        </row>
        <row r="1925">
          <cell r="A1925" t="str">
            <v>Y1902-0576</v>
          </cell>
          <cell r="B1925">
            <v>201811</v>
          </cell>
          <cell r="C1925" t="str">
            <v>0100180068</v>
          </cell>
          <cell r="D1925" t="str">
            <v>5J794</v>
          </cell>
          <cell r="E1925">
            <v>912</v>
          </cell>
          <cell r="F1925">
            <v>43519</v>
          </cell>
          <cell r="G1925" t="str">
            <v>OK</v>
          </cell>
        </row>
        <row r="1926">
          <cell r="A1926" t="str">
            <v>Y1902-0577</v>
          </cell>
          <cell r="B1926">
            <v>201811</v>
          </cell>
          <cell r="C1926" t="str">
            <v>0100180071</v>
          </cell>
          <cell r="D1926" t="str">
            <v>1J793</v>
          </cell>
          <cell r="E1926">
            <v>498</v>
          </cell>
          <cell r="F1926">
            <v>43519</v>
          </cell>
          <cell r="G1926" t="str">
            <v>01/08</v>
          </cell>
        </row>
        <row r="1927">
          <cell r="A1927" t="str">
            <v>Y1902-0578</v>
          </cell>
          <cell r="B1927">
            <v>201811</v>
          </cell>
          <cell r="C1927" t="str">
            <v>0100180073</v>
          </cell>
          <cell r="D1927">
            <v>88871</v>
          </cell>
          <cell r="E1927">
            <v>504</v>
          </cell>
          <cell r="F1927">
            <v>43517</v>
          </cell>
          <cell r="G1927" t="str">
            <v>01/04</v>
          </cell>
        </row>
        <row r="1928">
          <cell r="A1928" t="str">
            <v>Y1902-0579</v>
          </cell>
          <cell r="B1928">
            <v>201811</v>
          </cell>
          <cell r="C1928" t="str">
            <v>0100180075</v>
          </cell>
          <cell r="D1928">
            <v>88875</v>
          </cell>
          <cell r="E1928">
            <v>300</v>
          </cell>
          <cell r="F1928">
            <v>43519</v>
          </cell>
          <cell r="G1928" t="str">
            <v>01/04</v>
          </cell>
        </row>
        <row r="1929">
          <cell r="A1929" t="str">
            <v>Y1902-0580</v>
          </cell>
          <cell r="B1929">
            <v>201811</v>
          </cell>
          <cell r="C1929" t="str">
            <v>0100180076</v>
          </cell>
          <cell r="D1929" t="str">
            <v>8J231</v>
          </cell>
          <cell r="E1929">
            <v>456</v>
          </cell>
          <cell r="F1929">
            <v>43519</v>
          </cell>
          <cell r="G1929" t="str">
            <v>01/04</v>
          </cell>
        </row>
        <row r="1930">
          <cell r="A1930" t="str">
            <v>Y1902-0581</v>
          </cell>
          <cell r="B1930">
            <v>201811</v>
          </cell>
          <cell r="C1930" t="str">
            <v>0100180077</v>
          </cell>
          <cell r="D1930" t="str">
            <v>8J231</v>
          </cell>
          <cell r="E1930">
            <v>900</v>
          </cell>
          <cell r="F1930">
            <v>43511</v>
          </cell>
          <cell r="G1930" t="str">
            <v>01/04</v>
          </cell>
        </row>
        <row r="1931">
          <cell r="A1931" t="str">
            <v>Y1902-0583</v>
          </cell>
          <cell r="B1931">
            <v>201811</v>
          </cell>
          <cell r="C1931" t="str">
            <v>0100180085</v>
          </cell>
          <cell r="D1931" t="str">
            <v>W9160</v>
          </cell>
          <cell r="E1931">
            <v>768</v>
          </cell>
          <cell r="F1931">
            <v>43518</v>
          </cell>
          <cell r="G1931" t="str">
            <v>01/04</v>
          </cell>
        </row>
        <row r="1932">
          <cell r="A1932" t="str">
            <v>Y1902-0584</v>
          </cell>
          <cell r="B1932">
            <v>201811</v>
          </cell>
          <cell r="C1932" t="str">
            <v>0100180086</v>
          </cell>
          <cell r="D1932" t="str">
            <v>W9166</v>
          </cell>
          <cell r="E1932">
            <v>1608</v>
          </cell>
          <cell r="F1932">
            <v>43518</v>
          </cell>
          <cell r="G1932" t="str">
            <v>01/08</v>
          </cell>
        </row>
        <row r="1933">
          <cell r="A1933" t="str">
            <v>Y1902-0585</v>
          </cell>
          <cell r="B1933">
            <v>201811</v>
          </cell>
          <cell r="C1933" t="str">
            <v>0100180087</v>
          </cell>
          <cell r="D1933" t="str">
            <v>1J794</v>
          </cell>
          <cell r="E1933">
            <v>588</v>
          </cell>
          <cell r="F1933">
            <v>43517</v>
          </cell>
          <cell r="G1933" t="str">
            <v>OK</v>
          </cell>
        </row>
        <row r="1934">
          <cell r="A1934" t="str">
            <v>Y1902-0586</v>
          </cell>
          <cell r="B1934">
            <v>201811</v>
          </cell>
          <cell r="C1934" t="str">
            <v>0100180088</v>
          </cell>
          <cell r="D1934" t="str">
            <v>1J794</v>
          </cell>
          <cell r="E1934">
            <v>468</v>
          </cell>
          <cell r="F1934">
            <v>43517</v>
          </cell>
          <cell r="G1934" t="str">
            <v>OK</v>
          </cell>
        </row>
        <row r="1935">
          <cell r="A1935" t="str">
            <v>Y1902-0587</v>
          </cell>
          <cell r="B1935">
            <v>201811</v>
          </cell>
          <cell r="C1935" t="str">
            <v>0100180090</v>
          </cell>
          <cell r="D1935" t="str">
            <v>3J256</v>
          </cell>
          <cell r="E1935">
            <v>1800</v>
          </cell>
          <cell r="F1935">
            <v>43511</v>
          </cell>
          <cell r="G1935" t="str">
            <v>OK</v>
          </cell>
        </row>
        <row r="1936">
          <cell r="A1936" t="str">
            <v>Y1902-0588</v>
          </cell>
          <cell r="B1936">
            <v>201811</v>
          </cell>
          <cell r="C1936" t="str">
            <v>0100180091</v>
          </cell>
          <cell r="D1936" t="str">
            <v>7J256</v>
          </cell>
          <cell r="E1936">
            <v>5016</v>
          </cell>
          <cell r="F1936">
            <v>43511</v>
          </cell>
          <cell r="G1936" t="str">
            <v>OK</v>
          </cell>
        </row>
        <row r="1937">
          <cell r="A1937" t="str">
            <v>Y1902-0589</v>
          </cell>
          <cell r="B1937">
            <v>201811</v>
          </cell>
          <cell r="C1937" t="str">
            <v>0100181193</v>
          </cell>
          <cell r="D1937" t="str">
            <v>3J256C</v>
          </cell>
          <cell r="E1937">
            <v>600</v>
          </cell>
          <cell r="F1937">
            <v>43511</v>
          </cell>
          <cell r="G1937" t="str">
            <v>OK</v>
          </cell>
        </row>
        <row r="1938">
          <cell r="A1938" t="str">
            <v>Y1902-0511</v>
          </cell>
          <cell r="B1938">
            <v>201811</v>
          </cell>
          <cell r="C1938" t="str">
            <v>0100181194</v>
          </cell>
          <cell r="D1938" t="str">
            <v>165599C</v>
          </cell>
          <cell r="E1938">
            <v>1590</v>
          </cell>
          <cell r="F1938">
            <v>43512</v>
          </cell>
          <cell r="G1938" t="str">
            <v>01/04</v>
          </cell>
        </row>
        <row r="1939">
          <cell r="A1939" t="str">
            <v>Y1902-0590</v>
          </cell>
          <cell r="B1939">
            <v>201811</v>
          </cell>
          <cell r="C1939" t="str">
            <v>0100181195</v>
          </cell>
          <cell r="D1939" t="str">
            <v>1J794C</v>
          </cell>
          <cell r="E1939">
            <v>360</v>
          </cell>
          <cell r="F1939">
            <v>43520</v>
          </cell>
          <cell r="G1939" t="str">
            <v>OK</v>
          </cell>
        </row>
        <row r="1940">
          <cell r="A1940" t="str">
            <v>Y1902-0591</v>
          </cell>
          <cell r="B1940">
            <v>201811</v>
          </cell>
          <cell r="C1940" t="str">
            <v>0100181196</v>
          </cell>
          <cell r="D1940" t="str">
            <v>164026C</v>
          </cell>
          <cell r="E1940">
            <v>108</v>
          </cell>
          <cell r="F1940">
            <v>43520</v>
          </cell>
          <cell r="G1940" t="str">
            <v>01/22</v>
          </cell>
        </row>
        <row r="1941">
          <cell r="A1941" t="str">
            <v>Y1902-0512</v>
          </cell>
          <cell r="B1941">
            <v>201811</v>
          </cell>
          <cell r="C1941" t="str">
            <v>0100181197</v>
          </cell>
          <cell r="D1941" t="str">
            <v>165599C</v>
          </cell>
          <cell r="E1941">
            <v>36</v>
          </cell>
          <cell r="F1941">
            <v>43520</v>
          </cell>
          <cell r="G1941" t="str">
            <v>01/22</v>
          </cell>
        </row>
        <row r="1942">
          <cell r="A1942" t="str">
            <v>Y1902-0513</v>
          </cell>
          <cell r="B1942">
            <v>201811</v>
          </cell>
          <cell r="C1942" t="str">
            <v>0100181198</v>
          </cell>
          <cell r="D1942" t="str">
            <v>165599C</v>
          </cell>
          <cell r="E1942">
            <v>45</v>
          </cell>
          <cell r="F1942">
            <v>43520</v>
          </cell>
          <cell r="G1942" t="str">
            <v>01/22</v>
          </cell>
        </row>
        <row r="1943">
          <cell r="A1943" t="str">
            <v>Y1902-0592</v>
          </cell>
          <cell r="B1943">
            <v>201811</v>
          </cell>
          <cell r="C1943" t="str">
            <v>0100181199</v>
          </cell>
          <cell r="D1943" t="str">
            <v>164026C</v>
          </cell>
          <cell r="E1943">
            <v>11</v>
          </cell>
          <cell r="F1943">
            <v>43520</v>
          </cell>
          <cell r="G1943" t="str">
            <v>01/22</v>
          </cell>
        </row>
        <row r="1944">
          <cell r="A1944" t="str">
            <v>Y1902-0514</v>
          </cell>
          <cell r="B1944">
            <v>201811</v>
          </cell>
          <cell r="C1944" t="str">
            <v>0100181200</v>
          </cell>
          <cell r="D1944" t="str">
            <v>165599C</v>
          </cell>
          <cell r="E1944">
            <v>104</v>
          </cell>
          <cell r="F1944">
            <v>43520</v>
          </cell>
          <cell r="G1944" t="str">
            <v>01/22</v>
          </cell>
        </row>
        <row r="1945">
          <cell r="A1945" t="str">
            <v>Y1902-0515</v>
          </cell>
          <cell r="B1945">
            <v>201811</v>
          </cell>
          <cell r="C1945" t="str">
            <v>0100181201</v>
          </cell>
          <cell r="D1945" t="str">
            <v>165599C</v>
          </cell>
          <cell r="E1945">
            <v>48</v>
          </cell>
          <cell r="F1945">
            <v>43520</v>
          </cell>
          <cell r="G1945" t="str">
            <v>01/22</v>
          </cell>
        </row>
        <row r="1946">
          <cell r="A1946" t="str">
            <v>Y1902-0516</v>
          </cell>
          <cell r="B1946">
            <v>201811</v>
          </cell>
          <cell r="C1946" t="str">
            <v>0100181202</v>
          </cell>
          <cell r="D1946" t="str">
            <v>165599C</v>
          </cell>
          <cell r="E1946">
            <v>5723</v>
          </cell>
          <cell r="F1946">
            <v>43512</v>
          </cell>
          <cell r="G1946" t="str">
            <v>01/04</v>
          </cell>
        </row>
        <row r="1947">
          <cell r="A1947" t="str">
            <v>Y1902-0517</v>
          </cell>
          <cell r="B1947">
            <v>201811</v>
          </cell>
          <cell r="C1947" t="str">
            <v>0100181205</v>
          </cell>
          <cell r="D1947" t="str">
            <v>165599C</v>
          </cell>
          <cell r="E1947">
            <v>156</v>
          </cell>
          <cell r="F1947">
            <v>43512</v>
          </cell>
          <cell r="G1947" t="str">
            <v>01/04</v>
          </cell>
        </row>
        <row r="1948">
          <cell r="A1948" t="str">
            <v>Y1901-0623</v>
          </cell>
          <cell r="B1948">
            <v>201811</v>
          </cell>
          <cell r="C1948" t="str">
            <v>0100181206</v>
          </cell>
          <cell r="D1948" t="str">
            <v>165599C</v>
          </cell>
          <cell r="E1948">
            <v>427</v>
          </cell>
          <cell r="F1948">
            <v>43512</v>
          </cell>
          <cell r="G1948" t="str">
            <v>OK</v>
          </cell>
        </row>
        <row r="1949">
          <cell r="A1949" t="str">
            <v>Y1902-0518</v>
          </cell>
          <cell r="B1949">
            <v>201811</v>
          </cell>
          <cell r="C1949" t="str">
            <v>0100181207</v>
          </cell>
          <cell r="D1949" t="str">
            <v>165599C</v>
          </cell>
          <cell r="E1949">
            <v>58</v>
          </cell>
          <cell r="F1949">
            <v>43512</v>
          </cell>
          <cell r="G1949" t="str">
            <v>OK</v>
          </cell>
        </row>
        <row r="1950">
          <cell r="A1950" t="str">
            <v>Y1902-0519</v>
          </cell>
          <cell r="B1950">
            <v>201811</v>
          </cell>
          <cell r="C1950" t="str">
            <v>0100181209</v>
          </cell>
          <cell r="D1950" t="str">
            <v>165599C</v>
          </cell>
          <cell r="E1950">
            <v>161</v>
          </cell>
          <cell r="F1950">
            <v>43512</v>
          </cell>
          <cell r="G1950" t="str">
            <v>01/04</v>
          </cell>
        </row>
        <row r="1951">
          <cell r="A1951" t="str">
            <v>Y1902-0593</v>
          </cell>
          <cell r="B1951">
            <v>201811</v>
          </cell>
          <cell r="C1951" t="str">
            <v>0100181210</v>
          </cell>
          <cell r="D1951" t="str">
            <v>W9166</v>
          </cell>
          <cell r="E1951">
            <v>360</v>
          </cell>
          <cell r="F1951">
            <v>43507</v>
          </cell>
          <cell r="G1951" t="str">
            <v>01/08</v>
          </cell>
        </row>
        <row r="1952">
          <cell r="A1952" t="str">
            <v>Y1902-0594</v>
          </cell>
          <cell r="B1952">
            <v>201811</v>
          </cell>
          <cell r="C1952" t="str">
            <v>0100181286</v>
          </cell>
          <cell r="D1952" t="str">
            <v>3J253C</v>
          </cell>
          <cell r="E1952">
            <v>2700</v>
          </cell>
          <cell r="F1952">
            <v>43520</v>
          </cell>
          <cell r="G1952" t="str">
            <v>OK</v>
          </cell>
        </row>
        <row r="1953">
          <cell r="A1953" t="str">
            <v>Y1902-0520</v>
          </cell>
          <cell r="B1953">
            <v>201811</v>
          </cell>
          <cell r="C1953" t="str">
            <v>0100181287</v>
          </cell>
          <cell r="D1953" t="str">
            <v>165598C</v>
          </cell>
          <cell r="E1953">
            <v>132</v>
          </cell>
          <cell r="F1953">
            <v>43520</v>
          </cell>
          <cell r="G1953" t="str">
            <v>01/22</v>
          </cell>
        </row>
        <row r="1954">
          <cell r="A1954" t="str">
            <v>Y1903-0129</v>
          </cell>
          <cell r="B1954">
            <v>201811</v>
          </cell>
          <cell r="C1954" t="str">
            <v>0100181288</v>
          </cell>
          <cell r="D1954" t="str">
            <v>165598C</v>
          </cell>
          <cell r="E1954">
            <v>306</v>
          </cell>
          <cell r="F1954">
            <v>43512</v>
          </cell>
          <cell r="G1954" t="str">
            <v>01/22</v>
          </cell>
        </row>
        <row r="1955">
          <cell r="A1955" t="str">
            <v>Y1902-0596</v>
          </cell>
          <cell r="B1955">
            <v>201811</v>
          </cell>
          <cell r="C1955" t="str">
            <v>0100181343</v>
          </cell>
          <cell r="D1955" t="str">
            <v>3J256C</v>
          </cell>
          <cell r="E1955">
            <v>300</v>
          </cell>
          <cell r="F1955">
            <v>43520</v>
          </cell>
          <cell r="G1955" t="str">
            <v>OK</v>
          </cell>
        </row>
        <row r="1956">
          <cell r="A1956" t="str">
            <v>Y1902-0521</v>
          </cell>
          <cell r="B1956">
            <v>201811</v>
          </cell>
          <cell r="C1956" t="str">
            <v>0100181344</v>
          </cell>
          <cell r="D1956" t="str">
            <v>165599C</v>
          </cell>
          <cell r="E1956">
            <v>132</v>
          </cell>
          <cell r="F1956">
            <v>43520</v>
          </cell>
          <cell r="G1956" t="str">
            <v>01/22</v>
          </cell>
        </row>
        <row r="1957">
          <cell r="A1957" t="str">
            <v>Y1902-0597</v>
          </cell>
          <cell r="B1957">
            <v>201811</v>
          </cell>
          <cell r="C1957" t="str">
            <v>0100181345</v>
          </cell>
          <cell r="D1957" t="str">
            <v>164025C</v>
          </cell>
          <cell r="E1957">
            <v>33</v>
          </cell>
          <cell r="F1957">
            <v>43520</v>
          </cell>
          <cell r="G1957" t="str">
            <v>01/11</v>
          </cell>
        </row>
        <row r="1958">
          <cell r="A1958" t="str">
            <v>Y1902-0598</v>
          </cell>
          <cell r="B1958">
            <v>201811</v>
          </cell>
          <cell r="C1958" t="str">
            <v>0100181346</v>
          </cell>
          <cell r="D1958" t="str">
            <v>164025C</v>
          </cell>
          <cell r="E1958">
            <v>18</v>
          </cell>
          <cell r="F1958">
            <v>43520</v>
          </cell>
          <cell r="G1958" t="str">
            <v>01/11</v>
          </cell>
        </row>
        <row r="1959">
          <cell r="A1959" t="str">
            <v>Y1902-0599</v>
          </cell>
          <cell r="B1959">
            <v>201811</v>
          </cell>
          <cell r="C1959" t="str">
            <v>0100181347</v>
          </cell>
          <cell r="D1959" t="str">
            <v>164025C</v>
          </cell>
          <cell r="E1959">
            <v>18</v>
          </cell>
          <cell r="F1959">
            <v>43520</v>
          </cell>
          <cell r="G1959" t="str">
            <v>01/11</v>
          </cell>
        </row>
        <row r="1960">
          <cell r="A1960" t="str">
            <v>Y1903-0130</v>
          </cell>
          <cell r="B1960">
            <v>201811</v>
          </cell>
          <cell r="C1960" t="str">
            <v>0100181348</v>
          </cell>
          <cell r="D1960" t="str">
            <v>165599C</v>
          </cell>
          <cell r="E1960">
            <v>306</v>
          </cell>
          <cell r="F1960">
            <v>43512</v>
          </cell>
          <cell r="G1960" t="str">
            <v>01/22</v>
          </cell>
        </row>
        <row r="1961">
          <cell r="A1961" t="str">
            <v>Y1902-0600</v>
          </cell>
          <cell r="B1961">
            <v>201811</v>
          </cell>
          <cell r="C1961" t="str">
            <v>0100181352</v>
          </cell>
          <cell r="D1961" t="str">
            <v>164025C</v>
          </cell>
          <cell r="E1961">
            <v>6000</v>
          </cell>
          <cell r="F1961">
            <v>43517</v>
          </cell>
          <cell r="G1961" t="str">
            <v>01/04</v>
          </cell>
        </row>
        <row r="1962">
          <cell r="A1962" t="str">
            <v>Y1902-0602</v>
          </cell>
          <cell r="B1962">
            <v>201811</v>
          </cell>
          <cell r="C1962" t="str">
            <v>0100181392</v>
          </cell>
          <cell r="D1962" t="str">
            <v>M7650C</v>
          </cell>
          <cell r="E1962">
            <v>17832</v>
          </cell>
          <cell r="F1962">
            <v>43520</v>
          </cell>
          <cell r="G1962" t="str">
            <v>OK</v>
          </cell>
        </row>
        <row r="1963">
          <cell r="A1963" t="str">
            <v>Y1902-0603</v>
          </cell>
          <cell r="B1963">
            <v>201811</v>
          </cell>
          <cell r="C1963" t="str">
            <v>0100181393</v>
          </cell>
          <cell r="D1963" t="str">
            <v>164026C</v>
          </cell>
          <cell r="E1963">
            <v>33</v>
          </cell>
          <cell r="F1963">
            <v>43520</v>
          </cell>
          <cell r="G1963" t="str">
            <v>01/22</v>
          </cell>
        </row>
        <row r="1964">
          <cell r="A1964" t="str">
            <v>Y1902-0604</v>
          </cell>
          <cell r="B1964">
            <v>201811</v>
          </cell>
          <cell r="C1964" t="str">
            <v>0100181394</v>
          </cell>
          <cell r="D1964" t="str">
            <v>164026C</v>
          </cell>
          <cell r="E1964">
            <v>19</v>
          </cell>
          <cell r="F1964">
            <v>43520</v>
          </cell>
          <cell r="G1964" t="str">
            <v>01/22</v>
          </cell>
        </row>
        <row r="1965">
          <cell r="A1965" t="str">
            <v>Y1902-0605</v>
          </cell>
          <cell r="B1965">
            <v>201811</v>
          </cell>
          <cell r="C1965" t="str">
            <v>0100181395</v>
          </cell>
          <cell r="D1965" t="str">
            <v>164026C</v>
          </cell>
          <cell r="E1965">
            <v>18</v>
          </cell>
          <cell r="F1965">
            <v>43520</v>
          </cell>
          <cell r="G1965" t="str">
            <v>01/22</v>
          </cell>
        </row>
        <row r="1966">
          <cell r="A1966" t="str">
            <v>Y1902-0606</v>
          </cell>
          <cell r="B1966">
            <v>201811</v>
          </cell>
          <cell r="C1966" t="str">
            <v>0100181398</v>
          </cell>
          <cell r="D1966" t="str">
            <v>164026C</v>
          </cell>
          <cell r="E1966">
            <v>6000</v>
          </cell>
          <cell r="F1966">
            <v>43517</v>
          </cell>
          <cell r="G1966" t="str">
            <v>01/08</v>
          </cell>
        </row>
        <row r="1967">
          <cell r="A1967" t="str">
            <v>Y1902-0607</v>
          </cell>
          <cell r="B1967">
            <v>201811</v>
          </cell>
          <cell r="C1967" t="str">
            <v>0100181438</v>
          </cell>
          <cell r="D1967" t="str">
            <v>7J253C</v>
          </cell>
          <cell r="E1967">
            <v>792</v>
          </cell>
          <cell r="F1967">
            <v>43520</v>
          </cell>
          <cell r="G1967" t="str">
            <v>OK</v>
          </cell>
        </row>
        <row r="1968">
          <cell r="A1968" t="str">
            <v>Y1902-0608</v>
          </cell>
          <cell r="B1968">
            <v>201811</v>
          </cell>
          <cell r="C1968" t="str">
            <v>0100181439</v>
          </cell>
          <cell r="D1968" t="str">
            <v>7J256C</v>
          </cell>
          <cell r="E1968">
            <v>120</v>
          </cell>
          <cell r="F1968">
            <v>43520</v>
          </cell>
          <cell r="G1968" t="str">
            <v>01/04</v>
          </cell>
        </row>
        <row r="1969">
          <cell r="A1969" t="str">
            <v>Y1902-0609</v>
          </cell>
          <cell r="B1969">
            <v>201811</v>
          </cell>
          <cell r="C1969" t="str">
            <v>0100181440</v>
          </cell>
          <cell r="D1969" t="str">
            <v>M7652C</v>
          </cell>
          <cell r="E1969">
            <v>4200</v>
          </cell>
          <cell r="F1969">
            <v>43520</v>
          </cell>
          <cell r="G1969" t="str">
            <v>01/04</v>
          </cell>
        </row>
        <row r="1970">
          <cell r="A1970" t="str">
            <v>Y1902-0610</v>
          </cell>
          <cell r="B1970">
            <v>201811</v>
          </cell>
          <cell r="C1970" t="str">
            <v>0100181441</v>
          </cell>
          <cell r="D1970" t="str">
            <v>M7652C</v>
          </cell>
          <cell r="E1970">
            <v>18000</v>
          </cell>
          <cell r="F1970">
            <v>43520</v>
          </cell>
          <cell r="G1970" t="str">
            <v>OK</v>
          </cell>
        </row>
        <row r="1971">
          <cell r="A1971" t="str">
            <v>Y1902-0611</v>
          </cell>
          <cell r="B1971">
            <v>201811</v>
          </cell>
          <cell r="C1971" t="str">
            <v>0100181442</v>
          </cell>
          <cell r="D1971" t="str">
            <v>M9160C</v>
          </cell>
          <cell r="E1971">
            <v>7212</v>
          </cell>
          <cell r="F1971">
            <v>43520</v>
          </cell>
          <cell r="G1971" t="str">
            <v>01/04</v>
          </cell>
        </row>
        <row r="1972">
          <cell r="A1972" t="str">
            <v>Y1902-0612</v>
          </cell>
          <cell r="B1972">
            <v>201811</v>
          </cell>
          <cell r="C1972" t="str">
            <v>0100181443</v>
          </cell>
          <cell r="D1972" t="str">
            <v>M9166C</v>
          </cell>
          <cell r="E1972">
            <v>1800</v>
          </cell>
          <cell r="F1972">
            <v>43520</v>
          </cell>
          <cell r="G1972" t="str">
            <v>01/08</v>
          </cell>
        </row>
        <row r="1973">
          <cell r="A1973" t="str">
            <v>Y1902-0613</v>
          </cell>
          <cell r="B1973">
            <v>201811</v>
          </cell>
          <cell r="C1973" t="str">
            <v>0100181444</v>
          </cell>
          <cell r="D1973" t="str">
            <v>M9622C</v>
          </cell>
          <cell r="E1973">
            <v>2988</v>
          </cell>
          <cell r="F1973">
            <v>43520</v>
          </cell>
          <cell r="G1973" t="str">
            <v>01/04</v>
          </cell>
        </row>
        <row r="1974">
          <cell r="A1974" t="str">
            <v>Y1903-0199</v>
          </cell>
          <cell r="B1974">
            <v>201811</v>
          </cell>
          <cell r="C1974" t="str">
            <v>0100181445</v>
          </cell>
          <cell r="D1974" t="str">
            <v>7J256C</v>
          </cell>
          <cell r="E1974">
            <v>360</v>
          </cell>
          <cell r="F1974">
            <v>43512</v>
          </cell>
          <cell r="G1974" t="str">
            <v>OK</v>
          </cell>
        </row>
        <row r="1975">
          <cell r="A1975" t="str">
            <v>Y1903-0202</v>
          </cell>
          <cell r="B1975">
            <v>201811</v>
          </cell>
          <cell r="C1975" t="str">
            <v>0100181448</v>
          </cell>
          <cell r="D1975" t="str">
            <v>M7652C</v>
          </cell>
          <cell r="E1975">
            <v>360</v>
          </cell>
          <cell r="F1975">
            <v>43512</v>
          </cell>
          <cell r="G1975" t="str">
            <v>01/04</v>
          </cell>
        </row>
        <row r="1976">
          <cell r="A1976" t="str">
            <v>Y1902-0615</v>
          </cell>
          <cell r="B1976">
            <v>201811</v>
          </cell>
          <cell r="C1976" t="str">
            <v>0100181450</v>
          </cell>
          <cell r="D1976" t="str">
            <v>164026C</v>
          </cell>
          <cell r="E1976">
            <v>164</v>
          </cell>
          <cell r="F1976">
            <v>43511</v>
          </cell>
          <cell r="G1976" t="str">
            <v>01/04</v>
          </cell>
        </row>
        <row r="1977">
          <cell r="A1977" t="str">
            <v>Y1902-0616</v>
          </cell>
          <cell r="B1977">
            <v>201811</v>
          </cell>
          <cell r="C1977" t="str">
            <v>0100181543</v>
          </cell>
          <cell r="D1977" t="str">
            <v>1J793C</v>
          </cell>
          <cell r="E1977">
            <v>552</v>
          </cell>
          <cell r="F1977">
            <v>43520</v>
          </cell>
          <cell r="G1977" t="str">
            <v>01/08</v>
          </cell>
        </row>
        <row r="1978">
          <cell r="A1978" t="str">
            <v>Y1902-0617</v>
          </cell>
          <cell r="B1978">
            <v>201811</v>
          </cell>
          <cell r="C1978" t="str">
            <v>0100181544</v>
          </cell>
          <cell r="D1978" t="str">
            <v>M7650C</v>
          </cell>
          <cell r="E1978">
            <v>2388</v>
          </cell>
          <cell r="F1978">
            <v>43520</v>
          </cell>
          <cell r="G1978" t="str">
            <v>01/04</v>
          </cell>
        </row>
        <row r="1979">
          <cell r="A1979" t="str">
            <v>Y1902-0663</v>
          </cell>
          <cell r="B1979">
            <v>201811</v>
          </cell>
          <cell r="C1979" t="str">
            <v>0100181682</v>
          </cell>
          <cell r="D1979" t="str">
            <v>164025C</v>
          </cell>
          <cell r="E1979">
            <v>164</v>
          </cell>
          <cell r="F1979">
            <v>43517</v>
          </cell>
          <cell r="G1979" t="str">
            <v>OK</v>
          </cell>
        </row>
        <row r="1980">
          <cell r="A1980" t="str">
            <v>Y1902-0618</v>
          </cell>
          <cell r="B1980">
            <v>201811</v>
          </cell>
          <cell r="C1980" t="str">
            <v>4600066145</v>
          </cell>
          <cell r="D1980" t="str">
            <v>164025C</v>
          </cell>
          <cell r="E1980">
            <v>204</v>
          </cell>
          <cell r="F1980">
            <v>43513</v>
          </cell>
          <cell r="G1980" t="str">
            <v>01/04</v>
          </cell>
        </row>
        <row r="1981">
          <cell r="A1981" t="str">
            <v>Y1902-0619</v>
          </cell>
          <cell r="B1981">
            <v>201811</v>
          </cell>
          <cell r="C1981" t="str">
            <v>4600066150</v>
          </cell>
          <cell r="D1981">
            <v>88871</v>
          </cell>
          <cell r="E1981">
            <v>636</v>
          </cell>
          <cell r="F1981">
            <v>43512</v>
          </cell>
          <cell r="G1981" t="str">
            <v>OK</v>
          </cell>
        </row>
        <row r="1982">
          <cell r="A1982" t="str">
            <v>Y1902-0620</v>
          </cell>
          <cell r="B1982">
            <v>201811</v>
          </cell>
          <cell r="C1982" t="str">
            <v>4600066151</v>
          </cell>
          <cell r="D1982">
            <v>88877</v>
          </cell>
          <cell r="E1982">
            <v>1632</v>
          </cell>
          <cell r="F1982">
            <v>43512</v>
          </cell>
          <cell r="G1982" t="str">
            <v>01/04</v>
          </cell>
        </row>
        <row r="1983">
          <cell r="A1983" t="str">
            <v>Y1902-0621</v>
          </cell>
          <cell r="B1983">
            <v>201811</v>
          </cell>
          <cell r="C1983" t="str">
            <v>4600066152</v>
          </cell>
          <cell r="D1983" t="str">
            <v>8J231</v>
          </cell>
          <cell r="E1983">
            <v>720</v>
          </cell>
          <cell r="F1983">
            <v>43512</v>
          </cell>
          <cell r="G1983" t="str">
            <v>01/04</v>
          </cell>
        </row>
        <row r="1984">
          <cell r="A1984" t="str">
            <v>Y1902-0622</v>
          </cell>
          <cell r="B1984">
            <v>201811</v>
          </cell>
          <cell r="C1984" t="str">
            <v>4600066153</v>
          </cell>
          <cell r="D1984">
            <v>88875</v>
          </cell>
          <cell r="E1984">
            <v>360</v>
          </cell>
          <cell r="F1984">
            <v>43512</v>
          </cell>
          <cell r="G1984" t="str">
            <v>01/04</v>
          </cell>
        </row>
        <row r="1985">
          <cell r="A1985" t="str">
            <v>Y1902-0623</v>
          </cell>
          <cell r="B1985">
            <v>201811</v>
          </cell>
          <cell r="C1985" t="str">
            <v>4600066159</v>
          </cell>
          <cell r="D1985">
            <v>88865</v>
          </cell>
          <cell r="E1985">
            <v>420</v>
          </cell>
          <cell r="F1985">
            <v>43512</v>
          </cell>
          <cell r="G1985" t="str">
            <v>OK</v>
          </cell>
        </row>
        <row r="1986">
          <cell r="A1986" t="str">
            <v>Y1902-0624</v>
          </cell>
          <cell r="B1986">
            <v>201811</v>
          </cell>
          <cell r="C1986" t="str">
            <v>4600066162</v>
          </cell>
          <cell r="D1986">
            <v>81229</v>
          </cell>
          <cell r="E1986">
            <v>1200</v>
          </cell>
          <cell r="F1986">
            <v>43518</v>
          </cell>
          <cell r="G1986" t="str">
            <v>OK</v>
          </cell>
        </row>
        <row r="1987">
          <cell r="A1987" t="str">
            <v>Y1902-0625</v>
          </cell>
          <cell r="B1987">
            <v>201811</v>
          </cell>
          <cell r="C1987" t="str">
            <v>4600066163</v>
          </cell>
          <cell r="D1987" t="str">
            <v>164026C</v>
          </cell>
          <cell r="E1987">
            <v>204</v>
          </cell>
          <cell r="F1987">
            <v>43513</v>
          </cell>
          <cell r="G1987" t="str">
            <v>01/08</v>
          </cell>
        </row>
        <row r="1988">
          <cell r="A1988" t="str">
            <v>Y1902-0626</v>
          </cell>
          <cell r="B1988">
            <v>201811</v>
          </cell>
          <cell r="C1988" t="str">
            <v>4600066164</v>
          </cell>
          <cell r="D1988" t="str">
            <v>163110C</v>
          </cell>
          <cell r="E1988">
            <v>360</v>
          </cell>
          <cell r="F1988">
            <v>43518</v>
          </cell>
          <cell r="G1988" t="str">
            <v>01/04</v>
          </cell>
        </row>
        <row r="1989">
          <cell r="A1989" t="str">
            <v>Y1902-0627</v>
          </cell>
          <cell r="B1989">
            <v>201811</v>
          </cell>
          <cell r="C1989" t="str">
            <v>4600066169</v>
          </cell>
          <cell r="D1989" t="str">
            <v>8J231</v>
          </cell>
          <cell r="E1989">
            <v>360</v>
          </cell>
          <cell r="F1989">
            <v>43512</v>
          </cell>
          <cell r="G1989" t="str">
            <v>01/04</v>
          </cell>
        </row>
        <row r="1990">
          <cell r="A1990" t="str">
            <v>Y1902-0628</v>
          </cell>
          <cell r="B1990">
            <v>201811</v>
          </cell>
          <cell r="C1990" t="str">
            <v>4600066171</v>
          </cell>
          <cell r="D1990">
            <v>88871</v>
          </cell>
          <cell r="E1990">
            <v>360</v>
          </cell>
          <cell r="F1990">
            <v>43512</v>
          </cell>
          <cell r="G1990" t="str">
            <v>01/04</v>
          </cell>
        </row>
        <row r="1991">
          <cell r="A1991" t="str">
            <v>Y1902-0629</v>
          </cell>
          <cell r="B1991">
            <v>201811</v>
          </cell>
          <cell r="C1991" t="str">
            <v>4600066172</v>
          </cell>
          <cell r="D1991" t="str">
            <v>164025C</v>
          </cell>
          <cell r="E1991">
            <v>42</v>
          </cell>
          <cell r="F1991">
            <v>43513</v>
          </cell>
          <cell r="G1991" t="str">
            <v>01/04</v>
          </cell>
        </row>
        <row r="1992">
          <cell r="A1992" t="str">
            <v>Y1902-0630</v>
          </cell>
          <cell r="B1992">
            <v>201811</v>
          </cell>
          <cell r="C1992" t="str">
            <v>4600066173</v>
          </cell>
          <cell r="D1992" t="str">
            <v>164026C</v>
          </cell>
          <cell r="E1992">
            <v>42</v>
          </cell>
          <cell r="F1992">
            <v>43513</v>
          </cell>
          <cell r="G1992" t="str">
            <v>01/08</v>
          </cell>
        </row>
        <row r="1993">
          <cell r="A1993" t="str">
            <v>Y1902-0631</v>
          </cell>
          <cell r="B1993">
            <v>201811</v>
          </cell>
          <cell r="C1993" t="str">
            <v>4600066176</v>
          </cell>
          <cell r="D1993" t="str">
            <v>164025C</v>
          </cell>
          <cell r="E1993">
            <v>45</v>
          </cell>
          <cell r="F1993">
            <v>43514</v>
          </cell>
          <cell r="G1993" t="str">
            <v>01/04</v>
          </cell>
        </row>
        <row r="1994">
          <cell r="A1994" t="str">
            <v>Y1902-0632</v>
          </cell>
          <cell r="B1994">
            <v>201811</v>
          </cell>
          <cell r="C1994" t="str">
            <v>4600066177</v>
          </cell>
          <cell r="D1994" t="str">
            <v>164026C</v>
          </cell>
          <cell r="E1994">
            <v>45</v>
          </cell>
          <cell r="F1994">
            <v>43514</v>
          </cell>
          <cell r="G1994" t="str">
            <v>01/08</v>
          </cell>
        </row>
        <row r="1995">
          <cell r="A1995" t="str">
            <v>Y1902-0526</v>
          </cell>
          <cell r="B1995">
            <v>201811</v>
          </cell>
          <cell r="C1995" t="str">
            <v>4600066178</v>
          </cell>
          <cell r="D1995" t="str">
            <v>165598C</v>
          </cell>
          <cell r="E1995">
            <v>36</v>
          </cell>
          <cell r="F1995">
            <v>43521</v>
          </cell>
          <cell r="G1995" t="str">
            <v>01/11</v>
          </cell>
        </row>
        <row r="1996">
          <cell r="A1996" t="str">
            <v>Y1902-0527</v>
          </cell>
          <cell r="B1996">
            <v>201811</v>
          </cell>
          <cell r="C1996" t="str">
            <v>4600066179</v>
          </cell>
          <cell r="D1996" t="str">
            <v>165599C</v>
          </cell>
          <cell r="E1996">
            <v>36</v>
          </cell>
          <cell r="F1996">
            <v>43521</v>
          </cell>
          <cell r="G1996" t="str">
            <v>01/22</v>
          </cell>
        </row>
        <row r="1997">
          <cell r="A1997" t="str">
            <v>Y1902-0633</v>
          </cell>
          <cell r="B1997">
            <v>201811</v>
          </cell>
          <cell r="C1997" t="str">
            <v>4600066180</v>
          </cell>
          <cell r="D1997" t="str">
            <v>164025C</v>
          </cell>
          <cell r="E1997">
            <v>36</v>
          </cell>
          <cell r="F1997">
            <v>43514</v>
          </cell>
          <cell r="G1997" t="str">
            <v>01/04</v>
          </cell>
        </row>
        <row r="1998">
          <cell r="A1998" t="str">
            <v>Y1902-0634</v>
          </cell>
          <cell r="B1998">
            <v>201811</v>
          </cell>
          <cell r="C1998" t="str">
            <v>4600066181</v>
          </cell>
          <cell r="D1998" t="str">
            <v>164026C</v>
          </cell>
          <cell r="E1998">
            <v>36</v>
          </cell>
          <cell r="F1998">
            <v>43514</v>
          </cell>
          <cell r="G1998" t="str">
            <v>01/08</v>
          </cell>
        </row>
        <row r="1999">
          <cell r="A1999" t="str">
            <v>Y1902-0528</v>
          </cell>
          <cell r="B1999">
            <v>201811</v>
          </cell>
          <cell r="C1999" t="str">
            <v>4600066182</v>
          </cell>
          <cell r="D1999" t="str">
            <v>165599C</v>
          </cell>
          <cell r="E1999">
            <v>36</v>
          </cell>
          <cell r="F1999">
            <v>43520</v>
          </cell>
          <cell r="G1999" t="str">
            <v>01/22</v>
          </cell>
        </row>
        <row r="2000">
          <cell r="A2000" t="str">
            <v>Y1902-0529</v>
          </cell>
          <cell r="B2000">
            <v>201811</v>
          </cell>
          <cell r="C2000" t="str">
            <v>4600066183</v>
          </cell>
          <cell r="D2000" t="str">
            <v>165598C</v>
          </cell>
          <cell r="E2000">
            <v>36</v>
          </cell>
          <cell r="F2000">
            <v>43520</v>
          </cell>
          <cell r="G2000" t="str">
            <v>01/11</v>
          </cell>
        </row>
        <row r="2001">
          <cell r="A2001" t="str">
            <v>Y1902-0635</v>
          </cell>
          <cell r="B2001">
            <v>201811</v>
          </cell>
          <cell r="C2001" t="str">
            <v>4600066184</v>
          </cell>
          <cell r="D2001" t="str">
            <v>164360C</v>
          </cell>
          <cell r="E2001">
            <v>132</v>
          </cell>
          <cell r="F2001">
            <v>43518</v>
          </cell>
          <cell r="G2001" t="str">
            <v>01/11</v>
          </cell>
        </row>
        <row r="2002">
          <cell r="A2002" t="str">
            <v>Y1902-0636</v>
          </cell>
          <cell r="B2002">
            <v>201811</v>
          </cell>
          <cell r="C2002" t="str">
            <v>4600066188</v>
          </cell>
          <cell r="D2002" t="str">
            <v>164223C</v>
          </cell>
          <cell r="E2002">
            <v>144</v>
          </cell>
          <cell r="F2002">
            <v>43512</v>
          </cell>
          <cell r="G2002" t="str">
            <v>01/04</v>
          </cell>
        </row>
        <row r="2003">
          <cell r="A2003" t="str">
            <v>Y1902-0637</v>
          </cell>
          <cell r="B2003">
            <v>201811</v>
          </cell>
          <cell r="C2003" t="str">
            <v>4600066192</v>
          </cell>
          <cell r="D2003" t="str">
            <v>164221C</v>
          </cell>
          <cell r="E2003">
            <v>144</v>
          </cell>
          <cell r="F2003">
            <v>43512</v>
          </cell>
          <cell r="G2003" t="str">
            <v>OK</v>
          </cell>
        </row>
        <row r="2004">
          <cell r="A2004" t="str">
            <v>Y1902-0530</v>
          </cell>
          <cell r="B2004">
            <v>201811</v>
          </cell>
          <cell r="C2004" t="str">
            <v>4600066194</v>
          </cell>
          <cell r="D2004" t="str">
            <v>165598C</v>
          </cell>
          <cell r="E2004">
            <v>72</v>
          </cell>
          <cell r="F2004">
            <v>43524</v>
          </cell>
          <cell r="G2004" t="str">
            <v>01/11</v>
          </cell>
        </row>
        <row r="2005">
          <cell r="A2005" t="str">
            <v>Y1902-0531</v>
          </cell>
          <cell r="B2005">
            <v>201811</v>
          </cell>
          <cell r="C2005" t="str">
            <v>4600066195</v>
          </cell>
          <cell r="D2005" t="str">
            <v>165598C</v>
          </cell>
          <cell r="E2005">
            <v>24</v>
          </cell>
          <cell r="F2005">
            <v>43524</v>
          </cell>
          <cell r="G2005" t="str">
            <v>01/11</v>
          </cell>
        </row>
        <row r="2006">
          <cell r="A2006" t="str">
            <v>Y1902-0532</v>
          </cell>
          <cell r="B2006">
            <v>201811</v>
          </cell>
          <cell r="C2006" t="str">
            <v>4600066196</v>
          </cell>
          <cell r="D2006" t="str">
            <v>165599C</v>
          </cell>
          <cell r="E2006">
            <v>72</v>
          </cell>
          <cell r="F2006">
            <v>43524</v>
          </cell>
          <cell r="G2006" t="str">
            <v>01/22</v>
          </cell>
        </row>
        <row r="2007">
          <cell r="A2007" t="str">
            <v>Y1902-0533</v>
          </cell>
          <cell r="B2007">
            <v>201811</v>
          </cell>
          <cell r="C2007" t="str">
            <v>4600066198</v>
          </cell>
          <cell r="D2007" t="str">
            <v>165599C</v>
          </cell>
          <cell r="E2007">
            <v>24</v>
          </cell>
          <cell r="F2007">
            <v>43524</v>
          </cell>
          <cell r="G2007" t="str">
            <v>01/22</v>
          </cell>
        </row>
        <row r="2008">
          <cell r="A2008" t="str">
            <v>Y1902-0638</v>
          </cell>
          <cell r="B2008">
            <v>201811</v>
          </cell>
          <cell r="C2008" t="str">
            <v>4600066225</v>
          </cell>
          <cell r="D2008" t="str">
            <v>651826C</v>
          </cell>
          <cell r="E2008">
            <v>9024</v>
          </cell>
          <cell r="F2008">
            <v>43520</v>
          </cell>
          <cell r="G2008" t="str">
            <v>OK</v>
          </cell>
        </row>
        <row r="2009">
          <cell r="A2009" t="str">
            <v>Y1902-0534</v>
          </cell>
          <cell r="B2009">
            <v>201811</v>
          </cell>
          <cell r="C2009" t="str">
            <v>4600066234</v>
          </cell>
          <cell r="D2009" t="str">
            <v>165598C</v>
          </cell>
          <cell r="E2009">
            <v>66</v>
          </cell>
          <cell r="F2009">
            <v>43520</v>
          </cell>
          <cell r="G2009" t="str">
            <v>01/11</v>
          </cell>
        </row>
        <row r="2010">
          <cell r="A2010" t="str">
            <v>Y1902-0639</v>
          </cell>
          <cell r="B2010">
            <v>201811</v>
          </cell>
          <cell r="C2010" t="str">
            <v>4600066235</v>
          </cell>
          <cell r="D2010" t="str">
            <v>164026C</v>
          </cell>
          <cell r="E2010">
            <v>66</v>
          </cell>
          <cell r="F2010">
            <v>43520</v>
          </cell>
          <cell r="G2010" t="str">
            <v>01/08</v>
          </cell>
        </row>
        <row r="2011">
          <cell r="A2011" t="str">
            <v>Y1902-0535</v>
          </cell>
          <cell r="B2011">
            <v>201811</v>
          </cell>
          <cell r="C2011" t="str">
            <v>4600066238</v>
          </cell>
          <cell r="D2011" t="str">
            <v>165599C</v>
          </cell>
          <cell r="E2011">
            <v>66</v>
          </cell>
          <cell r="F2011">
            <v>43520</v>
          </cell>
          <cell r="G2011" t="str">
            <v>01/22</v>
          </cell>
        </row>
        <row r="2012">
          <cell r="A2012" t="str">
            <v>Y1902-0640</v>
          </cell>
          <cell r="B2012">
            <v>201811</v>
          </cell>
          <cell r="C2012" t="str">
            <v>4600066239</v>
          </cell>
          <cell r="D2012" t="str">
            <v>164025C</v>
          </cell>
          <cell r="E2012">
            <v>66</v>
          </cell>
          <cell r="F2012">
            <v>43520</v>
          </cell>
          <cell r="G2012" t="str">
            <v>01/04</v>
          </cell>
        </row>
        <row r="2013">
          <cell r="A2013" t="str">
            <v>Y1902-0536</v>
          </cell>
          <cell r="B2013">
            <v>201811</v>
          </cell>
          <cell r="C2013" t="str">
            <v>4600066240</v>
          </cell>
          <cell r="D2013" t="str">
            <v>165598C</v>
          </cell>
          <cell r="E2013">
            <v>12</v>
          </cell>
          <cell r="F2013">
            <v>43520</v>
          </cell>
          <cell r="G2013" t="str">
            <v>01/11</v>
          </cell>
        </row>
        <row r="2014">
          <cell r="A2014" t="str">
            <v>Y1902-0641</v>
          </cell>
          <cell r="B2014">
            <v>201811</v>
          </cell>
          <cell r="C2014" t="str">
            <v>4600066241</v>
          </cell>
          <cell r="D2014" t="str">
            <v>164026C</v>
          </cell>
          <cell r="E2014">
            <v>30</v>
          </cell>
          <cell r="F2014">
            <v>43513</v>
          </cell>
          <cell r="G2014" t="str">
            <v>01/08</v>
          </cell>
        </row>
        <row r="2015">
          <cell r="A2015" t="str">
            <v>Y1902-0642</v>
          </cell>
          <cell r="B2015">
            <v>201811</v>
          </cell>
          <cell r="C2015" t="str">
            <v>4600066242</v>
          </cell>
          <cell r="D2015" t="str">
            <v>164025C</v>
          </cell>
          <cell r="E2015">
            <v>30</v>
          </cell>
          <cell r="F2015">
            <v>43513</v>
          </cell>
          <cell r="G2015" t="str">
            <v>01/04</v>
          </cell>
        </row>
        <row r="2016">
          <cell r="A2016" t="str">
            <v>Y1902-0537</v>
          </cell>
          <cell r="B2016">
            <v>201811</v>
          </cell>
          <cell r="C2016" t="str">
            <v>4600066243</v>
          </cell>
          <cell r="D2016" t="str">
            <v>165599C</v>
          </cell>
          <cell r="E2016">
            <v>12</v>
          </cell>
          <cell r="F2016">
            <v>43520</v>
          </cell>
          <cell r="G2016" t="str">
            <v>01/22</v>
          </cell>
        </row>
        <row r="2017">
          <cell r="A2017" t="str">
            <v>Y1902-0538</v>
          </cell>
          <cell r="B2017">
            <v>201811</v>
          </cell>
          <cell r="C2017" t="str">
            <v>4600066248</v>
          </cell>
          <cell r="D2017" t="str">
            <v>165598C</v>
          </cell>
          <cell r="E2017">
            <v>138</v>
          </cell>
          <cell r="F2017">
            <v>43520</v>
          </cell>
          <cell r="G2017" t="str">
            <v>01/11</v>
          </cell>
        </row>
        <row r="2018">
          <cell r="A2018" t="str">
            <v>Y1902-0643</v>
          </cell>
          <cell r="B2018">
            <v>201811</v>
          </cell>
          <cell r="C2018" t="str">
            <v>4600066249</v>
          </cell>
          <cell r="D2018" t="str">
            <v>164221C</v>
          </cell>
          <cell r="E2018">
            <v>120</v>
          </cell>
          <cell r="F2018">
            <v>43512</v>
          </cell>
          <cell r="G2018" t="str">
            <v>OK</v>
          </cell>
        </row>
        <row r="2019">
          <cell r="A2019" t="str">
            <v>Y1902-0539</v>
          </cell>
          <cell r="B2019">
            <v>201811</v>
          </cell>
          <cell r="C2019" t="str">
            <v>4600066252</v>
          </cell>
          <cell r="D2019" t="str">
            <v>165599C</v>
          </cell>
          <cell r="E2019">
            <v>138</v>
          </cell>
          <cell r="F2019">
            <v>43520</v>
          </cell>
          <cell r="G2019" t="str">
            <v>01/22</v>
          </cell>
        </row>
        <row r="2020">
          <cell r="A2020" t="str">
            <v>Y1902-0644</v>
          </cell>
          <cell r="B2020">
            <v>201811</v>
          </cell>
          <cell r="C2020" t="str">
            <v>4600066268</v>
          </cell>
          <cell r="D2020" t="str">
            <v>164026C</v>
          </cell>
          <cell r="E2020">
            <v>212</v>
          </cell>
          <cell r="F2020">
            <v>43513</v>
          </cell>
          <cell r="G2020" t="str">
            <v>01/08</v>
          </cell>
        </row>
        <row r="2021">
          <cell r="A2021" t="str">
            <v>Y1902-0540</v>
          </cell>
          <cell r="B2021">
            <v>201811</v>
          </cell>
          <cell r="C2021" t="str">
            <v>4600066269</v>
          </cell>
          <cell r="D2021" t="str">
            <v>165599C</v>
          </cell>
          <cell r="E2021">
            <v>72</v>
          </cell>
          <cell r="F2021">
            <v>43520</v>
          </cell>
          <cell r="G2021" t="str">
            <v>01/22</v>
          </cell>
        </row>
        <row r="2022">
          <cell r="A2022" t="str">
            <v>Y1902-0541</v>
          </cell>
          <cell r="B2022">
            <v>201811</v>
          </cell>
          <cell r="C2022" t="str">
            <v>4600066270</v>
          </cell>
          <cell r="D2022" t="str">
            <v>165598C</v>
          </cell>
          <cell r="E2022">
            <v>72</v>
          </cell>
          <cell r="F2022">
            <v>43520</v>
          </cell>
          <cell r="G2022" t="str">
            <v>01/11</v>
          </cell>
        </row>
        <row r="2023">
          <cell r="A2023" t="str">
            <v>Y1902-0645</v>
          </cell>
          <cell r="B2023">
            <v>201811</v>
          </cell>
          <cell r="C2023" t="str">
            <v>4600066272</v>
          </cell>
          <cell r="D2023" t="str">
            <v>164223C</v>
          </cell>
          <cell r="E2023">
            <v>132</v>
          </cell>
          <cell r="F2023">
            <v>43512</v>
          </cell>
          <cell r="G2023" t="str">
            <v>01/04</v>
          </cell>
        </row>
        <row r="2024">
          <cell r="A2024" t="str">
            <v>Y1902-0646</v>
          </cell>
          <cell r="B2024">
            <v>201811</v>
          </cell>
          <cell r="C2024" t="str">
            <v>4600066273</v>
          </cell>
          <cell r="D2024" t="str">
            <v>164221C</v>
          </cell>
          <cell r="E2024">
            <v>132</v>
          </cell>
          <cell r="F2024">
            <v>43512</v>
          </cell>
          <cell r="G2024" t="str">
            <v>OK</v>
          </cell>
        </row>
        <row r="2025">
          <cell r="A2025" t="str">
            <v>Y1902-0647</v>
          </cell>
          <cell r="B2025">
            <v>201811</v>
          </cell>
          <cell r="C2025" t="str">
            <v>4600066274</v>
          </cell>
          <cell r="D2025" t="str">
            <v>144151C</v>
          </cell>
          <cell r="E2025">
            <v>708</v>
          </cell>
          <cell r="F2025">
            <v>43512</v>
          </cell>
          <cell r="G2025" t="str">
            <v>OK</v>
          </cell>
        </row>
        <row r="2026">
          <cell r="A2026" t="str">
            <v>Y1902-0648</v>
          </cell>
          <cell r="B2026">
            <v>201811</v>
          </cell>
          <cell r="C2026" t="str">
            <v>4600066275</v>
          </cell>
          <cell r="D2026" t="str">
            <v>164025C</v>
          </cell>
          <cell r="E2026">
            <v>212</v>
          </cell>
          <cell r="F2026">
            <v>43513</v>
          </cell>
          <cell r="G2026" t="str">
            <v>01/04</v>
          </cell>
        </row>
        <row r="2027">
          <cell r="A2027" t="str">
            <v>Y1902-0542</v>
          </cell>
          <cell r="B2027">
            <v>201811</v>
          </cell>
          <cell r="C2027" t="str">
            <v>4600066276</v>
          </cell>
          <cell r="D2027" t="str">
            <v>165598C</v>
          </cell>
          <cell r="E2027">
            <v>12</v>
          </cell>
          <cell r="F2027">
            <v>43520</v>
          </cell>
          <cell r="G2027" t="str">
            <v>01/11</v>
          </cell>
        </row>
        <row r="2028">
          <cell r="A2028" t="str">
            <v>Y1902-0543</v>
          </cell>
          <cell r="B2028">
            <v>201811</v>
          </cell>
          <cell r="C2028" t="str">
            <v>4600066277</v>
          </cell>
          <cell r="D2028" t="str">
            <v>165599C</v>
          </cell>
          <cell r="E2028">
            <v>12</v>
          </cell>
          <cell r="F2028">
            <v>43520</v>
          </cell>
          <cell r="G2028" t="str">
            <v>01/22</v>
          </cell>
        </row>
        <row r="2029">
          <cell r="A2029" t="str">
            <v>Y1902-0544</v>
          </cell>
          <cell r="B2029">
            <v>201811</v>
          </cell>
          <cell r="C2029" t="str">
            <v>4600066278</v>
          </cell>
          <cell r="D2029" t="str">
            <v>165599C</v>
          </cell>
          <cell r="E2029">
            <v>15</v>
          </cell>
          <cell r="F2029">
            <v>43520</v>
          </cell>
          <cell r="G2029" t="str">
            <v>01/22</v>
          </cell>
        </row>
        <row r="2030">
          <cell r="A2030" t="str">
            <v>Y1902-0545</v>
          </cell>
          <cell r="B2030">
            <v>201811</v>
          </cell>
          <cell r="C2030" t="str">
            <v>4600066279</v>
          </cell>
          <cell r="D2030" t="str">
            <v>165598C</v>
          </cell>
          <cell r="E2030">
            <v>21</v>
          </cell>
          <cell r="F2030">
            <v>43520</v>
          </cell>
          <cell r="G2030" t="str">
            <v>01/11</v>
          </cell>
        </row>
        <row r="2031">
          <cell r="A2031" t="str">
            <v>Y1901-0662</v>
          </cell>
          <cell r="B2031">
            <v>201811</v>
          </cell>
          <cell r="C2031" t="str">
            <v>4600066253</v>
          </cell>
          <cell r="D2031" t="str">
            <v>158369C</v>
          </cell>
          <cell r="E2031">
            <v>888</v>
          </cell>
          <cell r="F2031">
            <v>43509</v>
          </cell>
          <cell r="G2031" t="str">
            <v>OK</v>
          </cell>
        </row>
        <row r="2032">
          <cell r="A2032" t="str">
            <v>Y1901-0663</v>
          </cell>
          <cell r="B2032">
            <v>201811</v>
          </cell>
          <cell r="C2032" t="str">
            <v>4600066256</v>
          </cell>
          <cell r="D2032" t="str">
            <v>3J256C</v>
          </cell>
          <cell r="E2032">
            <v>384</v>
          </cell>
          <cell r="F2032">
            <v>43509</v>
          </cell>
          <cell r="G2032" t="str">
            <v>OK</v>
          </cell>
        </row>
        <row r="2033">
          <cell r="A2033" t="str">
            <v>Y1901-0664</v>
          </cell>
          <cell r="B2033">
            <v>201811</v>
          </cell>
          <cell r="C2033" t="str">
            <v>4600066257</v>
          </cell>
          <cell r="D2033" t="str">
            <v>7J253C</v>
          </cell>
          <cell r="E2033">
            <v>636</v>
          </cell>
          <cell r="F2033">
            <v>43509</v>
          </cell>
          <cell r="G2033" t="str">
            <v>OK</v>
          </cell>
        </row>
        <row r="2034">
          <cell r="A2034" t="str">
            <v>Y1901-0665</v>
          </cell>
          <cell r="B2034">
            <v>201811</v>
          </cell>
          <cell r="C2034" t="str">
            <v>4600066259</v>
          </cell>
          <cell r="D2034" t="str">
            <v>1J794C</v>
          </cell>
          <cell r="E2034">
            <v>444</v>
          </cell>
          <cell r="F2034">
            <v>43509</v>
          </cell>
          <cell r="G2034" t="str">
            <v>OK</v>
          </cell>
        </row>
        <row r="2035">
          <cell r="A2035" t="str">
            <v>Y1901-0666</v>
          </cell>
          <cell r="B2035">
            <v>201811</v>
          </cell>
          <cell r="C2035" t="str">
            <v>4600066260</v>
          </cell>
          <cell r="D2035" t="str">
            <v>1J794C</v>
          </cell>
          <cell r="E2035">
            <v>636</v>
          </cell>
          <cell r="F2035">
            <v>43509</v>
          </cell>
          <cell r="G2035" t="str">
            <v>OK</v>
          </cell>
        </row>
        <row r="2036">
          <cell r="A2036" t="str">
            <v>Y1901-0667</v>
          </cell>
          <cell r="B2036">
            <v>201811</v>
          </cell>
          <cell r="C2036" t="str">
            <v>4600066261</v>
          </cell>
          <cell r="D2036" t="str">
            <v>M7650C</v>
          </cell>
          <cell r="E2036">
            <v>1608</v>
          </cell>
          <cell r="F2036">
            <v>43509</v>
          </cell>
          <cell r="G2036" t="str">
            <v>OK</v>
          </cell>
        </row>
        <row r="2037">
          <cell r="A2037" t="str">
            <v>Y1901-0668</v>
          </cell>
          <cell r="B2037">
            <v>201811</v>
          </cell>
          <cell r="C2037" t="str">
            <v>4600066262</v>
          </cell>
          <cell r="D2037" t="str">
            <v>3J253C</v>
          </cell>
          <cell r="E2037">
            <v>252</v>
          </cell>
          <cell r="F2037">
            <v>43509</v>
          </cell>
          <cell r="G2037" t="str">
            <v>OK</v>
          </cell>
        </row>
        <row r="2038">
          <cell r="A2038" t="str">
            <v>Y1901-0669</v>
          </cell>
          <cell r="B2038">
            <v>201811</v>
          </cell>
          <cell r="C2038" t="str">
            <v>4600066263</v>
          </cell>
          <cell r="D2038" t="str">
            <v>M7652C</v>
          </cell>
          <cell r="E2038">
            <v>3432</v>
          </cell>
          <cell r="F2038">
            <v>43509</v>
          </cell>
          <cell r="G2038" t="str">
            <v>OK</v>
          </cell>
        </row>
        <row r="2039">
          <cell r="A2039" t="str">
            <v>Y1901-0670</v>
          </cell>
          <cell r="B2039">
            <v>201811</v>
          </cell>
          <cell r="C2039" t="str">
            <v>4600066266</v>
          </cell>
          <cell r="D2039" t="str">
            <v>M7652C</v>
          </cell>
          <cell r="E2039">
            <v>708</v>
          </cell>
          <cell r="F2039">
            <v>43509</v>
          </cell>
          <cell r="G2039" t="str">
            <v>OK</v>
          </cell>
        </row>
        <row r="2040">
          <cell r="A2040" t="str">
            <v>Y1901-0620</v>
          </cell>
          <cell r="B2040">
            <v>201811</v>
          </cell>
          <cell r="C2040" t="str">
            <v>0100179969</v>
          </cell>
          <cell r="D2040" t="str">
            <v>165598C</v>
          </cell>
          <cell r="E2040">
            <v>465</v>
          </cell>
          <cell r="F2040">
            <v>43512</v>
          </cell>
          <cell r="G2040" t="str">
            <v>01/15</v>
          </cell>
        </row>
        <row r="2041">
          <cell r="A2041" t="str">
            <v>Y1902-0550</v>
          </cell>
          <cell r="B2041">
            <v>201811</v>
          </cell>
          <cell r="C2041" t="str">
            <v>0100179978</v>
          </cell>
          <cell r="D2041" t="str">
            <v>264477F</v>
          </cell>
          <cell r="E2041">
            <v>696</v>
          </cell>
          <cell r="F2041">
            <v>43513</v>
          </cell>
          <cell r="G2041" t="str">
            <v>01/15</v>
          </cell>
        </row>
        <row r="2042">
          <cell r="A2042" t="str">
            <v>Y1902-0572</v>
          </cell>
          <cell r="B2042">
            <v>201811</v>
          </cell>
          <cell r="C2042" t="str">
            <v>0100180060</v>
          </cell>
          <cell r="D2042" t="str">
            <v>164060C</v>
          </cell>
          <cell r="E2042">
            <v>1716</v>
          </cell>
          <cell r="F2042">
            <v>43513</v>
          </cell>
          <cell r="G2042" t="str">
            <v>01/15</v>
          </cell>
        </row>
        <row r="2043">
          <cell r="A2043" t="str">
            <v>Y1902-0499</v>
          </cell>
          <cell r="B2043">
            <v>201811</v>
          </cell>
          <cell r="C2043" t="str">
            <v>0100180069</v>
          </cell>
          <cell r="D2043" t="str">
            <v>165598C</v>
          </cell>
          <cell r="E2043">
            <v>6064</v>
          </cell>
          <cell r="F2043">
            <v>43512</v>
          </cell>
          <cell r="G2043" t="str">
            <v>01/15</v>
          </cell>
        </row>
        <row r="2044">
          <cell r="A2044" t="str">
            <v>Y1902-0510</v>
          </cell>
          <cell r="B2044">
            <v>201811</v>
          </cell>
          <cell r="C2044" t="str">
            <v>0100180070</v>
          </cell>
          <cell r="D2044" t="str">
            <v>165598C</v>
          </cell>
          <cell r="E2044">
            <v>237</v>
          </cell>
          <cell r="F2044">
            <v>43512</v>
          </cell>
          <cell r="G2044" t="str">
            <v>01/15</v>
          </cell>
        </row>
        <row r="2045">
          <cell r="A2045" t="str">
            <v>Y1901-0622</v>
          </cell>
          <cell r="B2045">
            <v>201811</v>
          </cell>
          <cell r="C2045" t="str">
            <v>0100181192</v>
          </cell>
          <cell r="D2045" t="str">
            <v>165599C</v>
          </cell>
          <cell r="E2045">
            <v>446</v>
          </cell>
          <cell r="F2045">
            <v>43512</v>
          </cell>
          <cell r="G2045" t="str">
            <v>01/15</v>
          </cell>
        </row>
        <row r="2046">
          <cell r="A2046" t="str">
            <v>Y1902-0500</v>
          </cell>
          <cell r="B2046">
            <v>201811</v>
          </cell>
          <cell r="C2046" t="str">
            <v>0100181208</v>
          </cell>
          <cell r="D2046" t="str">
            <v>165599C</v>
          </cell>
          <cell r="E2046">
            <v>6066</v>
          </cell>
          <cell r="F2046">
            <v>43512</v>
          </cell>
          <cell r="G2046" t="str">
            <v>01/15</v>
          </cell>
        </row>
        <row r="2047">
          <cell r="A2047" t="str">
            <v>Y1902-0595</v>
          </cell>
          <cell r="B2047">
            <v>201811</v>
          </cell>
          <cell r="C2047" t="str">
            <v>0100181341</v>
          </cell>
          <cell r="D2047" t="str">
            <v>164025C</v>
          </cell>
          <cell r="E2047">
            <v>727</v>
          </cell>
          <cell r="F2047">
            <v>43514</v>
          </cell>
          <cell r="G2047" t="str">
            <v>01/15</v>
          </cell>
        </row>
        <row r="2048">
          <cell r="A2048" t="str">
            <v>Y1902-0601</v>
          </cell>
          <cell r="B2048">
            <v>201811</v>
          </cell>
          <cell r="C2048" t="str">
            <v>0100181390</v>
          </cell>
          <cell r="D2048" t="str">
            <v>164026C</v>
          </cell>
          <cell r="E2048">
            <v>742</v>
          </cell>
          <cell r="F2048">
            <v>43514</v>
          </cell>
          <cell r="G2048" t="str">
            <v>01/15</v>
          </cell>
        </row>
        <row r="2049">
          <cell r="A2049" t="str">
            <v>Y1902-0650</v>
          </cell>
          <cell r="B2049">
            <v>201811</v>
          </cell>
          <cell r="C2049" t="str">
            <v>0100181646</v>
          </cell>
          <cell r="D2049" t="str">
            <v>159630C</v>
          </cell>
          <cell r="E2049">
            <v>3264</v>
          </cell>
          <cell r="F2049">
            <v>43516</v>
          </cell>
          <cell r="G2049" t="str">
            <v>OK</v>
          </cell>
        </row>
        <row r="2050">
          <cell r="A2050" t="str">
            <v>Y1902-0651</v>
          </cell>
          <cell r="B2050">
            <v>201811</v>
          </cell>
          <cell r="C2050" t="str">
            <v>0100181647</v>
          </cell>
          <cell r="D2050" t="str">
            <v>159631C</v>
          </cell>
          <cell r="E2050">
            <v>2268</v>
          </cell>
          <cell r="F2050">
            <v>43516</v>
          </cell>
          <cell r="G2050" t="str">
            <v>OK</v>
          </cell>
        </row>
        <row r="2051">
          <cell r="A2051" t="str">
            <v>Y1902-0652</v>
          </cell>
          <cell r="B2051">
            <v>201811</v>
          </cell>
          <cell r="C2051" t="str">
            <v>0100181648</v>
          </cell>
          <cell r="D2051" t="str">
            <v>160480C</v>
          </cell>
          <cell r="E2051">
            <v>3768</v>
          </cell>
          <cell r="F2051">
            <v>43516</v>
          </cell>
          <cell r="G2051" t="str">
            <v>OK</v>
          </cell>
        </row>
        <row r="2052">
          <cell r="A2052" t="str">
            <v>Y1902-0653</v>
          </cell>
          <cell r="B2052">
            <v>201811</v>
          </cell>
          <cell r="C2052" t="str">
            <v>0100181649</v>
          </cell>
          <cell r="D2052" t="str">
            <v>160481C</v>
          </cell>
          <cell r="E2052">
            <v>2388</v>
          </cell>
          <cell r="F2052">
            <v>43516</v>
          </cell>
          <cell r="G2052" t="str">
            <v>OK</v>
          </cell>
        </row>
        <row r="2053">
          <cell r="A2053" t="str">
            <v>Y1902-0654</v>
          </cell>
          <cell r="B2053">
            <v>201811</v>
          </cell>
          <cell r="C2053" t="str">
            <v>0100181652</v>
          </cell>
          <cell r="D2053" t="str">
            <v>160504C</v>
          </cell>
          <cell r="E2053">
            <v>9336</v>
          </cell>
          <cell r="F2053">
            <v>43524</v>
          </cell>
          <cell r="G2053" t="str">
            <v>01/02</v>
          </cell>
        </row>
        <row r="2054">
          <cell r="A2054" t="str">
            <v>Y1901-0672</v>
          </cell>
          <cell r="B2054">
            <v>201811</v>
          </cell>
          <cell r="C2054" t="str">
            <v>0100181653</v>
          </cell>
          <cell r="D2054" t="str">
            <v>160483C</v>
          </cell>
          <cell r="E2054">
            <v>6024</v>
          </cell>
          <cell r="F2054">
            <v>43524</v>
          </cell>
          <cell r="G2054" t="str">
            <v>OK</v>
          </cell>
        </row>
        <row r="2055">
          <cell r="A2055" t="str">
            <v>Y1902-0522</v>
          </cell>
          <cell r="B2055">
            <v>201811</v>
          </cell>
          <cell r="C2055" t="str">
            <v>4600066156</v>
          </cell>
          <cell r="D2055" t="str">
            <v>165598C</v>
          </cell>
          <cell r="E2055">
            <v>270</v>
          </cell>
          <cell r="F2055">
            <v>43520</v>
          </cell>
          <cell r="G2055" t="str">
            <v>01/15</v>
          </cell>
        </row>
        <row r="2056">
          <cell r="A2056" t="str">
            <v>Y1902-0523</v>
          </cell>
          <cell r="B2056">
            <v>201811</v>
          </cell>
          <cell r="C2056" t="str">
            <v>4600066157</v>
          </cell>
          <cell r="D2056" t="str">
            <v>165599C</v>
          </cell>
          <cell r="E2056">
            <v>270</v>
          </cell>
          <cell r="F2056">
            <v>43520</v>
          </cell>
          <cell r="G2056" t="str">
            <v>01/15</v>
          </cell>
        </row>
        <row r="2057">
          <cell r="A2057" t="str">
            <v>Y1902-0524</v>
          </cell>
          <cell r="B2057">
            <v>201811</v>
          </cell>
          <cell r="C2057" t="str">
            <v>4600066168</v>
          </cell>
          <cell r="D2057" t="str">
            <v>165598C</v>
          </cell>
          <cell r="E2057">
            <v>96</v>
          </cell>
          <cell r="F2057">
            <v>43520</v>
          </cell>
          <cell r="G2057" t="str">
            <v>01/15</v>
          </cell>
        </row>
        <row r="2058">
          <cell r="A2058" t="str">
            <v>Y1902-0525</v>
          </cell>
          <cell r="B2058">
            <v>201811</v>
          </cell>
          <cell r="C2058" t="str">
            <v>4600066170</v>
          </cell>
          <cell r="D2058" t="str">
            <v>165599C</v>
          </cell>
          <cell r="E2058">
            <v>96</v>
          </cell>
          <cell r="F2058">
            <v>43520</v>
          </cell>
          <cell r="G2058" t="str">
            <v>01/15</v>
          </cell>
        </row>
        <row r="2059">
          <cell r="A2059" t="str">
            <v>Y1812-0786</v>
          </cell>
          <cell r="B2059">
            <v>201809</v>
          </cell>
          <cell r="C2059" t="str">
            <v>TL1809010-SOL</v>
          </cell>
          <cell r="D2059" t="str">
            <v>M7652C</v>
          </cell>
          <cell r="E2059">
            <v>3600</v>
          </cell>
          <cell r="F2059">
            <v>43507</v>
          </cell>
          <cell r="G2059" t="str">
            <v>OK</v>
          </cell>
        </row>
        <row r="2060">
          <cell r="A2060" t="str">
            <v>Y1812-0095</v>
          </cell>
          <cell r="B2060">
            <v>201807</v>
          </cell>
          <cell r="C2060" t="str">
            <v>4600059635</v>
          </cell>
          <cell r="D2060" t="str">
            <v>161608C</v>
          </cell>
          <cell r="E2060">
            <v>528</v>
          </cell>
          <cell r="F2060">
            <v>43518</v>
          </cell>
          <cell r="G2060" t="str">
            <v>OK</v>
          </cell>
        </row>
        <row r="2061">
          <cell r="A2061" t="str">
            <v>Y1812-0105</v>
          </cell>
          <cell r="B2061">
            <v>201807</v>
          </cell>
          <cell r="C2061" t="str">
            <v>4600059645</v>
          </cell>
          <cell r="D2061" t="str">
            <v>161608C</v>
          </cell>
          <cell r="E2061">
            <v>2112</v>
          </cell>
          <cell r="F2061">
            <v>43518</v>
          </cell>
          <cell r="G2061" t="str">
            <v>OK</v>
          </cell>
        </row>
        <row r="2062">
          <cell r="A2062" t="str">
            <v>Y1812-0107</v>
          </cell>
          <cell r="B2062">
            <v>201807</v>
          </cell>
          <cell r="C2062" t="str">
            <v>4600059647</v>
          </cell>
          <cell r="D2062" t="str">
            <v>163187C</v>
          </cell>
          <cell r="E2062">
            <v>2040</v>
          </cell>
          <cell r="F2062">
            <v>43518</v>
          </cell>
          <cell r="G2062" t="str">
            <v>OK</v>
          </cell>
        </row>
        <row r="2063">
          <cell r="A2063" t="str">
            <v>Y1812-0110</v>
          </cell>
          <cell r="B2063">
            <v>201807</v>
          </cell>
          <cell r="C2063" t="str">
            <v>4600059650</v>
          </cell>
          <cell r="D2063" t="str">
            <v>163202C</v>
          </cell>
          <cell r="E2063">
            <v>504</v>
          </cell>
          <cell r="F2063">
            <v>43518</v>
          </cell>
          <cell r="G2063" t="str">
            <v>OK</v>
          </cell>
        </row>
        <row r="2064">
          <cell r="A2064" t="str">
            <v>Y1812-0113</v>
          </cell>
          <cell r="B2064">
            <v>201807</v>
          </cell>
          <cell r="C2064" t="str">
            <v>4600059653</v>
          </cell>
          <cell r="D2064" t="str">
            <v>163187C</v>
          </cell>
          <cell r="E2064">
            <v>504</v>
          </cell>
          <cell r="F2064">
            <v>43518</v>
          </cell>
          <cell r="G2064" t="str">
            <v>OK</v>
          </cell>
        </row>
        <row r="2065">
          <cell r="A2065" t="str">
            <v>Y1812-0116</v>
          </cell>
          <cell r="B2065">
            <v>201807</v>
          </cell>
          <cell r="C2065" t="str">
            <v>4600059656</v>
          </cell>
          <cell r="D2065" t="str">
            <v>163203C</v>
          </cell>
          <cell r="E2065">
            <v>2016</v>
          </cell>
          <cell r="F2065">
            <v>43518</v>
          </cell>
          <cell r="G2065" t="str">
            <v>OK</v>
          </cell>
        </row>
        <row r="2066">
          <cell r="A2066" t="str">
            <v>Y1812-0117</v>
          </cell>
          <cell r="B2066">
            <v>201807</v>
          </cell>
          <cell r="C2066" t="str">
            <v>4600059657</v>
          </cell>
          <cell r="D2066" t="str">
            <v>663608C</v>
          </cell>
          <cell r="E2066">
            <v>432</v>
          </cell>
          <cell r="F2066">
            <v>43518</v>
          </cell>
          <cell r="G2066" t="str">
            <v>OK</v>
          </cell>
        </row>
        <row r="2067">
          <cell r="A2067" t="str">
            <v>Y1812-0118</v>
          </cell>
          <cell r="B2067">
            <v>201807</v>
          </cell>
          <cell r="C2067" t="str">
            <v>4600059658</v>
          </cell>
          <cell r="D2067" t="str">
            <v>663608C</v>
          </cell>
          <cell r="E2067">
            <v>132</v>
          </cell>
          <cell r="F2067">
            <v>43518</v>
          </cell>
          <cell r="G2067" t="str">
            <v>OK</v>
          </cell>
        </row>
        <row r="2068">
          <cell r="A2068" t="str">
            <v>Y1812-0123</v>
          </cell>
          <cell r="B2068">
            <v>201807</v>
          </cell>
          <cell r="C2068" t="str">
            <v>4600059663</v>
          </cell>
          <cell r="D2068" t="str">
            <v>663601C</v>
          </cell>
          <cell r="E2068">
            <v>372</v>
          </cell>
          <cell r="F2068">
            <v>43518</v>
          </cell>
          <cell r="G2068" t="str">
            <v>OK</v>
          </cell>
        </row>
        <row r="2069">
          <cell r="A2069" t="str">
            <v>Y1812-0124</v>
          </cell>
          <cell r="B2069">
            <v>201807</v>
          </cell>
          <cell r="C2069" t="str">
            <v>4600059664</v>
          </cell>
          <cell r="D2069" t="str">
            <v>663601C</v>
          </cell>
          <cell r="E2069">
            <v>132</v>
          </cell>
          <cell r="F2069">
            <v>43518</v>
          </cell>
          <cell r="G2069" t="str">
            <v>OK</v>
          </cell>
        </row>
        <row r="2070">
          <cell r="A2070" t="str">
            <v>Y1812-0130</v>
          </cell>
          <cell r="B2070">
            <v>201807</v>
          </cell>
          <cell r="C2070" t="str">
            <v>4600059673</v>
          </cell>
          <cell r="D2070" t="str">
            <v>163202C</v>
          </cell>
          <cell r="E2070">
            <v>2016</v>
          </cell>
          <cell r="F2070">
            <v>43518</v>
          </cell>
          <cell r="G2070" t="str">
            <v>OK</v>
          </cell>
        </row>
        <row r="2071">
          <cell r="A2071" t="str">
            <v>Y1812-0094</v>
          </cell>
          <cell r="B2071">
            <v>201807</v>
          </cell>
          <cell r="C2071" t="str">
            <v>4600059634</v>
          </cell>
          <cell r="D2071" t="str">
            <v>163203C</v>
          </cell>
          <cell r="E2071">
            <v>504</v>
          </cell>
          <cell r="F2071">
            <v>43518</v>
          </cell>
          <cell r="G2071" t="str">
            <v>OK</v>
          </cell>
        </row>
        <row r="2072">
          <cell r="A2072" t="str">
            <v>Y1901-0542</v>
          </cell>
          <cell r="B2072">
            <v>201810</v>
          </cell>
          <cell r="C2072" t="str">
            <v>4600064618</v>
          </cell>
          <cell r="D2072" t="str">
            <v>161603C</v>
          </cell>
          <cell r="E2072">
            <v>2400</v>
          </cell>
          <cell r="F2072">
            <v>43518</v>
          </cell>
          <cell r="G2072" t="str">
            <v>OK</v>
          </cell>
        </row>
        <row r="2073">
          <cell r="A2073" t="str">
            <v>Y1901-0543</v>
          </cell>
          <cell r="B2073">
            <v>201810</v>
          </cell>
          <cell r="C2073" t="str">
            <v>4600064619</v>
          </cell>
          <cell r="D2073" t="str">
            <v>161599C</v>
          </cell>
          <cell r="E2073">
            <v>1224</v>
          </cell>
          <cell r="F2073">
            <v>43518</v>
          </cell>
          <cell r="G2073" t="str">
            <v>OK</v>
          </cell>
        </row>
        <row r="2074">
          <cell r="A2074" t="str">
            <v>YL1902-0001</v>
          </cell>
          <cell r="B2074">
            <v>201812</v>
          </cell>
          <cell r="C2074" t="str">
            <v>0100181901</v>
          </cell>
          <cell r="D2074" t="str">
            <v>1J793C</v>
          </cell>
          <cell r="E2074">
            <v>4308</v>
          </cell>
          <cell r="F2074">
            <v>43508</v>
          </cell>
          <cell r="G2074" t="str">
            <v>OK</v>
          </cell>
        </row>
        <row r="2075">
          <cell r="A2075" t="str">
            <v>YL1902-0002</v>
          </cell>
          <cell r="B2075">
            <v>201812</v>
          </cell>
          <cell r="C2075" t="str">
            <v>0100181902</v>
          </cell>
          <cell r="D2075" t="str">
            <v>1J794C</v>
          </cell>
          <cell r="E2075">
            <v>1812</v>
          </cell>
          <cell r="F2075">
            <v>43508</v>
          </cell>
          <cell r="G2075" t="str">
            <v>OK</v>
          </cell>
        </row>
        <row r="2076">
          <cell r="A2076" t="str">
            <v>YL-1902-0003</v>
          </cell>
          <cell r="B2076">
            <v>201812</v>
          </cell>
          <cell r="C2076" t="str">
            <v>0100181903</v>
          </cell>
          <cell r="D2076" t="str">
            <v>M3310C</v>
          </cell>
          <cell r="E2076">
            <v>12156</v>
          </cell>
          <cell r="F2076">
            <v>43508</v>
          </cell>
          <cell r="G2076" t="str">
            <v>OK</v>
          </cell>
        </row>
        <row r="2077">
          <cell r="A2077" t="str">
            <v>YL1902-0004</v>
          </cell>
          <cell r="B2077">
            <v>201812</v>
          </cell>
          <cell r="C2077" t="str">
            <v>0100181904</v>
          </cell>
          <cell r="D2077" t="str">
            <v>M5039C</v>
          </cell>
          <cell r="E2077">
            <v>14832</v>
          </cell>
          <cell r="F2077">
            <v>43508</v>
          </cell>
          <cell r="G2077" t="str">
            <v>OK</v>
          </cell>
        </row>
        <row r="2078">
          <cell r="A2078" t="str">
            <v>YL1902-0005</v>
          </cell>
          <cell r="B2078">
            <v>201812</v>
          </cell>
          <cell r="C2078" t="str">
            <v>0100181905</v>
          </cell>
          <cell r="D2078" t="str">
            <v>M7650C</v>
          </cell>
          <cell r="E2078">
            <v>16728</v>
          </cell>
          <cell r="F2078">
            <v>43508</v>
          </cell>
          <cell r="G2078" t="str">
            <v>OK</v>
          </cell>
        </row>
        <row r="2079">
          <cell r="A2079" t="str">
            <v>YL1902-0006A</v>
          </cell>
          <cell r="B2079">
            <v>201812</v>
          </cell>
          <cell r="C2079" t="str">
            <v>0100181906</v>
          </cell>
          <cell r="D2079" t="str">
            <v>M7652C</v>
          </cell>
          <cell r="E2079">
            <v>17148</v>
          </cell>
          <cell r="F2079">
            <v>43508</v>
          </cell>
          <cell r="G2079" t="str">
            <v>OK</v>
          </cell>
        </row>
        <row r="2080">
          <cell r="A2080" t="str">
            <v>YL1902-0007A</v>
          </cell>
          <cell r="B2080">
            <v>201812</v>
          </cell>
          <cell r="C2080" t="str">
            <v>0100181907</v>
          </cell>
          <cell r="D2080" t="str">
            <v>M9160C</v>
          </cell>
          <cell r="E2080">
            <v>19584</v>
          </cell>
          <cell r="F2080">
            <v>43508</v>
          </cell>
          <cell r="G2080" t="str">
            <v>OK</v>
          </cell>
        </row>
        <row r="2081">
          <cell r="A2081" t="str">
            <v>YL1902-0008A</v>
          </cell>
          <cell r="B2081">
            <v>201812</v>
          </cell>
          <cell r="C2081" t="str">
            <v>0100181908</v>
          </cell>
          <cell r="D2081" t="str">
            <v>M9166C</v>
          </cell>
          <cell r="E2081">
            <v>15432</v>
          </cell>
          <cell r="F2081">
            <v>43508</v>
          </cell>
          <cell r="G2081" t="str">
            <v>OK</v>
          </cell>
        </row>
        <row r="2082">
          <cell r="A2082" t="str">
            <v>YL1902-0009</v>
          </cell>
          <cell r="B2082">
            <v>201812</v>
          </cell>
          <cell r="C2082" t="str">
            <v>0100181909</v>
          </cell>
          <cell r="D2082" t="str">
            <v>M9622C</v>
          </cell>
          <cell r="E2082">
            <v>6684</v>
          </cell>
          <cell r="F2082">
            <v>43508</v>
          </cell>
          <cell r="G2082" t="str">
            <v>OK</v>
          </cell>
        </row>
        <row r="2083">
          <cell r="A2083" t="str">
            <v>YL1902-0006B</v>
          </cell>
          <cell r="B2083">
            <v>201812</v>
          </cell>
          <cell r="C2083" t="str">
            <v>0100181911</v>
          </cell>
          <cell r="D2083" t="str">
            <v>M7652C</v>
          </cell>
          <cell r="E2083">
            <v>8904</v>
          </cell>
          <cell r="F2083">
            <v>43508</v>
          </cell>
          <cell r="G2083" t="str">
            <v>OK</v>
          </cell>
        </row>
        <row r="2084">
          <cell r="A2084" t="str">
            <v>YL1902-0006C</v>
          </cell>
          <cell r="B2084">
            <v>201812</v>
          </cell>
          <cell r="C2084" t="str">
            <v>0100181912</v>
          </cell>
          <cell r="D2084" t="str">
            <v>M7652C</v>
          </cell>
          <cell r="E2084">
            <v>16452</v>
          </cell>
          <cell r="F2084">
            <v>43508</v>
          </cell>
          <cell r="G2084" t="str">
            <v>OK</v>
          </cell>
        </row>
        <row r="2085">
          <cell r="A2085" t="str">
            <v>YL1902-0006D</v>
          </cell>
          <cell r="B2085">
            <v>201812</v>
          </cell>
          <cell r="C2085" t="str">
            <v>0100181913</v>
          </cell>
          <cell r="D2085" t="str">
            <v>M7652C</v>
          </cell>
          <cell r="E2085">
            <v>13560</v>
          </cell>
          <cell r="F2085">
            <v>43508</v>
          </cell>
          <cell r="G2085" t="str">
            <v>OK</v>
          </cell>
        </row>
        <row r="2086">
          <cell r="A2086" t="str">
            <v>YL1902-0006E</v>
          </cell>
          <cell r="B2086">
            <v>201812</v>
          </cell>
          <cell r="C2086" t="str">
            <v>0100181914</v>
          </cell>
          <cell r="D2086" t="str">
            <v>M7652C</v>
          </cell>
          <cell r="E2086">
            <v>13560</v>
          </cell>
          <cell r="F2086">
            <v>43508</v>
          </cell>
          <cell r="G2086" t="str">
            <v>OK</v>
          </cell>
        </row>
        <row r="2087">
          <cell r="A2087" t="str">
            <v>YL1902-0006F</v>
          </cell>
          <cell r="B2087">
            <v>201812</v>
          </cell>
          <cell r="C2087" t="str">
            <v>0100181915</v>
          </cell>
          <cell r="D2087" t="str">
            <v>M7652C</v>
          </cell>
          <cell r="E2087">
            <v>10116</v>
          </cell>
          <cell r="F2087">
            <v>43508</v>
          </cell>
          <cell r="G2087" t="str">
            <v>OK</v>
          </cell>
        </row>
        <row r="2088">
          <cell r="A2088" t="str">
            <v>YL1902-0006G</v>
          </cell>
          <cell r="B2088">
            <v>201812</v>
          </cell>
          <cell r="C2088" t="str">
            <v>0100181916</v>
          </cell>
          <cell r="D2088" t="str">
            <v>M7652C</v>
          </cell>
          <cell r="E2088">
            <v>19710</v>
          </cell>
          <cell r="F2088">
            <v>43508</v>
          </cell>
          <cell r="G2088" t="str">
            <v>OK</v>
          </cell>
        </row>
        <row r="2089">
          <cell r="A2089" t="str">
            <v>YL1902-0006H</v>
          </cell>
          <cell r="B2089">
            <v>201812</v>
          </cell>
          <cell r="C2089" t="str">
            <v>0100181917</v>
          </cell>
          <cell r="D2089" t="str">
            <v>M7652C</v>
          </cell>
          <cell r="E2089">
            <v>19710</v>
          </cell>
          <cell r="F2089">
            <v>43508</v>
          </cell>
          <cell r="G2089" t="str">
            <v>OK</v>
          </cell>
        </row>
        <row r="2090">
          <cell r="A2090" t="str">
            <v>YL1902-0006I</v>
          </cell>
          <cell r="B2090">
            <v>201812</v>
          </cell>
          <cell r="C2090" t="str">
            <v>0100181918</v>
          </cell>
          <cell r="D2090" t="str">
            <v>M7652C</v>
          </cell>
          <cell r="E2090">
            <v>16260</v>
          </cell>
          <cell r="F2090">
            <v>43508</v>
          </cell>
          <cell r="G2090" t="str">
            <v>OK</v>
          </cell>
        </row>
        <row r="2091">
          <cell r="A2091" t="str">
            <v>YL1902-0007B</v>
          </cell>
          <cell r="B2091">
            <v>201812</v>
          </cell>
          <cell r="C2091" t="str">
            <v>0100181919</v>
          </cell>
          <cell r="D2091" t="str">
            <v>M9160C</v>
          </cell>
          <cell r="E2091">
            <v>14100</v>
          </cell>
          <cell r="F2091">
            <v>43508</v>
          </cell>
          <cell r="G2091" t="str">
            <v>OK</v>
          </cell>
        </row>
        <row r="2092">
          <cell r="A2092" t="str">
            <v>YL1902-0008B</v>
          </cell>
          <cell r="B2092">
            <v>201812</v>
          </cell>
          <cell r="C2092" t="str">
            <v>0100181920</v>
          </cell>
          <cell r="D2092" t="str">
            <v>M9166C</v>
          </cell>
          <cell r="E2092">
            <v>19404</v>
          </cell>
          <cell r="F2092">
            <v>43508</v>
          </cell>
          <cell r="G2092" t="str">
            <v>OK</v>
          </cell>
        </row>
        <row r="2093">
          <cell r="A2093" t="str">
            <v>Y1902-0664</v>
          </cell>
          <cell r="B2093">
            <v>201812</v>
          </cell>
          <cell r="C2093" t="str">
            <v>0100182246</v>
          </cell>
          <cell r="D2093" t="str">
            <v>3J234C</v>
          </cell>
          <cell r="E2093">
            <v>360</v>
          </cell>
          <cell r="F2093">
            <v>43521</v>
          </cell>
          <cell r="G2093" t="str">
            <v>01/22</v>
          </cell>
        </row>
        <row r="2094">
          <cell r="A2094" t="str">
            <v>Y1902-0665</v>
          </cell>
          <cell r="B2094">
            <v>201812</v>
          </cell>
          <cell r="C2094" t="str">
            <v>0100182247</v>
          </cell>
          <cell r="D2094" t="str">
            <v>W9166</v>
          </cell>
          <cell r="E2094">
            <v>360</v>
          </cell>
          <cell r="F2094">
            <v>43521</v>
          </cell>
          <cell r="G2094" t="str">
            <v>01/12</v>
          </cell>
        </row>
        <row r="2095">
          <cell r="A2095" t="str">
            <v>Y1902-0666</v>
          </cell>
          <cell r="B2095">
            <v>201812</v>
          </cell>
          <cell r="C2095" t="str">
            <v>0100182264</v>
          </cell>
          <cell r="D2095" t="str">
            <v>3J237C</v>
          </cell>
          <cell r="E2095">
            <v>672</v>
          </cell>
          <cell r="F2095">
            <v>43519</v>
          </cell>
          <cell r="G2095" t="str">
            <v>01/09</v>
          </cell>
        </row>
        <row r="2096">
          <cell r="A2096" t="str">
            <v>Y1902-0667</v>
          </cell>
          <cell r="B2096">
            <v>201812</v>
          </cell>
          <cell r="C2096" t="str">
            <v>0100182268</v>
          </cell>
          <cell r="D2096" t="str">
            <v>M9696C</v>
          </cell>
          <cell r="E2096">
            <v>2304</v>
          </cell>
          <cell r="F2096">
            <v>43519</v>
          </cell>
          <cell r="G2096" t="str">
            <v>01/09</v>
          </cell>
        </row>
        <row r="2097">
          <cell r="A2097" t="str">
            <v>Y1902-0668</v>
          </cell>
          <cell r="B2097">
            <v>201812</v>
          </cell>
          <cell r="C2097" t="str">
            <v>0100182269</v>
          </cell>
          <cell r="D2097" t="str">
            <v>7J231C</v>
          </cell>
          <cell r="E2097">
            <v>720</v>
          </cell>
          <cell r="F2097">
            <v>43519</v>
          </cell>
          <cell r="G2097" t="str">
            <v>01/11</v>
          </cell>
        </row>
        <row r="2098">
          <cell r="A2098" t="str">
            <v>Y1902-0669</v>
          </cell>
          <cell r="B2098">
            <v>201812</v>
          </cell>
          <cell r="C2098" t="str">
            <v>0100182296</v>
          </cell>
          <cell r="D2098" t="str">
            <v>7J235</v>
          </cell>
          <cell r="E2098">
            <v>444</v>
          </cell>
          <cell r="F2098">
            <v>43519</v>
          </cell>
          <cell r="G2098" t="str">
            <v>01/09</v>
          </cell>
        </row>
        <row r="2099">
          <cell r="A2099" t="str">
            <v>Y1902-0670</v>
          </cell>
          <cell r="B2099">
            <v>201812</v>
          </cell>
          <cell r="C2099" t="str">
            <v>4600066836</v>
          </cell>
          <cell r="D2099" t="str">
            <v>M9621C</v>
          </cell>
          <cell r="E2099">
            <v>372</v>
          </cell>
          <cell r="F2099">
            <v>43520</v>
          </cell>
          <cell r="G2099" t="str">
            <v>01/25</v>
          </cell>
        </row>
        <row r="2100">
          <cell r="A2100" t="str">
            <v>Y1902-0671</v>
          </cell>
          <cell r="B2100">
            <v>201812</v>
          </cell>
          <cell r="C2100" t="str">
            <v>4600066837</v>
          </cell>
          <cell r="D2100" t="str">
            <v>3J232C</v>
          </cell>
          <cell r="E2100">
            <v>360</v>
          </cell>
          <cell r="F2100">
            <v>43520</v>
          </cell>
          <cell r="G2100" t="str">
            <v>01/22</v>
          </cell>
        </row>
        <row r="2101">
          <cell r="A2101" t="str">
            <v>Y1902-0672</v>
          </cell>
          <cell r="B2101">
            <v>201812</v>
          </cell>
          <cell r="C2101" t="str">
            <v>4600066838</v>
          </cell>
          <cell r="D2101" t="str">
            <v>3J234C</v>
          </cell>
          <cell r="E2101">
            <v>360</v>
          </cell>
          <cell r="F2101">
            <v>43520</v>
          </cell>
          <cell r="G2101" t="str">
            <v>01/22</v>
          </cell>
        </row>
        <row r="2102">
          <cell r="A2102" t="str">
            <v>Y1902-0673</v>
          </cell>
          <cell r="B2102">
            <v>201812</v>
          </cell>
          <cell r="C2102" t="str">
            <v>4600066839</v>
          </cell>
          <cell r="D2102" t="str">
            <v>7J232C</v>
          </cell>
          <cell r="E2102">
            <v>408</v>
          </cell>
          <cell r="F2102">
            <v>43520</v>
          </cell>
          <cell r="G2102" t="str">
            <v>01/22</v>
          </cell>
        </row>
        <row r="2103">
          <cell r="A2103" t="str">
            <v>Y1902-0674</v>
          </cell>
          <cell r="B2103">
            <v>201812</v>
          </cell>
          <cell r="C2103" t="str">
            <v>4600066840</v>
          </cell>
          <cell r="D2103" t="str">
            <v>7J238C</v>
          </cell>
          <cell r="E2103">
            <v>408</v>
          </cell>
          <cell r="F2103">
            <v>43520</v>
          </cell>
          <cell r="G2103" t="str">
            <v>01/09</v>
          </cell>
        </row>
        <row r="2104">
          <cell r="A2104" t="str">
            <v>Y1902-0675</v>
          </cell>
          <cell r="B2104">
            <v>201812</v>
          </cell>
          <cell r="C2104" t="str">
            <v>4600066842</v>
          </cell>
          <cell r="D2104" t="str">
            <v>3J253C</v>
          </cell>
          <cell r="E2104">
            <v>672</v>
          </cell>
          <cell r="F2104">
            <v>43520</v>
          </cell>
          <cell r="G2104" t="str">
            <v>01/08</v>
          </cell>
        </row>
        <row r="2105">
          <cell r="A2105" t="str">
            <v>Y1902-0676</v>
          </cell>
          <cell r="B2105">
            <v>201812</v>
          </cell>
          <cell r="C2105" t="str">
            <v>4600066843</v>
          </cell>
          <cell r="D2105" t="str">
            <v>7J231C</v>
          </cell>
          <cell r="E2105">
            <v>384</v>
          </cell>
          <cell r="F2105">
            <v>43520</v>
          </cell>
          <cell r="G2105" t="str">
            <v>01/22</v>
          </cell>
        </row>
        <row r="2106">
          <cell r="A2106" t="str">
            <v>Y1902-0677</v>
          </cell>
          <cell r="B2106">
            <v>201812</v>
          </cell>
          <cell r="C2106" t="str">
            <v>4600066844</v>
          </cell>
          <cell r="D2106" t="str">
            <v>7J235C</v>
          </cell>
          <cell r="E2106">
            <v>1176</v>
          </cell>
          <cell r="F2106">
            <v>43520</v>
          </cell>
          <cell r="G2106" t="str">
            <v>01/09</v>
          </cell>
        </row>
        <row r="2107">
          <cell r="A2107" t="str">
            <v>Y1902-0678</v>
          </cell>
          <cell r="B2107">
            <v>201812</v>
          </cell>
          <cell r="C2107" t="str">
            <v>4600066845</v>
          </cell>
          <cell r="D2107" t="str">
            <v>M9160C</v>
          </cell>
          <cell r="E2107">
            <v>6660</v>
          </cell>
          <cell r="F2107">
            <v>43520</v>
          </cell>
          <cell r="G2107" t="str">
            <v>01/11</v>
          </cell>
        </row>
        <row r="2108">
          <cell r="A2108" t="str">
            <v>Y1902-0679</v>
          </cell>
          <cell r="B2108">
            <v>201812</v>
          </cell>
          <cell r="C2108" t="str">
            <v>4600066846</v>
          </cell>
          <cell r="D2108" t="str">
            <v>3J235C</v>
          </cell>
          <cell r="E2108">
            <v>864</v>
          </cell>
          <cell r="F2108">
            <v>43520</v>
          </cell>
          <cell r="G2108" t="str">
            <v>01/09</v>
          </cell>
        </row>
        <row r="2109">
          <cell r="A2109" t="str">
            <v>Y1902-0680</v>
          </cell>
          <cell r="B2109">
            <v>201812</v>
          </cell>
          <cell r="C2109" t="str">
            <v>4600066847</v>
          </cell>
          <cell r="D2109" t="str">
            <v>7J253C</v>
          </cell>
          <cell r="E2109">
            <v>648</v>
          </cell>
          <cell r="F2109">
            <v>43520</v>
          </cell>
          <cell r="G2109" t="str">
            <v>01/11</v>
          </cell>
        </row>
        <row r="2110">
          <cell r="A2110" t="str">
            <v>Y1902-0681</v>
          </cell>
          <cell r="B2110">
            <v>201812</v>
          </cell>
          <cell r="C2110" t="str">
            <v>4600066850</v>
          </cell>
          <cell r="D2110" t="str">
            <v>158369C</v>
          </cell>
          <cell r="E2110">
            <v>240</v>
          </cell>
          <cell r="F2110">
            <v>43520</v>
          </cell>
          <cell r="G2110" t="str">
            <v>01/11</v>
          </cell>
        </row>
        <row r="2111">
          <cell r="A2111" t="str">
            <v>Y1902-0682</v>
          </cell>
          <cell r="B2111">
            <v>201812</v>
          </cell>
          <cell r="C2111" t="str">
            <v>4600066851</v>
          </cell>
          <cell r="D2111" t="str">
            <v>M9160C</v>
          </cell>
          <cell r="E2111">
            <v>1506</v>
          </cell>
          <cell r="F2111">
            <v>43520</v>
          </cell>
          <cell r="G2111" t="str">
            <v>01/11</v>
          </cell>
        </row>
        <row r="2112">
          <cell r="A2112" t="str">
            <v>Y1902-0683</v>
          </cell>
          <cell r="B2112">
            <v>201812</v>
          </cell>
          <cell r="C2112" t="str">
            <v>4600066852</v>
          </cell>
          <cell r="D2112" t="str">
            <v>3J235C</v>
          </cell>
          <cell r="E2112">
            <v>360</v>
          </cell>
          <cell r="F2112">
            <v>43520</v>
          </cell>
          <cell r="G2112" t="str">
            <v>01/09</v>
          </cell>
        </row>
        <row r="2113">
          <cell r="A2113" t="str">
            <v>Y1902-0684</v>
          </cell>
          <cell r="B2113">
            <v>201812</v>
          </cell>
          <cell r="C2113" t="str">
            <v>4600066853</v>
          </cell>
          <cell r="D2113" t="str">
            <v>3J253C</v>
          </cell>
          <cell r="E2113">
            <v>360</v>
          </cell>
          <cell r="F2113">
            <v>43520</v>
          </cell>
          <cell r="G2113" t="str">
            <v>01/08</v>
          </cell>
        </row>
        <row r="2114">
          <cell r="A2114" t="str">
            <v>Y1902-0685</v>
          </cell>
          <cell r="B2114">
            <v>201812</v>
          </cell>
          <cell r="C2114" t="str">
            <v>4600066854</v>
          </cell>
          <cell r="D2114" t="str">
            <v>7J253C</v>
          </cell>
          <cell r="E2114">
            <v>360</v>
          </cell>
          <cell r="F2114">
            <v>43520</v>
          </cell>
          <cell r="G2114" t="str">
            <v>01/11</v>
          </cell>
        </row>
        <row r="2115">
          <cell r="A2115" t="str">
            <v>Y1902-0686</v>
          </cell>
          <cell r="B2115">
            <v>201812</v>
          </cell>
          <cell r="C2115" t="str">
            <v>4600066914</v>
          </cell>
          <cell r="D2115" t="str">
            <v>3J238C</v>
          </cell>
          <cell r="E2115">
            <v>360</v>
          </cell>
          <cell r="F2115">
            <v>43520</v>
          </cell>
          <cell r="G2115" t="str">
            <v>01/09</v>
          </cell>
        </row>
        <row r="2116">
          <cell r="A2116" t="str">
            <v>Y1902-0687</v>
          </cell>
          <cell r="B2116">
            <v>201812</v>
          </cell>
          <cell r="C2116" t="str">
            <v>4600066915</v>
          </cell>
          <cell r="D2116" t="str">
            <v>M7652C</v>
          </cell>
          <cell r="E2116">
            <v>1092</v>
          </cell>
          <cell r="F2116">
            <v>43520</v>
          </cell>
          <cell r="G2116" t="str">
            <v>01/09</v>
          </cell>
        </row>
        <row r="2117">
          <cell r="A2117" t="str">
            <v>Y1902-0688</v>
          </cell>
          <cell r="B2117">
            <v>201812</v>
          </cell>
          <cell r="C2117" t="str">
            <v>4600066916</v>
          </cell>
          <cell r="D2117" t="str">
            <v>M9166C</v>
          </cell>
          <cell r="E2117">
            <v>2616</v>
          </cell>
          <cell r="F2117">
            <v>43520</v>
          </cell>
          <cell r="G2117" t="str">
            <v>01/09</v>
          </cell>
        </row>
        <row r="2118">
          <cell r="A2118" t="str">
            <v>Y1902-0689</v>
          </cell>
          <cell r="B2118">
            <v>201812</v>
          </cell>
          <cell r="C2118" t="str">
            <v>4600066917</v>
          </cell>
          <cell r="D2118" t="str">
            <v>M9696C</v>
          </cell>
          <cell r="E2118">
            <v>984</v>
          </cell>
          <cell r="F2118">
            <v>43520</v>
          </cell>
          <cell r="G2118" t="str">
            <v>01/09</v>
          </cell>
        </row>
        <row r="2119">
          <cell r="A2119" t="str">
            <v>Y1902-0690</v>
          </cell>
          <cell r="B2119">
            <v>201812</v>
          </cell>
          <cell r="C2119" t="str">
            <v>4600066918</v>
          </cell>
          <cell r="D2119" t="str">
            <v>M9697C</v>
          </cell>
          <cell r="E2119">
            <v>1116</v>
          </cell>
          <cell r="F2119">
            <v>43520</v>
          </cell>
          <cell r="G2119" t="str">
            <v>01/09</v>
          </cell>
        </row>
        <row r="2120">
          <cell r="A2120" t="str">
            <v>Y1902-0691</v>
          </cell>
          <cell r="B2120">
            <v>201812</v>
          </cell>
          <cell r="C2120" t="str">
            <v>4600066919</v>
          </cell>
          <cell r="D2120" t="str">
            <v>M5039C</v>
          </cell>
          <cell r="E2120">
            <v>360</v>
          </cell>
          <cell r="F2120">
            <v>43520</v>
          </cell>
          <cell r="G2120" t="str">
            <v>01/11</v>
          </cell>
        </row>
        <row r="2121">
          <cell r="A2121" t="str">
            <v>Y1902-0692</v>
          </cell>
          <cell r="B2121">
            <v>201812</v>
          </cell>
          <cell r="C2121" t="str">
            <v>4600066920</v>
          </cell>
          <cell r="D2121" t="str">
            <v>M9160C</v>
          </cell>
          <cell r="E2121">
            <v>1044</v>
          </cell>
          <cell r="F2121">
            <v>43520</v>
          </cell>
          <cell r="G2121" t="str">
            <v>01/11</v>
          </cell>
        </row>
        <row r="2122">
          <cell r="A2122" t="str">
            <v>Y1902-0693</v>
          </cell>
          <cell r="B2122">
            <v>201812</v>
          </cell>
          <cell r="C2122" t="str">
            <v>4600066921</v>
          </cell>
          <cell r="D2122" t="str">
            <v>M9621C</v>
          </cell>
          <cell r="E2122">
            <v>360</v>
          </cell>
          <cell r="F2122">
            <v>43520</v>
          </cell>
          <cell r="G2122" t="str">
            <v>01/25</v>
          </cell>
        </row>
        <row r="2123">
          <cell r="A2123" t="str">
            <v>Y1902-0694</v>
          </cell>
          <cell r="B2123">
            <v>201812</v>
          </cell>
          <cell r="C2123" t="str">
            <v>4600066922</v>
          </cell>
          <cell r="D2123" t="str">
            <v>M3310C</v>
          </cell>
          <cell r="E2123">
            <v>360</v>
          </cell>
          <cell r="F2123">
            <v>43520</v>
          </cell>
          <cell r="G2123" t="str">
            <v>01/11</v>
          </cell>
        </row>
        <row r="2124">
          <cell r="A2124" t="str">
            <v>Y1902-0695</v>
          </cell>
          <cell r="B2124">
            <v>201812</v>
          </cell>
          <cell r="C2124" t="str">
            <v>4600066923</v>
          </cell>
          <cell r="D2124" t="str">
            <v>3J237C</v>
          </cell>
          <cell r="E2124">
            <v>360</v>
          </cell>
          <cell r="F2124">
            <v>43520</v>
          </cell>
          <cell r="G2124" t="str">
            <v>01/09</v>
          </cell>
        </row>
        <row r="2125">
          <cell r="A2125" t="str">
            <v>Y1902-0696</v>
          </cell>
          <cell r="B2125">
            <v>201812</v>
          </cell>
          <cell r="C2125" t="str">
            <v>4600066924</v>
          </cell>
          <cell r="D2125" t="str">
            <v>3J232C</v>
          </cell>
          <cell r="E2125">
            <v>240</v>
          </cell>
          <cell r="F2125">
            <v>43520</v>
          </cell>
          <cell r="G2125" t="str">
            <v>01/22</v>
          </cell>
        </row>
        <row r="2126">
          <cell r="A2126" t="str">
            <v>Y1902-0697</v>
          </cell>
          <cell r="B2126">
            <v>201812</v>
          </cell>
          <cell r="C2126" t="str">
            <v>4600066925</v>
          </cell>
          <cell r="D2126" t="str">
            <v>7J253C</v>
          </cell>
          <cell r="E2126">
            <v>360</v>
          </cell>
          <cell r="F2126">
            <v>43520</v>
          </cell>
          <cell r="G2126" t="str">
            <v>01/11</v>
          </cell>
        </row>
        <row r="2127">
          <cell r="A2127" t="str">
            <v>Y1902-0698</v>
          </cell>
          <cell r="B2127">
            <v>201812</v>
          </cell>
          <cell r="C2127" t="str">
            <v>4600066928</v>
          </cell>
          <cell r="D2127" t="str">
            <v>158369C</v>
          </cell>
          <cell r="E2127">
            <v>120</v>
          </cell>
          <cell r="F2127">
            <v>43520</v>
          </cell>
          <cell r="G2127" t="str">
            <v>01/11</v>
          </cell>
        </row>
        <row r="2128">
          <cell r="A2128" t="str">
            <v>Y1902-0699</v>
          </cell>
          <cell r="B2128">
            <v>201812</v>
          </cell>
          <cell r="C2128" t="str">
            <v>4600066929</v>
          </cell>
          <cell r="D2128" t="str">
            <v>M9160C</v>
          </cell>
          <cell r="E2128">
            <v>2268</v>
          </cell>
          <cell r="F2128">
            <v>43520</v>
          </cell>
          <cell r="G2128" t="str">
            <v>01/11</v>
          </cell>
        </row>
        <row r="2129">
          <cell r="A2129" t="str">
            <v>Y1902-0700</v>
          </cell>
          <cell r="B2129">
            <v>201812</v>
          </cell>
          <cell r="C2129" t="str">
            <v>4600067084</v>
          </cell>
          <cell r="D2129" t="str">
            <v>159484C</v>
          </cell>
          <cell r="E2129">
            <v>480</v>
          </cell>
          <cell r="F2129">
            <v>43520</v>
          </cell>
          <cell r="G2129" t="str">
            <v>01/25</v>
          </cell>
        </row>
        <row r="2130">
          <cell r="A2130" t="str">
            <v>Y1902-0701</v>
          </cell>
          <cell r="B2130">
            <v>201812</v>
          </cell>
          <cell r="C2130" t="str">
            <v>4600067085</v>
          </cell>
          <cell r="D2130" t="str">
            <v>M9166C</v>
          </cell>
          <cell r="E2130">
            <v>3000</v>
          </cell>
          <cell r="F2130">
            <v>43520</v>
          </cell>
          <cell r="G2130" t="str">
            <v>01/12</v>
          </cell>
        </row>
        <row r="2131">
          <cell r="A2131" t="str">
            <v>Y1811-0369</v>
          </cell>
          <cell r="B2131">
            <v>201807</v>
          </cell>
          <cell r="C2131" t="str">
            <v>4600059518</v>
          </cell>
          <cell r="D2131" t="str">
            <v>361812C</v>
          </cell>
          <cell r="E2131">
            <v>528</v>
          </cell>
          <cell r="F2131">
            <v>43479</v>
          </cell>
          <cell r="G2131" t="str">
            <v>OK</v>
          </cell>
        </row>
        <row r="2132">
          <cell r="A2132" t="str">
            <v>Y1811-0370</v>
          </cell>
          <cell r="B2132">
            <v>201807</v>
          </cell>
          <cell r="C2132" t="str">
            <v>4600059519</v>
          </cell>
          <cell r="D2132" t="str">
            <v>363691C</v>
          </cell>
          <cell r="E2132">
            <v>168</v>
          </cell>
          <cell r="F2132">
            <v>43479</v>
          </cell>
          <cell r="G2132" t="str">
            <v>OK</v>
          </cell>
        </row>
        <row r="2133">
          <cell r="A2133" t="str">
            <v>Y1811-0371</v>
          </cell>
          <cell r="B2133">
            <v>201807</v>
          </cell>
          <cell r="C2133" t="str">
            <v>4600059520</v>
          </cell>
          <cell r="D2133" t="str">
            <v>163268C</v>
          </cell>
          <cell r="E2133">
            <v>456</v>
          </cell>
          <cell r="F2133">
            <v>43479</v>
          </cell>
          <cell r="G2133" t="str">
            <v>OK</v>
          </cell>
        </row>
        <row r="2134">
          <cell r="A2134" t="str">
            <v>Y1811-0372</v>
          </cell>
          <cell r="B2134">
            <v>201807</v>
          </cell>
          <cell r="C2134" t="str">
            <v>4600059521</v>
          </cell>
          <cell r="D2134" t="str">
            <v>163270C</v>
          </cell>
          <cell r="E2134">
            <v>216</v>
          </cell>
          <cell r="F2134">
            <v>43479</v>
          </cell>
          <cell r="G2134" t="str">
            <v>OK</v>
          </cell>
        </row>
        <row r="2135">
          <cell r="A2135" t="str">
            <v>Y1811-0373</v>
          </cell>
          <cell r="B2135">
            <v>201807</v>
          </cell>
          <cell r="C2135" t="str">
            <v>4600059522</v>
          </cell>
          <cell r="D2135" t="str">
            <v>164525C</v>
          </cell>
          <cell r="E2135">
            <v>444</v>
          </cell>
          <cell r="F2135">
            <v>43479</v>
          </cell>
          <cell r="G2135" t="str">
            <v>OK</v>
          </cell>
        </row>
        <row r="2136">
          <cell r="A2136" t="str">
            <v>Y1811-0374</v>
          </cell>
          <cell r="B2136">
            <v>201807</v>
          </cell>
          <cell r="C2136" t="str">
            <v>4600059523</v>
          </cell>
          <cell r="D2136" t="str">
            <v>163246C</v>
          </cell>
          <cell r="E2136">
            <v>288</v>
          </cell>
          <cell r="F2136">
            <v>43479</v>
          </cell>
          <cell r="G2136" t="str">
            <v>OK</v>
          </cell>
        </row>
        <row r="2137">
          <cell r="A2137" t="str">
            <v>Y1811-0375</v>
          </cell>
          <cell r="B2137">
            <v>201807</v>
          </cell>
          <cell r="C2137" t="str">
            <v>4600059524</v>
          </cell>
          <cell r="D2137" t="str">
            <v>163245C</v>
          </cell>
          <cell r="E2137">
            <v>192</v>
          </cell>
          <cell r="F2137">
            <v>43479</v>
          </cell>
          <cell r="G2137" t="str">
            <v>OK</v>
          </cell>
        </row>
        <row r="2138">
          <cell r="A2138" t="str">
            <v>Y1811-0376</v>
          </cell>
          <cell r="B2138">
            <v>201807</v>
          </cell>
          <cell r="C2138" t="str">
            <v>4600059533</v>
          </cell>
          <cell r="D2138" t="str">
            <v>163190C</v>
          </cell>
          <cell r="E2138">
            <v>288</v>
          </cell>
          <cell r="F2138">
            <v>43479</v>
          </cell>
          <cell r="G2138" t="str">
            <v>OK</v>
          </cell>
        </row>
        <row r="2139">
          <cell r="A2139" t="str">
            <v>Y1811-0377</v>
          </cell>
          <cell r="B2139">
            <v>201807</v>
          </cell>
          <cell r="C2139" t="str">
            <v>4600059534</v>
          </cell>
          <cell r="D2139" t="str">
            <v>163247C</v>
          </cell>
          <cell r="E2139">
            <v>120</v>
          </cell>
          <cell r="F2139">
            <v>43479</v>
          </cell>
          <cell r="G2139" t="str">
            <v>OK</v>
          </cell>
        </row>
        <row r="2140">
          <cell r="A2140" t="str">
            <v>Y1811-0378</v>
          </cell>
          <cell r="B2140">
            <v>201807</v>
          </cell>
          <cell r="C2140" t="str">
            <v>4600059535</v>
          </cell>
          <cell r="D2140" t="str">
            <v>563431C</v>
          </cell>
          <cell r="E2140">
            <v>816</v>
          </cell>
          <cell r="F2140">
            <v>43479</v>
          </cell>
          <cell r="G2140" t="str">
            <v>OK</v>
          </cell>
        </row>
        <row r="2141">
          <cell r="A2141" t="str">
            <v>Y1811-0379</v>
          </cell>
          <cell r="B2141">
            <v>201807</v>
          </cell>
          <cell r="C2141" t="str">
            <v>4600059536</v>
          </cell>
          <cell r="D2141" t="str">
            <v>163368C</v>
          </cell>
          <cell r="E2141">
            <v>600</v>
          </cell>
          <cell r="F2141">
            <v>43479</v>
          </cell>
          <cell r="G2141" t="str">
            <v>OK</v>
          </cell>
        </row>
        <row r="2142">
          <cell r="A2142" t="str">
            <v>Y1811-0380</v>
          </cell>
          <cell r="B2142">
            <v>201807</v>
          </cell>
          <cell r="C2142" t="str">
            <v>4600059537</v>
          </cell>
          <cell r="D2142" t="str">
            <v>563432C</v>
          </cell>
          <cell r="E2142">
            <v>816</v>
          </cell>
          <cell r="F2142">
            <v>43479</v>
          </cell>
          <cell r="G2142" t="str">
            <v>OK</v>
          </cell>
        </row>
        <row r="2143">
          <cell r="A2143" t="str">
            <v>Y1811-0381</v>
          </cell>
          <cell r="B2143">
            <v>201807</v>
          </cell>
          <cell r="C2143" t="str">
            <v>4600059538</v>
          </cell>
          <cell r="D2143" t="str">
            <v>163188C</v>
          </cell>
          <cell r="E2143">
            <v>504</v>
          </cell>
          <cell r="F2143">
            <v>43479</v>
          </cell>
          <cell r="G2143" t="str">
            <v>OK</v>
          </cell>
        </row>
        <row r="2144">
          <cell r="A2144" t="str">
            <v>Y1811-0382</v>
          </cell>
          <cell r="B2144">
            <v>201807</v>
          </cell>
          <cell r="C2144" t="str">
            <v>4600059539</v>
          </cell>
          <cell r="D2144" t="str">
            <v>163186C</v>
          </cell>
          <cell r="E2144">
            <v>744</v>
          </cell>
          <cell r="F2144">
            <v>43479</v>
          </cell>
          <cell r="G2144" t="str">
            <v>OK</v>
          </cell>
        </row>
        <row r="2145">
          <cell r="A2145" t="str">
            <v>Y1811-0383</v>
          </cell>
          <cell r="B2145">
            <v>201807</v>
          </cell>
          <cell r="C2145" t="str">
            <v>4600059540</v>
          </cell>
          <cell r="D2145" t="str">
            <v>155064C</v>
          </cell>
          <cell r="E2145">
            <v>804</v>
          </cell>
          <cell r="F2145">
            <v>43479</v>
          </cell>
          <cell r="G2145" t="str">
            <v>OK</v>
          </cell>
        </row>
        <row r="2146">
          <cell r="A2146" t="str">
            <v>Y1811-0384</v>
          </cell>
          <cell r="B2146">
            <v>201807</v>
          </cell>
          <cell r="C2146" t="str">
            <v>4600059541</v>
          </cell>
          <cell r="D2146" t="str">
            <v>159792C</v>
          </cell>
          <cell r="E2146">
            <v>804</v>
          </cell>
          <cell r="F2146">
            <v>43479</v>
          </cell>
          <cell r="G2146" t="str">
            <v>OK</v>
          </cell>
        </row>
        <row r="2147">
          <cell r="A2147" t="str">
            <v>Y1811-0385</v>
          </cell>
          <cell r="B2147">
            <v>201807</v>
          </cell>
          <cell r="C2147" t="str">
            <v>4600059542</v>
          </cell>
          <cell r="D2147" t="str">
            <v>163370C</v>
          </cell>
          <cell r="E2147">
            <v>600</v>
          </cell>
          <cell r="F2147">
            <v>43479</v>
          </cell>
          <cell r="G2147" t="str">
            <v>OK</v>
          </cell>
        </row>
        <row r="2148">
          <cell r="A2148" t="str">
            <v>Y1811-0386</v>
          </cell>
          <cell r="B2148">
            <v>201807</v>
          </cell>
          <cell r="C2148" t="str">
            <v>4600059543</v>
          </cell>
          <cell r="D2148" t="str">
            <v>163369C</v>
          </cell>
          <cell r="E2148">
            <v>600</v>
          </cell>
          <cell r="F2148">
            <v>43479</v>
          </cell>
          <cell r="G2148" t="str">
            <v>OK</v>
          </cell>
        </row>
        <row r="2149">
          <cell r="A2149" t="str">
            <v>Y1811-0387</v>
          </cell>
          <cell r="B2149">
            <v>201807</v>
          </cell>
          <cell r="C2149" t="str">
            <v>4600059544</v>
          </cell>
          <cell r="D2149" t="str">
            <v>161603C</v>
          </cell>
          <cell r="E2149">
            <v>804</v>
          </cell>
          <cell r="F2149">
            <v>43479</v>
          </cell>
          <cell r="G2149" t="str">
            <v>OK</v>
          </cell>
        </row>
        <row r="2150">
          <cell r="A2150" t="str">
            <v>Y1811-0388</v>
          </cell>
          <cell r="B2150">
            <v>201807</v>
          </cell>
          <cell r="C2150" t="str">
            <v>4600059545</v>
          </cell>
          <cell r="D2150" t="str">
            <v>163246C</v>
          </cell>
          <cell r="E2150">
            <v>120</v>
          </cell>
          <cell r="F2150">
            <v>43479</v>
          </cell>
          <cell r="G2150" t="str">
            <v>OK</v>
          </cell>
        </row>
        <row r="2151">
          <cell r="A2151" t="str">
            <v>Y1812-0330B</v>
          </cell>
          <cell r="B2151">
            <v>201808</v>
          </cell>
          <cell r="C2151" t="str">
            <v>0100181708</v>
          </cell>
          <cell r="D2151" t="str">
            <v>M9697C</v>
          </cell>
          <cell r="E2151">
            <v>312</v>
          </cell>
          <cell r="F2151">
            <v>43473</v>
          </cell>
          <cell r="G2151" t="str">
            <v>OK</v>
          </cell>
        </row>
        <row r="2152">
          <cell r="A2152" t="str">
            <v>Y1812-0371B</v>
          </cell>
          <cell r="B2152">
            <v>201808</v>
          </cell>
          <cell r="C2152" t="str">
            <v>0100181704</v>
          </cell>
          <cell r="D2152" t="str">
            <v>M3310C</v>
          </cell>
          <cell r="E2152">
            <v>312</v>
          </cell>
          <cell r="F2152">
            <v>43473</v>
          </cell>
          <cell r="G2152" t="str">
            <v>OK</v>
          </cell>
        </row>
        <row r="2153">
          <cell r="A2153" t="str">
            <v>Y1812-0372B</v>
          </cell>
          <cell r="B2153">
            <v>201808</v>
          </cell>
          <cell r="C2153" t="str">
            <v>0100181706</v>
          </cell>
          <cell r="D2153" t="str">
            <v>M9160C</v>
          </cell>
          <cell r="E2153">
            <v>312</v>
          </cell>
          <cell r="F2153">
            <v>43473</v>
          </cell>
          <cell r="G2153" t="str">
            <v>OK</v>
          </cell>
        </row>
        <row r="2154">
          <cell r="A2154" t="str">
            <v>Y1812-0913</v>
          </cell>
          <cell r="B2154">
            <v>201811</v>
          </cell>
          <cell r="C2154" t="str">
            <v>1000002785</v>
          </cell>
          <cell r="D2154" t="str">
            <v>161406C</v>
          </cell>
          <cell r="E2154">
            <v>1</v>
          </cell>
          <cell r="F2154">
            <v>43474</v>
          </cell>
          <cell r="G2154" t="str">
            <v>OK</v>
          </cell>
        </row>
        <row r="2155">
          <cell r="A2155" t="str">
            <v>Y1812-0914</v>
          </cell>
          <cell r="B2155">
            <v>201811</v>
          </cell>
          <cell r="C2155" t="str">
            <v>1000002786</v>
          </cell>
          <cell r="D2155" t="str">
            <v>660010C</v>
          </cell>
          <cell r="E2155">
            <v>1</v>
          </cell>
          <cell r="F2155">
            <v>43474</v>
          </cell>
          <cell r="G2155" t="str">
            <v>OK</v>
          </cell>
        </row>
        <row r="2156">
          <cell r="A2156" t="str">
            <v>Y1812-0916</v>
          </cell>
          <cell r="B2156">
            <v>201811</v>
          </cell>
          <cell r="C2156" t="str">
            <v>1000002788</v>
          </cell>
          <cell r="D2156" t="str">
            <v>759796C</v>
          </cell>
          <cell r="E2156">
            <v>1</v>
          </cell>
          <cell r="F2156">
            <v>43474</v>
          </cell>
          <cell r="G2156" t="str">
            <v>OK</v>
          </cell>
        </row>
        <row r="2157">
          <cell r="A2157" t="str">
            <v>Y1812-0917</v>
          </cell>
          <cell r="B2157">
            <v>201811</v>
          </cell>
          <cell r="C2157" t="str">
            <v>1000002789</v>
          </cell>
          <cell r="D2157" t="str">
            <v>761199C</v>
          </cell>
          <cell r="E2157">
            <v>1</v>
          </cell>
          <cell r="F2157">
            <v>43474</v>
          </cell>
          <cell r="G2157" t="str">
            <v>OK</v>
          </cell>
        </row>
        <row r="2158">
          <cell r="A2158" t="str">
            <v>Y1902-0095</v>
          </cell>
          <cell r="B2158">
            <v>201810</v>
          </cell>
          <cell r="C2158" t="str">
            <v>0100175110</v>
          </cell>
          <cell r="D2158" t="str">
            <v>M9697C</v>
          </cell>
          <cell r="E2158">
            <v>5988</v>
          </cell>
          <cell r="F2158">
            <v>43469</v>
          </cell>
          <cell r="G2158" t="str">
            <v>OK</v>
          </cell>
        </row>
        <row r="2159">
          <cell r="A2159" t="str">
            <v>YL1902-0010</v>
          </cell>
          <cell r="B2159">
            <v>201812</v>
          </cell>
          <cell r="C2159" t="str">
            <v>0100181910</v>
          </cell>
          <cell r="D2159" t="str">
            <v>M9697C</v>
          </cell>
          <cell r="E2159">
            <v>18564</v>
          </cell>
          <cell r="F2159">
            <v>43496</v>
          </cell>
          <cell r="G2159" t="str">
            <v>OK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0"/>
      <sheetName val="T11"/>
      <sheetName val="T12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MAU "/>
    </sheetNames>
    <sheetDataSet>
      <sheetData sheetId="0"/>
      <sheetData sheetId="1"/>
      <sheetData sheetId="2"/>
      <sheetData sheetId="3">
        <row r="247">
          <cell r="AG247">
            <v>161085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01"/>
      <sheetName val="T02"/>
      <sheetName val="T03"/>
      <sheetName val="T04"/>
      <sheetName val=" T05"/>
      <sheetName val="Sheet2"/>
    </sheetNames>
    <sheetDataSet>
      <sheetData sheetId="0"/>
      <sheetData sheetId="1">
        <row r="247">
          <cell r="AG247">
            <v>177862</v>
          </cell>
        </row>
      </sheetData>
      <sheetData sheetId="2">
        <row r="247">
          <cell r="AD247">
            <v>104700</v>
          </cell>
        </row>
      </sheetData>
      <sheetData sheetId="3">
        <row r="65">
          <cell r="AE65">
            <v>0</v>
          </cell>
        </row>
      </sheetData>
      <sheetData sheetId="4">
        <row r="65">
          <cell r="AD65">
            <v>0</v>
          </cell>
        </row>
      </sheetData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01"/>
      <sheetName val="T02"/>
      <sheetName val="T03"/>
      <sheetName val="T04"/>
      <sheetName val=" T05"/>
      <sheetName val="Sheet1"/>
    </sheetNames>
    <sheetDataSet>
      <sheetData sheetId="0"/>
      <sheetData sheetId="1">
        <row r="261">
          <cell r="AG261">
            <v>185005</v>
          </cell>
        </row>
      </sheetData>
      <sheetData sheetId="2">
        <row r="247">
          <cell r="AD247">
            <v>99400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4-2018"/>
      <sheetName val="T05-2018"/>
      <sheetName val="T06-2018"/>
      <sheetName val="T07-2018"/>
      <sheetName val="T08-2018"/>
      <sheetName val="T09-2018"/>
      <sheetName val="T10-2018"/>
      <sheetName val="T11-2018"/>
      <sheetName val="T12-2018 "/>
      <sheetName val="T1-2019"/>
      <sheetName val="T2-2019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6">
          <cell r="AG66">
            <v>47600</v>
          </cell>
        </row>
      </sheetData>
      <sheetData sheetId="10">
        <row r="66">
          <cell r="AE66">
            <v>10800</v>
          </cell>
        </row>
      </sheetData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01"/>
      <sheetName val="T02"/>
      <sheetName val="T03"/>
      <sheetName val="T04"/>
      <sheetName val=" T05"/>
      <sheetName val="MAU  (3)"/>
    </sheetNames>
    <sheetDataSet>
      <sheetData sheetId="0"/>
      <sheetData sheetId="1"/>
      <sheetData sheetId="2">
        <row r="248">
          <cell r="AD248">
            <v>102320</v>
          </cell>
        </row>
      </sheetData>
      <sheetData sheetId="3">
        <row r="247">
          <cell r="AG247">
            <v>186375</v>
          </cell>
        </row>
      </sheetData>
      <sheetData sheetId="4">
        <row r="247">
          <cell r="AF247">
            <v>163672</v>
          </cell>
        </row>
      </sheetData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01"/>
      <sheetName val="T02"/>
      <sheetName val="T03"/>
      <sheetName val="T04"/>
      <sheetName val=" T05"/>
      <sheetName val="Sheet2"/>
    </sheetNames>
    <sheetDataSet>
      <sheetData sheetId="0"/>
      <sheetData sheetId="1"/>
      <sheetData sheetId="2">
        <row r="248">
          <cell r="AD248">
            <v>104940</v>
          </cell>
        </row>
      </sheetData>
      <sheetData sheetId="3">
        <row r="247">
          <cell r="AG247">
            <v>180011</v>
          </cell>
        </row>
      </sheetData>
      <sheetData sheetId="4">
        <row r="247">
          <cell r="AF247">
            <v>149813</v>
          </cell>
        </row>
      </sheetData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1.2019"/>
      <sheetName val="T2.2019"/>
      <sheetName val="T3.2019"/>
      <sheetName val="T4.2019"/>
      <sheetName val="T5.2019"/>
      <sheetName val="DHN"/>
      <sheetName val="SLT Forecast 30N"/>
      <sheetName val="Sheet1"/>
      <sheetName val="Sheet2"/>
      <sheetName val="SLT Forecast 60N"/>
      <sheetName val="Size Curves 60N"/>
    </sheetNames>
    <sheetDataSet>
      <sheetData sheetId="0"/>
      <sheetData sheetId="1"/>
      <sheetData sheetId="2">
        <row r="263">
          <cell r="AD263">
            <v>110880</v>
          </cell>
        </row>
      </sheetData>
      <sheetData sheetId="3">
        <row r="263">
          <cell r="AG263">
            <v>209440</v>
          </cell>
        </row>
      </sheetData>
      <sheetData sheetId="4">
        <row r="263">
          <cell r="AF263">
            <v>194040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2"/>
      <sheetName val="T01"/>
      <sheetName val="T02"/>
      <sheetName val="T03"/>
      <sheetName val="T04"/>
      <sheetName val=" T05"/>
    </sheetNames>
    <sheetDataSet>
      <sheetData sheetId="0"/>
      <sheetData sheetId="1"/>
      <sheetData sheetId="2">
        <row r="248">
          <cell r="AD248">
            <v>100900</v>
          </cell>
        </row>
      </sheetData>
      <sheetData sheetId="3">
        <row r="247">
          <cell r="AG247">
            <v>186355</v>
          </cell>
        </row>
      </sheetData>
      <sheetData sheetId="4">
        <row r="247">
          <cell r="AF247">
            <v>174195</v>
          </cell>
        </row>
      </sheetData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4-2018"/>
      <sheetName val="T05-2018"/>
      <sheetName val="T12-2018 "/>
      <sheetName val="T1-2019"/>
      <sheetName val="T02"/>
      <sheetName val="T03"/>
      <sheetName val="T4"/>
      <sheetName val="T05"/>
      <sheetName val="Sheet1"/>
    </sheetNames>
    <sheetDataSet>
      <sheetData sheetId="0"/>
      <sheetData sheetId="1"/>
      <sheetData sheetId="2"/>
      <sheetData sheetId="3"/>
      <sheetData sheetId="4">
        <row r="67">
          <cell r="AD67">
            <v>25200</v>
          </cell>
        </row>
      </sheetData>
      <sheetData sheetId="5">
        <row r="66">
          <cell r="AG66">
            <v>58275</v>
          </cell>
        </row>
      </sheetData>
      <sheetData sheetId="6">
        <row r="66">
          <cell r="AF66">
            <v>77175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48"/>
  <sheetViews>
    <sheetView tabSelected="1" zoomScale="87" zoomScaleNormal="87" workbookViewId="0">
      <pane ySplit="5" topLeftCell="A6" activePane="bottomLeft" state="frozen"/>
      <selection pane="bottomLeft" activeCell="E12" sqref="E12"/>
    </sheetView>
  </sheetViews>
  <sheetFormatPr defaultRowHeight="15"/>
  <cols>
    <col min="1" max="1" width="7.28515625" customWidth="1"/>
    <col min="2" max="2" width="9.140625" style="24"/>
    <col min="3" max="3" width="1.42578125" style="24" customWidth="1"/>
    <col min="4" max="9" width="9.140625" style="24"/>
    <col min="10" max="10" width="1.42578125" style="24" customWidth="1"/>
    <col min="11" max="11" width="8.85546875" style="24" customWidth="1"/>
    <col min="12" max="16" width="9.140625" style="24"/>
    <col min="17" max="17" width="1.42578125" style="24" customWidth="1"/>
    <col min="18" max="23" width="9.140625" style="24"/>
    <col min="24" max="24" width="1.42578125" style="24" customWidth="1"/>
    <col min="25" max="30" width="9.140625" style="24"/>
    <col min="31" max="31" width="1.42578125" style="24" customWidth="1"/>
    <col min="32" max="32" width="9.140625" style="24" customWidth="1"/>
    <col min="35" max="35" width="10.5703125" customWidth="1"/>
  </cols>
  <sheetData>
    <row r="1" spans="1:36" ht="45" customHeight="1" thickBot="1">
      <c r="A1" s="519" t="s">
        <v>116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</row>
    <row r="2" spans="1:36" ht="20.25" customHeight="1" thickBot="1">
      <c r="A2" s="2"/>
      <c r="B2" s="3"/>
      <c r="C2" s="3"/>
      <c r="D2" s="4" t="s">
        <v>0</v>
      </c>
      <c r="E2" s="1"/>
      <c r="F2" s="3"/>
      <c r="G2" s="1"/>
      <c r="H2" s="2" t="s">
        <v>1</v>
      </c>
      <c r="I2" s="1"/>
      <c r="J2" s="2" t="s">
        <v>2</v>
      </c>
      <c r="K2" s="5"/>
      <c r="L2" s="5"/>
      <c r="M2" s="5"/>
      <c r="N2" s="6"/>
      <c r="O2" s="7"/>
      <c r="P2" s="7"/>
      <c r="Q2" s="7"/>
      <c r="R2" s="5"/>
      <c r="S2" s="5"/>
      <c r="T2" s="5"/>
      <c r="U2" s="520" t="s">
        <v>3</v>
      </c>
      <c r="V2" s="520"/>
      <c r="W2" s="521">
        <f>+AG247</f>
        <v>185327</v>
      </c>
      <c r="X2" s="521"/>
      <c r="Y2" s="521"/>
      <c r="Z2" s="1"/>
      <c r="AA2" s="8" t="s">
        <v>4</v>
      </c>
      <c r="AB2" s="8"/>
      <c r="AC2" s="8"/>
      <c r="AD2" s="7" t="s">
        <v>5</v>
      </c>
      <c r="AE2" s="1"/>
      <c r="AF2" s="168">
        <v>43427</v>
      </c>
      <c r="AG2" s="9"/>
      <c r="AH2" s="1"/>
      <c r="AI2" s="1"/>
    </row>
    <row r="3" spans="1:36" ht="14.25" customHeight="1" thickBot="1">
      <c r="A3" s="95" t="s">
        <v>6</v>
      </c>
      <c r="B3" s="168">
        <v>43435</v>
      </c>
      <c r="C3" s="169">
        <v>43436</v>
      </c>
      <c r="D3" s="168">
        <v>43437</v>
      </c>
      <c r="E3" s="168">
        <v>43438</v>
      </c>
      <c r="F3" s="168">
        <v>43439</v>
      </c>
      <c r="G3" s="168">
        <v>43440</v>
      </c>
      <c r="H3" s="168">
        <v>43441</v>
      </c>
      <c r="I3" s="168">
        <v>43442</v>
      </c>
      <c r="J3" s="169">
        <v>43443</v>
      </c>
      <c r="K3" s="168">
        <v>43444</v>
      </c>
      <c r="L3" s="168">
        <v>43445</v>
      </c>
      <c r="M3" s="168">
        <v>43446</v>
      </c>
      <c r="N3" s="168">
        <v>43447</v>
      </c>
      <c r="O3" s="168">
        <v>43448</v>
      </c>
      <c r="P3" s="168">
        <v>43449</v>
      </c>
      <c r="Q3" s="169">
        <v>43450</v>
      </c>
      <c r="R3" s="168">
        <v>43451</v>
      </c>
      <c r="S3" s="168">
        <v>43452</v>
      </c>
      <c r="T3" s="168">
        <v>43453</v>
      </c>
      <c r="U3" s="168">
        <v>43454</v>
      </c>
      <c r="V3" s="168">
        <v>43455</v>
      </c>
      <c r="W3" s="168">
        <v>43456</v>
      </c>
      <c r="X3" s="169">
        <v>43457</v>
      </c>
      <c r="Y3" s="168">
        <v>43458</v>
      </c>
      <c r="Z3" s="168">
        <v>43459</v>
      </c>
      <c r="AA3" s="168">
        <v>43460</v>
      </c>
      <c r="AB3" s="168">
        <v>43461</v>
      </c>
      <c r="AC3" s="168">
        <v>43462</v>
      </c>
      <c r="AD3" s="168">
        <v>43463</v>
      </c>
      <c r="AE3" s="169">
        <v>43464</v>
      </c>
      <c r="AF3" s="168">
        <v>43465</v>
      </c>
      <c r="AG3" s="522" t="s">
        <v>7</v>
      </c>
      <c r="AH3" s="1"/>
      <c r="AI3" s="1"/>
    </row>
    <row r="4" spans="1:36" ht="14.25" customHeight="1" thickBot="1">
      <c r="A4" s="95" t="s">
        <v>8</v>
      </c>
      <c r="B4" s="96" t="s">
        <v>75</v>
      </c>
      <c r="C4" s="171" t="str">
        <f t="shared" ref="C4:AF4" si="0">IF(B4="日","一",IF(B4="一","二",IF(B4="二","三",IF(B4="三","四",IF(B4="四","五",IF(B4="五","六",IF(B4="六","日","")))))))</f>
        <v>日</v>
      </c>
      <c r="D4" s="96" t="str">
        <f t="shared" si="0"/>
        <v>一</v>
      </c>
      <c r="E4" s="170" t="str">
        <f t="shared" si="0"/>
        <v>二</v>
      </c>
      <c r="F4" s="170" t="str">
        <f t="shared" si="0"/>
        <v>三</v>
      </c>
      <c r="G4" s="170" t="str">
        <f t="shared" si="0"/>
        <v>四</v>
      </c>
      <c r="H4" s="170" t="str">
        <f t="shared" si="0"/>
        <v>五</v>
      </c>
      <c r="I4" s="170" t="str">
        <f t="shared" si="0"/>
        <v>六</v>
      </c>
      <c r="J4" s="171" t="str">
        <f t="shared" si="0"/>
        <v>日</v>
      </c>
      <c r="K4" s="96" t="str">
        <f t="shared" si="0"/>
        <v>一</v>
      </c>
      <c r="L4" s="170" t="str">
        <f t="shared" si="0"/>
        <v>二</v>
      </c>
      <c r="M4" s="170" t="str">
        <f t="shared" si="0"/>
        <v>三</v>
      </c>
      <c r="N4" s="170" t="str">
        <f t="shared" si="0"/>
        <v>四</v>
      </c>
      <c r="O4" s="170" t="str">
        <f t="shared" si="0"/>
        <v>五</v>
      </c>
      <c r="P4" s="170" t="str">
        <f t="shared" si="0"/>
        <v>六</v>
      </c>
      <c r="Q4" s="171" t="str">
        <f t="shared" si="0"/>
        <v>日</v>
      </c>
      <c r="R4" s="96" t="str">
        <f t="shared" si="0"/>
        <v>一</v>
      </c>
      <c r="S4" s="170" t="str">
        <f t="shared" si="0"/>
        <v>二</v>
      </c>
      <c r="T4" s="170" t="str">
        <f t="shared" si="0"/>
        <v>三</v>
      </c>
      <c r="U4" s="170" t="str">
        <f t="shared" si="0"/>
        <v>四</v>
      </c>
      <c r="V4" s="170" t="str">
        <f t="shared" si="0"/>
        <v>五</v>
      </c>
      <c r="W4" s="170" t="str">
        <f t="shared" si="0"/>
        <v>六</v>
      </c>
      <c r="X4" s="171" t="str">
        <f t="shared" si="0"/>
        <v>日</v>
      </c>
      <c r="Y4" s="96" t="str">
        <f t="shared" si="0"/>
        <v>一</v>
      </c>
      <c r="Z4" s="170" t="str">
        <f t="shared" si="0"/>
        <v>二</v>
      </c>
      <c r="AA4" s="170" t="str">
        <f t="shared" si="0"/>
        <v>三</v>
      </c>
      <c r="AB4" s="170" t="str">
        <f t="shared" si="0"/>
        <v>四</v>
      </c>
      <c r="AC4" s="170" t="str">
        <f t="shared" si="0"/>
        <v>五</v>
      </c>
      <c r="AD4" s="170" t="str">
        <f t="shared" si="0"/>
        <v>六</v>
      </c>
      <c r="AE4" s="171" t="str">
        <f t="shared" si="0"/>
        <v>日</v>
      </c>
      <c r="AF4" s="96" t="str">
        <f t="shared" si="0"/>
        <v>一</v>
      </c>
      <c r="AG4" s="523"/>
      <c r="AH4" s="10">
        <f>+AH5*9.5</f>
        <v>180.5</v>
      </c>
      <c r="AI4" s="10">
        <f>+AI5*8</f>
        <v>56</v>
      </c>
      <c r="AJ4" s="10" t="s">
        <v>9</v>
      </c>
    </row>
    <row r="5" spans="1:36" ht="14.25" customHeight="1" thickBot="1">
      <c r="A5" s="96"/>
      <c r="B5" s="172">
        <v>8</v>
      </c>
      <c r="C5" s="173"/>
      <c r="D5" s="172">
        <v>9.5</v>
      </c>
      <c r="E5" s="172">
        <v>9.5</v>
      </c>
      <c r="F5" s="172">
        <v>9.5</v>
      </c>
      <c r="G5" s="172">
        <v>9.5</v>
      </c>
      <c r="H5" s="172">
        <v>9.5</v>
      </c>
      <c r="I5" s="172">
        <v>8</v>
      </c>
      <c r="J5" s="173"/>
      <c r="K5" s="172">
        <v>9.5</v>
      </c>
      <c r="L5" s="172">
        <v>9.5</v>
      </c>
      <c r="M5" s="172">
        <v>9.5</v>
      </c>
      <c r="N5" s="172">
        <v>9.5</v>
      </c>
      <c r="O5" s="172">
        <v>9.5</v>
      </c>
      <c r="P5" s="172">
        <v>8</v>
      </c>
      <c r="Q5" s="173"/>
      <c r="R5" s="172">
        <v>9.5</v>
      </c>
      <c r="S5" s="172">
        <v>9.5</v>
      </c>
      <c r="T5" s="172">
        <v>9.5</v>
      </c>
      <c r="U5" s="172">
        <v>9.5</v>
      </c>
      <c r="V5" s="172">
        <v>9.5</v>
      </c>
      <c r="W5" s="172">
        <v>8</v>
      </c>
      <c r="X5" s="173"/>
      <c r="Y5" s="172">
        <v>8</v>
      </c>
      <c r="Z5" s="172">
        <v>9.5</v>
      </c>
      <c r="AA5" s="172">
        <v>9.5</v>
      </c>
      <c r="AB5" s="172">
        <v>9.5</v>
      </c>
      <c r="AC5" s="172">
        <v>9.5</v>
      </c>
      <c r="AD5" s="172">
        <v>8</v>
      </c>
      <c r="AE5" s="173"/>
      <c r="AF5" s="172">
        <v>8</v>
      </c>
      <c r="AG5" s="96">
        <f>SUM(B5:AF5)</f>
        <v>236.5</v>
      </c>
      <c r="AH5" s="11">
        <f>COUNTIF(B5:AF5,9.5)</f>
        <v>19</v>
      </c>
      <c r="AI5" s="11">
        <f>COUNTIF(B5:AG5,8)</f>
        <v>7</v>
      </c>
      <c r="AJ5" s="11">
        <f>COUNTA(B5:AF5)</f>
        <v>26</v>
      </c>
    </row>
    <row r="6" spans="1:36" ht="15.75">
      <c r="A6" s="146" t="s">
        <v>10</v>
      </c>
      <c r="B6" s="280" t="s">
        <v>78</v>
      </c>
      <c r="C6" s="13"/>
      <c r="D6" s="280" t="s">
        <v>78</v>
      </c>
      <c r="E6" s="280" t="s">
        <v>91</v>
      </c>
      <c r="F6" s="280" t="s">
        <v>91</v>
      </c>
      <c r="G6" s="307" t="s">
        <v>89</v>
      </c>
      <c r="H6" s="280" t="s">
        <v>89</v>
      </c>
      <c r="I6" s="280" t="s">
        <v>89</v>
      </c>
      <c r="J6" s="13"/>
      <c r="K6" s="280" t="s">
        <v>89</v>
      </c>
      <c r="L6" s="280" t="s">
        <v>89</v>
      </c>
      <c r="M6" s="280" t="s">
        <v>89</v>
      </c>
      <c r="N6" s="280" t="s">
        <v>89</v>
      </c>
      <c r="O6" s="280" t="s">
        <v>89</v>
      </c>
      <c r="Q6" s="13"/>
      <c r="S6" s="280" t="s">
        <v>149</v>
      </c>
      <c r="V6" s="280" t="s">
        <v>149</v>
      </c>
      <c r="X6" s="13"/>
      <c r="Y6" s="280" t="s">
        <v>97</v>
      </c>
      <c r="Z6" s="280" t="s">
        <v>97</v>
      </c>
      <c r="AA6" s="280" t="s">
        <v>152</v>
      </c>
      <c r="AB6" s="280" t="s">
        <v>152</v>
      </c>
      <c r="AC6" s="280" t="s">
        <v>52</v>
      </c>
      <c r="AD6" s="280" t="s">
        <v>52</v>
      </c>
      <c r="AE6" s="13"/>
      <c r="AG6" s="97"/>
      <c r="AH6" s="14"/>
    </row>
    <row r="7" spans="1:36" ht="15.75">
      <c r="A7" s="147" t="s">
        <v>11</v>
      </c>
      <c r="B7" s="93" t="s">
        <v>207</v>
      </c>
      <c r="C7" s="13"/>
      <c r="D7" s="93" t="s">
        <v>219</v>
      </c>
      <c r="E7" s="93" t="s">
        <v>138</v>
      </c>
      <c r="F7" s="93" t="s">
        <v>141</v>
      </c>
      <c r="G7" s="93" t="s">
        <v>132</v>
      </c>
      <c r="H7" s="93" t="s">
        <v>134</v>
      </c>
      <c r="I7" s="93" t="s">
        <v>136</v>
      </c>
      <c r="J7" s="13"/>
      <c r="K7" s="93" t="s">
        <v>137</v>
      </c>
      <c r="L7" s="93" t="s">
        <v>139</v>
      </c>
      <c r="M7" s="93" t="s">
        <v>185</v>
      </c>
      <c r="N7" s="93" t="s">
        <v>167</v>
      </c>
      <c r="O7" s="93" t="s">
        <v>165</v>
      </c>
      <c r="Q7" s="13"/>
      <c r="S7" s="93" t="s">
        <v>171</v>
      </c>
      <c r="V7" s="93" t="s">
        <v>172</v>
      </c>
      <c r="X7" s="13"/>
      <c r="Y7" s="93" t="s">
        <v>173</v>
      </c>
      <c r="Z7" s="93" t="s">
        <v>174</v>
      </c>
      <c r="AA7" s="93" t="s">
        <v>176</v>
      </c>
      <c r="AB7" s="93" t="s">
        <v>187</v>
      </c>
      <c r="AC7" s="93" t="s">
        <v>168</v>
      </c>
      <c r="AD7" s="93" t="s">
        <v>170</v>
      </c>
      <c r="AE7" s="13"/>
      <c r="AG7" s="98"/>
      <c r="AH7" s="14"/>
    </row>
    <row r="8" spans="1:36" ht="15.75">
      <c r="A8" s="148" t="s">
        <v>12</v>
      </c>
      <c r="B8" s="17">
        <v>43432</v>
      </c>
      <c r="C8" s="13"/>
      <c r="D8" s="17">
        <v>43432</v>
      </c>
      <c r="E8" s="17" t="s">
        <v>487</v>
      </c>
      <c r="F8" s="17" t="s">
        <v>487</v>
      </c>
      <c r="G8" s="17" t="s">
        <v>487</v>
      </c>
      <c r="H8" s="17" t="s">
        <v>487</v>
      </c>
      <c r="I8" s="17" t="s">
        <v>487</v>
      </c>
      <c r="J8" s="13"/>
      <c r="K8" s="17" t="s">
        <v>487</v>
      </c>
      <c r="L8" s="17" t="s">
        <v>487</v>
      </c>
      <c r="M8" s="17" t="s">
        <v>503</v>
      </c>
      <c r="N8" s="17" t="s">
        <v>503</v>
      </c>
      <c r="O8" s="17" t="s">
        <v>503</v>
      </c>
      <c r="Q8" s="13"/>
      <c r="S8" s="17" t="s">
        <v>504</v>
      </c>
      <c r="V8" s="17" t="s">
        <v>504</v>
      </c>
      <c r="X8" s="13"/>
      <c r="Y8" s="17" t="s">
        <v>486</v>
      </c>
      <c r="Z8" s="17" t="s">
        <v>484</v>
      </c>
      <c r="AA8" s="17" t="s">
        <v>483</v>
      </c>
      <c r="AB8" s="17" t="s">
        <v>486</v>
      </c>
      <c r="AC8" s="17" t="s">
        <v>504</v>
      </c>
      <c r="AD8" s="17" t="s">
        <v>504</v>
      </c>
      <c r="AE8" s="13"/>
      <c r="AG8" s="98"/>
      <c r="AH8" s="14"/>
    </row>
    <row r="9" spans="1:36" ht="15.75">
      <c r="A9" s="149" t="s">
        <v>13</v>
      </c>
      <c r="B9" s="19" t="s">
        <v>85</v>
      </c>
      <c r="C9" s="13"/>
      <c r="D9" s="19" t="s">
        <v>85</v>
      </c>
      <c r="E9" s="19" t="s">
        <v>14</v>
      </c>
      <c r="F9" s="19" t="s">
        <v>14</v>
      </c>
      <c r="G9" s="19" t="s">
        <v>14</v>
      </c>
      <c r="H9" s="19" t="s">
        <v>14</v>
      </c>
      <c r="I9" s="19" t="s">
        <v>14</v>
      </c>
      <c r="J9" s="13"/>
      <c r="K9" s="19" t="s">
        <v>14</v>
      </c>
      <c r="L9" s="19" t="s">
        <v>14</v>
      </c>
      <c r="M9" s="19" t="s">
        <v>14</v>
      </c>
      <c r="N9" s="19" t="s">
        <v>14</v>
      </c>
      <c r="O9" s="19" t="s">
        <v>14</v>
      </c>
      <c r="Q9" s="13"/>
      <c r="S9" s="19" t="s">
        <v>114</v>
      </c>
      <c r="V9" s="19" t="s">
        <v>114</v>
      </c>
      <c r="X9" s="13"/>
      <c r="Y9" s="19" t="s">
        <v>114</v>
      </c>
      <c r="Z9" s="19" t="s">
        <v>114</v>
      </c>
      <c r="AA9" s="19" t="s">
        <v>114</v>
      </c>
      <c r="AB9" s="19" t="s">
        <v>114</v>
      </c>
      <c r="AC9" s="19" t="s">
        <v>95</v>
      </c>
      <c r="AD9" s="19" t="s">
        <v>95</v>
      </c>
      <c r="AE9" s="13"/>
      <c r="AG9" s="98"/>
      <c r="AH9" s="14"/>
    </row>
    <row r="10" spans="1:36" ht="15.75">
      <c r="A10" s="150" t="s">
        <v>15</v>
      </c>
      <c r="B10" s="280" t="s">
        <v>53</v>
      </c>
      <c r="C10" s="13"/>
      <c r="D10" s="280" t="s">
        <v>53</v>
      </c>
      <c r="E10" s="280" t="s">
        <v>68</v>
      </c>
      <c r="F10" s="280" t="s">
        <v>68</v>
      </c>
      <c r="G10" s="307" t="s">
        <v>16</v>
      </c>
      <c r="H10" s="280" t="s">
        <v>16</v>
      </c>
      <c r="I10" s="280" t="s">
        <v>16</v>
      </c>
      <c r="J10" s="13"/>
      <c r="K10" s="280" t="s">
        <v>16</v>
      </c>
      <c r="L10" s="280" t="s">
        <v>16</v>
      </c>
      <c r="M10" s="280" t="s">
        <v>16</v>
      </c>
      <c r="N10" s="280" t="s">
        <v>16</v>
      </c>
      <c r="O10" s="280" t="s">
        <v>16</v>
      </c>
      <c r="Q10" s="13"/>
      <c r="S10" s="280" t="s">
        <v>53</v>
      </c>
      <c r="V10" s="280" t="s">
        <v>53</v>
      </c>
      <c r="X10" s="13"/>
      <c r="Y10" s="280" t="s">
        <v>53</v>
      </c>
      <c r="Z10" s="280" t="s">
        <v>53</v>
      </c>
      <c r="AA10" s="280" t="s">
        <v>53</v>
      </c>
      <c r="AB10" s="280" t="s">
        <v>53</v>
      </c>
      <c r="AC10" s="280" t="s">
        <v>53</v>
      </c>
      <c r="AD10" s="280" t="s">
        <v>53</v>
      </c>
      <c r="AE10" s="13"/>
      <c r="AG10" s="98"/>
      <c r="AH10" s="14"/>
    </row>
    <row r="11" spans="1:36" ht="15.75">
      <c r="A11" s="151" t="s">
        <v>17</v>
      </c>
      <c r="B11" s="100" t="s">
        <v>145</v>
      </c>
      <c r="C11" s="13"/>
      <c r="D11" s="100" t="s">
        <v>145</v>
      </c>
      <c r="E11" s="21" t="s">
        <v>118</v>
      </c>
      <c r="F11" s="21" t="s">
        <v>118</v>
      </c>
      <c r="G11" s="21" t="s">
        <v>118</v>
      </c>
      <c r="H11" s="21" t="s">
        <v>118</v>
      </c>
      <c r="I11" s="21" t="s">
        <v>118</v>
      </c>
      <c r="J11" s="13"/>
      <c r="K11" s="21" t="s">
        <v>118</v>
      </c>
      <c r="L11" s="21" t="s">
        <v>118</v>
      </c>
      <c r="M11" s="100" t="s">
        <v>145</v>
      </c>
      <c r="N11" s="100" t="s">
        <v>145</v>
      </c>
      <c r="O11" s="100" t="s">
        <v>145</v>
      </c>
      <c r="Q11" s="13"/>
      <c r="S11" s="100" t="s">
        <v>145</v>
      </c>
      <c r="V11" s="100" t="s">
        <v>145</v>
      </c>
      <c r="X11" s="13"/>
      <c r="Y11" s="100" t="s">
        <v>145</v>
      </c>
      <c r="Z11" s="100" t="s">
        <v>145</v>
      </c>
      <c r="AA11" s="100" t="s">
        <v>145</v>
      </c>
      <c r="AB11" s="100" t="s">
        <v>145</v>
      </c>
      <c r="AC11" s="100" t="s">
        <v>145</v>
      </c>
      <c r="AD11" s="100" t="s">
        <v>145</v>
      </c>
      <c r="AE11" s="13"/>
      <c r="AG11" s="98"/>
      <c r="AH11" s="14"/>
    </row>
    <row r="12" spans="1:36" ht="15.75">
      <c r="A12" s="152" t="s">
        <v>18</v>
      </c>
      <c r="B12" s="23"/>
      <c r="C12" s="13"/>
      <c r="D12" s="23"/>
      <c r="E12" s="29" t="s">
        <v>479</v>
      </c>
      <c r="F12" s="23"/>
      <c r="G12" s="23"/>
      <c r="H12" s="23"/>
      <c r="I12" s="23"/>
      <c r="J12" s="13"/>
      <c r="K12" s="23"/>
      <c r="L12" s="23"/>
      <c r="M12" s="23"/>
      <c r="N12" s="23"/>
      <c r="O12" s="23"/>
      <c r="Q12" s="13"/>
      <c r="S12" s="23"/>
      <c r="V12" s="23"/>
      <c r="X12" s="13"/>
      <c r="Y12" s="23"/>
      <c r="Z12" s="23"/>
      <c r="AA12" s="23"/>
      <c r="AB12" s="23"/>
      <c r="AC12" s="23"/>
      <c r="AD12" s="23"/>
      <c r="AE12" s="13"/>
      <c r="AG12" s="98"/>
      <c r="AH12" s="14"/>
    </row>
    <row r="13" spans="1:36">
      <c r="A13" s="146" t="s">
        <v>20</v>
      </c>
      <c r="B13" s="176"/>
      <c r="C13" s="13"/>
      <c r="D13" s="176"/>
      <c r="E13" s="50">
        <v>6</v>
      </c>
      <c r="F13" s="24">
        <v>6</v>
      </c>
      <c r="G13" s="24">
        <v>6</v>
      </c>
      <c r="H13" s="24">
        <v>6</v>
      </c>
      <c r="I13" s="24">
        <v>6</v>
      </c>
      <c r="J13" s="13"/>
      <c r="K13" s="24">
        <v>6</v>
      </c>
      <c r="L13" s="50">
        <v>6</v>
      </c>
      <c r="M13" s="176"/>
      <c r="N13" s="176"/>
      <c r="O13" s="176"/>
      <c r="Q13" s="13"/>
      <c r="S13" s="176"/>
      <c r="V13" s="176"/>
      <c r="X13" s="13"/>
      <c r="Y13" s="176"/>
      <c r="Z13" s="176"/>
      <c r="AA13" s="176"/>
      <c r="AB13" s="176"/>
      <c r="AC13" s="176"/>
      <c r="AD13" s="176"/>
      <c r="AE13" s="13"/>
      <c r="AG13" s="98"/>
      <c r="AH13" s="14"/>
    </row>
    <row r="14" spans="1:36" ht="15.75">
      <c r="A14" s="153" t="s">
        <v>21</v>
      </c>
      <c r="B14" s="94" t="s">
        <v>77</v>
      </c>
      <c r="C14" s="13"/>
      <c r="D14" s="94" t="s">
        <v>77</v>
      </c>
      <c r="E14" s="94" t="s">
        <v>92</v>
      </c>
      <c r="F14" s="94" t="s">
        <v>92</v>
      </c>
      <c r="G14" s="94" t="s">
        <v>88</v>
      </c>
      <c r="H14" s="94" t="s">
        <v>88</v>
      </c>
      <c r="I14" s="94" t="s">
        <v>88</v>
      </c>
      <c r="J14" s="13"/>
      <c r="K14" s="94" t="s">
        <v>88</v>
      </c>
      <c r="L14" s="94" t="s">
        <v>88</v>
      </c>
      <c r="M14" s="94" t="s">
        <v>88</v>
      </c>
      <c r="N14" s="94" t="s">
        <v>88</v>
      </c>
      <c r="O14" s="94" t="s">
        <v>90</v>
      </c>
      <c r="Q14" s="13"/>
      <c r="S14" s="94" t="s">
        <v>148</v>
      </c>
      <c r="V14" s="94" t="s">
        <v>150</v>
      </c>
      <c r="X14" s="13"/>
      <c r="Y14" s="94" t="s">
        <v>96</v>
      </c>
      <c r="Z14" s="94" t="s">
        <v>96</v>
      </c>
      <c r="AA14" s="94" t="s">
        <v>151</v>
      </c>
      <c r="AB14" s="94" t="s">
        <v>154</v>
      </c>
      <c r="AC14" s="94" t="s">
        <v>54</v>
      </c>
      <c r="AD14" s="94" t="s">
        <v>54</v>
      </c>
      <c r="AE14" s="13"/>
      <c r="AG14" s="98"/>
      <c r="AH14" s="14"/>
    </row>
    <row r="15" spans="1:36" ht="15.75">
      <c r="A15" s="154" t="s">
        <v>22</v>
      </c>
      <c r="B15" s="27"/>
      <c r="C15" s="13"/>
      <c r="D15" s="27" t="s">
        <v>124</v>
      </c>
      <c r="E15" s="27" t="s">
        <v>19</v>
      </c>
      <c r="F15" s="27" t="s">
        <v>19</v>
      </c>
      <c r="G15" s="27" t="s">
        <v>19</v>
      </c>
      <c r="H15" s="27" t="s">
        <v>19</v>
      </c>
      <c r="I15" s="27" t="s">
        <v>19</v>
      </c>
      <c r="J15" s="13"/>
      <c r="K15" s="27" t="s">
        <v>19</v>
      </c>
      <c r="L15" s="27" t="s">
        <v>19</v>
      </c>
      <c r="M15" s="29" t="s">
        <v>501</v>
      </c>
      <c r="N15" s="29" t="s">
        <v>519</v>
      </c>
      <c r="O15" s="29" t="s">
        <v>520</v>
      </c>
      <c r="Q15" s="13"/>
      <c r="S15" s="27"/>
      <c r="V15" s="27"/>
      <c r="W15" s="24" t="s">
        <v>143</v>
      </c>
      <c r="X15" s="13"/>
      <c r="Y15" s="27"/>
      <c r="Z15" s="27"/>
      <c r="AA15" s="27"/>
      <c r="AB15" s="27"/>
      <c r="AC15" s="27"/>
      <c r="AD15" s="27"/>
      <c r="AE15" s="13"/>
      <c r="AG15" s="98"/>
      <c r="AH15" s="14"/>
    </row>
    <row r="16" spans="1:36" ht="15.75">
      <c r="A16" s="153" t="s">
        <v>23</v>
      </c>
      <c r="B16" s="280">
        <v>1488</v>
      </c>
      <c r="C16" s="13"/>
      <c r="D16" s="280">
        <v>480</v>
      </c>
      <c r="E16" s="280">
        <v>1272</v>
      </c>
      <c r="F16" s="280">
        <v>1200</v>
      </c>
      <c r="G16" s="307">
        <v>1176</v>
      </c>
      <c r="H16" s="280">
        <v>1152</v>
      </c>
      <c r="I16" s="280">
        <v>432</v>
      </c>
      <c r="J16" s="13"/>
      <c r="K16" s="280">
        <v>1896</v>
      </c>
      <c r="L16" s="280">
        <v>876</v>
      </c>
      <c r="M16" s="280">
        <v>1512</v>
      </c>
      <c r="N16" s="280">
        <v>732</v>
      </c>
      <c r="O16" s="280">
        <v>252</v>
      </c>
      <c r="Q16" s="13"/>
      <c r="S16" s="280">
        <v>5340</v>
      </c>
      <c r="V16" s="280">
        <v>4140</v>
      </c>
      <c r="X16" s="13"/>
      <c r="Y16" s="280">
        <v>168</v>
      </c>
      <c r="Z16" s="280">
        <v>336</v>
      </c>
      <c r="AA16" s="280">
        <v>384</v>
      </c>
      <c r="AB16" s="280">
        <v>276</v>
      </c>
      <c r="AC16" s="280">
        <v>1164</v>
      </c>
      <c r="AD16" s="280">
        <v>336</v>
      </c>
      <c r="AE16" s="13"/>
      <c r="AG16" s="98"/>
      <c r="AH16" s="14"/>
    </row>
    <row r="17" spans="1:34" ht="15.75">
      <c r="A17" s="155" t="s">
        <v>24</v>
      </c>
      <c r="B17" s="29" t="s">
        <v>478</v>
      </c>
      <c r="C17" s="13"/>
      <c r="D17" s="29" t="s">
        <v>478</v>
      </c>
      <c r="E17" s="30" t="s">
        <v>117</v>
      </c>
      <c r="F17" s="29" t="s">
        <v>498</v>
      </c>
      <c r="G17" s="29" t="s">
        <v>480</v>
      </c>
      <c r="H17" s="29" t="s">
        <v>499</v>
      </c>
      <c r="I17" s="29" t="s">
        <v>500</v>
      </c>
      <c r="J17" s="13"/>
      <c r="K17" s="29" t="s">
        <v>502</v>
      </c>
      <c r="L17" s="29" t="s">
        <v>501</v>
      </c>
      <c r="M17" s="30" t="s">
        <v>19</v>
      </c>
      <c r="N17" s="30" t="s">
        <v>19</v>
      </c>
      <c r="O17" s="30" t="s">
        <v>19</v>
      </c>
      <c r="Q17" s="13"/>
      <c r="S17" s="30" t="s">
        <v>19</v>
      </c>
      <c r="V17" s="30" t="s">
        <v>19</v>
      </c>
      <c r="X17" s="13"/>
      <c r="Y17" s="30" t="s">
        <v>19</v>
      </c>
      <c r="Z17" s="30" t="s">
        <v>19</v>
      </c>
      <c r="AA17" s="30" t="s">
        <v>19</v>
      </c>
      <c r="AB17" s="30" t="s">
        <v>19</v>
      </c>
      <c r="AC17" s="30" t="s">
        <v>19</v>
      </c>
      <c r="AD17" s="30" t="s">
        <v>19</v>
      </c>
      <c r="AE17" s="13"/>
      <c r="AG17" s="98"/>
      <c r="AH17" s="14"/>
    </row>
    <row r="18" spans="1:34" ht="15.75">
      <c r="A18" s="128" t="s">
        <v>25</v>
      </c>
      <c r="B18" s="32">
        <v>43105</v>
      </c>
      <c r="C18" s="13"/>
      <c r="D18" s="32">
        <v>43464</v>
      </c>
      <c r="E18" s="32">
        <v>43444</v>
      </c>
      <c r="F18" s="32">
        <v>43451</v>
      </c>
      <c r="G18" s="32">
        <v>43448</v>
      </c>
      <c r="H18" s="32">
        <v>43448</v>
      </c>
      <c r="I18" s="32">
        <v>43448</v>
      </c>
      <c r="J18" s="13"/>
      <c r="K18" s="32">
        <v>43448</v>
      </c>
      <c r="L18" s="32">
        <v>43461</v>
      </c>
      <c r="M18" s="32">
        <v>43475</v>
      </c>
      <c r="N18" s="32">
        <v>43490</v>
      </c>
      <c r="O18" s="32">
        <v>43484</v>
      </c>
      <c r="Q18" s="13"/>
      <c r="S18" s="32">
        <v>43486</v>
      </c>
      <c r="V18" s="32">
        <v>43486</v>
      </c>
      <c r="X18" s="13"/>
      <c r="Y18" s="32">
        <v>43481</v>
      </c>
      <c r="Z18" s="32">
        <v>43510</v>
      </c>
      <c r="AA18" s="32">
        <v>43509</v>
      </c>
      <c r="AB18" s="32">
        <v>43490</v>
      </c>
      <c r="AC18" s="32">
        <v>43493</v>
      </c>
      <c r="AD18" s="32">
        <v>43493</v>
      </c>
      <c r="AE18" s="13"/>
      <c r="AG18" s="98"/>
      <c r="AH18" s="14"/>
    </row>
    <row r="19" spans="1:34">
      <c r="A19" s="146" t="s">
        <v>27</v>
      </c>
      <c r="B19" s="31" t="s">
        <v>48</v>
      </c>
      <c r="C19" s="13"/>
      <c r="D19" s="31" t="s">
        <v>55</v>
      </c>
      <c r="E19" s="31" t="s">
        <v>29</v>
      </c>
      <c r="F19" s="31" t="s">
        <v>29</v>
      </c>
      <c r="G19" s="31" t="s">
        <v>29</v>
      </c>
      <c r="H19" s="31" t="s">
        <v>29</v>
      </c>
      <c r="I19" s="31" t="s">
        <v>29</v>
      </c>
      <c r="J19" s="13"/>
      <c r="K19" s="31" t="s">
        <v>29</v>
      </c>
      <c r="L19" s="31" t="s">
        <v>28</v>
      </c>
      <c r="M19" s="31" t="s">
        <v>29</v>
      </c>
      <c r="N19" s="31" t="s">
        <v>29</v>
      </c>
      <c r="O19" s="31" t="s">
        <v>35</v>
      </c>
      <c r="Q19" s="183"/>
      <c r="S19" s="31" t="s">
        <v>28</v>
      </c>
      <c r="V19" s="31" t="s">
        <v>28</v>
      </c>
      <c r="X19" s="183"/>
      <c r="Y19" s="31" t="s">
        <v>31</v>
      </c>
      <c r="Z19" s="31" t="s">
        <v>31</v>
      </c>
      <c r="AA19" s="31" t="s">
        <v>28</v>
      </c>
      <c r="AB19" s="31" t="s">
        <v>29</v>
      </c>
      <c r="AC19" s="31" t="s">
        <v>30</v>
      </c>
      <c r="AD19" s="31" t="s">
        <v>30</v>
      </c>
      <c r="AE19" s="183"/>
      <c r="AG19" s="98"/>
      <c r="AH19" s="14"/>
    </row>
    <row r="20" spans="1:34" ht="15.75">
      <c r="A20" s="146" t="s">
        <v>10</v>
      </c>
      <c r="B20" s="280" t="s">
        <v>78</v>
      </c>
      <c r="C20" s="13"/>
      <c r="D20" s="280" t="s">
        <v>78</v>
      </c>
      <c r="E20" s="280" t="s">
        <v>91</v>
      </c>
      <c r="F20" s="280" t="s">
        <v>91</v>
      </c>
      <c r="G20" s="280" t="s">
        <v>89</v>
      </c>
      <c r="I20" s="280" t="s">
        <v>89</v>
      </c>
      <c r="J20" s="13"/>
      <c r="N20" s="280" t="s">
        <v>89</v>
      </c>
      <c r="O20" s="280" t="s">
        <v>89</v>
      </c>
      <c r="Q20" s="13"/>
      <c r="T20" s="158"/>
      <c r="X20" s="13"/>
      <c r="Y20" s="280" t="s">
        <v>97</v>
      </c>
      <c r="Z20" s="280" t="s">
        <v>152</v>
      </c>
      <c r="AA20" s="280" t="s">
        <v>152</v>
      </c>
      <c r="AB20" s="280" t="s">
        <v>97</v>
      </c>
      <c r="AC20" s="280" t="s">
        <v>52</v>
      </c>
      <c r="AD20" s="280" t="s">
        <v>163</v>
      </c>
      <c r="AE20" s="13"/>
      <c r="AG20" s="98"/>
      <c r="AH20" s="14"/>
    </row>
    <row r="21" spans="1:34" ht="15.75">
      <c r="A21" s="147" t="s">
        <v>11</v>
      </c>
      <c r="B21" s="93" t="s">
        <v>229</v>
      </c>
      <c r="C21" s="13"/>
      <c r="D21" s="93" t="s">
        <v>235</v>
      </c>
      <c r="E21" s="93" t="s">
        <v>140</v>
      </c>
      <c r="F21" s="93" t="s">
        <v>142</v>
      </c>
      <c r="G21" s="93" t="s">
        <v>133</v>
      </c>
      <c r="I21" s="93" t="s">
        <v>135</v>
      </c>
      <c r="J21" s="13"/>
      <c r="N21" s="93" t="s">
        <v>178</v>
      </c>
      <c r="O21" s="93" t="s">
        <v>166</v>
      </c>
      <c r="Q21" s="13"/>
      <c r="T21" s="158"/>
      <c r="X21" s="13"/>
      <c r="Y21" s="93" t="s">
        <v>182</v>
      </c>
      <c r="Z21" s="93" t="s">
        <v>175</v>
      </c>
      <c r="AA21" s="93" t="s">
        <v>184</v>
      </c>
      <c r="AB21" s="93" t="s">
        <v>189</v>
      </c>
      <c r="AC21" s="93" t="s">
        <v>169</v>
      </c>
      <c r="AD21" s="93" t="s">
        <v>256</v>
      </c>
      <c r="AE21" s="13"/>
      <c r="AG21" s="98"/>
      <c r="AH21" s="14"/>
    </row>
    <row r="22" spans="1:34" ht="15.75">
      <c r="A22" s="148" t="s">
        <v>12</v>
      </c>
      <c r="B22" s="17">
        <v>43432</v>
      </c>
      <c r="C22" s="13"/>
      <c r="D22" s="17" t="s">
        <v>503</v>
      </c>
      <c r="E22" s="17" t="s">
        <v>487</v>
      </c>
      <c r="F22" s="17" t="s">
        <v>487</v>
      </c>
      <c r="G22" s="17" t="s">
        <v>487</v>
      </c>
      <c r="I22" s="17" t="s">
        <v>487</v>
      </c>
      <c r="J22" s="13"/>
      <c r="N22" s="17" t="s">
        <v>503</v>
      </c>
      <c r="O22" s="17" t="s">
        <v>503</v>
      </c>
      <c r="Q22" s="13"/>
      <c r="T22" s="158"/>
      <c r="X22" s="13"/>
      <c r="Y22" s="17" t="s">
        <v>504</v>
      </c>
      <c r="Z22" s="17" t="s">
        <v>486</v>
      </c>
      <c r="AA22" s="17" t="s">
        <v>483</v>
      </c>
      <c r="AB22" s="17" t="s">
        <v>486</v>
      </c>
      <c r="AC22" s="17" t="s">
        <v>504</v>
      </c>
      <c r="AD22" s="17" t="s">
        <v>485</v>
      </c>
      <c r="AE22" s="13"/>
      <c r="AG22" s="98"/>
      <c r="AH22" s="14"/>
    </row>
    <row r="23" spans="1:34" ht="15.75">
      <c r="A23" s="149" t="s">
        <v>13</v>
      </c>
      <c r="B23" s="19" t="s">
        <v>85</v>
      </c>
      <c r="C23" s="13"/>
      <c r="D23" s="19" t="s">
        <v>85</v>
      </c>
      <c r="E23" s="19" t="s">
        <v>14</v>
      </c>
      <c r="F23" s="19" t="s">
        <v>14</v>
      </c>
      <c r="G23" s="19" t="s">
        <v>14</v>
      </c>
      <c r="I23" s="19" t="s">
        <v>14</v>
      </c>
      <c r="J23" s="13"/>
      <c r="N23" s="19" t="s">
        <v>14</v>
      </c>
      <c r="O23" s="19" t="s">
        <v>14</v>
      </c>
      <c r="Q23" s="13"/>
      <c r="T23" s="158"/>
      <c r="X23" s="13"/>
      <c r="Y23" s="19" t="s">
        <v>114</v>
      </c>
      <c r="Z23" s="19" t="s">
        <v>114</v>
      </c>
      <c r="AA23" s="19" t="s">
        <v>114</v>
      </c>
      <c r="AB23" s="19" t="s">
        <v>114</v>
      </c>
      <c r="AC23" s="19" t="s">
        <v>95</v>
      </c>
      <c r="AD23" s="19" t="s">
        <v>40</v>
      </c>
      <c r="AE23" s="13"/>
      <c r="AG23" s="98"/>
      <c r="AH23" s="14"/>
    </row>
    <row r="24" spans="1:34" ht="15.75">
      <c r="A24" s="150" t="s">
        <v>15</v>
      </c>
      <c r="B24" s="280" t="s">
        <v>53</v>
      </c>
      <c r="C24" s="13"/>
      <c r="D24" s="280" t="s">
        <v>53</v>
      </c>
      <c r="E24" s="280" t="s">
        <v>68</v>
      </c>
      <c r="F24" s="280" t="s">
        <v>68</v>
      </c>
      <c r="G24" s="280" t="s">
        <v>16</v>
      </c>
      <c r="I24" s="280" t="s">
        <v>16</v>
      </c>
      <c r="J24" s="13"/>
      <c r="N24" s="280" t="s">
        <v>16</v>
      </c>
      <c r="O24" s="280" t="s">
        <v>16</v>
      </c>
      <c r="Q24" s="13"/>
      <c r="T24" s="158"/>
      <c r="X24" s="13"/>
      <c r="Y24" s="280" t="s">
        <v>53</v>
      </c>
      <c r="Z24" s="280" t="s">
        <v>53</v>
      </c>
      <c r="AA24" s="280" t="s">
        <v>53</v>
      </c>
      <c r="AB24" s="280" t="s">
        <v>53</v>
      </c>
      <c r="AC24" s="280" t="s">
        <v>53</v>
      </c>
      <c r="AD24" s="280" t="s">
        <v>16</v>
      </c>
      <c r="AE24" s="13"/>
      <c r="AG24" s="98"/>
      <c r="AH24" s="14"/>
    </row>
    <row r="25" spans="1:34" ht="15.75">
      <c r="A25" s="151" t="s">
        <v>17</v>
      </c>
      <c r="B25" s="100" t="s">
        <v>145</v>
      </c>
      <c r="C25" s="13"/>
      <c r="D25" s="100" t="s">
        <v>145</v>
      </c>
      <c r="E25" s="21" t="s">
        <v>118</v>
      </c>
      <c r="F25" s="21" t="s">
        <v>118</v>
      </c>
      <c r="G25" s="21" t="s">
        <v>118</v>
      </c>
      <c r="I25" s="21" t="s">
        <v>118</v>
      </c>
      <c r="J25" s="13"/>
      <c r="N25" s="100" t="s">
        <v>145</v>
      </c>
      <c r="O25" s="100" t="s">
        <v>145</v>
      </c>
      <c r="Q25" s="13"/>
      <c r="T25" s="158"/>
      <c r="X25" s="13"/>
      <c r="Y25" s="100" t="s">
        <v>145</v>
      </c>
      <c r="Z25" s="100" t="s">
        <v>145</v>
      </c>
      <c r="AA25" s="100" t="s">
        <v>145</v>
      </c>
      <c r="AB25" s="100" t="s">
        <v>145</v>
      </c>
      <c r="AC25" s="100" t="s">
        <v>145</v>
      </c>
      <c r="AD25" s="100" t="s">
        <v>145</v>
      </c>
      <c r="AE25" s="13"/>
      <c r="AG25" s="98"/>
      <c r="AH25" s="14"/>
    </row>
    <row r="26" spans="1:34" ht="15.75">
      <c r="A26" s="152" t="s">
        <v>18</v>
      </c>
      <c r="B26" s="23"/>
      <c r="C26" s="13"/>
      <c r="D26" s="23"/>
      <c r="E26" s="23"/>
      <c r="F26" s="23"/>
      <c r="G26" s="23"/>
      <c r="I26" s="23"/>
      <c r="J26" s="13"/>
      <c r="N26" s="23"/>
      <c r="O26" s="23"/>
      <c r="Q26" s="13"/>
      <c r="T26" s="158"/>
      <c r="X26" s="13"/>
      <c r="Y26" s="23"/>
      <c r="Z26" s="23"/>
      <c r="AA26" s="23"/>
      <c r="AB26" s="23"/>
      <c r="AC26" s="23"/>
      <c r="AD26" s="23"/>
      <c r="AE26" s="13"/>
      <c r="AG26" s="98"/>
      <c r="AH26" s="14"/>
    </row>
    <row r="27" spans="1:34">
      <c r="A27" s="146" t="s">
        <v>20</v>
      </c>
      <c r="B27" s="176"/>
      <c r="C27" s="13"/>
      <c r="D27" s="176"/>
      <c r="E27" s="50">
        <v>6</v>
      </c>
      <c r="F27" s="24">
        <v>6</v>
      </c>
      <c r="G27" s="24">
        <v>6</v>
      </c>
      <c r="I27" s="24">
        <v>6</v>
      </c>
      <c r="J27" s="13"/>
      <c r="N27" s="176"/>
      <c r="O27" s="176"/>
      <c r="Q27" s="13"/>
      <c r="T27" s="158"/>
      <c r="X27" s="13"/>
      <c r="Y27" s="176"/>
      <c r="Z27" s="176"/>
      <c r="AA27" s="176"/>
      <c r="AB27" s="176"/>
      <c r="AC27" s="176"/>
      <c r="AD27" s="176"/>
      <c r="AE27" s="13"/>
      <c r="AG27" s="98"/>
      <c r="AH27" s="14"/>
    </row>
    <row r="28" spans="1:34" ht="15.75">
      <c r="A28" s="153" t="s">
        <v>21</v>
      </c>
      <c r="B28" s="94" t="s">
        <v>77</v>
      </c>
      <c r="C28" s="13"/>
      <c r="D28" s="94" t="s">
        <v>77</v>
      </c>
      <c r="E28" s="94" t="s">
        <v>92</v>
      </c>
      <c r="F28" s="94" t="s">
        <v>92</v>
      </c>
      <c r="G28" s="94" t="s">
        <v>88</v>
      </c>
      <c r="I28" s="94" t="s">
        <v>88</v>
      </c>
      <c r="J28" s="13"/>
      <c r="N28" s="94" t="s">
        <v>90</v>
      </c>
      <c r="O28" s="94" t="s">
        <v>90</v>
      </c>
      <c r="Q28" s="13"/>
      <c r="T28" s="158"/>
      <c r="X28" s="13"/>
      <c r="Y28" s="94" t="s">
        <v>96</v>
      </c>
      <c r="Z28" s="94" t="s">
        <v>151</v>
      </c>
      <c r="AA28" s="94" t="s">
        <v>151</v>
      </c>
      <c r="AB28" s="94" t="s">
        <v>153</v>
      </c>
      <c r="AC28" s="94" t="s">
        <v>54</v>
      </c>
      <c r="AD28" s="94" t="s">
        <v>162</v>
      </c>
      <c r="AE28" s="13"/>
      <c r="AG28" s="98"/>
      <c r="AH28" s="14"/>
    </row>
    <row r="29" spans="1:34" ht="15.75">
      <c r="A29" s="154" t="s">
        <v>22</v>
      </c>
      <c r="B29" s="27"/>
      <c r="C29" s="13"/>
      <c r="D29" s="27" t="s">
        <v>115</v>
      </c>
      <c r="E29" s="27" t="s">
        <v>19</v>
      </c>
      <c r="F29" s="27" t="s">
        <v>19</v>
      </c>
      <c r="G29" s="27" t="s">
        <v>19</v>
      </c>
      <c r="I29" s="27" t="s">
        <v>19</v>
      </c>
      <c r="J29" s="13"/>
      <c r="N29" s="29" t="s">
        <v>519</v>
      </c>
      <c r="O29" s="29">
        <v>-5</v>
      </c>
      <c r="Q29" s="13"/>
      <c r="T29" s="158"/>
      <c r="X29" s="13"/>
      <c r="Y29" s="27"/>
      <c r="Z29" s="27"/>
      <c r="AA29" s="27"/>
      <c r="AB29" s="27"/>
      <c r="AC29" s="27"/>
      <c r="AD29" s="27"/>
      <c r="AE29" s="13"/>
      <c r="AG29" s="98"/>
      <c r="AH29" s="14"/>
    </row>
    <row r="30" spans="1:34" ht="15.75">
      <c r="A30" s="153" t="s">
        <v>23</v>
      </c>
      <c r="B30" s="280">
        <v>240</v>
      </c>
      <c r="C30" s="13"/>
      <c r="D30" s="280">
        <v>480</v>
      </c>
      <c r="E30" s="280">
        <v>504</v>
      </c>
      <c r="F30" s="280">
        <v>336</v>
      </c>
      <c r="G30" s="280">
        <v>1788</v>
      </c>
      <c r="I30" s="280">
        <v>678</v>
      </c>
      <c r="J30" s="13"/>
      <c r="N30" s="280">
        <v>828</v>
      </c>
      <c r="O30" s="280">
        <v>624</v>
      </c>
      <c r="Q30" s="13"/>
      <c r="T30" s="158"/>
      <c r="X30" s="13"/>
      <c r="Y30" s="280">
        <v>1800</v>
      </c>
      <c r="Z30" s="280">
        <v>576</v>
      </c>
      <c r="AA30" s="280">
        <v>156</v>
      </c>
      <c r="AB30" s="280">
        <v>324</v>
      </c>
      <c r="AC30" s="280">
        <v>1284</v>
      </c>
      <c r="AD30" s="280">
        <v>1116</v>
      </c>
      <c r="AE30" s="13"/>
      <c r="AG30" s="98"/>
      <c r="AH30" s="14"/>
    </row>
    <row r="31" spans="1:34" ht="15.75">
      <c r="A31" s="155" t="s">
        <v>24</v>
      </c>
      <c r="B31" s="29" t="s">
        <v>479</v>
      </c>
      <c r="C31" s="13"/>
      <c r="D31" s="29" t="s">
        <v>478</v>
      </c>
      <c r="E31" s="29" t="s">
        <v>479</v>
      </c>
      <c r="F31" s="29" t="s">
        <v>498</v>
      </c>
      <c r="G31" s="29" t="s">
        <v>499</v>
      </c>
      <c r="I31" s="29" t="s">
        <v>500</v>
      </c>
      <c r="J31" s="13"/>
      <c r="N31" s="30" t="s">
        <v>19</v>
      </c>
      <c r="O31" s="30" t="s">
        <v>19</v>
      </c>
      <c r="Q31" s="13"/>
      <c r="T31" s="158"/>
      <c r="X31" s="13"/>
      <c r="Y31" s="30" t="s">
        <v>19</v>
      </c>
      <c r="Z31" s="30" t="s">
        <v>19</v>
      </c>
      <c r="AA31" s="30" t="s">
        <v>19</v>
      </c>
      <c r="AB31" s="30" t="s">
        <v>19</v>
      </c>
      <c r="AC31" s="30" t="s">
        <v>19</v>
      </c>
      <c r="AD31" s="30"/>
      <c r="AE31" s="13"/>
      <c r="AG31" s="98"/>
      <c r="AH31" s="14"/>
    </row>
    <row r="32" spans="1:34" ht="15.75">
      <c r="A32" s="128" t="s">
        <v>25</v>
      </c>
      <c r="B32" s="32">
        <v>43464</v>
      </c>
      <c r="C32" s="13"/>
      <c r="D32" s="32">
        <v>43468</v>
      </c>
      <c r="E32" s="32">
        <v>43444</v>
      </c>
      <c r="F32" s="32">
        <v>43460</v>
      </c>
      <c r="G32" s="32">
        <v>43448</v>
      </c>
      <c r="I32" s="32">
        <v>43448</v>
      </c>
      <c r="J32" s="13"/>
      <c r="N32" s="32">
        <v>43475</v>
      </c>
      <c r="O32" s="32">
        <v>43490</v>
      </c>
      <c r="Q32" s="13"/>
      <c r="T32" s="158"/>
      <c r="X32" s="13"/>
      <c r="Y32" s="32">
        <v>43488</v>
      </c>
      <c r="Z32" s="32">
        <v>43481</v>
      </c>
      <c r="AA32" s="32">
        <v>43510</v>
      </c>
      <c r="AB32" s="32">
        <v>43482</v>
      </c>
      <c r="AC32" s="32">
        <v>43493</v>
      </c>
      <c r="AD32" s="32">
        <v>43482</v>
      </c>
      <c r="AE32" s="13"/>
      <c r="AG32" s="98"/>
      <c r="AH32" s="14"/>
    </row>
    <row r="33" spans="1:36">
      <c r="A33" s="146" t="s">
        <v>27</v>
      </c>
      <c r="B33" s="31" t="s">
        <v>63</v>
      </c>
      <c r="C33" s="13"/>
      <c r="D33" s="31" t="s">
        <v>28</v>
      </c>
      <c r="E33" s="31" t="s">
        <v>29</v>
      </c>
      <c r="F33" s="31" t="s">
        <v>28</v>
      </c>
      <c r="G33" s="31" t="s">
        <v>29</v>
      </c>
      <c r="I33" s="31" t="s">
        <v>29</v>
      </c>
      <c r="J33" s="13"/>
      <c r="N33" s="31" t="s">
        <v>29</v>
      </c>
      <c r="O33" s="31" t="s">
        <v>29</v>
      </c>
      <c r="Q33" s="183"/>
      <c r="T33" s="158"/>
      <c r="X33" s="183"/>
      <c r="Y33" s="31" t="s">
        <v>28</v>
      </c>
      <c r="Z33" s="31" t="s">
        <v>31</v>
      </c>
      <c r="AA33" s="31" t="s">
        <v>31</v>
      </c>
      <c r="AB33" s="31" t="s">
        <v>31</v>
      </c>
      <c r="AC33" s="31" t="s">
        <v>30</v>
      </c>
      <c r="AD33" s="31" t="s">
        <v>29</v>
      </c>
      <c r="AE33" s="183"/>
      <c r="AG33" s="98"/>
      <c r="AH33" s="14"/>
    </row>
    <row r="34" spans="1:36" ht="15.75">
      <c r="A34" s="146" t="s">
        <v>10</v>
      </c>
      <c r="B34" s="280" t="s">
        <v>78</v>
      </c>
      <c r="C34" s="13"/>
      <c r="D34" s="280" t="s">
        <v>78</v>
      </c>
      <c r="J34" s="13"/>
      <c r="O34" s="280" t="s">
        <v>89</v>
      </c>
      <c r="Q34" s="13"/>
      <c r="X34" s="13"/>
      <c r="AA34" s="280" t="s">
        <v>152</v>
      </c>
      <c r="AB34" s="280" t="s">
        <v>97</v>
      </c>
      <c r="AC34" s="280" t="s">
        <v>52</v>
      </c>
      <c r="AE34" s="13"/>
      <c r="AG34" s="98"/>
      <c r="AH34" s="14"/>
      <c r="AI34" s="14"/>
      <c r="AJ34" s="24"/>
    </row>
    <row r="35" spans="1:36" ht="15.75">
      <c r="A35" s="147" t="s">
        <v>11</v>
      </c>
      <c r="B35" s="93" t="s">
        <v>206</v>
      </c>
      <c r="C35" s="13"/>
      <c r="D35" s="93" t="s">
        <v>212</v>
      </c>
      <c r="J35" s="13"/>
      <c r="O35" s="93" t="s">
        <v>179</v>
      </c>
      <c r="Q35" s="13"/>
      <c r="X35" s="13"/>
      <c r="AA35" s="93" t="s">
        <v>183</v>
      </c>
      <c r="AB35" s="93" t="s">
        <v>188</v>
      </c>
      <c r="AC35" s="93" t="s">
        <v>181</v>
      </c>
      <c r="AE35" s="13"/>
      <c r="AG35" s="98"/>
      <c r="AH35" s="14"/>
      <c r="AI35" s="14"/>
      <c r="AJ35" s="24"/>
    </row>
    <row r="36" spans="1:36" ht="15.75">
      <c r="A36" s="148" t="s">
        <v>12</v>
      </c>
      <c r="B36" s="17">
        <v>43432</v>
      </c>
      <c r="C36" s="13"/>
      <c r="D36" s="17" t="s">
        <v>503</v>
      </c>
      <c r="J36" s="13"/>
      <c r="O36" s="17">
        <v>43439</v>
      </c>
      <c r="Q36" s="13"/>
      <c r="X36" s="13"/>
      <c r="AA36" s="17" t="s">
        <v>483</v>
      </c>
      <c r="AB36" s="17" t="s">
        <v>504</v>
      </c>
      <c r="AC36" s="17" t="s">
        <v>504</v>
      </c>
      <c r="AE36" s="13"/>
      <c r="AG36" s="98"/>
      <c r="AH36" s="14"/>
      <c r="AI36" s="14"/>
      <c r="AJ36" s="24"/>
    </row>
    <row r="37" spans="1:36" ht="15.75">
      <c r="A37" s="149" t="s">
        <v>13</v>
      </c>
      <c r="B37" s="19" t="s">
        <v>85</v>
      </c>
      <c r="C37" s="13"/>
      <c r="D37" s="19" t="s">
        <v>85</v>
      </c>
      <c r="J37" s="13"/>
      <c r="O37" s="19" t="s">
        <v>14</v>
      </c>
      <c r="Q37" s="13"/>
      <c r="X37" s="13"/>
      <c r="AA37" s="19" t="s">
        <v>114</v>
      </c>
      <c r="AB37" s="19" t="s">
        <v>114</v>
      </c>
      <c r="AC37" s="19" t="s">
        <v>95</v>
      </c>
      <c r="AE37" s="13"/>
      <c r="AG37" s="98"/>
      <c r="AH37" s="14"/>
      <c r="AI37" s="14"/>
      <c r="AJ37" s="24"/>
    </row>
    <row r="38" spans="1:36" ht="15.75">
      <c r="A38" s="150" t="s">
        <v>15</v>
      </c>
      <c r="B38" s="280" t="s">
        <v>53</v>
      </c>
      <c r="C38" s="13"/>
      <c r="D38" s="280" t="s">
        <v>53</v>
      </c>
      <c r="J38" s="13"/>
      <c r="O38" s="280" t="s">
        <v>16</v>
      </c>
      <c r="Q38" s="13"/>
      <c r="X38" s="13"/>
      <c r="AA38" s="280" t="s">
        <v>53</v>
      </c>
      <c r="AB38" s="280" t="s">
        <v>53</v>
      </c>
      <c r="AC38" s="280" t="s">
        <v>53</v>
      </c>
      <c r="AE38" s="13"/>
      <c r="AG38" s="98"/>
      <c r="AH38" s="14"/>
      <c r="AI38" s="14"/>
      <c r="AJ38" s="24"/>
    </row>
    <row r="39" spans="1:36" ht="15.75">
      <c r="A39" s="151" t="s">
        <v>17</v>
      </c>
      <c r="B39" s="100" t="s">
        <v>145</v>
      </c>
      <c r="C39" s="13"/>
      <c r="D39" s="100" t="s">
        <v>145</v>
      </c>
      <c r="J39" s="13"/>
      <c r="O39" s="100" t="s">
        <v>145</v>
      </c>
      <c r="Q39" s="13"/>
      <c r="X39" s="13"/>
      <c r="AA39" s="100" t="s">
        <v>145</v>
      </c>
      <c r="AB39" s="100" t="s">
        <v>145</v>
      </c>
      <c r="AC39" s="100" t="s">
        <v>145</v>
      </c>
      <c r="AE39" s="13"/>
      <c r="AG39" s="98"/>
      <c r="AH39" s="14"/>
      <c r="AI39" s="14"/>
      <c r="AJ39" s="24"/>
    </row>
    <row r="40" spans="1:36" ht="15.75" customHeight="1">
      <c r="A40" s="152" t="s">
        <v>18</v>
      </c>
      <c r="B40" s="23"/>
      <c r="C40" s="13"/>
      <c r="D40" s="23"/>
      <c r="J40" s="13"/>
      <c r="O40" s="23"/>
      <c r="Q40" s="13"/>
      <c r="X40" s="13"/>
      <c r="AA40" s="23"/>
      <c r="AB40" s="23"/>
      <c r="AC40" s="23"/>
      <c r="AE40" s="13"/>
      <c r="AG40" s="98"/>
      <c r="AH40" s="14"/>
      <c r="AI40" s="14"/>
      <c r="AJ40" s="24"/>
    </row>
    <row r="41" spans="1:36">
      <c r="A41" s="146" t="s">
        <v>20</v>
      </c>
      <c r="B41" s="176"/>
      <c r="C41" s="13"/>
      <c r="D41" s="176"/>
      <c r="J41" s="13"/>
      <c r="O41" s="176"/>
      <c r="Q41" s="13"/>
      <c r="X41" s="13"/>
      <c r="AA41" s="176"/>
      <c r="AB41" s="176"/>
      <c r="AC41" s="87"/>
      <c r="AE41" s="13"/>
      <c r="AG41" s="98"/>
      <c r="AH41" s="14"/>
      <c r="AI41" s="14"/>
      <c r="AJ41" s="24"/>
    </row>
    <row r="42" spans="1:36" ht="15.75">
      <c r="A42" s="153" t="s">
        <v>21</v>
      </c>
      <c r="B42" s="94" t="s">
        <v>77</v>
      </c>
      <c r="C42" s="13"/>
      <c r="D42" s="94" t="s">
        <v>77</v>
      </c>
      <c r="J42" s="13"/>
      <c r="O42" s="94" t="s">
        <v>90</v>
      </c>
      <c r="Q42" s="13"/>
      <c r="X42" s="13"/>
      <c r="AA42" s="94" t="s">
        <v>151</v>
      </c>
      <c r="AB42" s="94" t="s">
        <v>153</v>
      </c>
      <c r="AC42" s="94" t="s">
        <v>54</v>
      </c>
      <c r="AE42" s="13"/>
      <c r="AG42" s="98"/>
      <c r="AH42" s="14"/>
      <c r="AI42" s="14"/>
      <c r="AJ42" s="24"/>
    </row>
    <row r="43" spans="1:36" ht="15.75">
      <c r="A43" s="154" t="s">
        <v>22</v>
      </c>
      <c r="B43" s="27" t="s">
        <v>117</v>
      </c>
      <c r="C43" s="13"/>
      <c r="D43" s="27"/>
      <c r="J43" s="13"/>
      <c r="O43" s="29">
        <v>-5</v>
      </c>
      <c r="Q43" s="13"/>
      <c r="X43" s="13"/>
      <c r="AA43" s="27"/>
      <c r="AB43" s="27"/>
      <c r="AC43" s="27"/>
      <c r="AE43" s="13"/>
      <c r="AG43" s="98"/>
      <c r="AH43" s="14"/>
      <c r="AI43" s="14"/>
      <c r="AJ43" s="24"/>
    </row>
    <row r="44" spans="1:36" ht="15.75">
      <c r="A44" s="153" t="s">
        <v>23</v>
      </c>
      <c r="B44" s="280">
        <v>360</v>
      </c>
      <c r="C44" s="13"/>
      <c r="D44" s="280">
        <v>120</v>
      </c>
      <c r="J44" s="13"/>
      <c r="O44" s="280">
        <v>360</v>
      </c>
      <c r="Q44" s="13"/>
      <c r="X44" s="13"/>
      <c r="AA44" s="280">
        <v>528</v>
      </c>
      <c r="AB44" s="280">
        <v>168</v>
      </c>
      <c r="AC44" s="280">
        <v>336</v>
      </c>
      <c r="AE44" s="13"/>
      <c r="AG44" s="98"/>
      <c r="AH44" s="14"/>
      <c r="AI44" s="14"/>
      <c r="AJ44" s="24"/>
    </row>
    <row r="45" spans="1:36" ht="15.75">
      <c r="A45" s="155" t="s">
        <v>24</v>
      </c>
      <c r="B45" s="29" t="s">
        <v>479</v>
      </c>
      <c r="C45" s="13"/>
      <c r="D45" s="29" t="s">
        <v>481</v>
      </c>
      <c r="J45" s="13"/>
      <c r="O45" s="30" t="s">
        <v>19</v>
      </c>
      <c r="Q45" s="13"/>
      <c r="X45" s="13"/>
      <c r="AA45" s="30" t="s">
        <v>19</v>
      </c>
      <c r="AB45" s="30" t="s">
        <v>19</v>
      </c>
      <c r="AC45" s="30" t="s">
        <v>19</v>
      </c>
      <c r="AE45" s="13"/>
      <c r="AG45" s="98"/>
      <c r="AH45" s="14"/>
      <c r="AI45" s="304"/>
      <c r="AJ45" s="24"/>
    </row>
    <row r="46" spans="1:36" ht="15.75">
      <c r="A46" s="128" t="s">
        <v>25</v>
      </c>
      <c r="B46" s="32">
        <v>43114</v>
      </c>
      <c r="C46" s="13"/>
      <c r="D46" s="32">
        <v>43474</v>
      </c>
      <c r="J46" s="13"/>
      <c r="O46" s="32">
        <v>43549</v>
      </c>
      <c r="Q46" s="13"/>
      <c r="X46" s="13"/>
      <c r="AA46" s="32">
        <v>43523</v>
      </c>
      <c r="AB46" s="32">
        <v>43490</v>
      </c>
      <c r="AC46" s="32">
        <v>43493</v>
      </c>
      <c r="AE46" s="13"/>
      <c r="AG46" s="98"/>
      <c r="AH46" s="14"/>
      <c r="AI46" s="93"/>
      <c r="AJ46" s="24"/>
    </row>
    <row r="47" spans="1:36" ht="15.75">
      <c r="A47" s="146" t="s">
        <v>27</v>
      </c>
      <c r="B47" s="31" t="s">
        <v>62</v>
      </c>
      <c r="C47" s="13"/>
      <c r="D47" s="31" t="s">
        <v>28</v>
      </c>
      <c r="J47" s="13"/>
      <c r="O47" s="31" t="s">
        <v>29</v>
      </c>
      <c r="Q47" s="13"/>
      <c r="X47" s="13"/>
      <c r="AA47" s="31" t="s">
        <v>47</v>
      </c>
      <c r="AB47" s="31" t="s">
        <v>29</v>
      </c>
      <c r="AC47" s="31" t="s">
        <v>30</v>
      </c>
      <c r="AE47" s="183"/>
      <c r="AG47" s="98"/>
      <c r="AH47" s="14"/>
      <c r="AI47" s="49"/>
      <c r="AJ47" s="24"/>
    </row>
    <row r="48" spans="1:36" ht="15.75">
      <c r="A48" s="146" t="s">
        <v>10</v>
      </c>
      <c r="C48" s="13"/>
      <c r="D48" s="280" t="s">
        <v>78</v>
      </c>
      <c r="E48" s="33"/>
      <c r="G48" s="33"/>
      <c r="I48" s="33"/>
      <c r="J48" s="13"/>
      <c r="K48" s="50"/>
      <c r="O48" s="280" t="s">
        <v>147</v>
      </c>
      <c r="Q48" s="13"/>
      <c r="X48" s="13"/>
      <c r="AA48" s="280" t="s">
        <v>152</v>
      </c>
      <c r="AB48" s="280" t="s">
        <v>97</v>
      </c>
      <c r="AE48" s="13"/>
      <c r="AG48" s="98"/>
      <c r="AH48" s="14"/>
      <c r="AI48" s="19"/>
    </row>
    <row r="49" spans="1:35" ht="15.75">
      <c r="A49" s="147" t="s">
        <v>11</v>
      </c>
      <c r="C49" s="13"/>
      <c r="D49" s="93" t="s">
        <v>238</v>
      </c>
      <c r="E49" s="33"/>
      <c r="G49" s="33"/>
      <c r="I49" s="33"/>
      <c r="J49" s="13"/>
      <c r="K49" s="50"/>
      <c r="O49" s="93" t="s">
        <v>180</v>
      </c>
      <c r="Q49" s="13"/>
      <c r="X49" s="13"/>
      <c r="AA49" s="93" t="s">
        <v>186</v>
      </c>
      <c r="AB49" s="93" t="s">
        <v>240</v>
      </c>
      <c r="AE49" s="13"/>
      <c r="AG49" s="98"/>
      <c r="AH49" s="14"/>
      <c r="AI49" s="304"/>
    </row>
    <row r="50" spans="1:35" ht="15.75">
      <c r="A50" s="148" t="s">
        <v>12</v>
      </c>
      <c r="C50" s="13"/>
      <c r="D50" s="17" t="s">
        <v>503</v>
      </c>
      <c r="E50" s="33"/>
      <c r="G50" s="33"/>
      <c r="I50" s="33"/>
      <c r="J50" s="13"/>
      <c r="K50" s="50"/>
      <c r="O50" s="17" t="s">
        <v>503</v>
      </c>
      <c r="Q50" s="13"/>
      <c r="X50" s="13"/>
      <c r="AA50" s="17" t="s">
        <v>484</v>
      </c>
      <c r="AB50" s="17" t="s">
        <v>504</v>
      </c>
      <c r="AE50" s="13"/>
      <c r="AG50" s="98"/>
      <c r="AH50" s="14"/>
      <c r="AI50" s="272"/>
    </row>
    <row r="51" spans="1:35" ht="15.75">
      <c r="A51" s="149" t="s">
        <v>13</v>
      </c>
      <c r="C51" s="13"/>
      <c r="D51" s="19" t="s">
        <v>85</v>
      </c>
      <c r="E51" s="33"/>
      <c r="G51" s="33"/>
      <c r="I51" s="33"/>
      <c r="J51" s="13"/>
      <c r="K51" s="50"/>
      <c r="O51" s="19" t="s">
        <v>114</v>
      </c>
      <c r="Q51" s="13"/>
      <c r="X51" s="13"/>
      <c r="AA51" s="19" t="s">
        <v>114</v>
      </c>
      <c r="AB51" s="19" t="s">
        <v>114</v>
      </c>
      <c r="AE51" s="13"/>
      <c r="AG51" s="98"/>
      <c r="AH51" s="14"/>
      <c r="AI51" s="23"/>
    </row>
    <row r="52" spans="1:35" ht="15.75">
      <c r="A52" s="150" t="s">
        <v>15</v>
      </c>
      <c r="C52" s="13"/>
      <c r="D52" s="280" t="s">
        <v>53</v>
      </c>
      <c r="E52" s="33"/>
      <c r="G52" s="33"/>
      <c r="I52" s="33"/>
      <c r="J52" s="13"/>
      <c r="K52" s="50"/>
      <c r="O52" s="280" t="s">
        <v>16</v>
      </c>
      <c r="Q52" s="13"/>
      <c r="X52" s="13"/>
      <c r="AA52" s="280" t="s">
        <v>53</v>
      </c>
      <c r="AB52" s="280" t="s">
        <v>53</v>
      </c>
      <c r="AE52" s="13"/>
      <c r="AG52" s="98"/>
      <c r="AH52" s="14"/>
      <c r="AI52" s="182"/>
    </row>
    <row r="53" spans="1:35" ht="15.75">
      <c r="A53" s="151" t="s">
        <v>17</v>
      </c>
      <c r="C53" s="13"/>
      <c r="D53" s="100" t="s">
        <v>145</v>
      </c>
      <c r="E53" s="33"/>
      <c r="G53" s="33"/>
      <c r="I53" s="33"/>
      <c r="J53" s="13"/>
      <c r="K53" s="50"/>
      <c r="O53" s="100" t="s">
        <v>145</v>
      </c>
      <c r="Q53" s="13"/>
      <c r="X53" s="13"/>
      <c r="AA53" s="100" t="s">
        <v>145</v>
      </c>
      <c r="AB53" s="100" t="s">
        <v>145</v>
      </c>
      <c r="AE53" s="13"/>
      <c r="AG53" s="98"/>
      <c r="AH53" s="14"/>
      <c r="AI53" s="94"/>
    </row>
    <row r="54" spans="1:35" ht="15.75" customHeight="1">
      <c r="A54" s="152" t="s">
        <v>18</v>
      </c>
      <c r="C54" s="13"/>
      <c r="D54" s="23"/>
      <c r="E54" s="33"/>
      <c r="G54" s="33"/>
      <c r="I54" s="33"/>
      <c r="J54" s="13"/>
      <c r="K54" s="50"/>
      <c r="O54" s="23"/>
      <c r="Q54" s="13"/>
      <c r="X54" s="13"/>
      <c r="AA54" s="23"/>
      <c r="AB54" s="23"/>
      <c r="AE54" s="13"/>
      <c r="AG54" s="98"/>
      <c r="AH54" s="14"/>
      <c r="AI54" s="27"/>
    </row>
    <row r="55" spans="1:35" ht="15.75">
      <c r="A55" s="146" t="s">
        <v>20</v>
      </c>
      <c r="C55" s="13"/>
      <c r="D55" s="176"/>
      <c r="E55" s="33"/>
      <c r="G55" s="33"/>
      <c r="I55" s="33"/>
      <c r="J55" s="13"/>
      <c r="K55" s="50"/>
      <c r="O55" s="176"/>
      <c r="Q55" s="13"/>
      <c r="X55" s="13"/>
      <c r="AA55" s="176"/>
      <c r="AB55" s="158"/>
      <c r="AE55" s="13"/>
      <c r="AG55" s="98"/>
      <c r="AH55" s="14"/>
      <c r="AI55" s="304"/>
    </row>
    <row r="56" spans="1:35" ht="15.75">
      <c r="A56" s="153" t="s">
        <v>21</v>
      </c>
      <c r="C56" s="13"/>
      <c r="D56" s="94" t="s">
        <v>77</v>
      </c>
      <c r="E56" s="33"/>
      <c r="G56" s="33"/>
      <c r="I56" s="33"/>
      <c r="J56" s="13"/>
      <c r="K56" s="50"/>
      <c r="O56" s="94" t="s">
        <v>146</v>
      </c>
      <c r="Q56" s="13"/>
      <c r="X56" s="13"/>
      <c r="AA56" s="94" t="s">
        <v>151</v>
      </c>
      <c r="AB56" s="94" t="s">
        <v>155</v>
      </c>
      <c r="AE56" s="13"/>
      <c r="AG56" s="98"/>
      <c r="AH56" s="14"/>
      <c r="AI56" s="30"/>
    </row>
    <row r="57" spans="1:35" ht="13.5" customHeight="1">
      <c r="A57" s="154" t="s">
        <v>22</v>
      </c>
      <c r="C57" s="13"/>
      <c r="D57" s="27"/>
      <c r="E57" s="33"/>
      <c r="G57" s="33"/>
      <c r="I57" s="33"/>
      <c r="J57" s="13"/>
      <c r="K57" s="50"/>
      <c r="O57" s="29">
        <v>-1626</v>
      </c>
      <c r="Q57" s="13"/>
      <c r="X57" s="13"/>
      <c r="AA57" s="27" t="s">
        <v>117</v>
      </c>
      <c r="AB57" s="27"/>
      <c r="AE57" s="13"/>
      <c r="AG57" s="98"/>
      <c r="AH57" s="14"/>
      <c r="AI57" s="32"/>
    </row>
    <row r="58" spans="1:35" ht="15.75">
      <c r="A58" s="153" t="s">
        <v>23</v>
      </c>
      <c r="C58" s="13"/>
      <c r="D58" s="280">
        <v>780</v>
      </c>
      <c r="E58" s="33"/>
      <c r="G58" s="33"/>
      <c r="I58" s="33"/>
      <c r="J58" s="13"/>
      <c r="K58" s="50"/>
      <c r="O58" s="280">
        <v>4044</v>
      </c>
      <c r="Q58" s="13"/>
      <c r="X58" s="13"/>
      <c r="AA58" s="280">
        <v>312</v>
      </c>
      <c r="AB58" s="280">
        <v>168</v>
      </c>
      <c r="AE58" s="13"/>
      <c r="AG58" s="98"/>
      <c r="AH58" s="14"/>
      <c r="AI58" s="31"/>
    </row>
    <row r="59" spans="1:35" ht="15.75">
      <c r="A59" s="155" t="s">
        <v>24</v>
      </c>
      <c r="C59" s="13"/>
      <c r="D59" s="29" t="s">
        <v>480</v>
      </c>
      <c r="E59" s="33"/>
      <c r="G59" s="33"/>
      <c r="I59" s="33"/>
      <c r="J59" s="13"/>
      <c r="K59" s="50"/>
      <c r="O59" s="30" t="s">
        <v>19</v>
      </c>
      <c r="Q59" s="13"/>
      <c r="X59" s="13"/>
      <c r="AA59" s="30" t="s">
        <v>19</v>
      </c>
      <c r="AB59" s="30" t="s">
        <v>19</v>
      </c>
      <c r="AE59" s="13"/>
      <c r="AG59" s="98"/>
      <c r="AH59" s="14"/>
      <c r="AI59" s="14"/>
    </row>
    <row r="60" spans="1:35" ht="15" customHeight="1">
      <c r="A60" s="128" t="s">
        <v>25</v>
      </c>
      <c r="C60" s="13"/>
      <c r="D60" s="32">
        <v>43474</v>
      </c>
      <c r="E60" s="33"/>
      <c r="G60" s="33"/>
      <c r="I60" s="33"/>
      <c r="J60" s="13"/>
      <c r="K60" s="50"/>
      <c r="O60" s="32">
        <v>43490</v>
      </c>
      <c r="Q60" s="13"/>
      <c r="X60" s="13"/>
      <c r="AA60" s="32">
        <v>43529</v>
      </c>
      <c r="AB60" s="32">
        <v>43490</v>
      </c>
      <c r="AE60" s="13"/>
      <c r="AG60" s="98"/>
      <c r="AH60" s="14"/>
      <c r="AI60" s="14"/>
    </row>
    <row r="61" spans="1:35" ht="15.75" thickBot="1">
      <c r="A61" s="146" t="s">
        <v>27</v>
      </c>
      <c r="C61" s="13"/>
      <c r="D61" s="31" t="s">
        <v>28</v>
      </c>
      <c r="E61" s="35"/>
      <c r="G61" s="35"/>
      <c r="I61" s="35"/>
      <c r="J61" s="13"/>
      <c r="K61" s="90"/>
      <c r="O61" s="31" t="s">
        <v>29</v>
      </c>
      <c r="Q61" s="13"/>
      <c r="R61" s="14"/>
      <c r="U61" s="35"/>
      <c r="V61" s="35"/>
      <c r="X61" s="13"/>
      <c r="Z61" s="14"/>
      <c r="AA61" s="31" t="s">
        <v>72</v>
      </c>
      <c r="AB61" s="31" t="s">
        <v>29</v>
      </c>
      <c r="AE61" s="13"/>
      <c r="AG61" s="99"/>
      <c r="AH61" s="14"/>
      <c r="AI61" s="14"/>
    </row>
    <row r="62" spans="1:35" ht="17.25" customHeight="1" thickBot="1">
      <c r="A62" s="216" t="s">
        <v>36</v>
      </c>
      <c r="B62" s="37">
        <f t="shared" ref="B62:AF62" si="1">+B58+B44+B30+B16</f>
        <v>2088</v>
      </c>
      <c r="C62" s="37">
        <f t="shared" si="1"/>
        <v>0</v>
      </c>
      <c r="D62" s="37">
        <f t="shared" si="1"/>
        <v>1860</v>
      </c>
      <c r="E62" s="37">
        <f t="shared" si="1"/>
        <v>1776</v>
      </c>
      <c r="F62" s="37">
        <f t="shared" si="1"/>
        <v>1536</v>
      </c>
      <c r="G62" s="37">
        <f t="shared" si="1"/>
        <v>2964</v>
      </c>
      <c r="H62" s="37">
        <f t="shared" si="1"/>
        <v>1152</v>
      </c>
      <c r="I62" s="37">
        <f t="shared" si="1"/>
        <v>1110</v>
      </c>
      <c r="J62" s="37">
        <f t="shared" si="1"/>
        <v>0</v>
      </c>
      <c r="K62" s="37">
        <f t="shared" si="1"/>
        <v>1896</v>
      </c>
      <c r="L62" s="37">
        <f t="shared" si="1"/>
        <v>876</v>
      </c>
      <c r="M62" s="37">
        <f t="shared" si="1"/>
        <v>1512</v>
      </c>
      <c r="N62" s="37">
        <f t="shared" si="1"/>
        <v>1560</v>
      </c>
      <c r="O62" s="37">
        <f t="shared" si="1"/>
        <v>5280</v>
      </c>
      <c r="P62" s="37">
        <f t="shared" si="1"/>
        <v>0</v>
      </c>
      <c r="Q62" s="37">
        <f t="shared" si="1"/>
        <v>0</v>
      </c>
      <c r="R62" s="37">
        <f t="shared" si="1"/>
        <v>0</v>
      </c>
      <c r="S62" s="37">
        <f t="shared" si="1"/>
        <v>5340</v>
      </c>
      <c r="T62" s="37">
        <f t="shared" si="1"/>
        <v>0</v>
      </c>
      <c r="U62" s="37">
        <f t="shared" si="1"/>
        <v>0</v>
      </c>
      <c r="V62" s="37">
        <f t="shared" si="1"/>
        <v>4140</v>
      </c>
      <c r="W62" s="37">
        <f t="shared" si="1"/>
        <v>0</v>
      </c>
      <c r="X62" s="37">
        <f t="shared" si="1"/>
        <v>0</v>
      </c>
      <c r="Y62" s="37">
        <f t="shared" si="1"/>
        <v>1968</v>
      </c>
      <c r="Z62" s="37">
        <f t="shared" si="1"/>
        <v>912</v>
      </c>
      <c r="AA62" s="37">
        <f t="shared" si="1"/>
        <v>1380</v>
      </c>
      <c r="AB62" s="37">
        <f t="shared" si="1"/>
        <v>936</v>
      </c>
      <c r="AC62" s="37">
        <f t="shared" si="1"/>
        <v>2784</v>
      </c>
      <c r="AD62" s="37">
        <f t="shared" si="1"/>
        <v>1452</v>
      </c>
      <c r="AE62" s="37">
        <f t="shared" si="1"/>
        <v>0</v>
      </c>
      <c r="AF62" s="37">
        <f t="shared" si="1"/>
        <v>0</v>
      </c>
      <c r="AG62" s="37">
        <f t="shared" ref="AG62" si="2">+AG58+AG44+AG30+AG16</f>
        <v>0</v>
      </c>
      <c r="AH62" s="14"/>
      <c r="AI62" s="14"/>
    </row>
    <row r="63" spans="1:35" ht="17.25" customHeight="1" thickTop="1" thickBot="1">
      <c r="A63" s="216" t="s">
        <v>37</v>
      </c>
      <c r="B63" s="144">
        <f t="shared" ref="B63:AF63" si="3">+B64*B5</f>
        <v>1760</v>
      </c>
      <c r="C63" s="39">
        <f t="shared" si="3"/>
        <v>0</v>
      </c>
      <c r="D63" s="40">
        <f t="shared" si="3"/>
        <v>2090</v>
      </c>
      <c r="E63" s="39">
        <f>+E64*7.5</f>
        <v>1275</v>
      </c>
      <c r="F63" s="40">
        <f t="shared" si="3"/>
        <v>1615</v>
      </c>
      <c r="G63" s="40">
        <f t="shared" si="3"/>
        <v>1615</v>
      </c>
      <c r="H63" s="40">
        <f t="shared" si="3"/>
        <v>1615</v>
      </c>
      <c r="I63" s="40">
        <f t="shared" si="3"/>
        <v>1360</v>
      </c>
      <c r="J63" s="39">
        <f t="shared" si="3"/>
        <v>0</v>
      </c>
      <c r="K63" s="40">
        <f t="shared" si="3"/>
        <v>1615</v>
      </c>
      <c r="L63" s="40">
        <f t="shared" si="3"/>
        <v>1615</v>
      </c>
      <c r="M63" s="40">
        <f t="shared" si="3"/>
        <v>1615</v>
      </c>
      <c r="N63" s="40">
        <f t="shared" si="3"/>
        <v>1615</v>
      </c>
      <c r="O63" s="40">
        <f t="shared" si="3"/>
        <v>1615</v>
      </c>
      <c r="P63" s="40">
        <f t="shared" si="3"/>
        <v>1360</v>
      </c>
      <c r="Q63" s="39">
        <f t="shared" si="3"/>
        <v>0</v>
      </c>
      <c r="R63" s="40">
        <f t="shared" si="3"/>
        <v>1615</v>
      </c>
      <c r="S63" s="40">
        <f t="shared" si="3"/>
        <v>1615</v>
      </c>
      <c r="T63" s="40">
        <f t="shared" si="3"/>
        <v>1710</v>
      </c>
      <c r="U63" s="40">
        <f t="shared" si="3"/>
        <v>1710</v>
      </c>
      <c r="V63" s="40">
        <f t="shared" si="3"/>
        <v>1710</v>
      </c>
      <c r="W63" s="40">
        <f t="shared" si="3"/>
        <v>1440</v>
      </c>
      <c r="X63" s="39">
        <f t="shared" si="3"/>
        <v>0</v>
      </c>
      <c r="Y63" s="40">
        <f t="shared" si="3"/>
        <v>1440</v>
      </c>
      <c r="Z63" s="40">
        <f t="shared" si="3"/>
        <v>1710</v>
      </c>
      <c r="AA63" s="40">
        <f t="shared" si="3"/>
        <v>1710</v>
      </c>
      <c r="AB63" s="40">
        <f t="shared" si="3"/>
        <v>1710</v>
      </c>
      <c r="AC63" s="40">
        <f t="shared" si="3"/>
        <v>1710</v>
      </c>
      <c r="AD63" s="39">
        <f>+AD64*(AD5-2)</f>
        <v>1080</v>
      </c>
      <c r="AE63" s="40">
        <f t="shared" si="3"/>
        <v>0</v>
      </c>
      <c r="AF63" s="40">
        <f t="shared" si="3"/>
        <v>1440</v>
      </c>
      <c r="AG63" s="41">
        <f>SUM(B63:AF63)</f>
        <v>41365</v>
      </c>
      <c r="AH63" s="14"/>
      <c r="AI63" s="14"/>
    </row>
    <row r="64" spans="1:35" ht="17.25" customHeight="1" thickTop="1" thickBot="1">
      <c r="A64" s="216" t="s">
        <v>38</v>
      </c>
      <c r="B64" s="145">
        <v>220</v>
      </c>
      <c r="C64" s="42"/>
      <c r="D64" s="145">
        <v>220</v>
      </c>
      <c r="E64" s="145">
        <v>170</v>
      </c>
      <c r="F64" s="145">
        <v>170</v>
      </c>
      <c r="G64" s="43">
        <v>170</v>
      </c>
      <c r="H64" s="43">
        <v>170</v>
      </c>
      <c r="I64" s="43">
        <v>170</v>
      </c>
      <c r="J64" s="42"/>
      <c r="K64" s="43">
        <v>170</v>
      </c>
      <c r="L64" s="43">
        <v>170</v>
      </c>
      <c r="M64" s="43">
        <v>170</v>
      </c>
      <c r="N64" s="43">
        <v>170</v>
      </c>
      <c r="O64" s="43">
        <v>170</v>
      </c>
      <c r="P64" s="43">
        <v>170</v>
      </c>
      <c r="Q64" s="43">
        <v>170</v>
      </c>
      <c r="R64" s="43">
        <v>170</v>
      </c>
      <c r="S64" s="43">
        <v>170</v>
      </c>
      <c r="T64" s="43">
        <v>180</v>
      </c>
      <c r="U64" s="43">
        <v>180</v>
      </c>
      <c r="V64" s="43">
        <v>180</v>
      </c>
      <c r="W64" s="43">
        <v>180</v>
      </c>
      <c r="X64" s="43">
        <v>180</v>
      </c>
      <c r="Y64" s="43">
        <v>180</v>
      </c>
      <c r="Z64" s="43">
        <v>180</v>
      </c>
      <c r="AA64" s="43">
        <v>180</v>
      </c>
      <c r="AB64" s="43">
        <v>180</v>
      </c>
      <c r="AC64" s="43">
        <v>180</v>
      </c>
      <c r="AD64" s="43">
        <v>180</v>
      </c>
      <c r="AE64" s="42"/>
      <c r="AF64" s="43">
        <v>180</v>
      </c>
      <c r="AG64" s="44"/>
      <c r="AH64" s="14"/>
      <c r="AI64" s="14"/>
    </row>
    <row r="65" spans="1:39" ht="17.25" customHeight="1" thickTop="1" thickBot="1">
      <c r="A65" s="217"/>
      <c r="B65" s="144">
        <f t="shared" ref="B65:AF65" si="4">IF(A65+B62-B63&lt;0,0,A65+B62-B63)</f>
        <v>328</v>
      </c>
      <c r="C65" s="39">
        <f t="shared" si="4"/>
        <v>328</v>
      </c>
      <c r="D65" s="40">
        <f t="shared" si="4"/>
        <v>98</v>
      </c>
      <c r="E65" s="40">
        <f t="shared" si="4"/>
        <v>599</v>
      </c>
      <c r="F65" s="40">
        <f t="shared" si="4"/>
        <v>520</v>
      </c>
      <c r="G65" s="40">
        <f t="shared" si="4"/>
        <v>1869</v>
      </c>
      <c r="H65" s="40">
        <f t="shared" si="4"/>
        <v>1406</v>
      </c>
      <c r="I65" s="40">
        <f t="shared" si="4"/>
        <v>1156</v>
      </c>
      <c r="J65" s="39">
        <f t="shared" si="4"/>
        <v>1156</v>
      </c>
      <c r="K65" s="40">
        <f t="shared" si="4"/>
        <v>1437</v>
      </c>
      <c r="L65" s="40">
        <f t="shared" si="4"/>
        <v>698</v>
      </c>
      <c r="M65" s="40">
        <f t="shared" si="4"/>
        <v>595</v>
      </c>
      <c r="N65" s="40">
        <f t="shared" si="4"/>
        <v>540</v>
      </c>
      <c r="O65" s="40">
        <f t="shared" si="4"/>
        <v>4205</v>
      </c>
      <c r="P65" s="40">
        <f t="shared" si="4"/>
        <v>2845</v>
      </c>
      <c r="Q65" s="39">
        <f t="shared" si="4"/>
        <v>2845</v>
      </c>
      <c r="R65" s="40">
        <f t="shared" si="4"/>
        <v>1230</v>
      </c>
      <c r="S65" s="40">
        <f t="shared" si="4"/>
        <v>4955</v>
      </c>
      <c r="T65" s="40">
        <f t="shared" si="4"/>
        <v>3245</v>
      </c>
      <c r="U65" s="39">
        <f>5340-216*24</f>
        <v>156</v>
      </c>
      <c r="V65" s="40">
        <f t="shared" si="4"/>
        <v>2586</v>
      </c>
      <c r="W65" s="40">
        <f t="shared" si="4"/>
        <v>1146</v>
      </c>
      <c r="X65" s="39">
        <f t="shared" si="4"/>
        <v>1146</v>
      </c>
      <c r="Y65" s="40">
        <f t="shared" si="4"/>
        <v>1674</v>
      </c>
      <c r="Z65" s="40">
        <f t="shared" si="4"/>
        <v>876</v>
      </c>
      <c r="AA65" s="40">
        <f t="shared" si="4"/>
        <v>546</v>
      </c>
      <c r="AB65" s="40">
        <f t="shared" si="4"/>
        <v>0</v>
      </c>
      <c r="AC65" s="40">
        <f t="shared" si="4"/>
        <v>1074</v>
      </c>
      <c r="AD65" s="40">
        <f t="shared" si="4"/>
        <v>1446</v>
      </c>
      <c r="AE65" s="39">
        <f t="shared" si="4"/>
        <v>1446</v>
      </c>
      <c r="AF65" s="40">
        <f t="shared" si="4"/>
        <v>6</v>
      </c>
      <c r="AG65" s="47">
        <f>IF(AE65+AG62-AG63&lt;0,0,AE65+AG62-AG63)</f>
        <v>0</v>
      </c>
      <c r="AH65" s="14"/>
      <c r="AI65" s="14"/>
    </row>
    <row r="66" spans="1:39" ht="15.75">
      <c r="A66" s="146" t="s">
        <v>10</v>
      </c>
      <c r="B66" s="280" t="s">
        <v>128</v>
      </c>
      <c r="C66" s="15"/>
      <c r="E66" s="280" t="s">
        <v>128</v>
      </c>
      <c r="F66" s="280" t="s">
        <v>78</v>
      </c>
      <c r="G66" s="280" t="s">
        <v>78</v>
      </c>
      <c r="J66" s="15"/>
      <c r="P66" s="280" t="s">
        <v>78</v>
      </c>
      <c r="Q66" s="15"/>
      <c r="R66" s="280" t="s">
        <v>78</v>
      </c>
      <c r="S66" s="280" t="s">
        <v>78</v>
      </c>
      <c r="T66" s="280" t="s">
        <v>78</v>
      </c>
      <c r="V66" s="280" t="s">
        <v>78</v>
      </c>
      <c r="X66" s="15"/>
      <c r="AA66" s="280" t="s">
        <v>78</v>
      </c>
      <c r="AB66" s="116" t="s">
        <v>78</v>
      </c>
      <c r="AC66" s="280" t="s">
        <v>78</v>
      </c>
      <c r="AD66" s="280" t="s">
        <v>78</v>
      </c>
      <c r="AE66" s="15"/>
      <c r="AG66" s="97"/>
      <c r="AH66" s="14"/>
    </row>
    <row r="67" spans="1:39" ht="15.75">
      <c r="A67" s="147" t="s">
        <v>11</v>
      </c>
      <c r="B67" s="93" t="s">
        <v>131</v>
      </c>
      <c r="C67" s="15"/>
      <c r="E67" s="93" t="s">
        <v>130</v>
      </c>
      <c r="F67" s="93" t="s">
        <v>231</v>
      </c>
      <c r="G67" s="93" t="s">
        <v>211</v>
      </c>
      <c r="J67" s="15"/>
      <c r="P67" s="93" t="s">
        <v>233</v>
      </c>
      <c r="Q67" s="15"/>
      <c r="R67" s="93" t="s">
        <v>234</v>
      </c>
      <c r="S67" s="93" t="s">
        <v>222</v>
      </c>
      <c r="T67" s="93" t="s">
        <v>210</v>
      </c>
      <c r="V67" s="93" t="s">
        <v>254</v>
      </c>
      <c r="X67" s="15"/>
      <c r="AA67" s="93" t="s">
        <v>226</v>
      </c>
      <c r="AB67" s="117" t="s">
        <v>208</v>
      </c>
      <c r="AC67" s="93" t="s">
        <v>193</v>
      </c>
      <c r="AD67" s="93" t="s">
        <v>218</v>
      </c>
      <c r="AE67" s="15"/>
      <c r="AG67" s="98"/>
      <c r="AH67" s="14"/>
      <c r="AI67" s="226" t="s">
        <v>415</v>
      </c>
    </row>
    <row r="68" spans="1:39" ht="15.75">
      <c r="A68" s="148" t="s">
        <v>12</v>
      </c>
      <c r="B68" s="17" t="s">
        <v>487</v>
      </c>
      <c r="C68" s="15"/>
      <c r="E68" s="17" t="s">
        <v>487</v>
      </c>
      <c r="F68" s="17" t="s">
        <v>503</v>
      </c>
      <c r="G68" s="17" t="s">
        <v>504</v>
      </c>
      <c r="J68" s="15"/>
      <c r="P68" s="17" t="s">
        <v>503</v>
      </c>
      <c r="Q68" s="15"/>
      <c r="R68" s="17" t="s">
        <v>504</v>
      </c>
      <c r="S68" s="17" t="s">
        <v>504</v>
      </c>
      <c r="T68" s="17" t="s">
        <v>504</v>
      </c>
      <c r="V68" s="17" t="s">
        <v>504</v>
      </c>
      <c r="X68" s="15"/>
      <c r="AA68" s="17" t="s">
        <v>504</v>
      </c>
      <c r="AB68" s="17" t="s">
        <v>504</v>
      </c>
      <c r="AC68" s="17" t="s">
        <v>503</v>
      </c>
      <c r="AD68" s="17" t="s">
        <v>503</v>
      </c>
      <c r="AE68" s="15"/>
      <c r="AG68" s="98"/>
      <c r="AH68" s="14"/>
      <c r="AI68" s="227" t="s">
        <v>78</v>
      </c>
    </row>
    <row r="69" spans="1:39" ht="15.75">
      <c r="A69" s="149" t="s">
        <v>13</v>
      </c>
      <c r="B69" s="19" t="s">
        <v>69</v>
      </c>
      <c r="C69" s="15"/>
      <c r="E69" s="19" t="s">
        <v>69</v>
      </c>
      <c r="F69" s="19" t="s">
        <v>85</v>
      </c>
      <c r="G69" s="19" t="s">
        <v>85</v>
      </c>
      <c r="J69" s="15"/>
      <c r="P69" s="19" t="s">
        <v>85</v>
      </c>
      <c r="Q69" s="15"/>
      <c r="R69" s="19" t="s">
        <v>85</v>
      </c>
      <c r="S69" s="19" t="s">
        <v>85</v>
      </c>
      <c r="T69" s="19" t="s">
        <v>85</v>
      </c>
      <c r="V69" s="19" t="s">
        <v>85</v>
      </c>
      <c r="X69" s="15"/>
      <c r="AA69" s="19" t="s">
        <v>85</v>
      </c>
      <c r="AB69" s="118" t="s">
        <v>85</v>
      </c>
      <c r="AC69" s="19" t="s">
        <v>85</v>
      </c>
      <c r="AD69" s="19" t="s">
        <v>85</v>
      </c>
      <c r="AE69" s="15"/>
      <c r="AG69" s="98"/>
      <c r="AH69" s="14"/>
      <c r="AI69" s="228" t="s">
        <v>194</v>
      </c>
    </row>
    <row r="70" spans="1:39" ht="15.75">
      <c r="A70" s="150" t="s">
        <v>15</v>
      </c>
      <c r="B70" s="280" t="s">
        <v>67</v>
      </c>
      <c r="C70" s="15"/>
      <c r="E70" s="280" t="s">
        <v>67</v>
      </c>
      <c r="F70" s="280" t="s">
        <v>53</v>
      </c>
      <c r="G70" s="280" t="s">
        <v>53</v>
      </c>
      <c r="J70" s="15"/>
      <c r="P70" s="280" t="s">
        <v>53</v>
      </c>
      <c r="Q70" s="15"/>
      <c r="R70" s="280" t="s">
        <v>53</v>
      </c>
      <c r="S70" s="280" t="s">
        <v>53</v>
      </c>
      <c r="T70" s="280" t="s">
        <v>53</v>
      </c>
      <c r="V70" s="280" t="s">
        <v>53</v>
      </c>
      <c r="X70" s="15"/>
      <c r="AA70" s="280" t="s">
        <v>53</v>
      </c>
      <c r="AB70" s="119" t="s">
        <v>53</v>
      </c>
      <c r="AC70" s="280" t="s">
        <v>53</v>
      </c>
      <c r="AD70" s="280" t="s">
        <v>53</v>
      </c>
      <c r="AE70" s="15"/>
      <c r="AG70" s="98"/>
      <c r="AH70" s="14"/>
      <c r="AI70" s="229" t="str">
        <f>VLOOKUP(AI69,'[1]2018-11'!$A:$G,7,0)</f>
        <v>12/11</v>
      </c>
    </row>
    <row r="71" spans="1:39" ht="15.75">
      <c r="A71" s="151" t="s">
        <v>17</v>
      </c>
      <c r="B71" s="21" t="s">
        <v>118</v>
      </c>
      <c r="C71" s="213"/>
      <c r="E71" s="21" t="s">
        <v>118</v>
      </c>
      <c r="F71" s="100" t="s">
        <v>145</v>
      </c>
      <c r="G71" s="100" t="s">
        <v>145</v>
      </c>
      <c r="J71" s="213"/>
      <c r="M71" s="214"/>
      <c r="P71" s="100" t="s">
        <v>145</v>
      </c>
      <c r="Q71" s="213"/>
      <c r="R71" s="100" t="s">
        <v>145</v>
      </c>
      <c r="S71" s="100" t="s">
        <v>145</v>
      </c>
      <c r="T71" s="100" t="s">
        <v>145</v>
      </c>
      <c r="V71" s="100" t="s">
        <v>145</v>
      </c>
      <c r="X71" s="213"/>
      <c r="AA71" s="100" t="s">
        <v>145</v>
      </c>
      <c r="AB71" s="120" t="s">
        <v>145</v>
      </c>
      <c r="AC71" s="100" t="s">
        <v>145</v>
      </c>
      <c r="AD71" s="100" t="s">
        <v>145</v>
      </c>
      <c r="AE71" s="213"/>
      <c r="AG71" s="98"/>
      <c r="AH71" s="14"/>
      <c r="AI71" s="230" t="s">
        <v>85</v>
      </c>
    </row>
    <row r="72" spans="1:39" ht="15.75">
      <c r="A72" s="152" t="s">
        <v>18</v>
      </c>
      <c r="B72" s="23"/>
      <c r="C72" s="15"/>
      <c r="E72" s="23"/>
      <c r="F72" s="23"/>
      <c r="G72" s="23"/>
      <c r="J72" s="15"/>
      <c r="P72" s="23"/>
      <c r="Q72" s="15"/>
      <c r="R72" s="23"/>
      <c r="S72" s="23"/>
      <c r="T72" s="23"/>
      <c r="V72" s="23"/>
      <c r="X72" s="15"/>
      <c r="AA72" s="23"/>
      <c r="AB72" s="121"/>
      <c r="AC72" s="23"/>
      <c r="AD72" s="23"/>
      <c r="AE72" s="15"/>
      <c r="AG72" s="98"/>
      <c r="AH72" s="14"/>
      <c r="AI72" s="227" t="s">
        <v>53</v>
      </c>
    </row>
    <row r="73" spans="1:39" ht="15.75">
      <c r="A73" s="146" t="s">
        <v>20</v>
      </c>
      <c r="B73" s="87">
        <v>3</v>
      </c>
      <c r="C73" s="15"/>
      <c r="E73" s="50">
        <v>3</v>
      </c>
      <c r="F73" s="176"/>
      <c r="G73" s="176"/>
      <c r="J73" s="15"/>
      <c r="P73" s="176"/>
      <c r="Q73" s="15"/>
      <c r="R73" s="176"/>
      <c r="S73" s="176"/>
      <c r="T73" s="176"/>
      <c r="V73" s="176"/>
      <c r="X73" s="15"/>
      <c r="AA73" s="176"/>
      <c r="AB73" s="221"/>
      <c r="AC73" s="176"/>
      <c r="AD73" s="87"/>
      <c r="AE73" s="15"/>
      <c r="AG73" s="98"/>
      <c r="AH73" s="14"/>
      <c r="AI73" s="231" t="s">
        <v>145</v>
      </c>
    </row>
    <row r="74" spans="1:39" ht="15.75">
      <c r="A74" s="153" t="s">
        <v>21</v>
      </c>
      <c r="B74" s="94" t="s">
        <v>129</v>
      </c>
      <c r="C74" s="15"/>
      <c r="E74" s="94" t="s">
        <v>129</v>
      </c>
      <c r="F74" s="94" t="s">
        <v>77</v>
      </c>
      <c r="G74" s="94" t="s">
        <v>77</v>
      </c>
      <c r="J74" s="15"/>
      <c r="P74" s="94" t="s">
        <v>77</v>
      </c>
      <c r="Q74" s="15"/>
      <c r="R74" s="94" t="s">
        <v>77</v>
      </c>
      <c r="S74" s="94" t="s">
        <v>77</v>
      </c>
      <c r="T74" s="94" t="s">
        <v>77</v>
      </c>
      <c r="V74" s="94" t="s">
        <v>77</v>
      </c>
      <c r="X74" s="15"/>
      <c r="AA74" s="94" t="s">
        <v>77</v>
      </c>
      <c r="AB74" s="122" t="s">
        <v>77</v>
      </c>
      <c r="AC74" s="94" t="s">
        <v>99</v>
      </c>
      <c r="AD74" s="94" t="s">
        <v>83</v>
      </c>
      <c r="AE74" s="15"/>
      <c r="AG74" s="98"/>
      <c r="AH74" s="14"/>
      <c r="AI74" s="232"/>
    </row>
    <row r="75" spans="1:39" ht="15.75">
      <c r="A75" s="154" t="s">
        <v>22</v>
      </c>
      <c r="B75" s="27" t="s">
        <v>19</v>
      </c>
      <c r="C75" s="15"/>
      <c r="E75" s="27" t="s">
        <v>19</v>
      </c>
      <c r="F75" s="27" t="s">
        <v>117</v>
      </c>
      <c r="G75" s="29" t="s">
        <v>499</v>
      </c>
      <c r="J75" s="15"/>
      <c r="P75" s="27"/>
      <c r="Q75" s="15"/>
      <c r="R75" s="27"/>
      <c r="S75" s="27"/>
      <c r="T75" s="27"/>
      <c r="V75" s="27"/>
      <c r="X75" s="15"/>
      <c r="AA75" s="27"/>
      <c r="AB75" s="123" t="s">
        <v>117</v>
      </c>
      <c r="AC75" s="27"/>
      <c r="AD75" s="27"/>
      <c r="AE75" s="15"/>
      <c r="AG75" s="98"/>
      <c r="AH75" s="14"/>
      <c r="AI75" s="233"/>
    </row>
    <row r="76" spans="1:39" ht="15.75">
      <c r="A76" s="153" t="s">
        <v>23</v>
      </c>
      <c r="B76" s="280">
        <v>3804</v>
      </c>
      <c r="C76" s="15"/>
      <c r="E76" s="280">
        <v>372</v>
      </c>
      <c r="F76" s="280">
        <v>252</v>
      </c>
      <c r="G76" s="280">
        <v>540</v>
      </c>
      <c r="J76" s="15"/>
      <c r="P76" s="280">
        <v>204</v>
      </c>
      <c r="Q76" s="15"/>
      <c r="R76" s="280">
        <v>2940</v>
      </c>
      <c r="S76" s="280">
        <v>996</v>
      </c>
      <c r="T76" s="280">
        <v>468</v>
      </c>
      <c r="V76" s="280">
        <v>7152</v>
      </c>
      <c r="X76" s="15"/>
      <c r="AA76" s="280">
        <v>192</v>
      </c>
      <c r="AB76" s="119">
        <v>528</v>
      </c>
      <c r="AC76" s="280">
        <v>720</v>
      </c>
      <c r="AD76" s="280">
        <v>1572</v>
      </c>
      <c r="AE76" s="15"/>
      <c r="AG76" s="98"/>
      <c r="AH76" s="14"/>
      <c r="AI76" s="234" t="s">
        <v>99</v>
      </c>
    </row>
    <row r="77" spans="1:39" ht="15.75">
      <c r="A77" s="155" t="s">
        <v>24</v>
      </c>
      <c r="B77" s="29" t="s">
        <v>480</v>
      </c>
      <c r="C77" s="15"/>
      <c r="E77" s="29">
        <v>-54</v>
      </c>
      <c r="F77" s="29" t="s">
        <v>498</v>
      </c>
      <c r="G77" s="30" t="s">
        <v>44</v>
      </c>
      <c r="J77" s="15"/>
      <c r="P77" s="30"/>
      <c r="Q77" s="15"/>
      <c r="R77" s="30"/>
      <c r="S77" s="30"/>
      <c r="T77" s="30"/>
      <c r="V77" s="30"/>
      <c r="X77" s="15"/>
      <c r="AA77" s="30"/>
      <c r="AB77" s="124"/>
      <c r="AC77" s="30"/>
      <c r="AD77" s="30"/>
      <c r="AE77" s="15"/>
      <c r="AG77" s="98"/>
      <c r="AH77" s="14"/>
      <c r="AI77" s="235"/>
    </row>
    <row r="78" spans="1:39" ht="15.75">
      <c r="A78" s="128" t="s">
        <v>25</v>
      </c>
      <c r="B78" s="32">
        <v>43104</v>
      </c>
      <c r="C78" s="15"/>
      <c r="E78" s="32">
        <v>43495</v>
      </c>
      <c r="F78" s="32">
        <v>43475</v>
      </c>
      <c r="G78" s="32">
        <v>43446</v>
      </c>
      <c r="J78" s="180"/>
      <c r="P78" s="32">
        <v>43492</v>
      </c>
      <c r="Q78" s="180"/>
      <c r="R78" s="32">
        <v>43510</v>
      </c>
      <c r="S78" s="32">
        <v>43510</v>
      </c>
      <c r="T78" s="32">
        <v>43510</v>
      </c>
      <c r="V78" s="32">
        <v>43517</v>
      </c>
      <c r="X78" s="180"/>
      <c r="AA78" s="32">
        <v>43519</v>
      </c>
      <c r="AB78" s="125">
        <v>43510</v>
      </c>
      <c r="AC78" s="32">
        <v>43490</v>
      </c>
      <c r="AD78" s="32">
        <v>43490</v>
      </c>
      <c r="AE78" s="15"/>
      <c r="AG78" s="98"/>
      <c r="AH78" s="14"/>
      <c r="AI78" s="227">
        <v>12660</v>
      </c>
    </row>
    <row r="79" spans="1:39" ht="16.5" thickBot="1">
      <c r="A79" s="146" t="s">
        <v>27</v>
      </c>
      <c r="B79" s="31" t="s">
        <v>28</v>
      </c>
      <c r="C79" s="15"/>
      <c r="E79" s="31" t="s">
        <v>28</v>
      </c>
      <c r="F79" s="31" t="s">
        <v>31</v>
      </c>
      <c r="G79" s="31" t="s">
        <v>33</v>
      </c>
      <c r="J79" s="187"/>
      <c r="P79" s="31" t="s">
        <v>28</v>
      </c>
      <c r="Q79" s="187"/>
      <c r="R79" s="31" t="s">
        <v>33</v>
      </c>
      <c r="S79" s="31" t="s">
        <v>28</v>
      </c>
      <c r="T79" s="31" t="s">
        <v>28</v>
      </c>
      <c r="V79" s="31" t="s">
        <v>28</v>
      </c>
      <c r="X79" s="187"/>
      <c r="AA79" s="31" t="s">
        <v>46</v>
      </c>
      <c r="AB79" s="128" t="s">
        <v>28</v>
      </c>
      <c r="AC79" s="31" t="s">
        <v>29</v>
      </c>
      <c r="AD79" s="31" t="s">
        <v>29</v>
      </c>
      <c r="AE79" s="15"/>
      <c r="AG79" s="98"/>
      <c r="AH79" s="14"/>
      <c r="AI79" s="236"/>
    </row>
    <row r="80" spans="1:39" ht="15.75">
      <c r="A80" s="146" t="s">
        <v>10</v>
      </c>
      <c r="C80" s="15"/>
      <c r="F80" s="280" t="s">
        <v>78</v>
      </c>
      <c r="G80" s="116" t="s">
        <v>78</v>
      </c>
      <c r="J80" s="15"/>
      <c r="P80" s="280" t="s">
        <v>78</v>
      </c>
      <c r="Q80" s="15"/>
      <c r="T80" s="280" t="s">
        <v>78</v>
      </c>
      <c r="X80" s="15"/>
      <c r="AA80" s="280" t="s">
        <v>78</v>
      </c>
      <c r="AB80" s="119" t="s">
        <v>78</v>
      </c>
      <c r="AC80" s="280" t="s">
        <v>78</v>
      </c>
      <c r="AD80" s="280" t="s">
        <v>78</v>
      </c>
      <c r="AE80" s="15"/>
      <c r="AG80" s="98"/>
      <c r="AH80" s="14"/>
      <c r="AI80" s="237">
        <v>43484</v>
      </c>
      <c r="AM80" s="158"/>
    </row>
    <row r="81" spans="1:37" ht="15.75">
      <c r="A81" s="147" t="s">
        <v>11</v>
      </c>
      <c r="C81" s="15"/>
      <c r="F81" s="93" t="s">
        <v>209</v>
      </c>
      <c r="G81" s="117" t="s">
        <v>239</v>
      </c>
      <c r="J81" s="15"/>
      <c r="P81" s="93" t="s">
        <v>220</v>
      </c>
      <c r="Q81" s="15"/>
      <c r="T81" s="93" t="s">
        <v>225</v>
      </c>
      <c r="X81" s="15"/>
      <c r="AA81" s="93" t="s">
        <v>237</v>
      </c>
      <c r="AB81" s="117" t="s">
        <v>190</v>
      </c>
      <c r="AC81" s="93" t="s">
        <v>197</v>
      </c>
      <c r="AD81" s="93" t="s">
        <v>205</v>
      </c>
      <c r="AE81" s="15"/>
      <c r="AG81" s="98"/>
      <c r="AH81" s="14"/>
      <c r="AI81" s="238" t="s">
        <v>29</v>
      </c>
    </row>
    <row r="82" spans="1:37" ht="15.75">
      <c r="A82" s="148" t="s">
        <v>12</v>
      </c>
      <c r="C82" s="15"/>
      <c r="F82" s="17" t="s">
        <v>503</v>
      </c>
      <c r="G82" s="17" t="s">
        <v>503</v>
      </c>
      <c r="J82" s="15"/>
      <c r="P82" s="17" t="s">
        <v>504</v>
      </c>
      <c r="Q82" s="15"/>
      <c r="T82" s="17" t="s">
        <v>504</v>
      </c>
      <c r="X82" s="15"/>
      <c r="AA82" s="17" t="s">
        <v>504</v>
      </c>
      <c r="AB82" s="17" t="s">
        <v>503</v>
      </c>
      <c r="AC82" s="17" t="s">
        <v>503</v>
      </c>
      <c r="AD82" s="17" t="s">
        <v>503</v>
      </c>
      <c r="AE82" s="15"/>
      <c r="AG82" s="98"/>
      <c r="AH82" s="14"/>
    </row>
    <row r="83" spans="1:37" ht="15.75">
      <c r="A83" s="149" t="s">
        <v>13</v>
      </c>
      <c r="C83" s="15"/>
      <c r="F83" s="19" t="s">
        <v>85</v>
      </c>
      <c r="G83" s="118" t="s">
        <v>85</v>
      </c>
      <c r="J83" s="15"/>
      <c r="P83" s="19" t="s">
        <v>85</v>
      </c>
      <c r="Q83" s="15"/>
      <c r="T83" s="19" t="s">
        <v>85</v>
      </c>
      <c r="X83" s="15"/>
      <c r="AA83" s="19" t="s">
        <v>85</v>
      </c>
      <c r="AB83" s="118" t="s">
        <v>85</v>
      </c>
      <c r="AC83" s="19" t="s">
        <v>85</v>
      </c>
      <c r="AD83" s="19" t="s">
        <v>85</v>
      </c>
      <c r="AE83" s="15"/>
      <c r="AG83" s="98"/>
      <c r="AH83" s="14"/>
    </row>
    <row r="84" spans="1:37" ht="15.75">
      <c r="A84" s="150" t="s">
        <v>15</v>
      </c>
      <c r="C84" s="15"/>
      <c r="F84" s="280" t="s">
        <v>53</v>
      </c>
      <c r="G84" s="119" t="s">
        <v>53</v>
      </c>
      <c r="J84" s="15"/>
      <c r="P84" s="280" t="s">
        <v>53</v>
      </c>
      <c r="Q84" s="15"/>
      <c r="T84" s="280" t="s">
        <v>53</v>
      </c>
      <c r="X84" s="15"/>
      <c r="AA84" s="280" t="s">
        <v>53</v>
      </c>
      <c r="AB84" s="119" t="s">
        <v>53</v>
      </c>
      <c r="AC84" s="280" t="s">
        <v>53</v>
      </c>
      <c r="AD84" s="280" t="s">
        <v>53</v>
      </c>
      <c r="AE84" s="15"/>
      <c r="AG84" s="98"/>
      <c r="AH84" s="14"/>
    </row>
    <row r="85" spans="1:37" ht="15.75">
      <c r="A85" s="151" t="s">
        <v>17</v>
      </c>
      <c r="C85" s="213"/>
      <c r="F85" s="100" t="s">
        <v>145</v>
      </c>
      <c r="G85" s="120" t="s">
        <v>145</v>
      </c>
      <c r="I85" s="214"/>
      <c r="J85" s="213"/>
      <c r="L85" s="214"/>
      <c r="M85" s="214"/>
      <c r="P85" s="100" t="s">
        <v>145</v>
      </c>
      <c r="Q85" s="213"/>
      <c r="T85" s="100" t="s">
        <v>145</v>
      </c>
      <c r="X85" s="213"/>
      <c r="AA85" s="100" t="s">
        <v>145</v>
      </c>
      <c r="AB85" s="120" t="s">
        <v>145</v>
      </c>
      <c r="AC85" s="100" t="s">
        <v>145</v>
      </c>
      <c r="AD85" s="100" t="s">
        <v>145</v>
      </c>
      <c r="AE85" s="213"/>
      <c r="AG85" s="98"/>
      <c r="AH85" s="14"/>
    </row>
    <row r="86" spans="1:37" ht="15.75">
      <c r="A86" s="152" t="s">
        <v>18</v>
      </c>
      <c r="C86" s="15"/>
      <c r="F86" s="23"/>
      <c r="G86" s="121"/>
      <c r="J86" s="15"/>
      <c r="P86" s="23"/>
      <c r="Q86" s="15"/>
      <c r="T86" s="23"/>
      <c r="X86" s="15"/>
      <c r="AA86" s="23"/>
      <c r="AB86" s="121"/>
      <c r="AC86" s="23"/>
      <c r="AD86" s="23"/>
      <c r="AE86" s="15"/>
      <c r="AG86" s="98"/>
      <c r="AH86" s="14"/>
    </row>
    <row r="87" spans="1:37">
      <c r="A87" s="146" t="s">
        <v>20</v>
      </c>
      <c r="C87" s="15"/>
      <c r="F87" s="176"/>
      <c r="G87" s="221"/>
      <c r="J87" s="15"/>
      <c r="P87" s="176"/>
      <c r="Q87" s="15"/>
      <c r="T87" s="176"/>
      <c r="X87" s="15"/>
      <c r="AA87" s="176"/>
      <c r="AB87" s="221"/>
      <c r="AC87" s="176"/>
      <c r="AD87" s="87"/>
      <c r="AE87" s="15"/>
      <c r="AG87" s="98"/>
      <c r="AH87" s="14"/>
    </row>
    <row r="88" spans="1:37" ht="15.75">
      <c r="A88" s="153" t="s">
        <v>21</v>
      </c>
      <c r="C88" s="15"/>
      <c r="F88" s="94" t="s">
        <v>77</v>
      </c>
      <c r="G88" s="122" t="s">
        <v>77</v>
      </c>
      <c r="J88" s="15"/>
      <c r="P88" s="94" t="s">
        <v>77</v>
      </c>
      <c r="Q88" s="15"/>
      <c r="T88" s="94" t="s">
        <v>77</v>
      </c>
      <c r="X88" s="15"/>
      <c r="AA88" s="94" t="s">
        <v>77</v>
      </c>
      <c r="AB88" s="122" t="s">
        <v>99</v>
      </c>
      <c r="AC88" s="94" t="s">
        <v>99</v>
      </c>
      <c r="AD88" s="94" t="s">
        <v>83</v>
      </c>
      <c r="AE88" s="15"/>
      <c r="AG88" s="98"/>
      <c r="AH88" s="14"/>
    </row>
    <row r="89" spans="1:37">
      <c r="A89" s="154" t="s">
        <v>22</v>
      </c>
      <c r="C89" s="15"/>
      <c r="F89" s="27"/>
      <c r="G89" s="123"/>
      <c r="J89" s="15"/>
      <c r="P89" s="27"/>
      <c r="Q89" s="15"/>
      <c r="T89" s="27"/>
      <c r="X89" s="15"/>
      <c r="AA89" s="27"/>
      <c r="AB89" s="123" t="s">
        <v>115</v>
      </c>
      <c r="AC89" s="27"/>
      <c r="AD89" s="27"/>
      <c r="AE89" s="15"/>
      <c r="AG89" s="98"/>
      <c r="AH89" s="14"/>
    </row>
    <row r="90" spans="1:37" ht="15.75">
      <c r="A90" s="153" t="s">
        <v>23</v>
      </c>
      <c r="C90" s="15"/>
      <c r="F90" s="280">
        <v>144</v>
      </c>
      <c r="G90" s="119">
        <v>9492</v>
      </c>
      <c r="J90" s="15"/>
      <c r="P90" s="280">
        <v>120</v>
      </c>
      <c r="Q90" s="15"/>
      <c r="T90" s="280">
        <v>600</v>
      </c>
      <c r="X90" s="15"/>
      <c r="AA90" s="280">
        <v>1008</v>
      </c>
      <c r="AB90" s="119">
        <v>1200</v>
      </c>
      <c r="AC90" s="280">
        <v>768</v>
      </c>
      <c r="AD90" s="280">
        <v>1620</v>
      </c>
      <c r="AE90" s="15"/>
      <c r="AG90" s="98"/>
      <c r="AH90" s="14"/>
    </row>
    <row r="91" spans="1:37" ht="15.75">
      <c r="A91" s="155" t="s">
        <v>24</v>
      </c>
      <c r="C91" s="15"/>
      <c r="F91" s="29" t="s">
        <v>498</v>
      </c>
      <c r="G91" s="29">
        <v>-1083</v>
      </c>
      <c r="J91" s="15"/>
      <c r="P91" s="30"/>
      <c r="Q91" s="15"/>
      <c r="T91" s="30"/>
      <c r="X91" s="15"/>
      <c r="AA91" s="30"/>
      <c r="AB91" s="124"/>
      <c r="AC91" s="30"/>
      <c r="AD91" s="30"/>
      <c r="AE91" s="15"/>
      <c r="AG91" s="98"/>
      <c r="AH91" s="14"/>
    </row>
    <row r="92" spans="1:37" ht="15.75">
      <c r="A92" s="128" t="s">
        <v>25</v>
      </c>
      <c r="C92" s="15"/>
      <c r="F92" s="32">
        <v>43492</v>
      </c>
      <c r="G92" s="125">
        <v>43488</v>
      </c>
      <c r="J92" s="13"/>
      <c r="P92" s="32">
        <v>43507</v>
      </c>
      <c r="Q92" s="13"/>
      <c r="T92" s="32">
        <v>43510</v>
      </c>
      <c r="X92" s="13"/>
      <c r="AA92" s="32">
        <v>43518</v>
      </c>
      <c r="AB92" s="125">
        <v>43479</v>
      </c>
      <c r="AC92" s="32">
        <v>43490</v>
      </c>
      <c r="AD92" s="32">
        <v>43490</v>
      </c>
      <c r="AE92" s="15"/>
      <c r="AG92" s="98"/>
      <c r="AH92" s="14"/>
    </row>
    <row r="93" spans="1:37" ht="15.75" thickBot="1">
      <c r="A93" s="146" t="s">
        <v>27</v>
      </c>
      <c r="C93" s="15"/>
      <c r="F93" s="31" t="s">
        <v>28</v>
      </c>
      <c r="G93" s="128" t="s">
        <v>28</v>
      </c>
      <c r="J93" s="187"/>
      <c r="P93" s="31" t="s">
        <v>28</v>
      </c>
      <c r="Q93" s="187"/>
      <c r="T93" s="31" t="s">
        <v>28</v>
      </c>
      <c r="X93" s="187"/>
      <c r="AA93" s="31" t="s">
        <v>28</v>
      </c>
      <c r="AB93" s="126" t="s">
        <v>29</v>
      </c>
      <c r="AC93" s="31" t="s">
        <v>29</v>
      </c>
      <c r="AD93" s="31" t="s">
        <v>29</v>
      </c>
      <c r="AE93" s="15"/>
      <c r="AG93" s="98"/>
      <c r="AH93" s="14"/>
    </row>
    <row r="94" spans="1:37" ht="15.75">
      <c r="A94" s="146" t="s">
        <v>10</v>
      </c>
      <c r="C94" s="15"/>
      <c r="F94" s="280" t="s">
        <v>78</v>
      </c>
      <c r="G94" s="119" t="s">
        <v>78</v>
      </c>
      <c r="J94" s="15"/>
      <c r="P94" s="280" t="s">
        <v>78</v>
      </c>
      <c r="Q94" s="15"/>
      <c r="T94" s="280" t="s">
        <v>78</v>
      </c>
      <c r="X94" s="15"/>
      <c r="AA94" s="280" t="s">
        <v>78</v>
      </c>
      <c r="AB94" s="280" t="s">
        <v>78</v>
      </c>
      <c r="AE94" s="15"/>
      <c r="AG94" s="98"/>
      <c r="AH94" s="14"/>
      <c r="AI94" s="14"/>
    </row>
    <row r="95" spans="1:37" ht="15.75">
      <c r="A95" s="147" t="s">
        <v>11</v>
      </c>
      <c r="C95" s="15"/>
      <c r="F95" s="93" t="s">
        <v>221</v>
      </c>
      <c r="G95" s="117" t="s">
        <v>255</v>
      </c>
      <c r="J95" s="15"/>
      <c r="P95" s="93" t="s">
        <v>232</v>
      </c>
      <c r="Q95" s="15"/>
      <c r="T95" s="93" t="s">
        <v>224</v>
      </c>
      <c r="X95" s="15"/>
      <c r="AA95" s="93" t="s">
        <v>213</v>
      </c>
      <c r="AB95" s="93" t="s">
        <v>195</v>
      </c>
      <c r="AE95" s="15"/>
      <c r="AG95" s="98"/>
      <c r="AH95" s="14"/>
      <c r="AI95" s="14"/>
      <c r="AK95" s="24"/>
    </row>
    <row r="96" spans="1:37" ht="15.75">
      <c r="A96" s="148" t="s">
        <v>12</v>
      </c>
      <c r="C96" s="15"/>
      <c r="F96" s="17" t="s">
        <v>503</v>
      </c>
      <c r="G96" s="17" t="s">
        <v>504</v>
      </c>
      <c r="J96" s="15"/>
      <c r="P96" s="17" t="s">
        <v>504</v>
      </c>
      <c r="Q96" s="15"/>
      <c r="T96" s="17" t="s">
        <v>504</v>
      </c>
      <c r="X96" s="15"/>
      <c r="AA96" s="17" t="s">
        <v>484</v>
      </c>
      <c r="AB96" s="17" t="s">
        <v>503</v>
      </c>
      <c r="AE96" s="15"/>
      <c r="AG96" s="98"/>
      <c r="AH96" s="14"/>
      <c r="AI96" s="14"/>
      <c r="AK96" s="24"/>
    </row>
    <row r="97" spans="1:39" ht="15.75">
      <c r="A97" s="149" t="s">
        <v>13</v>
      </c>
      <c r="C97" s="15"/>
      <c r="F97" s="19" t="s">
        <v>85</v>
      </c>
      <c r="G97" s="118" t="s">
        <v>85</v>
      </c>
      <c r="J97" s="15"/>
      <c r="P97" s="19" t="s">
        <v>85</v>
      </c>
      <c r="Q97" s="15"/>
      <c r="T97" s="19" t="s">
        <v>85</v>
      </c>
      <c r="X97" s="15"/>
      <c r="AA97" s="19" t="s">
        <v>85</v>
      </c>
      <c r="AB97" s="19" t="s">
        <v>85</v>
      </c>
      <c r="AE97" s="15"/>
      <c r="AG97" s="98"/>
      <c r="AH97" s="14"/>
      <c r="AI97" s="14"/>
      <c r="AK97" s="24"/>
    </row>
    <row r="98" spans="1:39" ht="15.75">
      <c r="A98" s="150" t="s">
        <v>15</v>
      </c>
      <c r="C98" s="15"/>
      <c r="F98" s="280" t="s">
        <v>53</v>
      </c>
      <c r="G98" s="119" t="s">
        <v>53</v>
      </c>
      <c r="J98" s="15"/>
      <c r="P98" s="280" t="s">
        <v>53</v>
      </c>
      <c r="Q98" s="15"/>
      <c r="T98" s="280" t="s">
        <v>53</v>
      </c>
      <c r="X98" s="15"/>
      <c r="AA98" s="280" t="s">
        <v>53</v>
      </c>
      <c r="AB98" s="280" t="s">
        <v>53</v>
      </c>
      <c r="AE98" s="15"/>
      <c r="AG98" s="98"/>
      <c r="AH98" s="14"/>
      <c r="AI98" s="14"/>
      <c r="AK98" s="24"/>
    </row>
    <row r="99" spans="1:39" ht="15.75">
      <c r="A99" s="151" t="s">
        <v>17</v>
      </c>
      <c r="C99" s="15"/>
      <c r="F99" s="100" t="s">
        <v>145</v>
      </c>
      <c r="G99" s="120" t="s">
        <v>145</v>
      </c>
      <c r="I99" s="214"/>
      <c r="J99" s="213"/>
      <c r="L99" s="214"/>
      <c r="M99" s="214"/>
      <c r="P99" s="100" t="s">
        <v>145</v>
      </c>
      <c r="Q99" s="213"/>
      <c r="T99" s="100" t="s">
        <v>145</v>
      </c>
      <c r="X99" s="213"/>
      <c r="AA99" s="100" t="s">
        <v>145</v>
      </c>
      <c r="AB99" s="100" t="s">
        <v>145</v>
      </c>
      <c r="AE99" s="15"/>
      <c r="AG99" s="98"/>
      <c r="AH99" s="14"/>
      <c r="AI99" s="14"/>
      <c r="AK99" s="24"/>
    </row>
    <row r="100" spans="1:39" ht="15.75">
      <c r="A100" s="152" t="s">
        <v>18</v>
      </c>
      <c r="C100" s="15"/>
      <c r="F100" s="23"/>
      <c r="G100" s="121"/>
      <c r="J100" s="15"/>
      <c r="P100" s="23"/>
      <c r="Q100" s="15"/>
      <c r="T100" s="23"/>
      <c r="X100" s="15"/>
      <c r="AA100" s="23"/>
      <c r="AB100" s="23"/>
      <c r="AE100" s="15"/>
      <c r="AG100" s="98"/>
      <c r="AH100" s="14"/>
      <c r="AI100" s="14"/>
      <c r="AK100" s="24"/>
    </row>
    <row r="101" spans="1:39">
      <c r="A101" s="146" t="s">
        <v>20</v>
      </c>
      <c r="C101" s="15"/>
      <c r="F101" s="176"/>
      <c r="G101" s="221"/>
      <c r="J101" s="15"/>
      <c r="P101" s="176"/>
      <c r="Q101" s="15"/>
      <c r="T101" s="176"/>
      <c r="X101" s="15"/>
      <c r="AA101" s="176"/>
      <c r="AB101" s="176"/>
      <c r="AE101" s="15"/>
      <c r="AG101" s="98"/>
      <c r="AH101" s="14"/>
      <c r="AI101" s="14"/>
      <c r="AK101" s="24"/>
    </row>
    <row r="102" spans="1:39" ht="15.75">
      <c r="A102" s="153" t="s">
        <v>21</v>
      </c>
      <c r="C102" s="15"/>
      <c r="F102" s="94" t="s">
        <v>77</v>
      </c>
      <c r="G102" s="122" t="s">
        <v>77</v>
      </c>
      <c r="J102" s="15"/>
      <c r="P102" s="94" t="s">
        <v>77</v>
      </c>
      <c r="Q102" s="15"/>
      <c r="T102" s="94" t="s">
        <v>77</v>
      </c>
      <c r="X102" s="15"/>
      <c r="AA102" s="94" t="s">
        <v>77</v>
      </c>
      <c r="AB102" s="94" t="s">
        <v>99</v>
      </c>
      <c r="AE102" s="15"/>
      <c r="AG102" s="98"/>
      <c r="AH102" s="14"/>
      <c r="AI102" s="14"/>
      <c r="AK102" s="24"/>
    </row>
    <row r="103" spans="1:39">
      <c r="A103" s="154" t="s">
        <v>22</v>
      </c>
      <c r="C103" s="15"/>
      <c r="F103" s="27"/>
      <c r="G103" s="123"/>
      <c r="J103" s="15"/>
      <c r="P103" s="27"/>
      <c r="Q103" s="15"/>
      <c r="T103" s="27"/>
      <c r="X103" s="15"/>
      <c r="AA103" s="27" t="s">
        <v>117</v>
      </c>
      <c r="AB103" s="27"/>
      <c r="AE103" s="15"/>
      <c r="AG103" s="98"/>
      <c r="AH103" s="14"/>
      <c r="AI103" s="14"/>
      <c r="AK103" s="24"/>
    </row>
    <row r="104" spans="1:39" ht="15.75">
      <c r="A104" s="153" t="s">
        <v>23</v>
      </c>
      <c r="C104" s="15"/>
      <c r="F104" s="280">
        <v>180</v>
      </c>
      <c r="G104" s="119">
        <v>8688</v>
      </c>
      <c r="J104" s="15"/>
      <c r="P104" s="280">
        <v>792</v>
      </c>
      <c r="Q104" s="15"/>
      <c r="T104" s="280">
        <v>1272</v>
      </c>
      <c r="X104" s="15"/>
      <c r="AA104" s="280">
        <v>204</v>
      </c>
      <c r="AB104" s="280">
        <v>1812</v>
      </c>
      <c r="AE104" s="15"/>
      <c r="AG104" s="98"/>
      <c r="AH104" s="14"/>
      <c r="AI104" s="14"/>
      <c r="AK104" s="24"/>
    </row>
    <row r="105" spans="1:39" ht="15.75">
      <c r="A105" s="155" t="s">
        <v>24</v>
      </c>
      <c r="C105" s="15"/>
      <c r="F105" s="29" t="s">
        <v>498</v>
      </c>
      <c r="G105" s="29">
        <v>-1664</v>
      </c>
      <c r="J105" s="15"/>
      <c r="P105" s="30"/>
      <c r="Q105" s="15"/>
      <c r="T105" s="30"/>
      <c r="X105" s="15"/>
      <c r="AA105" s="30"/>
      <c r="AB105" s="30"/>
      <c r="AE105" s="15"/>
      <c r="AG105" s="98"/>
      <c r="AH105" s="14"/>
      <c r="AI105" s="14"/>
      <c r="AK105" s="24"/>
    </row>
    <row r="106" spans="1:39" ht="15.75">
      <c r="A106" s="128" t="s">
        <v>25</v>
      </c>
      <c r="C106" s="15"/>
      <c r="F106" s="32">
        <v>43492</v>
      </c>
      <c r="G106" s="125">
        <v>43509</v>
      </c>
      <c r="J106" s="13"/>
      <c r="P106" s="32">
        <v>43509</v>
      </c>
      <c r="Q106" s="13"/>
      <c r="T106" s="32">
        <v>43510</v>
      </c>
      <c r="X106" s="13"/>
      <c r="AA106" s="32">
        <v>43525</v>
      </c>
      <c r="AB106" s="32">
        <v>43472</v>
      </c>
      <c r="AE106" s="15"/>
      <c r="AG106" s="98"/>
      <c r="AH106" s="14"/>
      <c r="AI106" s="14"/>
      <c r="AK106" s="24"/>
    </row>
    <row r="107" spans="1:39" ht="15.75" thickBot="1">
      <c r="A107" s="146" t="s">
        <v>27</v>
      </c>
      <c r="C107" s="15"/>
      <c r="F107" s="31" t="s">
        <v>28</v>
      </c>
      <c r="G107" s="126" t="s">
        <v>30</v>
      </c>
      <c r="J107" s="187"/>
      <c r="P107" s="31" t="s">
        <v>28</v>
      </c>
      <c r="Q107" s="187"/>
      <c r="T107" s="31" t="s">
        <v>28</v>
      </c>
      <c r="X107" s="187"/>
      <c r="AA107" s="31" t="s">
        <v>34</v>
      </c>
      <c r="AB107" s="31" t="s">
        <v>29</v>
      </c>
      <c r="AE107" s="15"/>
      <c r="AG107" s="98"/>
      <c r="AH107" s="14"/>
      <c r="AI107" s="14"/>
      <c r="AK107" s="24"/>
    </row>
    <row r="108" spans="1:39" ht="15.75">
      <c r="A108" s="146" t="s">
        <v>10</v>
      </c>
      <c r="B108" s="50"/>
      <c r="C108" s="15"/>
      <c r="F108" s="280" t="s">
        <v>78</v>
      </c>
      <c r="J108" s="15"/>
      <c r="O108" s="14"/>
      <c r="Q108" s="15"/>
      <c r="R108" s="14"/>
      <c r="V108" s="14"/>
      <c r="W108" s="14"/>
      <c r="X108" s="15"/>
      <c r="AA108" s="280" t="s">
        <v>78</v>
      </c>
      <c r="AE108" s="15"/>
      <c r="AG108" s="98"/>
      <c r="AH108" s="14"/>
      <c r="AI108" s="14"/>
      <c r="AK108" s="24"/>
      <c r="AL108" s="158"/>
      <c r="AM108" s="24"/>
    </row>
    <row r="109" spans="1:39" ht="15.75">
      <c r="A109" s="147" t="s">
        <v>11</v>
      </c>
      <c r="B109" s="50"/>
      <c r="C109" s="15"/>
      <c r="F109" s="93" t="s">
        <v>230</v>
      </c>
      <c r="J109" s="15"/>
      <c r="O109" s="14"/>
      <c r="Q109" s="15"/>
      <c r="R109" s="14"/>
      <c r="V109" s="14"/>
      <c r="W109" s="14"/>
      <c r="X109" s="15"/>
      <c r="AA109" s="93" t="s">
        <v>223</v>
      </c>
      <c r="AE109" s="15"/>
      <c r="AG109" s="98"/>
      <c r="AH109" s="14"/>
      <c r="AI109" s="14"/>
      <c r="AK109" s="24"/>
      <c r="AM109" s="24"/>
    </row>
    <row r="110" spans="1:39" ht="15.75">
      <c r="A110" s="148" t="s">
        <v>12</v>
      </c>
      <c r="B110" s="50"/>
      <c r="C110" s="15"/>
      <c r="F110" s="17" t="s">
        <v>503</v>
      </c>
      <c r="J110" s="15"/>
      <c r="O110" s="14"/>
      <c r="Q110" s="15"/>
      <c r="R110" s="14"/>
      <c r="V110" s="14"/>
      <c r="W110" s="14"/>
      <c r="X110" s="15"/>
      <c r="AA110" s="17" t="s">
        <v>484</v>
      </c>
      <c r="AE110" s="15"/>
      <c r="AG110" s="98"/>
      <c r="AH110" s="14"/>
      <c r="AI110" s="14"/>
      <c r="AK110" s="24"/>
      <c r="AM110" s="24"/>
    </row>
    <row r="111" spans="1:39" ht="15.75">
      <c r="A111" s="149" t="s">
        <v>13</v>
      </c>
      <c r="B111" s="50"/>
      <c r="C111" s="15"/>
      <c r="F111" s="19" t="s">
        <v>85</v>
      </c>
      <c r="J111" s="15"/>
      <c r="O111" s="14"/>
      <c r="Q111" s="15"/>
      <c r="R111" s="14"/>
      <c r="V111" s="14"/>
      <c r="W111" s="14"/>
      <c r="X111" s="15"/>
      <c r="AA111" s="19" t="s">
        <v>85</v>
      </c>
      <c r="AE111" s="15"/>
      <c r="AG111" s="98"/>
      <c r="AH111" s="14"/>
      <c r="AI111" s="14"/>
      <c r="AK111" s="24"/>
      <c r="AM111" s="24"/>
    </row>
    <row r="112" spans="1:39" ht="15.75">
      <c r="A112" s="150" t="s">
        <v>15</v>
      </c>
      <c r="B112" s="50"/>
      <c r="C112" s="15"/>
      <c r="F112" s="280" t="s">
        <v>53</v>
      </c>
      <c r="J112" s="15"/>
      <c r="O112" s="14"/>
      <c r="Q112" s="15"/>
      <c r="R112" s="14"/>
      <c r="V112" s="14"/>
      <c r="W112" s="14"/>
      <c r="X112" s="15"/>
      <c r="AA112" s="280" t="s">
        <v>53</v>
      </c>
      <c r="AE112" s="15"/>
      <c r="AG112" s="98"/>
      <c r="AH112" s="14"/>
      <c r="AI112" s="14"/>
      <c r="AK112" s="24"/>
      <c r="AM112" s="24"/>
    </row>
    <row r="113" spans="1:39" ht="15.75">
      <c r="A113" s="151" t="s">
        <v>17</v>
      </c>
      <c r="B113" s="50"/>
      <c r="C113" s="15"/>
      <c r="F113" s="100" t="s">
        <v>145</v>
      </c>
      <c r="I113" s="214"/>
      <c r="J113" s="213"/>
      <c r="L113" s="214"/>
      <c r="M113" s="214"/>
      <c r="N113" s="214"/>
      <c r="O113" s="215"/>
      <c r="Q113" s="213"/>
      <c r="R113" s="215"/>
      <c r="U113" s="214"/>
      <c r="V113" s="215"/>
      <c r="W113" s="215"/>
      <c r="X113" s="213"/>
      <c r="AA113" s="100" t="s">
        <v>145</v>
      </c>
      <c r="AE113" s="15"/>
      <c r="AG113" s="98"/>
      <c r="AH113" s="14"/>
      <c r="AI113" s="14"/>
      <c r="AK113" s="24"/>
      <c r="AM113" s="24"/>
    </row>
    <row r="114" spans="1:39" ht="15.75">
      <c r="A114" s="152" t="s">
        <v>18</v>
      </c>
      <c r="B114" s="50"/>
      <c r="C114" s="15"/>
      <c r="F114" s="23"/>
      <c r="J114" s="15"/>
      <c r="O114" s="14"/>
      <c r="Q114" s="15"/>
      <c r="R114" s="14"/>
      <c r="V114" s="14"/>
      <c r="W114" s="14"/>
      <c r="X114" s="15"/>
      <c r="AA114" s="23"/>
      <c r="AE114" s="15"/>
      <c r="AG114" s="98"/>
      <c r="AH114" s="14"/>
      <c r="AI114" s="14"/>
      <c r="AK114" s="24"/>
      <c r="AM114" s="24"/>
    </row>
    <row r="115" spans="1:39">
      <c r="A115" s="146" t="s">
        <v>20</v>
      </c>
      <c r="B115" s="50"/>
      <c r="C115" s="15"/>
      <c r="F115" s="176"/>
      <c r="J115" s="15"/>
      <c r="O115" s="14"/>
      <c r="Q115" s="15"/>
      <c r="R115" s="14"/>
      <c r="V115" s="14"/>
      <c r="W115" s="14"/>
      <c r="X115" s="15"/>
      <c r="AA115" s="176"/>
      <c r="AE115" s="15"/>
      <c r="AG115" s="98"/>
      <c r="AH115" s="14"/>
      <c r="AI115" s="14"/>
      <c r="AK115" s="24"/>
      <c r="AM115" s="24"/>
    </row>
    <row r="116" spans="1:39" ht="15.75">
      <c r="A116" s="153" t="s">
        <v>21</v>
      </c>
      <c r="B116" s="50"/>
      <c r="C116" s="15"/>
      <c r="F116" s="94" t="s">
        <v>77</v>
      </c>
      <c r="J116" s="15"/>
      <c r="O116" s="14"/>
      <c r="Q116" s="15"/>
      <c r="R116" s="14"/>
      <c r="V116" s="14"/>
      <c r="W116" s="14"/>
      <c r="X116" s="15"/>
      <c r="AA116" s="94" t="s">
        <v>77</v>
      </c>
      <c r="AE116" s="15"/>
      <c r="AG116" s="98"/>
      <c r="AH116" s="14"/>
      <c r="AI116" s="14"/>
      <c r="AK116" s="24"/>
      <c r="AM116" s="24"/>
    </row>
    <row r="117" spans="1:39">
      <c r="A117" s="154" t="s">
        <v>22</v>
      </c>
      <c r="B117" s="50"/>
      <c r="C117" s="15"/>
      <c r="F117" s="27"/>
      <c r="J117" s="15"/>
      <c r="O117" s="14"/>
      <c r="Q117" s="15"/>
      <c r="R117" s="14"/>
      <c r="V117" s="14"/>
      <c r="W117" s="14"/>
      <c r="X117" s="15"/>
      <c r="AA117" s="27"/>
      <c r="AE117" s="15"/>
      <c r="AG117" s="98"/>
      <c r="AH117" s="14"/>
      <c r="AI117" s="14"/>
      <c r="AK117" s="24"/>
      <c r="AM117" s="24"/>
    </row>
    <row r="118" spans="1:39" ht="15.75">
      <c r="A118" s="153" t="s">
        <v>23</v>
      </c>
      <c r="B118" s="50"/>
      <c r="C118" s="15"/>
      <c r="F118" s="280">
        <v>132</v>
      </c>
      <c r="J118" s="15"/>
      <c r="O118" s="14"/>
      <c r="Q118" s="15"/>
      <c r="R118" s="14"/>
      <c r="V118" s="14"/>
      <c r="W118" s="14"/>
      <c r="X118" s="15"/>
      <c r="AA118" s="280">
        <v>276</v>
      </c>
      <c r="AE118" s="15"/>
      <c r="AG118" s="98"/>
      <c r="AH118" s="14"/>
      <c r="AI118" s="14"/>
      <c r="AK118" s="24"/>
      <c r="AM118" s="24"/>
    </row>
    <row r="119" spans="1:39" ht="15.75">
      <c r="A119" s="155" t="s">
        <v>24</v>
      </c>
      <c r="B119" s="50"/>
      <c r="C119" s="15"/>
      <c r="F119" s="29" t="s">
        <v>498</v>
      </c>
      <c r="J119" s="15"/>
      <c r="O119" s="14"/>
      <c r="Q119" s="15"/>
      <c r="R119" s="14"/>
      <c r="V119" s="14"/>
      <c r="W119" s="14"/>
      <c r="X119" s="15"/>
      <c r="AA119" s="30"/>
      <c r="AE119" s="15"/>
      <c r="AG119" s="98"/>
      <c r="AH119" s="14"/>
      <c r="AI119" s="14"/>
      <c r="AK119" s="24"/>
      <c r="AM119" s="24"/>
    </row>
    <row r="120" spans="1:39" ht="15.75">
      <c r="A120" s="128" t="s">
        <v>25</v>
      </c>
      <c r="B120" s="50"/>
      <c r="C120" s="15"/>
      <c r="F120" s="32">
        <v>43492</v>
      </c>
      <c r="J120" s="15"/>
      <c r="O120" s="14"/>
      <c r="Q120" s="15"/>
      <c r="R120" s="14"/>
      <c r="V120" s="14"/>
      <c r="W120" s="14"/>
      <c r="X120" s="15"/>
      <c r="AA120" s="32">
        <v>43530</v>
      </c>
      <c r="AE120" s="15"/>
      <c r="AG120" s="98"/>
      <c r="AH120" s="14"/>
      <c r="AI120" s="14"/>
      <c r="AK120" s="24"/>
      <c r="AM120" s="24"/>
    </row>
    <row r="121" spans="1:39" ht="15.75" thickBot="1">
      <c r="A121" s="146" t="s">
        <v>27</v>
      </c>
      <c r="B121" s="90"/>
      <c r="C121" s="34"/>
      <c r="F121" s="31" t="s">
        <v>28</v>
      </c>
      <c r="J121" s="34"/>
      <c r="O121" s="14"/>
      <c r="Q121" s="34"/>
      <c r="R121" s="14"/>
      <c r="V121" s="14"/>
      <c r="W121" s="14"/>
      <c r="X121" s="34"/>
      <c r="AA121" s="31" t="s">
        <v>28</v>
      </c>
      <c r="AE121" s="34"/>
      <c r="AF121" s="14"/>
      <c r="AG121" s="99"/>
      <c r="AH121" s="14"/>
      <c r="AI121" s="14"/>
      <c r="AK121" s="24"/>
      <c r="AM121" s="24"/>
    </row>
    <row r="122" spans="1:39" ht="18.75" customHeight="1" thickBot="1">
      <c r="A122" s="216" t="s">
        <v>36</v>
      </c>
      <c r="B122" s="37">
        <f>+B118+B104+B90+B76</f>
        <v>3804</v>
      </c>
      <c r="C122" s="37">
        <f>+C118+C104+C90+C76</f>
        <v>0</v>
      </c>
      <c r="D122" s="37">
        <f>+D118+D104+D90+D76</f>
        <v>0</v>
      </c>
      <c r="E122" s="37">
        <f>+E118+E104+E90+E76</f>
        <v>372</v>
      </c>
      <c r="F122" s="37">
        <v>19428</v>
      </c>
      <c r="G122" s="37"/>
      <c r="H122" s="37">
        <f t="shared" ref="H122:X122" si="5">+H118+H104+H90+H76</f>
        <v>0</v>
      </c>
      <c r="I122" s="37">
        <f t="shared" si="5"/>
        <v>0</v>
      </c>
      <c r="J122" s="37">
        <f t="shared" si="5"/>
        <v>0</v>
      </c>
      <c r="K122" s="37">
        <f t="shared" si="5"/>
        <v>0</v>
      </c>
      <c r="L122" s="37">
        <f t="shared" si="5"/>
        <v>0</v>
      </c>
      <c r="M122" s="37">
        <f t="shared" si="5"/>
        <v>0</v>
      </c>
      <c r="N122" s="37">
        <f t="shared" si="5"/>
        <v>0</v>
      </c>
      <c r="O122" s="37">
        <f t="shared" si="5"/>
        <v>0</v>
      </c>
      <c r="P122" s="37">
        <f t="shared" si="5"/>
        <v>1116</v>
      </c>
      <c r="Q122" s="37">
        <f t="shared" si="5"/>
        <v>0</v>
      </c>
      <c r="R122" s="37">
        <f t="shared" si="5"/>
        <v>2940</v>
      </c>
      <c r="S122" s="37">
        <f t="shared" si="5"/>
        <v>996</v>
      </c>
      <c r="T122" s="37">
        <f t="shared" si="5"/>
        <v>2340</v>
      </c>
      <c r="U122" s="37">
        <f t="shared" si="5"/>
        <v>0</v>
      </c>
      <c r="V122" s="37">
        <f t="shared" si="5"/>
        <v>7152</v>
      </c>
      <c r="W122" s="37">
        <f t="shared" si="5"/>
        <v>0</v>
      </c>
      <c r="X122" s="37">
        <f t="shared" si="5"/>
        <v>0</v>
      </c>
      <c r="Y122" s="37">
        <f t="shared" ref="Y122:AF122" si="6">+Y118+Y104+Y90+Y76</f>
        <v>0</v>
      </c>
      <c r="Z122" s="37">
        <f t="shared" si="6"/>
        <v>0</v>
      </c>
      <c r="AA122" s="37">
        <v>5220</v>
      </c>
      <c r="AB122" s="37"/>
      <c r="AC122" s="37">
        <f t="shared" si="6"/>
        <v>1488</v>
      </c>
      <c r="AD122" s="37">
        <f t="shared" si="6"/>
        <v>3192</v>
      </c>
      <c r="AE122" s="37">
        <f t="shared" si="6"/>
        <v>0</v>
      </c>
      <c r="AF122" s="37">
        <f t="shared" si="6"/>
        <v>0</v>
      </c>
      <c r="AG122" s="37">
        <f>+AG118+AG104+AG90+AG76</f>
        <v>0</v>
      </c>
      <c r="AH122" s="14"/>
      <c r="AI122" s="14"/>
    </row>
    <row r="123" spans="1:39" ht="18.75" customHeight="1" thickTop="1" thickBot="1">
      <c r="A123" s="216" t="s">
        <v>37</v>
      </c>
      <c r="B123" s="144">
        <f t="shared" ref="B123:AF123" si="7">+B124*B5</f>
        <v>1360</v>
      </c>
      <c r="C123" s="39">
        <f t="shared" si="7"/>
        <v>0</v>
      </c>
      <c r="D123" s="40">
        <f t="shared" si="7"/>
        <v>1615</v>
      </c>
      <c r="E123" s="40">
        <f t="shared" si="7"/>
        <v>1615</v>
      </c>
      <c r="F123" s="40">
        <f t="shared" si="7"/>
        <v>2090</v>
      </c>
      <c r="G123" s="40">
        <f t="shared" si="7"/>
        <v>2090</v>
      </c>
      <c r="H123" s="40">
        <f t="shared" si="7"/>
        <v>2090</v>
      </c>
      <c r="I123" s="40">
        <f t="shared" si="7"/>
        <v>1760</v>
      </c>
      <c r="J123" s="39">
        <f t="shared" si="7"/>
        <v>0</v>
      </c>
      <c r="K123" s="40">
        <f t="shared" si="7"/>
        <v>2090</v>
      </c>
      <c r="L123" s="40">
        <f t="shared" si="7"/>
        <v>2090</v>
      </c>
      <c r="M123" s="40">
        <f t="shared" si="7"/>
        <v>2090</v>
      </c>
      <c r="N123" s="40">
        <f t="shared" si="7"/>
        <v>2090</v>
      </c>
      <c r="O123" s="40">
        <f t="shared" si="7"/>
        <v>2090</v>
      </c>
      <c r="P123" s="40">
        <f t="shared" si="7"/>
        <v>1760</v>
      </c>
      <c r="Q123" s="39">
        <f t="shared" si="7"/>
        <v>0</v>
      </c>
      <c r="R123" s="40">
        <f t="shared" si="7"/>
        <v>2090</v>
      </c>
      <c r="S123" s="40">
        <f t="shared" si="7"/>
        <v>2090</v>
      </c>
      <c r="T123" s="40">
        <f t="shared" si="7"/>
        <v>2090</v>
      </c>
      <c r="U123" s="40">
        <f t="shared" si="7"/>
        <v>2090</v>
      </c>
      <c r="V123" s="40">
        <f t="shared" si="7"/>
        <v>2090</v>
      </c>
      <c r="W123" s="40">
        <f t="shared" si="7"/>
        <v>1760</v>
      </c>
      <c r="X123" s="39">
        <f t="shared" si="7"/>
        <v>0</v>
      </c>
      <c r="Y123" s="40">
        <f t="shared" si="7"/>
        <v>1760</v>
      </c>
      <c r="Z123" s="40">
        <f t="shared" si="7"/>
        <v>2090</v>
      </c>
      <c r="AA123" s="40">
        <f t="shared" si="7"/>
        <v>2090</v>
      </c>
      <c r="AB123" s="40">
        <f t="shared" si="7"/>
        <v>2090</v>
      </c>
      <c r="AC123" s="40">
        <f t="shared" si="7"/>
        <v>2090</v>
      </c>
      <c r="AD123" s="40">
        <f t="shared" si="7"/>
        <v>1760</v>
      </c>
      <c r="AE123" s="39">
        <f t="shared" si="7"/>
        <v>0</v>
      </c>
      <c r="AF123" s="40">
        <f t="shared" si="7"/>
        <v>1760</v>
      </c>
      <c r="AG123" s="41">
        <f>SUM(B123:AF123)</f>
        <v>50680</v>
      </c>
      <c r="AH123" s="14"/>
      <c r="AI123" s="14"/>
    </row>
    <row r="124" spans="1:39" ht="18.75" customHeight="1" thickTop="1" thickBot="1">
      <c r="A124" s="216" t="s">
        <v>38</v>
      </c>
      <c r="B124" s="145">
        <v>170</v>
      </c>
      <c r="C124" s="42"/>
      <c r="D124" s="43">
        <v>170</v>
      </c>
      <c r="E124" s="43">
        <v>170</v>
      </c>
      <c r="F124" s="43">
        <v>220</v>
      </c>
      <c r="G124" s="43">
        <v>220</v>
      </c>
      <c r="H124" s="43">
        <v>220</v>
      </c>
      <c r="I124" s="43">
        <v>220</v>
      </c>
      <c r="J124" s="42"/>
      <c r="K124" s="43">
        <v>220</v>
      </c>
      <c r="L124" s="43">
        <v>220</v>
      </c>
      <c r="M124" s="43">
        <v>220</v>
      </c>
      <c r="N124" s="43">
        <v>220</v>
      </c>
      <c r="O124" s="43">
        <v>220</v>
      </c>
      <c r="P124" s="43">
        <v>220</v>
      </c>
      <c r="Q124" s="42"/>
      <c r="R124" s="43">
        <v>220</v>
      </c>
      <c r="S124" s="43">
        <v>220</v>
      </c>
      <c r="T124" s="43">
        <v>220</v>
      </c>
      <c r="U124" s="43">
        <v>220</v>
      </c>
      <c r="V124" s="43">
        <v>220</v>
      </c>
      <c r="W124" s="43">
        <v>220</v>
      </c>
      <c r="X124" s="42"/>
      <c r="Y124" s="43">
        <v>220</v>
      </c>
      <c r="Z124" s="43">
        <v>220</v>
      </c>
      <c r="AA124" s="43">
        <v>220</v>
      </c>
      <c r="AB124" s="43">
        <v>220</v>
      </c>
      <c r="AC124" s="43">
        <v>220</v>
      </c>
      <c r="AD124" s="43">
        <v>220</v>
      </c>
      <c r="AE124" s="42"/>
      <c r="AF124" s="43">
        <v>220</v>
      </c>
      <c r="AG124" s="44"/>
      <c r="AH124" s="14"/>
      <c r="AI124" s="14"/>
    </row>
    <row r="125" spans="1:39" ht="18.75" customHeight="1" thickTop="1" thickBot="1">
      <c r="A125" s="217"/>
      <c r="B125" s="144">
        <f t="shared" ref="B125:Z125" si="8">IF(A125+B122-B123&lt;0,0,A125+B122-B123)</f>
        <v>2444</v>
      </c>
      <c r="C125" s="39">
        <f t="shared" si="8"/>
        <v>2444</v>
      </c>
      <c r="D125" s="40">
        <f t="shared" si="8"/>
        <v>829</v>
      </c>
      <c r="E125" s="40">
        <f t="shared" si="8"/>
        <v>0</v>
      </c>
      <c r="F125" s="40">
        <f t="shared" si="8"/>
        <v>17338</v>
      </c>
      <c r="G125" s="40">
        <f t="shared" si="8"/>
        <v>15248</v>
      </c>
      <c r="H125" s="40">
        <f t="shared" si="8"/>
        <v>13158</v>
      </c>
      <c r="I125" s="40">
        <f t="shared" si="8"/>
        <v>11398</v>
      </c>
      <c r="J125" s="39">
        <f t="shared" si="8"/>
        <v>11398</v>
      </c>
      <c r="K125" s="40">
        <f t="shared" si="8"/>
        <v>9308</v>
      </c>
      <c r="L125" s="40">
        <f t="shared" si="8"/>
        <v>7218</v>
      </c>
      <c r="M125" s="40">
        <f t="shared" si="8"/>
        <v>5128</v>
      </c>
      <c r="N125" s="40">
        <f t="shared" si="8"/>
        <v>3038</v>
      </c>
      <c r="O125" s="40">
        <f t="shared" si="8"/>
        <v>948</v>
      </c>
      <c r="P125" s="40">
        <f t="shared" si="8"/>
        <v>304</v>
      </c>
      <c r="Q125" s="39">
        <f t="shared" si="8"/>
        <v>304</v>
      </c>
      <c r="R125" s="40">
        <f t="shared" si="8"/>
        <v>1154</v>
      </c>
      <c r="S125" s="40">
        <f t="shared" si="8"/>
        <v>60</v>
      </c>
      <c r="T125" s="40">
        <f t="shared" si="8"/>
        <v>310</v>
      </c>
      <c r="U125" s="39">
        <f>1272-240*3</f>
        <v>552</v>
      </c>
      <c r="V125" s="40">
        <f t="shared" si="8"/>
        <v>5614</v>
      </c>
      <c r="W125" s="40">
        <f t="shared" si="8"/>
        <v>3854</v>
      </c>
      <c r="X125" s="39">
        <f t="shared" si="8"/>
        <v>3854</v>
      </c>
      <c r="Y125" s="40">
        <f t="shared" si="8"/>
        <v>2094</v>
      </c>
      <c r="Z125" s="40">
        <f t="shared" si="8"/>
        <v>4</v>
      </c>
      <c r="AA125" s="40">
        <f t="shared" ref="AA125" si="9">IF(Z125+AA122-AA123&lt;0,0,Z125+AA122-AA123)</f>
        <v>3134</v>
      </c>
      <c r="AB125" s="40">
        <f t="shared" ref="AB125" si="10">IF(AA125+AB122-AB123&lt;0,0,AA125+AB122-AB123)</f>
        <v>1044</v>
      </c>
      <c r="AC125" s="40">
        <f t="shared" ref="AC125" si="11">IF(AB125+AC122-AC123&lt;0,0,AB125+AC122-AC123)</f>
        <v>442</v>
      </c>
      <c r="AD125" s="40">
        <f t="shared" ref="AD125" si="12">IF(AC125+AD122-AD123&lt;0,0,AC125+AD122-AD123)</f>
        <v>1874</v>
      </c>
      <c r="AE125" s="40">
        <f t="shared" ref="AE125" si="13">IF(AD125+AE122-AE123&lt;0,0,AD125+AE122-AE123)</f>
        <v>1874</v>
      </c>
      <c r="AF125" s="40">
        <f t="shared" ref="AF125" si="14">IF(AE125+AF122-AF123&lt;0,0,AE125+AF122-AF123)</f>
        <v>114</v>
      </c>
      <c r="AG125" s="47">
        <f>IF(AE125+AG122-AG123&lt;0,0,AE125+AG122-AG123)</f>
        <v>0</v>
      </c>
      <c r="AH125" s="14"/>
      <c r="AI125" s="14"/>
    </row>
    <row r="126" spans="1:39" ht="15.75">
      <c r="A126" s="146" t="s">
        <v>10</v>
      </c>
      <c r="C126" s="13"/>
      <c r="D126" s="280" t="s">
        <v>93</v>
      </c>
      <c r="F126" s="307" t="s">
        <v>93</v>
      </c>
      <c r="G126" s="307" t="s">
        <v>109</v>
      </c>
      <c r="H126" s="280" t="s">
        <v>76</v>
      </c>
      <c r="J126" s="48"/>
      <c r="K126" s="280" t="s">
        <v>76</v>
      </c>
      <c r="L126" s="280" t="s">
        <v>76</v>
      </c>
      <c r="M126" s="280" t="s">
        <v>76</v>
      </c>
      <c r="N126" s="280" t="s">
        <v>76</v>
      </c>
      <c r="P126" s="280" t="s">
        <v>76</v>
      </c>
      <c r="Q126" s="13"/>
      <c r="S126" s="280" t="s">
        <v>76</v>
      </c>
      <c r="T126" s="280" t="s">
        <v>76</v>
      </c>
      <c r="X126" s="13"/>
      <c r="Y126" s="280" t="s">
        <v>76</v>
      </c>
      <c r="Z126" s="280" t="s">
        <v>76</v>
      </c>
      <c r="AA126" s="280" t="s">
        <v>76</v>
      </c>
      <c r="AB126" s="280" t="s">
        <v>76</v>
      </c>
      <c r="AD126" s="116" t="s">
        <v>340</v>
      </c>
      <c r="AE126" s="13"/>
      <c r="AG126" s="97"/>
      <c r="AH126" s="14"/>
    </row>
    <row r="127" spans="1:39" ht="15.75">
      <c r="A127" s="147" t="s">
        <v>11</v>
      </c>
      <c r="C127" s="13"/>
      <c r="D127" s="93" t="s">
        <v>111</v>
      </c>
      <c r="F127" s="93" t="s">
        <v>112</v>
      </c>
      <c r="G127" s="93" t="s">
        <v>127</v>
      </c>
      <c r="H127" s="93" t="s">
        <v>309</v>
      </c>
      <c r="J127" s="15"/>
      <c r="K127" s="93" t="s">
        <v>329</v>
      </c>
      <c r="L127" s="93" t="s">
        <v>318</v>
      </c>
      <c r="M127" s="93" t="s">
        <v>285</v>
      </c>
      <c r="N127" s="93" t="s">
        <v>277</v>
      </c>
      <c r="P127" s="93" t="s">
        <v>269</v>
      </c>
      <c r="Q127" s="13"/>
      <c r="S127" s="93" t="s">
        <v>268</v>
      </c>
      <c r="T127" s="93" t="s">
        <v>332</v>
      </c>
      <c r="X127" s="13"/>
      <c r="Y127" s="93" t="s">
        <v>330</v>
      </c>
      <c r="Z127" s="93" t="s">
        <v>302</v>
      </c>
      <c r="AA127" s="93" t="s">
        <v>304</v>
      </c>
      <c r="AB127" s="93" t="s">
        <v>298</v>
      </c>
      <c r="AD127" s="117" t="s">
        <v>341</v>
      </c>
      <c r="AE127" s="13"/>
      <c r="AG127" s="98"/>
      <c r="AH127" s="14"/>
    </row>
    <row r="128" spans="1:39" ht="15.75">
      <c r="A128" s="148" t="s">
        <v>12</v>
      </c>
      <c r="C128" s="13"/>
      <c r="D128" s="17" t="s">
        <v>487</v>
      </c>
      <c r="F128" s="17" t="s">
        <v>487</v>
      </c>
      <c r="G128" s="17" t="s">
        <v>487</v>
      </c>
      <c r="H128" s="17" t="s">
        <v>482</v>
      </c>
      <c r="J128" s="15"/>
      <c r="K128" s="17" t="s">
        <v>482</v>
      </c>
      <c r="L128" s="17" t="s">
        <v>486</v>
      </c>
      <c r="M128" s="17" t="s">
        <v>503</v>
      </c>
      <c r="N128" s="17" t="s">
        <v>486</v>
      </c>
      <c r="P128" s="17" t="s">
        <v>504</v>
      </c>
      <c r="Q128" s="13"/>
      <c r="S128" s="17" t="s">
        <v>504</v>
      </c>
      <c r="T128" s="17" t="s">
        <v>504</v>
      </c>
      <c r="X128" s="13"/>
      <c r="Y128" s="17" t="s">
        <v>504</v>
      </c>
      <c r="Z128" s="17" t="s">
        <v>486</v>
      </c>
      <c r="AA128" s="17" t="s">
        <v>486</v>
      </c>
      <c r="AB128" s="17" t="s">
        <v>482</v>
      </c>
      <c r="AD128" s="17" t="s">
        <v>491</v>
      </c>
      <c r="AE128" s="13"/>
      <c r="AG128" s="98"/>
      <c r="AH128" s="14"/>
    </row>
    <row r="129" spans="1:34" ht="15.75">
      <c r="A129" s="149" t="s">
        <v>13</v>
      </c>
      <c r="C129" s="13"/>
      <c r="D129" s="19" t="s">
        <v>69</v>
      </c>
      <c r="F129" s="19" t="s">
        <v>69</v>
      </c>
      <c r="G129" s="19" t="s">
        <v>69</v>
      </c>
      <c r="H129" s="19" t="s">
        <v>42</v>
      </c>
      <c r="J129" s="15"/>
      <c r="K129" s="19" t="s">
        <v>42</v>
      </c>
      <c r="L129" s="19" t="s">
        <v>42</v>
      </c>
      <c r="M129" s="19" t="s">
        <v>42</v>
      </c>
      <c r="N129" s="19" t="s">
        <v>42</v>
      </c>
      <c r="P129" s="19" t="s">
        <v>42</v>
      </c>
      <c r="Q129" s="13"/>
      <c r="S129" s="19" t="s">
        <v>42</v>
      </c>
      <c r="T129" s="19" t="s">
        <v>42</v>
      </c>
      <c r="X129" s="13"/>
      <c r="Y129" s="19" t="s">
        <v>42</v>
      </c>
      <c r="Z129" s="19" t="s">
        <v>42</v>
      </c>
      <c r="AA129" s="19" t="s">
        <v>42</v>
      </c>
      <c r="AB129" s="19" t="s">
        <v>42</v>
      </c>
      <c r="AD129" s="118" t="s">
        <v>40</v>
      </c>
      <c r="AE129" s="13"/>
      <c r="AG129" s="98"/>
      <c r="AH129" s="14"/>
    </row>
    <row r="130" spans="1:34" ht="15.75">
      <c r="A130" s="150" t="s">
        <v>15</v>
      </c>
      <c r="C130" s="13"/>
      <c r="D130" s="280" t="s">
        <v>16</v>
      </c>
      <c r="F130" s="280" t="s">
        <v>16</v>
      </c>
      <c r="G130" s="280" t="s">
        <v>68</v>
      </c>
      <c r="H130" s="280" t="s">
        <v>49</v>
      </c>
      <c r="J130" s="15"/>
      <c r="K130" s="280" t="s">
        <v>49</v>
      </c>
      <c r="L130" s="280" t="s">
        <v>49</v>
      </c>
      <c r="M130" s="280" t="s">
        <v>49</v>
      </c>
      <c r="N130" s="280" t="s">
        <v>49</v>
      </c>
      <c r="P130" s="280" t="s">
        <v>49</v>
      </c>
      <c r="Q130" s="13"/>
      <c r="S130" s="280" t="s">
        <v>49</v>
      </c>
      <c r="T130" s="280" t="s">
        <v>49</v>
      </c>
      <c r="X130" s="13"/>
      <c r="Y130" s="280" t="s">
        <v>49</v>
      </c>
      <c r="Z130" s="280" t="s">
        <v>49</v>
      </c>
      <c r="AA130" s="280" t="s">
        <v>49</v>
      </c>
      <c r="AB130" s="280" t="s">
        <v>49</v>
      </c>
      <c r="AD130" s="119" t="s">
        <v>413</v>
      </c>
      <c r="AE130" s="13"/>
      <c r="AG130" s="98"/>
      <c r="AH130" s="14"/>
    </row>
    <row r="131" spans="1:34" ht="15.75">
      <c r="A131" s="151" t="s">
        <v>17</v>
      </c>
      <c r="C131" s="13"/>
      <c r="D131" s="21" t="s">
        <v>113</v>
      </c>
      <c r="F131" s="21" t="s">
        <v>113</v>
      </c>
      <c r="G131" s="21" t="s">
        <v>118</v>
      </c>
      <c r="H131" s="100" t="s">
        <v>145</v>
      </c>
      <c r="J131" s="15"/>
      <c r="K131" s="100" t="s">
        <v>145</v>
      </c>
      <c r="L131" s="100" t="s">
        <v>145</v>
      </c>
      <c r="M131" s="100" t="s">
        <v>145</v>
      </c>
      <c r="N131" s="100" t="s">
        <v>145</v>
      </c>
      <c r="P131" s="100" t="s">
        <v>145</v>
      </c>
      <c r="Q131" s="13"/>
      <c r="S131" s="100" t="s">
        <v>145</v>
      </c>
      <c r="T131" s="100" t="s">
        <v>145</v>
      </c>
      <c r="X131" s="13"/>
      <c r="Y131" s="100" t="s">
        <v>145</v>
      </c>
      <c r="Z131" s="100" t="s">
        <v>145</v>
      </c>
      <c r="AA131" s="100" t="s">
        <v>145</v>
      </c>
      <c r="AB131" s="100" t="s">
        <v>145</v>
      </c>
      <c r="AD131" s="120" t="s">
        <v>145</v>
      </c>
      <c r="AE131" s="13"/>
      <c r="AG131" s="98"/>
      <c r="AH131" s="14"/>
    </row>
    <row r="132" spans="1:34" ht="15.75">
      <c r="A132" s="152" t="s">
        <v>18</v>
      </c>
      <c r="C132" s="13"/>
      <c r="D132" s="23"/>
      <c r="F132" s="23"/>
      <c r="G132" s="23"/>
      <c r="H132" s="23"/>
      <c r="J132" s="15"/>
      <c r="K132" s="23"/>
      <c r="L132" s="23"/>
      <c r="M132" s="23"/>
      <c r="N132" s="23"/>
      <c r="P132" s="23"/>
      <c r="Q132" s="13"/>
      <c r="S132" s="23"/>
      <c r="T132" s="23"/>
      <c r="X132" s="13"/>
      <c r="Y132" s="23"/>
      <c r="Z132" s="23"/>
      <c r="AA132" s="23"/>
      <c r="AB132" s="23"/>
      <c r="AD132" s="121"/>
      <c r="AE132" s="13"/>
      <c r="AG132" s="98"/>
      <c r="AH132" s="14"/>
    </row>
    <row r="133" spans="1:34">
      <c r="A133" s="146" t="s">
        <v>20</v>
      </c>
      <c r="C133" s="13"/>
      <c r="D133" s="24">
        <v>7</v>
      </c>
      <c r="F133" s="24">
        <v>7</v>
      </c>
      <c r="G133" s="50">
        <v>7</v>
      </c>
      <c r="H133" s="176"/>
      <c r="J133" s="15"/>
      <c r="K133" s="176"/>
      <c r="L133" s="176"/>
      <c r="M133" s="176"/>
      <c r="N133" s="176"/>
      <c r="P133" s="176"/>
      <c r="Q133" s="13"/>
      <c r="S133" s="176"/>
      <c r="T133" s="176"/>
      <c r="X133" s="13"/>
      <c r="Y133" s="176"/>
      <c r="Z133" s="176"/>
      <c r="AA133" s="176"/>
      <c r="AB133" s="176"/>
      <c r="AD133" s="223" t="s">
        <v>414</v>
      </c>
      <c r="AE133" s="13"/>
      <c r="AG133" s="98"/>
      <c r="AH133" s="14"/>
    </row>
    <row r="134" spans="1:34" ht="15.75">
      <c r="A134" s="153" t="s">
        <v>21</v>
      </c>
      <c r="C134" s="13"/>
      <c r="D134" s="94" t="s">
        <v>94</v>
      </c>
      <c r="F134" s="94" t="s">
        <v>94</v>
      </c>
      <c r="G134" s="94" t="s">
        <v>110</v>
      </c>
      <c r="H134" s="94" t="s">
        <v>307</v>
      </c>
      <c r="J134" s="15"/>
      <c r="K134" s="94" t="s">
        <v>307</v>
      </c>
      <c r="L134" s="94" t="s">
        <v>307</v>
      </c>
      <c r="M134" s="94" t="s">
        <v>273</v>
      </c>
      <c r="N134" s="94" t="s">
        <v>273</v>
      </c>
      <c r="P134" s="94" t="s">
        <v>265</v>
      </c>
      <c r="Q134" s="13"/>
      <c r="S134" s="94" t="s">
        <v>265</v>
      </c>
      <c r="T134" s="94" t="s">
        <v>322</v>
      </c>
      <c r="X134" s="13"/>
      <c r="Y134" s="94" t="s">
        <v>322</v>
      </c>
      <c r="Z134" s="94" t="s">
        <v>299</v>
      </c>
      <c r="AA134" s="94" t="s">
        <v>299</v>
      </c>
      <c r="AB134" s="94" t="s">
        <v>292</v>
      </c>
      <c r="AD134" s="122" t="s">
        <v>338</v>
      </c>
      <c r="AE134" s="13"/>
      <c r="AG134" s="98"/>
      <c r="AH134" s="14"/>
    </row>
    <row r="135" spans="1:34">
      <c r="A135" s="154" t="s">
        <v>22</v>
      </c>
      <c r="C135" s="13"/>
      <c r="D135" s="27"/>
      <c r="F135" s="27"/>
      <c r="G135" s="27" t="s">
        <v>19</v>
      </c>
      <c r="H135" s="27"/>
      <c r="J135" s="15"/>
      <c r="K135" s="27"/>
      <c r="L135" s="27"/>
      <c r="M135" s="27"/>
      <c r="N135" s="27"/>
      <c r="P135" s="27"/>
      <c r="Q135" s="13"/>
      <c r="S135" s="27"/>
      <c r="T135" s="27"/>
      <c r="X135" s="13"/>
      <c r="Y135" s="27"/>
      <c r="Z135" s="27"/>
      <c r="AA135" s="27"/>
      <c r="AB135" s="27"/>
      <c r="AD135" s="123" t="s">
        <v>66</v>
      </c>
      <c r="AE135" s="13"/>
      <c r="AG135" s="98"/>
      <c r="AH135" s="14"/>
    </row>
    <row r="136" spans="1:34" ht="15.75">
      <c r="A136" s="153" t="s">
        <v>23</v>
      </c>
      <c r="C136" s="13"/>
      <c r="D136" s="280">
        <v>1680</v>
      </c>
      <c r="F136" s="280">
        <v>384</v>
      </c>
      <c r="G136" s="280">
        <v>360</v>
      </c>
      <c r="H136" s="280">
        <v>600</v>
      </c>
      <c r="J136" s="15"/>
      <c r="K136" s="280">
        <v>852</v>
      </c>
      <c r="L136" s="280">
        <v>144</v>
      </c>
      <c r="M136" s="280">
        <v>216</v>
      </c>
      <c r="N136" s="280">
        <v>144</v>
      </c>
      <c r="P136" s="280">
        <v>336</v>
      </c>
      <c r="Q136" s="13"/>
      <c r="S136" s="280">
        <v>300</v>
      </c>
      <c r="T136" s="280">
        <v>6852</v>
      </c>
      <c r="X136" s="13"/>
      <c r="Y136" s="280">
        <v>684</v>
      </c>
      <c r="Z136" s="280">
        <v>2328</v>
      </c>
      <c r="AA136" s="280">
        <v>168</v>
      </c>
      <c r="AB136" s="280">
        <v>432</v>
      </c>
      <c r="AD136" s="119">
        <v>336</v>
      </c>
      <c r="AE136" s="13"/>
      <c r="AG136" s="98"/>
      <c r="AH136" s="14"/>
    </row>
    <row r="137" spans="1:34" ht="15.75">
      <c r="A137" s="155" t="s">
        <v>24</v>
      </c>
      <c r="C137" s="13"/>
      <c r="D137" s="29" t="s">
        <v>498</v>
      </c>
      <c r="F137" s="29" t="s">
        <v>498</v>
      </c>
      <c r="G137" s="29" t="s">
        <v>499</v>
      </c>
      <c r="H137" s="29" t="s">
        <v>499</v>
      </c>
      <c r="J137" s="15"/>
      <c r="K137" s="29" t="s">
        <v>500</v>
      </c>
      <c r="L137" s="29" t="s">
        <v>501</v>
      </c>
      <c r="M137" s="29" t="s">
        <v>501</v>
      </c>
      <c r="N137" s="29" t="s">
        <v>520</v>
      </c>
      <c r="P137" s="29">
        <v>-9</v>
      </c>
      <c r="Q137" s="13"/>
      <c r="S137" s="30"/>
      <c r="T137" s="30"/>
      <c r="X137" s="13"/>
      <c r="Y137" s="30"/>
      <c r="Z137" s="30"/>
      <c r="AA137" s="30"/>
      <c r="AB137" s="30"/>
      <c r="AD137" s="124"/>
      <c r="AE137" s="13"/>
      <c r="AG137" s="98"/>
      <c r="AH137" s="14"/>
    </row>
    <row r="138" spans="1:34" ht="15.75">
      <c r="A138" s="128" t="s">
        <v>25</v>
      </c>
      <c r="C138" s="13"/>
      <c r="D138" s="32">
        <v>43453</v>
      </c>
      <c r="F138" s="32">
        <v>43462</v>
      </c>
      <c r="G138" s="32">
        <v>43455</v>
      </c>
      <c r="H138" s="32">
        <v>43484</v>
      </c>
      <c r="J138" s="15"/>
      <c r="K138" s="32">
        <v>43486</v>
      </c>
      <c r="L138" s="32">
        <v>43486</v>
      </c>
      <c r="M138" s="32">
        <v>43484</v>
      </c>
      <c r="N138" s="32">
        <v>43486</v>
      </c>
      <c r="P138" s="32">
        <v>43115</v>
      </c>
      <c r="Q138" s="13"/>
      <c r="S138" s="32">
        <v>43490</v>
      </c>
      <c r="T138" s="32">
        <v>43486</v>
      </c>
      <c r="X138" s="13"/>
      <c r="Y138" s="32">
        <v>43488</v>
      </c>
      <c r="Z138" s="32">
        <v>43495</v>
      </c>
      <c r="AA138" s="32">
        <v>43495</v>
      </c>
      <c r="AB138" s="32">
        <v>43486</v>
      </c>
      <c r="AD138" s="125">
        <v>43490</v>
      </c>
      <c r="AE138" s="13"/>
      <c r="AG138" s="98"/>
      <c r="AH138" s="14"/>
    </row>
    <row r="139" spans="1:34" ht="15.75" thickBot="1">
      <c r="A139" s="146" t="s">
        <v>27</v>
      </c>
      <c r="C139" s="13"/>
      <c r="D139" s="31" t="s">
        <v>31</v>
      </c>
      <c r="F139" s="31" t="s">
        <v>29</v>
      </c>
      <c r="G139" s="31" t="s">
        <v>29</v>
      </c>
      <c r="H139" s="31" t="s">
        <v>48</v>
      </c>
      <c r="J139" s="15"/>
      <c r="K139" s="31" t="s">
        <v>28</v>
      </c>
      <c r="L139" s="31" t="s">
        <v>412</v>
      </c>
      <c r="M139" s="31" t="s">
        <v>50</v>
      </c>
      <c r="N139" s="31" t="s">
        <v>412</v>
      </c>
      <c r="P139" s="31" t="s">
        <v>28</v>
      </c>
      <c r="Q139" s="183"/>
      <c r="S139" s="31" t="s">
        <v>29</v>
      </c>
      <c r="T139" s="31" t="s">
        <v>33</v>
      </c>
      <c r="X139" s="183"/>
      <c r="Y139" s="31" t="s">
        <v>28</v>
      </c>
      <c r="Z139" s="31" t="s">
        <v>33</v>
      </c>
      <c r="AA139" s="31" t="s">
        <v>55</v>
      </c>
      <c r="AB139" s="31" t="s">
        <v>28</v>
      </c>
      <c r="AD139" s="126" t="s">
        <v>29</v>
      </c>
      <c r="AE139" s="183"/>
      <c r="AG139" s="98"/>
      <c r="AH139" s="14"/>
    </row>
    <row r="140" spans="1:34" ht="15.75">
      <c r="A140" s="146" t="s">
        <v>10</v>
      </c>
      <c r="C140" s="13"/>
      <c r="F140" s="280" t="s">
        <v>109</v>
      </c>
      <c r="G140" s="116" t="s">
        <v>76</v>
      </c>
      <c r="H140" s="280" t="s">
        <v>76</v>
      </c>
      <c r="J140" s="15"/>
      <c r="K140" s="280" t="s">
        <v>76</v>
      </c>
      <c r="L140" s="280" t="s">
        <v>76</v>
      </c>
      <c r="M140" s="280" t="s">
        <v>76</v>
      </c>
      <c r="N140" s="280" t="s">
        <v>76</v>
      </c>
      <c r="P140" s="280" t="s">
        <v>76</v>
      </c>
      <c r="Q140" s="13"/>
      <c r="S140" s="280" t="s">
        <v>76</v>
      </c>
      <c r="X140" s="13"/>
      <c r="Y140" s="280" t="s">
        <v>76</v>
      </c>
      <c r="AA140" s="280" t="s">
        <v>76</v>
      </c>
      <c r="AB140" s="280" t="s">
        <v>76</v>
      </c>
      <c r="AD140" s="212" t="s">
        <v>340</v>
      </c>
      <c r="AE140" s="13"/>
      <c r="AG140" s="98"/>
      <c r="AH140" s="14"/>
    </row>
    <row r="141" spans="1:34" ht="15.75">
      <c r="A141" s="147" t="s">
        <v>11</v>
      </c>
      <c r="C141" s="13"/>
      <c r="F141" s="93" t="s">
        <v>126</v>
      </c>
      <c r="G141" s="117" t="s">
        <v>321</v>
      </c>
      <c r="H141" s="93" t="s">
        <v>311</v>
      </c>
      <c r="J141" s="15"/>
      <c r="K141" s="93" t="s">
        <v>319</v>
      </c>
      <c r="L141" s="93" t="s">
        <v>284</v>
      </c>
      <c r="M141" s="93" t="s">
        <v>281</v>
      </c>
      <c r="N141" s="93" t="s">
        <v>275</v>
      </c>
      <c r="P141" s="93" t="s">
        <v>267</v>
      </c>
      <c r="Q141" s="13"/>
      <c r="S141" s="93" t="s">
        <v>323</v>
      </c>
      <c r="X141" s="13"/>
      <c r="Y141" s="93" t="s">
        <v>301</v>
      </c>
      <c r="AA141" s="93" t="s">
        <v>300</v>
      </c>
      <c r="AB141" s="93" t="s">
        <v>295</v>
      </c>
      <c r="AD141" s="93" t="s">
        <v>342</v>
      </c>
      <c r="AE141" s="13"/>
      <c r="AG141" s="98"/>
      <c r="AH141" s="14"/>
    </row>
    <row r="142" spans="1:34" ht="15.75">
      <c r="A142" s="148" t="s">
        <v>12</v>
      </c>
      <c r="C142" s="13"/>
      <c r="F142" s="17" t="s">
        <v>487</v>
      </c>
      <c r="G142" s="17" t="s">
        <v>482</v>
      </c>
      <c r="H142" s="17" t="s">
        <v>482</v>
      </c>
      <c r="J142" s="15"/>
      <c r="K142" s="17" t="s">
        <v>482</v>
      </c>
      <c r="L142" s="17" t="s">
        <v>503</v>
      </c>
      <c r="M142" s="17" t="s">
        <v>503</v>
      </c>
      <c r="N142" s="17" t="s">
        <v>503</v>
      </c>
      <c r="P142" s="17" t="s">
        <v>504</v>
      </c>
      <c r="Q142" s="13"/>
      <c r="S142" s="17" t="s">
        <v>504</v>
      </c>
      <c r="X142" s="13"/>
      <c r="Y142" s="17" t="s">
        <v>486</v>
      </c>
      <c r="AA142" s="17" t="s">
        <v>486</v>
      </c>
      <c r="AB142" s="17" t="s">
        <v>486</v>
      </c>
      <c r="AD142" s="17" t="s">
        <v>491</v>
      </c>
      <c r="AE142" s="13"/>
      <c r="AG142" s="98"/>
      <c r="AH142" s="14"/>
    </row>
    <row r="143" spans="1:34" ht="15.75">
      <c r="A143" s="149" t="s">
        <v>13</v>
      </c>
      <c r="C143" s="13"/>
      <c r="F143" s="19" t="s">
        <v>69</v>
      </c>
      <c r="G143" s="118" t="s">
        <v>42</v>
      </c>
      <c r="H143" s="19" t="s">
        <v>42</v>
      </c>
      <c r="J143" s="15"/>
      <c r="K143" s="19" t="s">
        <v>42</v>
      </c>
      <c r="L143" s="19" t="s">
        <v>42</v>
      </c>
      <c r="M143" s="19" t="s">
        <v>42</v>
      </c>
      <c r="N143" s="19" t="s">
        <v>42</v>
      </c>
      <c r="P143" s="19" t="s">
        <v>42</v>
      </c>
      <c r="Q143" s="13"/>
      <c r="S143" s="19" t="s">
        <v>42</v>
      </c>
      <c r="X143" s="13"/>
      <c r="Y143" s="19" t="s">
        <v>42</v>
      </c>
      <c r="AA143" s="19" t="s">
        <v>42</v>
      </c>
      <c r="AB143" s="19" t="s">
        <v>42</v>
      </c>
      <c r="AD143" s="19" t="s">
        <v>40</v>
      </c>
      <c r="AE143" s="13"/>
      <c r="AG143" s="98"/>
      <c r="AH143" s="14"/>
    </row>
    <row r="144" spans="1:34" ht="15.75">
      <c r="A144" s="150" t="s">
        <v>15</v>
      </c>
      <c r="C144" s="13"/>
      <c r="F144" s="280" t="s">
        <v>68</v>
      </c>
      <c r="G144" s="119" t="s">
        <v>49</v>
      </c>
      <c r="H144" s="280" t="s">
        <v>49</v>
      </c>
      <c r="J144" s="15"/>
      <c r="K144" s="280" t="s">
        <v>49</v>
      </c>
      <c r="L144" s="280" t="s">
        <v>49</v>
      </c>
      <c r="M144" s="280" t="s">
        <v>49</v>
      </c>
      <c r="N144" s="280" t="s">
        <v>49</v>
      </c>
      <c r="P144" s="280" t="s">
        <v>49</v>
      </c>
      <c r="Q144" s="13"/>
      <c r="S144" s="280" t="s">
        <v>49</v>
      </c>
      <c r="X144" s="13"/>
      <c r="Y144" s="280" t="s">
        <v>49</v>
      </c>
      <c r="AA144" s="280" t="s">
        <v>49</v>
      </c>
      <c r="AB144" s="280" t="s">
        <v>49</v>
      </c>
      <c r="AD144" s="212" t="s">
        <v>413</v>
      </c>
      <c r="AE144" s="13"/>
      <c r="AG144" s="98"/>
      <c r="AH144" s="14"/>
    </row>
    <row r="145" spans="1:34" ht="15.75">
      <c r="A145" s="151" t="s">
        <v>17</v>
      </c>
      <c r="C145" s="13"/>
      <c r="F145" s="21" t="s">
        <v>118</v>
      </c>
      <c r="G145" s="120" t="s">
        <v>145</v>
      </c>
      <c r="H145" s="100" t="s">
        <v>145</v>
      </c>
      <c r="J145" s="15"/>
      <c r="K145" s="100" t="s">
        <v>145</v>
      </c>
      <c r="L145" s="100" t="s">
        <v>145</v>
      </c>
      <c r="M145" s="100" t="s">
        <v>145</v>
      </c>
      <c r="N145" s="100" t="s">
        <v>145</v>
      </c>
      <c r="P145" s="100" t="s">
        <v>145</v>
      </c>
      <c r="Q145" s="13"/>
      <c r="S145" s="100" t="s">
        <v>145</v>
      </c>
      <c r="X145" s="13"/>
      <c r="Y145" s="100" t="s">
        <v>145</v>
      </c>
      <c r="AA145" s="100" t="s">
        <v>145</v>
      </c>
      <c r="AB145" s="100" t="s">
        <v>145</v>
      </c>
      <c r="AD145" s="100" t="s">
        <v>145</v>
      </c>
      <c r="AE145" s="13"/>
      <c r="AG145" s="98"/>
      <c r="AH145" s="14"/>
    </row>
    <row r="146" spans="1:34" ht="15.75">
      <c r="A146" s="152" t="s">
        <v>18</v>
      </c>
      <c r="C146" s="13"/>
      <c r="F146" s="23"/>
      <c r="G146" s="121"/>
      <c r="H146" s="23"/>
      <c r="J146" s="15"/>
      <c r="K146" s="23"/>
      <c r="L146" s="23"/>
      <c r="M146" s="23"/>
      <c r="N146" s="23"/>
      <c r="P146" s="23"/>
      <c r="Q146" s="13"/>
      <c r="S146" s="23"/>
      <c r="X146" s="13"/>
      <c r="Y146" s="23"/>
      <c r="AA146" s="23"/>
      <c r="AB146" s="23"/>
      <c r="AD146" s="23"/>
      <c r="AE146" s="13"/>
      <c r="AG146" s="98"/>
      <c r="AH146" s="14"/>
    </row>
    <row r="147" spans="1:34">
      <c r="A147" s="146" t="s">
        <v>20</v>
      </c>
      <c r="C147" s="13"/>
      <c r="F147" s="24">
        <v>7</v>
      </c>
      <c r="G147" s="223" t="s">
        <v>414</v>
      </c>
      <c r="H147" s="176"/>
      <c r="J147" s="15"/>
      <c r="K147" s="176"/>
      <c r="L147" s="176"/>
      <c r="M147" s="176"/>
      <c r="N147" s="176"/>
      <c r="P147" s="176"/>
      <c r="Q147" s="13"/>
      <c r="S147" s="176"/>
      <c r="X147" s="13"/>
      <c r="Y147" s="176"/>
      <c r="AA147" s="176"/>
      <c r="AB147" s="176"/>
      <c r="AD147" s="176"/>
      <c r="AE147" s="13"/>
      <c r="AG147" s="98"/>
      <c r="AH147" s="14"/>
    </row>
    <row r="148" spans="1:34" ht="15.75">
      <c r="A148" s="153" t="s">
        <v>21</v>
      </c>
      <c r="C148" s="13"/>
      <c r="F148" s="94" t="s">
        <v>110</v>
      </c>
      <c r="G148" s="122" t="s">
        <v>307</v>
      </c>
      <c r="H148" s="94" t="s">
        <v>307</v>
      </c>
      <c r="J148" s="15"/>
      <c r="K148" s="94" t="s">
        <v>307</v>
      </c>
      <c r="L148" s="94" t="s">
        <v>273</v>
      </c>
      <c r="M148" s="94" t="s">
        <v>273</v>
      </c>
      <c r="N148" s="94" t="s">
        <v>273</v>
      </c>
      <c r="P148" s="94" t="s">
        <v>265</v>
      </c>
      <c r="Q148" s="13"/>
      <c r="S148" s="94" t="s">
        <v>322</v>
      </c>
      <c r="X148" s="13"/>
      <c r="Y148" s="94" t="s">
        <v>299</v>
      </c>
      <c r="AA148" s="94" t="s">
        <v>299</v>
      </c>
      <c r="AB148" s="94" t="s">
        <v>292</v>
      </c>
      <c r="AD148" s="94" t="s">
        <v>338</v>
      </c>
      <c r="AE148" s="13"/>
      <c r="AG148" s="98"/>
      <c r="AH148" s="14"/>
    </row>
    <row r="149" spans="1:34">
      <c r="A149" s="154" t="s">
        <v>22</v>
      </c>
      <c r="C149" s="13"/>
      <c r="F149" s="27" t="s">
        <v>19</v>
      </c>
      <c r="G149" s="123"/>
      <c r="H149" s="27"/>
      <c r="J149" s="15"/>
      <c r="K149" s="27"/>
      <c r="L149" s="27"/>
      <c r="M149" s="27"/>
      <c r="N149" s="27"/>
      <c r="P149" s="27"/>
      <c r="Q149" s="13"/>
      <c r="S149" s="27"/>
      <c r="X149" s="13"/>
      <c r="Y149" s="27"/>
      <c r="AA149" s="27"/>
      <c r="AB149" s="27"/>
      <c r="AD149" s="27"/>
      <c r="AE149" s="13"/>
      <c r="AG149" s="98"/>
      <c r="AH149" s="14"/>
    </row>
    <row r="150" spans="1:34" ht="15.75">
      <c r="A150" s="153" t="s">
        <v>23</v>
      </c>
      <c r="C150" s="13"/>
      <c r="F150" s="280">
        <v>480</v>
      </c>
      <c r="G150" s="119">
        <v>288</v>
      </c>
      <c r="H150" s="280">
        <v>228</v>
      </c>
      <c r="J150" s="15"/>
      <c r="K150" s="280">
        <v>132</v>
      </c>
      <c r="L150" s="280">
        <v>252</v>
      </c>
      <c r="M150" s="280">
        <v>216</v>
      </c>
      <c r="N150" s="280">
        <v>1044</v>
      </c>
      <c r="P150" s="280">
        <v>4140</v>
      </c>
      <c r="Q150" s="13"/>
      <c r="S150" s="280">
        <v>1344</v>
      </c>
      <c r="X150" s="13"/>
      <c r="Y150" s="280">
        <v>450</v>
      </c>
      <c r="AA150" s="280">
        <v>180</v>
      </c>
      <c r="AB150" s="280">
        <v>4140</v>
      </c>
      <c r="AD150" s="212">
        <v>180</v>
      </c>
      <c r="AE150" s="13"/>
      <c r="AG150" s="98"/>
      <c r="AH150" s="14"/>
    </row>
    <row r="151" spans="1:34" ht="15.75">
      <c r="A151" s="155" t="s">
        <v>24</v>
      </c>
      <c r="C151" s="13"/>
      <c r="F151" s="29" t="s">
        <v>479</v>
      </c>
      <c r="G151" s="29" t="s">
        <v>499</v>
      </c>
      <c r="H151" s="29" t="s">
        <v>499</v>
      </c>
      <c r="J151" s="15"/>
      <c r="K151" s="29" t="s">
        <v>500</v>
      </c>
      <c r="L151" s="29" t="s">
        <v>501</v>
      </c>
      <c r="M151" s="29" t="s">
        <v>501</v>
      </c>
      <c r="N151" s="29" t="s">
        <v>521</v>
      </c>
      <c r="P151" s="29">
        <v>-2121</v>
      </c>
      <c r="Q151" s="13"/>
      <c r="S151" s="30"/>
      <c r="X151" s="13"/>
      <c r="Y151" s="30"/>
      <c r="AA151" s="30"/>
      <c r="AB151" s="30" t="s">
        <v>44</v>
      </c>
      <c r="AD151" s="30"/>
      <c r="AE151" s="13"/>
      <c r="AG151" s="98"/>
      <c r="AH151" s="14"/>
    </row>
    <row r="152" spans="1:34" ht="15.75">
      <c r="A152" s="128" t="s">
        <v>25</v>
      </c>
      <c r="C152" s="13"/>
      <c r="F152" s="32">
        <v>43451</v>
      </c>
      <c r="G152" s="125">
        <v>43475</v>
      </c>
      <c r="H152" s="32">
        <v>43484</v>
      </c>
      <c r="J152" s="15"/>
      <c r="K152" s="32">
        <v>43486</v>
      </c>
      <c r="L152" s="32">
        <v>43481</v>
      </c>
      <c r="M152" s="32">
        <v>43490</v>
      </c>
      <c r="N152" s="32">
        <v>43486</v>
      </c>
      <c r="P152" s="32">
        <v>43486</v>
      </c>
      <c r="Q152" s="13"/>
      <c r="S152" s="32">
        <v>43484</v>
      </c>
      <c r="X152" s="13"/>
      <c r="Y152" s="32">
        <v>43486</v>
      </c>
      <c r="AA152" s="32">
        <v>43495</v>
      </c>
      <c r="AB152" s="32">
        <v>43486</v>
      </c>
      <c r="AD152" s="32">
        <v>43492</v>
      </c>
      <c r="AE152" s="13"/>
      <c r="AG152" s="98"/>
      <c r="AH152" s="14"/>
    </row>
    <row r="153" spans="1:34" ht="15.75" thickBot="1">
      <c r="A153" s="146" t="s">
        <v>27</v>
      </c>
      <c r="C153" s="13"/>
      <c r="F153" s="31" t="s">
        <v>29</v>
      </c>
      <c r="G153" s="126" t="s">
        <v>29</v>
      </c>
      <c r="H153" s="31" t="s">
        <v>50</v>
      </c>
      <c r="J153" s="15"/>
      <c r="K153" s="31" t="s">
        <v>28</v>
      </c>
      <c r="L153" s="31" t="s">
        <v>31</v>
      </c>
      <c r="M153" s="31" t="s">
        <v>29</v>
      </c>
      <c r="N153" s="31" t="s">
        <v>28</v>
      </c>
      <c r="P153" s="31" t="s">
        <v>33</v>
      </c>
      <c r="Q153" s="183"/>
      <c r="S153" s="31" t="s">
        <v>48</v>
      </c>
      <c r="X153" s="183"/>
      <c r="Y153" s="31" t="s">
        <v>29</v>
      </c>
      <c r="AA153" s="31" t="s">
        <v>50</v>
      </c>
      <c r="AB153" s="31" t="s">
        <v>33</v>
      </c>
      <c r="AD153" s="31" t="s">
        <v>28</v>
      </c>
      <c r="AE153" s="183"/>
      <c r="AG153" s="98"/>
      <c r="AH153" s="14"/>
    </row>
    <row r="154" spans="1:34" ht="15.75">
      <c r="A154" s="146" t="s">
        <v>10</v>
      </c>
      <c r="B154" s="14"/>
      <c r="C154" s="13"/>
      <c r="F154" s="280" t="s">
        <v>109</v>
      </c>
      <c r="H154" s="280" t="s">
        <v>76</v>
      </c>
      <c r="J154" s="15"/>
      <c r="K154" s="280" t="s">
        <v>76</v>
      </c>
      <c r="L154" s="280" t="s">
        <v>76</v>
      </c>
      <c r="M154" s="280" t="s">
        <v>76</v>
      </c>
      <c r="N154" s="280" t="s">
        <v>76</v>
      </c>
      <c r="Q154" s="13"/>
      <c r="V154" s="280"/>
      <c r="X154" s="13"/>
      <c r="Y154" s="280" t="s">
        <v>76</v>
      </c>
      <c r="AA154" s="280" t="s">
        <v>76</v>
      </c>
      <c r="AD154" s="212" t="s">
        <v>340</v>
      </c>
      <c r="AE154" s="13"/>
      <c r="AG154" s="98"/>
      <c r="AH154" s="14"/>
    </row>
    <row r="155" spans="1:34" ht="15.75">
      <c r="A155" s="147" t="s">
        <v>11</v>
      </c>
      <c r="B155" s="14"/>
      <c r="C155" s="13"/>
      <c r="F155" s="93" t="s">
        <v>125</v>
      </c>
      <c r="H155" s="93" t="s">
        <v>308</v>
      </c>
      <c r="J155" s="15"/>
      <c r="K155" s="93" t="s">
        <v>316</v>
      </c>
      <c r="L155" s="93" t="s">
        <v>274</v>
      </c>
      <c r="M155" s="93" t="s">
        <v>276</v>
      </c>
      <c r="N155" s="93" t="s">
        <v>264</v>
      </c>
      <c r="Q155" s="13"/>
      <c r="V155" s="93"/>
      <c r="X155" s="13"/>
      <c r="Y155" s="93" t="s">
        <v>303</v>
      </c>
      <c r="AA155" s="93" t="s">
        <v>296</v>
      </c>
      <c r="AD155" s="93" t="s">
        <v>343</v>
      </c>
      <c r="AE155" s="13"/>
      <c r="AG155" s="98"/>
      <c r="AH155" s="14"/>
    </row>
    <row r="156" spans="1:34" ht="15.75">
      <c r="A156" s="148" t="s">
        <v>12</v>
      </c>
      <c r="B156" s="14"/>
      <c r="C156" s="13"/>
      <c r="F156" s="17" t="s">
        <v>487</v>
      </c>
      <c r="H156" s="17" t="s">
        <v>482</v>
      </c>
      <c r="J156" s="15"/>
      <c r="K156" s="17" t="s">
        <v>482</v>
      </c>
      <c r="L156" s="17" t="s">
        <v>503</v>
      </c>
      <c r="M156" s="17" t="s">
        <v>486</v>
      </c>
      <c r="N156" s="17" t="s">
        <v>504</v>
      </c>
      <c r="Q156" s="13"/>
      <c r="V156" s="49"/>
      <c r="X156" s="13"/>
      <c r="Y156" s="17" t="s">
        <v>486</v>
      </c>
      <c r="AA156" s="17" t="s">
        <v>482</v>
      </c>
      <c r="AD156" s="17" t="s">
        <v>491</v>
      </c>
      <c r="AE156" s="13"/>
      <c r="AG156" s="98"/>
      <c r="AH156" s="14"/>
    </row>
    <row r="157" spans="1:34" ht="15.75">
      <c r="A157" s="149" t="s">
        <v>13</v>
      </c>
      <c r="B157" s="14"/>
      <c r="C157" s="13"/>
      <c r="F157" s="19" t="s">
        <v>69</v>
      </c>
      <c r="H157" s="19" t="s">
        <v>42</v>
      </c>
      <c r="J157" s="15"/>
      <c r="K157" s="19" t="s">
        <v>42</v>
      </c>
      <c r="L157" s="19" t="s">
        <v>42</v>
      </c>
      <c r="M157" s="19" t="s">
        <v>42</v>
      </c>
      <c r="N157" s="19" t="s">
        <v>42</v>
      </c>
      <c r="Q157" s="13"/>
      <c r="V157" s="19"/>
      <c r="X157" s="13"/>
      <c r="Y157" s="19" t="s">
        <v>42</v>
      </c>
      <c r="AA157" s="19" t="s">
        <v>42</v>
      </c>
      <c r="AD157" s="19" t="s">
        <v>40</v>
      </c>
      <c r="AE157" s="13"/>
      <c r="AG157" s="98"/>
      <c r="AH157" s="14"/>
    </row>
    <row r="158" spans="1:34" ht="15.75">
      <c r="A158" s="150" t="s">
        <v>15</v>
      </c>
      <c r="B158" s="14"/>
      <c r="C158" s="13"/>
      <c r="F158" s="280" t="s">
        <v>68</v>
      </c>
      <c r="H158" s="280" t="s">
        <v>49</v>
      </c>
      <c r="J158" s="15"/>
      <c r="K158" s="280" t="s">
        <v>49</v>
      </c>
      <c r="L158" s="280" t="s">
        <v>49</v>
      </c>
      <c r="M158" s="280" t="s">
        <v>49</v>
      </c>
      <c r="N158" s="280" t="s">
        <v>49</v>
      </c>
      <c r="Q158" s="13"/>
      <c r="V158" s="280"/>
      <c r="X158" s="13"/>
      <c r="Y158" s="280" t="s">
        <v>49</v>
      </c>
      <c r="AA158" s="280" t="s">
        <v>49</v>
      </c>
      <c r="AD158" s="212" t="s">
        <v>413</v>
      </c>
      <c r="AE158" s="13"/>
      <c r="AG158" s="98"/>
      <c r="AH158" s="14"/>
    </row>
    <row r="159" spans="1:34" ht="15.75">
      <c r="A159" s="151" t="s">
        <v>17</v>
      </c>
      <c r="B159" s="14"/>
      <c r="C159" s="13"/>
      <c r="F159" s="21" t="s">
        <v>118</v>
      </c>
      <c r="H159" s="100" t="s">
        <v>145</v>
      </c>
      <c r="J159" s="15"/>
      <c r="K159" s="100" t="s">
        <v>145</v>
      </c>
      <c r="L159" s="100" t="s">
        <v>145</v>
      </c>
      <c r="M159" s="100" t="s">
        <v>145</v>
      </c>
      <c r="N159" s="100" t="s">
        <v>145</v>
      </c>
      <c r="Q159" s="13"/>
      <c r="V159" s="100"/>
      <c r="X159" s="13"/>
      <c r="Y159" s="100" t="s">
        <v>145</v>
      </c>
      <c r="AA159" s="100" t="s">
        <v>145</v>
      </c>
      <c r="AD159" s="100" t="s">
        <v>145</v>
      </c>
      <c r="AE159" s="13"/>
      <c r="AG159" s="98"/>
      <c r="AH159" s="14"/>
    </row>
    <row r="160" spans="1:34" ht="15.75">
      <c r="A160" s="152" t="s">
        <v>18</v>
      </c>
      <c r="B160" s="14"/>
      <c r="C160" s="13"/>
      <c r="F160" s="23"/>
      <c r="H160" s="23"/>
      <c r="J160" s="15"/>
      <c r="K160" s="23"/>
      <c r="L160" s="23"/>
      <c r="M160" s="23"/>
      <c r="N160" s="23"/>
      <c r="Q160" s="13"/>
      <c r="V160" s="23"/>
      <c r="X160" s="13"/>
      <c r="Y160" s="23"/>
      <c r="AA160" s="23"/>
      <c r="AD160" s="23"/>
      <c r="AE160" s="13"/>
      <c r="AG160" s="98"/>
      <c r="AH160" s="14"/>
    </row>
    <row r="161" spans="1:35">
      <c r="A161" s="146" t="s">
        <v>20</v>
      </c>
      <c r="B161" s="14"/>
      <c r="C161" s="13"/>
      <c r="F161" s="24">
        <v>7</v>
      </c>
      <c r="H161" s="176"/>
      <c r="J161" s="15"/>
      <c r="K161" s="176"/>
      <c r="L161" s="176"/>
      <c r="M161" s="176"/>
      <c r="N161" s="176"/>
      <c r="Q161" s="13"/>
      <c r="V161" s="176"/>
      <c r="X161" s="13"/>
      <c r="Y161" s="176"/>
      <c r="AA161" s="176"/>
      <c r="AD161" s="176"/>
      <c r="AE161" s="13"/>
      <c r="AG161" s="98"/>
      <c r="AH161" s="14"/>
    </row>
    <row r="162" spans="1:35" ht="15.75">
      <c r="A162" s="153" t="s">
        <v>21</v>
      </c>
      <c r="B162" s="14"/>
      <c r="C162" s="13"/>
      <c r="F162" s="94" t="s">
        <v>110</v>
      </c>
      <c r="H162" s="94" t="s">
        <v>307</v>
      </c>
      <c r="J162" s="15"/>
      <c r="K162" s="94" t="s">
        <v>307</v>
      </c>
      <c r="L162" s="94" t="s">
        <v>273</v>
      </c>
      <c r="M162" s="94" t="s">
        <v>273</v>
      </c>
      <c r="N162" s="94" t="s">
        <v>265</v>
      </c>
      <c r="Q162" s="13"/>
      <c r="V162" s="94"/>
      <c r="X162" s="13"/>
      <c r="Y162" s="94" t="s">
        <v>299</v>
      </c>
      <c r="AA162" s="94" t="s">
        <v>292</v>
      </c>
      <c r="AD162" s="94" t="s">
        <v>338</v>
      </c>
      <c r="AE162" s="13"/>
      <c r="AG162" s="98"/>
      <c r="AH162" s="14"/>
    </row>
    <row r="163" spans="1:35">
      <c r="A163" s="154" t="s">
        <v>22</v>
      </c>
      <c r="B163" s="14"/>
      <c r="C163" s="13"/>
      <c r="F163" s="27" t="s">
        <v>19</v>
      </c>
      <c r="H163" s="27"/>
      <c r="J163" s="15"/>
      <c r="K163" s="27"/>
      <c r="L163" s="27"/>
      <c r="M163" s="27"/>
      <c r="N163" s="27"/>
      <c r="Q163" s="13"/>
      <c r="V163" s="27"/>
      <c r="X163" s="13"/>
      <c r="Y163" s="27"/>
      <c r="AA163" s="27"/>
      <c r="AD163" s="27"/>
      <c r="AE163" s="13"/>
      <c r="AG163" s="98"/>
      <c r="AH163" s="14"/>
    </row>
    <row r="164" spans="1:35" ht="15.75">
      <c r="A164" s="153" t="s">
        <v>23</v>
      </c>
      <c r="B164" s="14"/>
      <c r="C164" s="13"/>
      <c r="F164" s="280">
        <v>1020</v>
      </c>
      <c r="H164" s="280">
        <v>156</v>
      </c>
      <c r="J164" s="15"/>
      <c r="K164" s="280">
        <v>402</v>
      </c>
      <c r="L164" s="280">
        <v>300</v>
      </c>
      <c r="M164" s="280">
        <v>3144</v>
      </c>
      <c r="N164" s="280">
        <v>1104</v>
      </c>
      <c r="Q164" s="13"/>
      <c r="V164" s="280"/>
      <c r="X164" s="13"/>
      <c r="Y164" s="280">
        <v>396</v>
      </c>
      <c r="AA164" s="280">
        <v>420</v>
      </c>
      <c r="AD164" s="212">
        <v>156</v>
      </c>
      <c r="AE164" s="13"/>
      <c r="AG164" s="98"/>
      <c r="AH164" s="14"/>
    </row>
    <row r="165" spans="1:35" ht="15.75">
      <c r="A165" s="155" t="s">
        <v>24</v>
      </c>
      <c r="B165" s="14"/>
      <c r="C165" s="13"/>
      <c r="F165" s="29" t="s">
        <v>480</v>
      </c>
      <c r="H165" s="29" t="s">
        <v>499</v>
      </c>
      <c r="J165" s="15"/>
      <c r="K165" s="29" t="s">
        <v>501</v>
      </c>
      <c r="L165" s="29" t="s">
        <v>501</v>
      </c>
      <c r="M165" s="29">
        <v>-5</v>
      </c>
      <c r="N165" s="29" t="s">
        <v>521</v>
      </c>
      <c r="Q165" s="13"/>
      <c r="V165" s="30"/>
      <c r="X165" s="13"/>
      <c r="Y165" s="30"/>
      <c r="AA165" s="30"/>
      <c r="AD165" s="30"/>
      <c r="AE165" s="13"/>
      <c r="AG165" s="98"/>
      <c r="AH165" s="14"/>
    </row>
    <row r="166" spans="1:35" ht="15.75">
      <c r="A166" s="128" t="s">
        <v>25</v>
      </c>
      <c r="B166" s="14"/>
      <c r="C166" s="13"/>
      <c r="F166" s="32">
        <v>43451</v>
      </c>
      <c r="H166" s="32">
        <v>43484</v>
      </c>
      <c r="J166" s="15"/>
      <c r="K166" s="32">
        <v>43490</v>
      </c>
      <c r="L166" s="32">
        <v>43484</v>
      </c>
      <c r="M166" s="32">
        <v>43486</v>
      </c>
      <c r="N166" s="32">
        <v>43484</v>
      </c>
      <c r="Q166" s="13"/>
      <c r="V166" s="32"/>
      <c r="X166" s="13"/>
      <c r="Y166" s="32">
        <v>43490</v>
      </c>
      <c r="AA166" s="32">
        <v>43484</v>
      </c>
      <c r="AD166" s="32">
        <v>43492</v>
      </c>
      <c r="AE166" s="13"/>
      <c r="AG166" s="98"/>
      <c r="AH166" s="14"/>
    </row>
    <row r="167" spans="1:35">
      <c r="A167" s="146" t="s">
        <v>27</v>
      </c>
      <c r="B167" s="14"/>
      <c r="C167" s="13"/>
      <c r="F167" s="31" t="s">
        <v>29</v>
      </c>
      <c r="H167" s="31" t="s">
        <v>55</v>
      </c>
      <c r="J167" s="15"/>
      <c r="K167" s="31" t="s">
        <v>29</v>
      </c>
      <c r="L167" s="31" t="s">
        <v>48</v>
      </c>
      <c r="M167" s="31" t="s">
        <v>33</v>
      </c>
      <c r="N167" s="31" t="s">
        <v>48</v>
      </c>
      <c r="Q167" s="183"/>
      <c r="V167" s="31"/>
      <c r="X167" s="183"/>
      <c r="Y167" s="31" t="s">
        <v>29</v>
      </c>
      <c r="AA167" s="31" t="s">
        <v>48</v>
      </c>
      <c r="AD167" s="31" t="s">
        <v>48</v>
      </c>
      <c r="AE167" s="183"/>
      <c r="AG167" s="98"/>
      <c r="AH167" s="14"/>
    </row>
    <row r="168" spans="1:35" ht="15.75">
      <c r="A168" s="146" t="s">
        <v>10</v>
      </c>
      <c r="B168" s="14"/>
      <c r="C168" s="13"/>
      <c r="H168" s="280" t="s">
        <v>76</v>
      </c>
      <c r="J168" s="15"/>
      <c r="K168" s="280" t="s">
        <v>76</v>
      </c>
      <c r="L168" s="280" t="s">
        <v>76</v>
      </c>
      <c r="Q168" s="13"/>
      <c r="S168" s="280"/>
      <c r="V168" s="280"/>
      <c r="W168" s="14"/>
      <c r="X168" s="13"/>
      <c r="AA168" s="280" t="s">
        <v>76</v>
      </c>
      <c r="AD168" s="212" t="s">
        <v>340</v>
      </c>
      <c r="AE168" s="13"/>
      <c r="AG168" s="98"/>
      <c r="AH168" s="14"/>
      <c r="AI168" s="14"/>
    </row>
    <row r="169" spans="1:35" ht="15.75">
      <c r="A169" s="147" t="s">
        <v>11</v>
      </c>
      <c r="B169" s="14"/>
      <c r="C169" s="13"/>
      <c r="H169" s="93" t="s">
        <v>315</v>
      </c>
      <c r="J169" s="15"/>
      <c r="K169" s="93" t="s">
        <v>317</v>
      </c>
      <c r="L169" s="93" t="s">
        <v>282</v>
      </c>
      <c r="Q169" s="13"/>
      <c r="S169" s="93"/>
      <c r="V169" s="176"/>
      <c r="W169" s="14"/>
      <c r="X169" s="13"/>
      <c r="AA169" s="93" t="s">
        <v>294</v>
      </c>
      <c r="AD169" s="93" t="s">
        <v>359</v>
      </c>
      <c r="AE169" s="13"/>
      <c r="AG169" s="98"/>
      <c r="AH169" s="14"/>
      <c r="AI169" s="14"/>
    </row>
    <row r="170" spans="1:35" ht="16.5">
      <c r="A170" s="148" t="s">
        <v>12</v>
      </c>
      <c r="B170" s="14"/>
      <c r="C170" s="13"/>
      <c r="H170" s="17">
        <v>43439</v>
      </c>
      <c r="J170" s="15"/>
      <c r="K170" s="17" t="s">
        <v>486</v>
      </c>
      <c r="L170" s="17" t="s">
        <v>503</v>
      </c>
      <c r="Q170" s="13"/>
      <c r="S170" s="49"/>
      <c r="V170" s="282"/>
      <c r="W170" s="14"/>
      <c r="X170" s="13"/>
      <c r="AA170" s="17" t="s">
        <v>482</v>
      </c>
      <c r="AD170" s="17" t="s">
        <v>491</v>
      </c>
      <c r="AE170" s="13"/>
      <c r="AG170" s="98"/>
      <c r="AH170" s="14"/>
      <c r="AI170" s="14"/>
    </row>
    <row r="171" spans="1:35" ht="16.5">
      <c r="A171" s="149" t="s">
        <v>13</v>
      </c>
      <c r="B171" s="14"/>
      <c r="C171" s="13"/>
      <c r="H171" s="19" t="s">
        <v>42</v>
      </c>
      <c r="J171" s="15"/>
      <c r="K171" s="19" t="s">
        <v>42</v>
      </c>
      <c r="L171" s="19" t="s">
        <v>42</v>
      </c>
      <c r="Q171" s="13"/>
      <c r="S171" s="19"/>
      <c r="V171" s="177"/>
      <c r="W171" s="14"/>
      <c r="X171" s="13"/>
      <c r="AA171" s="19" t="s">
        <v>42</v>
      </c>
      <c r="AD171" s="19" t="s">
        <v>40</v>
      </c>
      <c r="AE171" s="13"/>
      <c r="AG171" s="98"/>
      <c r="AH171" s="14"/>
      <c r="AI171" s="14"/>
    </row>
    <row r="172" spans="1:35" ht="15.75">
      <c r="A172" s="150" t="s">
        <v>15</v>
      </c>
      <c r="B172" s="14"/>
      <c r="C172" s="13"/>
      <c r="H172" s="280" t="s">
        <v>49</v>
      </c>
      <c r="J172" s="15"/>
      <c r="K172" s="280" t="s">
        <v>49</v>
      </c>
      <c r="L172" s="280" t="s">
        <v>49</v>
      </c>
      <c r="Q172" s="13"/>
      <c r="S172" s="280"/>
      <c r="V172" s="280"/>
      <c r="W172" s="14"/>
      <c r="X172" s="13"/>
      <c r="AA172" s="280" t="s">
        <v>49</v>
      </c>
      <c r="AD172" s="212" t="s">
        <v>413</v>
      </c>
      <c r="AE172" s="13"/>
      <c r="AG172" s="98"/>
      <c r="AH172" s="14"/>
      <c r="AI172" s="14"/>
    </row>
    <row r="173" spans="1:35" ht="16.5">
      <c r="A173" s="151" t="s">
        <v>17</v>
      </c>
      <c r="B173" s="14"/>
      <c r="C173" s="13"/>
      <c r="H173" s="100" t="s">
        <v>145</v>
      </c>
      <c r="J173" s="15"/>
      <c r="K173" s="100" t="s">
        <v>145</v>
      </c>
      <c r="L173" s="100" t="s">
        <v>145</v>
      </c>
      <c r="Q173" s="13"/>
      <c r="S173" s="100"/>
      <c r="V173" s="178"/>
      <c r="W173" s="14"/>
      <c r="X173" s="13"/>
      <c r="AA173" s="100" t="s">
        <v>145</v>
      </c>
      <c r="AD173" s="100" t="s">
        <v>145</v>
      </c>
      <c r="AE173" s="13"/>
      <c r="AG173" s="98"/>
      <c r="AH173" s="14"/>
      <c r="AI173" s="14"/>
    </row>
    <row r="174" spans="1:35" ht="16.5">
      <c r="A174" s="152" t="s">
        <v>18</v>
      </c>
      <c r="B174" s="14"/>
      <c r="C174" s="13"/>
      <c r="H174" s="23"/>
      <c r="J174" s="15"/>
      <c r="K174" s="23"/>
      <c r="L174" s="23"/>
      <c r="Q174" s="13"/>
      <c r="S174" s="23"/>
      <c r="V174" s="177"/>
      <c r="W174" s="14"/>
      <c r="X174" s="13"/>
      <c r="AA174" s="23"/>
      <c r="AD174" s="23"/>
      <c r="AE174" s="13"/>
      <c r="AG174" s="98"/>
      <c r="AH174" s="14"/>
      <c r="AI174" s="14"/>
    </row>
    <row r="175" spans="1:35" ht="16.5">
      <c r="A175" s="146" t="s">
        <v>20</v>
      </c>
      <c r="B175" s="14"/>
      <c r="C175" s="13"/>
      <c r="H175" s="176"/>
      <c r="J175" s="15"/>
      <c r="K175" s="176"/>
      <c r="L175" s="176"/>
      <c r="Q175" s="13"/>
      <c r="S175" s="176"/>
      <c r="V175" s="177"/>
      <c r="W175" s="14"/>
      <c r="X175" s="13"/>
      <c r="AA175" s="176"/>
      <c r="AD175" s="176"/>
      <c r="AE175" s="13"/>
      <c r="AG175" s="98"/>
      <c r="AH175" s="14"/>
      <c r="AI175" s="14"/>
    </row>
    <row r="176" spans="1:35" ht="15.75">
      <c r="A176" s="153" t="s">
        <v>21</v>
      </c>
      <c r="B176" s="14"/>
      <c r="C176" s="13"/>
      <c r="H176" s="94" t="s">
        <v>307</v>
      </c>
      <c r="J176" s="15"/>
      <c r="K176" s="94" t="s">
        <v>307</v>
      </c>
      <c r="L176" s="94" t="s">
        <v>273</v>
      </c>
      <c r="Q176" s="13"/>
      <c r="S176" s="94"/>
      <c r="V176" s="280"/>
      <c r="W176" s="14"/>
      <c r="X176" s="13"/>
      <c r="AA176" s="94" t="s">
        <v>292</v>
      </c>
      <c r="AD176" s="94" t="s">
        <v>338</v>
      </c>
      <c r="AE176" s="13"/>
      <c r="AG176" s="98"/>
      <c r="AH176" s="14"/>
      <c r="AI176" s="14"/>
    </row>
    <row r="177" spans="1:35" ht="16.5">
      <c r="A177" s="154" t="s">
        <v>22</v>
      </c>
      <c r="B177" s="14"/>
      <c r="C177" s="13"/>
      <c r="H177" s="27"/>
      <c r="J177" s="15"/>
      <c r="K177" s="27"/>
      <c r="L177" s="27"/>
      <c r="Q177" s="13"/>
      <c r="S177" s="27"/>
      <c r="V177" s="177"/>
      <c r="W177" s="14"/>
      <c r="X177" s="13"/>
      <c r="AA177" s="27"/>
      <c r="AD177" s="27"/>
      <c r="AE177" s="13"/>
      <c r="AG177" s="98"/>
      <c r="AH177" s="14"/>
      <c r="AI177" s="14"/>
    </row>
    <row r="178" spans="1:35" ht="15.75">
      <c r="A178" s="153" t="s">
        <v>23</v>
      </c>
      <c r="B178" s="14"/>
      <c r="C178" s="13"/>
      <c r="H178" s="280">
        <v>2268</v>
      </c>
      <c r="J178" s="15"/>
      <c r="K178" s="280">
        <v>144</v>
      </c>
      <c r="L178" s="280">
        <v>204</v>
      </c>
      <c r="Q178" s="13"/>
      <c r="S178" s="280"/>
      <c r="V178" s="280"/>
      <c r="W178" s="14"/>
      <c r="X178" s="13"/>
      <c r="AA178" s="280">
        <v>144</v>
      </c>
      <c r="AD178" s="212">
        <v>192</v>
      </c>
      <c r="AE178" s="13"/>
      <c r="AG178" s="98"/>
      <c r="AH178" s="14"/>
      <c r="AI178" s="14"/>
    </row>
    <row r="179" spans="1:35" ht="16.5">
      <c r="A179" s="155" t="s">
        <v>24</v>
      </c>
      <c r="B179" s="14"/>
      <c r="C179" s="13"/>
      <c r="H179" s="29" t="s">
        <v>502</v>
      </c>
      <c r="J179" s="15"/>
      <c r="K179" s="29" t="s">
        <v>520</v>
      </c>
      <c r="L179" s="29" t="s">
        <v>501</v>
      </c>
      <c r="Q179" s="13"/>
      <c r="S179" s="30"/>
      <c r="V179" s="177"/>
      <c r="W179" s="14"/>
      <c r="X179" s="13"/>
      <c r="AA179" s="30"/>
      <c r="AD179" s="30"/>
      <c r="AE179" s="13"/>
      <c r="AG179" s="98"/>
      <c r="AH179" s="14"/>
      <c r="AI179" s="14"/>
    </row>
    <row r="180" spans="1:35" ht="15.75">
      <c r="A180" s="128" t="s">
        <v>25</v>
      </c>
      <c r="B180" s="14"/>
      <c r="C180" s="13"/>
      <c r="H180" s="32">
        <v>43486</v>
      </c>
      <c r="J180" s="15"/>
      <c r="K180" s="32">
        <v>43492</v>
      </c>
      <c r="L180" s="32">
        <v>43484</v>
      </c>
      <c r="Q180" s="13"/>
      <c r="S180" s="32"/>
      <c r="V180" s="281"/>
      <c r="W180" s="14"/>
      <c r="X180" s="13"/>
      <c r="AA180" s="32">
        <v>43484</v>
      </c>
      <c r="AD180" s="32">
        <v>43507</v>
      </c>
      <c r="AE180" s="13"/>
      <c r="AG180" s="98"/>
      <c r="AH180" s="14"/>
      <c r="AI180" s="14"/>
    </row>
    <row r="181" spans="1:35" ht="15.75" thickBot="1">
      <c r="A181" s="146" t="s">
        <v>27</v>
      </c>
      <c r="B181" s="14"/>
      <c r="C181" s="13"/>
      <c r="E181" s="14"/>
      <c r="F181" s="14"/>
      <c r="H181" s="31" t="s">
        <v>33</v>
      </c>
      <c r="J181" s="34"/>
      <c r="K181" s="31" t="s">
        <v>28</v>
      </c>
      <c r="L181" s="31" t="s">
        <v>55</v>
      </c>
      <c r="Q181" s="183"/>
      <c r="S181" s="31"/>
      <c r="V181" s="176"/>
      <c r="W181" s="185"/>
      <c r="X181" s="183"/>
      <c r="AA181" s="31" t="s">
        <v>55</v>
      </c>
      <c r="AD181" s="31" t="s">
        <v>28</v>
      </c>
      <c r="AE181" s="183"/>
      <c r="AG181" s="99"/>
      <c r="AH181" s="14"/>
      <c r="AI181" s="14"/>
    </row>
    <row r="182" spans="1:35" ht="18" customHeight="1" thickBot="1">
      <c r="A182" s="216" t="s">
        <v>36</v>
      </c>
      <c r="B182" s="37">
        <f t="shared" ref="B182:AF182" si="15">+B178+B164+B150+B136</f>
        <v>0</v>
      </c>
      <c r="C182" s="37">
        <f t="shared" si="15"/>
        <v>0</v>
      </c>
      <c r="D182" s="37">
        <f t="shared" si="15"/>
        <v>1680</v>
      </c>
      <c r="E182" s="37">
        <f t="shared" si="15"/>
        <v>0</v>
      </c>
      <c r="F182" s="37">
        <f t="shared" si="15"/>
        <v>1884</v>
      </c>
      <c r="G182" s="37">
        <f t="shared" si="15"/>
        <v>648</v>
      </c>
      <c r="H182" s="37">
        <f t="shared" si="15"/>
        <v>3252</v>
      </c>
      <c r="I182" s="37">
        <f t="shared" si="15"/>
        <v>0</v>
      </c>
      <c r="J182" s="37">
        <f t="shared" si="15"/>
        <v>0</v>
      </c>
      <c r="K182" s="37">
        <f t="shared" si="15"/>
        <v>1530</v>
      </c>
      <c r="L182" s="37">
        <v>4476</v>
      </c>
      <c r="M182" s="37"/>
      <c r="N182" s="37">
        <f t="shared" si="15"/>
        <v>2292</v>
      </c>
      <c r="O182" s="37">
        <f t="shared" si="15"/>
        <v>0</v>
      </c>
      <c r="P182" s="37">
        <f t="shared" si="15"/>
        <v>4476</v>
      </c>
      <c r="Q182" s="37">
        <f t="shared" si="15"/>
        <v>0</v>
      </c>
      <c r="R182" s="37">
        <f t="shared" si="15"/>
        <v>0</v>
      </c>
      <c r="S182" s="37">
        <f t="shared" si="15"/>
        <v>1644</v>
      </c>
      <c r="T182" s="37">
        <f t="shared" si="15"/>
        <v>6852</v>
      </c>
      <c r="U182" s="37">
        <f t="shared" si="15"/>
        <v>0</v>
      </c>
      <c r="V182" s="37">
        <f t="shared" si="15"/>
        <v>0</v>
      </c>
      <c r="W182" s="37">
        <f t="shared" si="15"/>
        <v>0</v>
      </c>
      <c r="X182" s="37">
        <f t="shared" si="15"/>
        <v>0</v>
      </c>
      <c r="Y182" s="37">
        <f t="shared" si="15"/>
        <v>1530</v>
      </c>
      <c r="Z182" s="37">
        <f t="shared" si="15"/>
        <v>2328</v>
      </c>
      <c r="AA182" s="37">
        <f t="shared" si="15"/>
        <v>912</v>
      </c>
      <c r="AB182" s="37">
        <f t="shared" si="15"/>
        <v>4572</v>
      </c>
      <c r="AC182" s="37">
        <f t="shared" si="15"/>
        <v>0</v>
      </c>
      <c r="AD182" s="37">
        <f t="shared" si="15"/>
        <v>864</v>
      </c>
      <c r="AE182" s="37">
        <f t="shared" si="15"/>
        <v>0</v>
      </c>
      <c r="AF182" s="37">
        <f t="shared" si="15"/>
        <v>0</v>
      </c>
      <c r="AG182" s="38"/>
      <c r="AH182" s="14"/>
      <c r="AI182" s="14"/>
    </row>
    <row r="183" spans="1:35" ht="18" customHeight="1" thickTop="1" thickBot="1">
      <c r="A183" s="216" t="s">
        <v>37</v>
      </c>
      <c r="B183" s="144">
        <f>+B184*B5</f>
        <v>1200</v>
      </c>
      <c r="C183" s="39">
        <f>+C184*C5</f>
        <v>0</v>
      </c>
      <c r="D183" s="40">
        <f>+D184*D5</f>
        <v>1425</v>
      </c>
      <c r="E183" s="40">
        <f>+E184*E5</f>
        <v>1425</v>
      </c>
      <c r="F183" s="40">
        <f>+F184*F5</f>
        <v>1425</v>
      </c>
      <c r="G183" s="39">
        <f>+G184*7.5</f>
        <v>1125</v>
      </c>
      <c r="H183" s="39">
        <f>+H184*8.5</f>
        <v>1564</v>
      </c>
      <c r="I183" s="39">
        <f>+I184*7</f>
        <v>1288</v>
      </c>
      <c r="J183" s="40">
        <f t="shared" ref="J183:AF183" si="16">+J184*J5</f>
        <v>0</v>
      </c>
      <c r="K183" s="40">
        <f t="shared" si="16"/>
        <v>1748</v>
      </c>
      <c r="L183" s="40">
        <f t="shared" si="16"/>
        <v>1748</v>
      </c>
      <c r="M183" s="40">
        <f t="shared" si="16"/>
        <v>1748</v>
      </c>
      <c r="N183" s="40">
        <f t="shared" si="16"/>
        <v>1748</v>
      </c>
      <c r="O183" s="40">
        <f t="shared" si="16"/>
        <v>1748</v>
      </c>
      <c r="P183" s="40">
        <f t="shared" si="16"/>
        <v>1472</v>
      </c>
      <c r="Q183" s="39">
        <f t="shared" si="16"/>
        <v>0</v>
      </c>
      <c r="R183" s="40">
        <f t="shared" si="16"/>
        <v>1748</v>
      </c>
      <c r="S183" s="40">
        <f t="shared" si="16"/>
        <v>1748</v>
      </c>
      <c r="T183" s="40">
        <f t="shared" si="16"/>
        <v>1748</v>
      </c>
      <c r="U183" s="40">
        <f t="shared" si="16"/>
        <v>1748</v>
      </c>
      <c r="V183" s="40">
        <f t="shared" si="16"/>
        <v>1748</v>
      </c>
      <c r="W183" s="40">
        <f t="shared" si="16"/>
        <v>1472</v>
      </c>
      <c r="X183" s="39">
        <f t="shared" si="16"/>
        <v>0</v>
      </c>
      <c r="Y183" s="40">
        <f t="shared" si="16"/>
        <v>1472</v>
      </c>
      <c r="Z183" s="40">
        <f t="shared" si="16"/>
        <v>1748</v>
      </c>
      <c r="AA183" s="40">
        <f t="shared" si="16"/>
        <v>1748</v>
      </c>
      <c r="AB183" s="40">
        <f t="shared" si="16"/>
        <v>1748</v>
      </c>
      <c r="AC183" s="40">
        <f t="shared" si="16"/>
        <v>1748</v>
      </c>
      <c r="AD183" s="40">
        <f t="shared" si="16"/>
        <v>1472</v>
      </c>
      <c r="AE183" s="39">
        <f t="shared" si="16"/>
        <v>0</v>
      </c>
      <c r="AF183" s="40">
        <f t="shared" si="16"/>
        <v>1440</v>
      </c>
      <c r="AG183" s="41">
        <f>SUM(B183:AF183)</f>
        <v>41252</v>
      </c>
      <c r="AH183" s="14"/>
      <c r="AI183" s="14"/>
    </row>
    <row r="184" spans="1:35" ht="18" customHeight="1" thickTop="1" thickBot="1">
      <c r="A184" s="216" t="s">
        <v>38</v>
      </c>
      <c r="B184" s="145">
        <v>150</v>
      </c>
      <c r="C184" s="42"/>
      <c r="D184" s="43">
        <v>150</v>
      </c>
      <c r="E184" s="43">
        <v>150</v>
      </c>
      <c r="F184" s="43">
        <v>150</v>
      </c>
      <c r="G184" s="43">
        <v>150</v>
      </c>
      <c r="H184" s="43">
        <v>184</v>
      </c>
      <c r="I184" s="43">
        <v>184</v>
      </c>
      <c r="J184" s="42"/>
      <c r="K184" s="43">
        <v>184</v>
      </c>
      <c r="L184" s="43">
        <v>184</v>
      </c>
      <c r="M184" s="43">
        <v>184</v>
      </c>
      <c r="N184" s="43">
        <v>184</v>
      </c>
      <c r="O184" s="43">
        <v>184</v>
      </c>
      <c r="P184" s="43">
        <v>184</v>
      </c>
      <c r="Q184" s="42"/>
      <c r="R184" s="43">
        <v>184</v>
      </c>
      <c r="S184" s="43">
        <v>184</v>
      </c>
      <c r="T184" s="43">
        <v>184</v>
      </c>
      <c r="U184" s="43">
        <v>184</v>
      </c>
      <c r="V184" s="43">
        <v>184</v>
      </c>
      <c r="W184" s="43">
        <v>184</v>
      </c>
      <c r="X184" s="42"/>
      <c r="Y184" s="43">
        <v>184</v>
      </c>
      <c r="Z184" s="43">
        <v>184</v>
      </c>
      <c r="AA184" s="43">
        <v>184</v>
      </c>
      <c r="AB184" s="43">
        <v>184</v>
      </c>
      <c r="AC184" s="43">
        <v>184</v>
      </c>
      <c r="AD184" s="43">
        <v>184</v>
      </c>
      <c r="AE184" s="42"/>
      <c r="AF184" s="43">
        <v>180</v>
      </c>
      <c r="AG184" s="44"/>
      <c r="AH184" s="14"/>
      <c r="AI184" s="14"/>
    </row>
    <row r="185" spans="1:35" ht="18" customHeight="1" thickTop="1" thickBot="1">
      <c r="A185" s="217"/>
      <c r="B185" s="144">
        <f t="shared" ref="B185:AF185" si="17">IF(A185+B182-B183&lt;0,0,A185+B182-B183)</f>
        <v>0</v>
      </c>
      <c r="C185" s="39">
        <f t="shared" si="17"/>
        <v>0</v>
      </c>
      <c r="D185" s="40">
        <f t="shared" si="17"/>
        <v>255</v>
      </c>
      <c r="E185" s="40">
        <f t="shared" si="17"/>
        <v>0</v>
      </c>
      <c r="F185" s="40">
        <f t="shared" si="17"/>
        <v>459</v>
      </c>
      <c r="G185" s="40">
        <f t="shared" si="17"/>
        <v>0</v>
      </c>
      <c r="H185" s="40">
        <f t="shared" si="17"/>
        <v>1688</v>
      </c>
      <c r="I185" s="40">
        <f t="shared" si="17"/>
        <v>400</v>
      </c>
      <c r="J185" s="39">
        <f t="shared" si="17"/>
        <v>400</v>
      </c>
      <c r="K185" s="40">
        <f t="shared" si="17"/>
        <v>182</v>
      </c>
      <c r="L185" s="40">
        <f t="shared" si="17"/>
        <v>2910</v>
      </c>
      <c r="M185" s="40">
        <f t="shared" si="17"/>
        <v>1162</v>
      </c>
      <c r="N185" s="40">
        <f t="shared" si="17"/>
        <v>1706</v>
      </c>
      <c r="O185" s="40">
        <f t="shared" si="17"/>
        <v>0</v>
      </c>
      <c r="P185" s="40">
        <f t="shared" si="17"/>
        <v>3004</v>
      </c>
      <c r="Q185" s="39">
        <f t="shared" si="17"/>
        <v>3004</v>
      </c>
      <c r="R185" s="40">
        <f t="shared" si="17"/>
        <v>1256</v>
      </c>
      <c r="S185" s="40">
        <f t="shared" si="17"/>
        <v>1152</v>
      </c>
      <c r="T185" s="40">
        <f t="shared" si="17"/>
        <v>6256</v>
      </c>
      <c r="U185" s="39">
        <f>6852-192*19</f>
        <v>3204</v>
      </c>
      <c r="V185" s="40">
        <f t="shared" si="17"/>
        <v>1456</v>
      </c>
      <c r="W185" s="40">
        <f t="shared" si="17"/>
        <v>0</v>
      </c>
      <c r="X185" s="39">
        <f t="shared" si="17"/>
        <v>0</v>
      </c>
      <c r="Y185" s="40">
        <f t="shared" si="17"/>
        <v>58</v>
      </c>
      <c r="Z185" s="40">
        <f t="shared" si="17"/>
        <v>638</v>
      </c>
      <c r="AA185" s="40">
        <f t="shared" si="17"/>
        <v>0</v>
      </c>
      <c r="AB185" s="40">
        <f>IF(AA185+AB182-AB183&lt;0,0,AA185+AB182-AB183)</f>
        <v>2824</v>
      </c>
      <c r="AC185" s="40">
        <f t="shared" si="17"/>
        <v>1076</v>
      </c>
      <c r="AD185" s="40">
        <f t="shared" si="17"/>
        <v>468</v>
      </c>
      <c r="AE185" s="39">
        <f t="shared" si="17"/>
        <v>468</v>
      </c>
      <c r="AF185" s="40">
        <f t="shared" si="17"/>
        <v>0</v>
      </c>
      <c r="AG185" s="47">
        <f>IF(AE185+AG182-AG183&lt;0,0,AE185+AG182-AG183)</f>
        <v>0</v>
      </c>
      <c r="AH185" s="14"/>
      <c r="AI185" s="14"/>
    </row>
    <row r="186" spans="1:35" ht="14.25" customHeight="1">
      <c r="A186" s="146" t="s">
        <v>10</v>
      </c>
      <c r="C186" s="13"/>
      <c r="G186" s="280" t="s">
        <v>103</v>
      </c>
      <c r="H186" s="280" t="s">
        <v>103</v>
      </c>
      <c r="I186" s="280" t="s">
        <v>103</v>
      </c>
      <c r="J186" s="48"/>
      <c r="K186" s="280" t="s">
        <v>103</v>
      </c>
      <c r="L186" s="280" t="s">
        <v>103</v>
      </c>
      <c r="M186" s="280" t="s">
        <v>103</v>
      </c>
      <c r="N186" s="280" t="s">
        <v>103</v>
      </c>
      <c r="O186" s="280" t="s">
        <v>103</v>
      </c>
      <c r="Q186" s="13"/>
      <c r="R186" s="280" t="s">
        <v>103</v>
      </c>
      <c r="T186" s="280" t="s">
        <v>103</v>
      </c>
      <c r="V186" s="280" t="s">
        <v>103</v>
      </c>
      <c r="W186" s="280" t="s">
        <v>78</v>
      </c>
      <c r="X186" s="13"/>
      <c r="Y186" s="280" t="s">
        <v>78</v>
      </c>
      <c r="Z186" s="280" t="s">
        <v>78</v>
      </c>
      <c r="AA186" s="280" t="s">
        <v>78</v>
      </c>
      <c r="AB186" s="280" t="s">
        <v>78</v>
      </c>
      <c r="AC186" s="280" t="s">
        <v>78</v>
      </c>
      <c r="AE186" s="13"/>
      <c r="AG186" s="97"/>
      <c r="AH186" s="14"/>
      <c r="AI186" s="14"/>
    </row>
    <row r="187" spans="1:35" ht="14.25" customHeight="1">
      <c r="A187" s="147" t="s">
        <v>11</v>
      </c>
      <c r="C187" s="13"/>
      <c r="G187" s="93" t="s">
        <v>416</v>
      </c>
      <c r="H187" s="93" t="s">
        <v>387</v>
      </c>
      <c r="I187" s="93" t="s">
        <v>390</v>
      </c>
      <c r="J187" s="15"/>
      <c r="K187" s="93" t="s">
        <v>388</v>
      </c>
      <c r="L187" s="93" t="s">
        <v>393</v>
      </c>
      <c r="M187" s="93" t="s">
        <v>395</v>
      </c>
      <c r="N187" s="93" t="s">
        <v>398</v>
      </c>
      <c r="O187" s="93" t="s">
        <v>400</v>
      </c>
      <c r="Q187" s="13"/>
      <c r="R187" s="93" t="s">
        <v>404</v>
      </c>
      <c r="T187" s="93" t="s">
        <v>408</v>
      </c>
      <c r="V187" s="93" t="s">
        <v>411</v>
      </c>
      <c r="W187" s="93" t="s">
        <v>198</v>
      </c>
      <c r="X187" s="13"/>
      <c r="Y187" s="93" t="s">
        <v>215</v>
      </c>
      <c r="Z187" s="93" t="s">
        <v>201</v>
      </c>
      <c r="AA187" s="93" t="s">
        <v>202</v>
      </c>
      <c r="AB187" s="93" t="s">
        <v>217</v>
      </c>
      <c r="AC187" s="93" t="s">
        <v>192</v>
      </c>
      <c r="AE187" s="13"/>
      <c r="AG187" s="98"/>
      <c r="AH187" s="14"/>
      <c r="AI187" s="14"/>
    </row>
    <row r="188" spans="1:35" ht="14.25" customHeight="1">
      <c r="A188" s="148" t="s">
        <v>12</v>
      </c>
      <c r="C188" s="13"/>
      <c r="G188" s="17">
        <v>43435</v>
      </c>
      <c r="H188" s="17">
        <v>43435</v>
      </c>
      <c r="I188" s="17" t="s">
        <v>503</v>
      </c>
      <c r="J188" s="15"/>
      <c r="K188" s="17" t="s">
        <v>504</v>
      </c>
      <c r="L188" s="17" t="s">
        <v>504</v>
      </c>
      <c r="M188" s="17" t="s">
        <v>503</v>
      </c>
      <c r="N188" s="17" t="s">
        <v>504</v>
      </c>
      <c r="O188" s="17" t="s">
        <v>504</v>
      </c>
      <c r="Q188" s="13"/>
      <c r="R188" s="17" t="s">
        <v>503</v>
      </c>
      <c r="T188" s="17" t="s">
        <v>504</v>
      </c>
      <c r="V188" s="17" t="s">
        <v>504</v>
      </c>
      <c r="W188" s="17" t="s">
        <v>504</v>
      </c>
      <c r="X188" s="13"/>
      <c r="Y188" s="17" t="s">
        <v>503</v>
      </c>
      <c r="Z188" s="17" t="s">
        <v>504</v>
      </c>
      <c r="AA188" s="17" t="s">
        <v>503</v>
      </c>
      <c r="AB188" s="17" t="s">
        <v>503</v>
      </c>
      <c r="AC188" s="17" t="s">
        <v>503</v>
      </c>
      <c r="AE188" s="13"/>
      <c r="AG188" s="98"/>
      <c r="AH188" s="14"/>
      <c r="AI188" s="14"/>
    </row>
    <row r="189" spans="1:35" ht="14.25" customHeight="1">
      <c r="A189" s="149" t="s">
        <v>13</v>
      </c>
      <c r="C189" s="13"/>
      <c r="G189" s="49" t="s">
        <v>85</v>
      </c>
      <c r="H189" s="19" t="s">
        <v>85</v>
      </c>
      <c r="I189" s="19" t="s">
        <v>85</v>
      </c>
      <c r="J189" s="15"/>
      <c r="K189" s="19" t="s">
        <v>85</v>
      </c>
      <c r="L189" s="19" t="s">
        <v>85</v>
      </c>
      <c r="M189" s="19" t="s">
        <v>85</v>
      </c>
      <c r="N189" s="19" t="s">
        <v>85</v>
      </c>
      <c r="O189" s="19" t="s">
        <v>85</v>
      </c>
      <c r="Q189" s="13"/>
      <c r="R189" s="19" t="s">
        <v>85</v>
      </c>
      <c r="T189" s="19" t="s">
        <v>85</v>
      </c>
      <c r="V189" s="19" t="s">
        <v>85</v>
      </c>
      <c r="W189" s="19" t="s">
        <v>85</v>
      </c>
      <c r="X189" s="13"/>
      <c r="Y189" s="19" t="s">
        <v>85</v>
      </c>
      <c r="Z189" s="19" t="s">
        <v>85</v>
      </c>
      <c r="AA189" s="19" t="s">
        <v>85</v>
      </c>
      <c r="AB189" s="19" t="s">
        <v>85</v>
      </c>
      <c r="AC189" s="19" t="s">
        <v>85</v>
      </c>
      <c r="AE189" s="13"/>
      <c r="AG189" s="98"/>
      <c r="AH189" s="14"/>
      <c r="AI189" s="14"/>
    </row>
    <row r="190" spans="1:35" ht="14.25" customHeight="1">
      <c r="A190" s="150" t="s">
        <v>15</v>
      </c>
      <c r="C190" s="13"/>
      <c r="G190" s="280" t="s">
        <v>16</v>
      </c>
      <c r="H190" s="280" t="s">
        <v>16</v>
      </c>
      <c r="I190" s="280" t="s">
        <v>16</v>
      </c>
      <c r="J190" s="15"/>
      <c r="K190" s="280" t="s">
        <v>16</v>
      </c>
      <c r="L190" s="280" t="s">
        <v>16</v>
      </c>
      <c r="M190" s="280" t="s">
        <v>16</v>
      </c>
      <c r="N190" s="280" t="s">
        <v>16</v>
      </c>
      <c r="O190" s="280" t="s">
        <v>16</v>
      </c>
      <c r="Q190" s="13"/>
      <c r="R190" s="280" t="s">
        <v>16</v>
      </c>
      <c r="T190" s="280" t="s">
        <v>16</v>
      </c>
      <c r="V190" s="280" t="s">
        <v>16</v>
      </c>
      <c r="W190" s="280" t="s">
        <v>53</v>
      </c>
      <c r="X190" s="13"/>
      <c r="Y190" s="280" t="s">
        <v>53</v>
      </c>
      <c r="Z190" s="280" t="s">
        <v>53</v>
      </c>
      <c r="AA190" s="280" t="s">
        <v>53</v>
      </c>
      <c r="AB190" s="280" t="s">
        <v>53</v>
      </c>
      <c r="AC190" s="280" t="s">
        <v>53</v>
      </c>
      <c r="AE190" s="13"/>
      <c r="AG190" s="98"/>
      <c r="AH190" s="14"/>
      <c r="AI190" s="14"/>
    </row>
    <row r="191" spans="1:35" ht="14.25" customHeight="1">
      <c r="A191" s="151" t="s">
        <v>17</v>
      </c>
      <c r="C191" s="13"/>
      <c r="G191" s="100" t="s">
        <v>417</v>
      </c>
      <c r="H191" s="100" t="s">
        <v>145</v>
      </c>
      <c r="I191" s="100" t="s">
        <v>145</v>
      </c>
      <c r="J191" s="15"/>
      <c r="K191" s="100" t="s">
        <v>145</v>
      </c>
      <c r="L191" s="100" t="s">
        <v>145</v>
      </c>
      <c r="M191" s="100" t="s">
        <v>145</v>
      </c>
      <c r="N191" s="100" t="s">
        <v>145</v>
      </c>
      <c r="O191" s="100" t="s">
        <v>145</v>
      </c>
      <c r="Q191" s="13"/>
      <c r="R191" s="100" t="s">
        <v>145</v>
      </c>
      <c r="T191" s="100" t="s">
        <v>145</v>
      </c>
      <c r="V191" s="100" t="s">
        <v>145</v>
      </c>
      <c r="W191" s="100" t="s">
        <v>145</v>
      </c>
      <c r="X191" s="13"/>
      <c r="Y191" s="100" t="s">
        <v>145</v>
      </c>
      <c r="Z191" s="100" t="s">
        <v>145</v>
      </c>
      <c r="AA191" s="100" t="s">
        <v>145</v>
      </c>
      <c r="AB191" s="100" t="s">
        <v>145</v>
      </c>
      <c r="AC191" s="100" t="s">
        <v>145</v>
      </c>
      <c r="AE191" s="13"/>
      <c r="AG191" s="98"/>
      <c r="AH191" s="14"/>
      <c r="AI191" s="14"/>
    </row>
    <row r="192" spans="1:35" ht="14.25" customHeight="1">
      <c r="A192" s="152" t="s">
        <v>18</v>
      </c>
      <c r="C192" s="13"/>
      <c r="G192" s="23"/>
      <c r="H192" s="23"/>
      <c r="I192" s="23"/>
      <c r="J192" s="15"/>
      <c r="K192" s="23"/>
      <c r="L192" s="23"/>
      <c r="M192" s="23"/>
      <c r="N192" s="23"/>
      <c r="O192" s="23"/>
      <c r="Q192" s="13"/>
      <c r="R192" s="23"/>
      <c r="T192" s="23"/>
      <c r="V192" s="23"/>
      <c r="W192" s="23"/>
      <c r="X192" s="13"/>
      <c r="Y192" s="23"/>
      <c r="Z192" s="23"/>
      <c r="AA192" s="23"/>
      <c r="AB192" s="23"/>
      <c r="AC192" s="23"/>
      <c r="AE192" s="13"/>
      <c r="AG192" s="98"/>
      <c r="AH192" s="14"/>
      <c r="AI192" s="14"/>
    </row>
    <row r="193" spans="1:35" ht="14.25" customHeight="1">
      <c r="A193" s="146" t="s">
        <v>20</v>
      </c>
      <c r="C193" s="13"/>
      <c r="G193" s="176"/>
      <c r="H193" s="176"/>
      <c r="I193" s="176"/>
      <c r="J193" s="15"/>
      <c r="K193" s="176"/>
      <c r="L193" s="176"/>
      <c r="M193" s="176"/>
      <c r="N193" s="176"/>
      <c r="O193" s="176"/>
      <c r="Q193" s="13"/>
      <c r="R193" s="176"/>
      <c r="T193" s="176"/>
      <c r="V193" s="176"/>
      <c r="W193" s="176"/>
      <c r="X193" s="13"/>
      <c r="Y193" s="176"/>
      <c r="Z193" s="176"/>
      <c r="AA193" s="176"/>
      <c r="AB193" s="176"/>
      <c r="AC193" s="176"/>
      <c r="AE193" s="13"/>
      <c r="AG193" s="98"/>
      <c r="AH193" s="14"/>
      <c r="AI193" s="14"/>
    </row>
    <row r="194" spans="1:35" ht="14.25" customHeight="1">
      <c r="A194" s="153" t="s">
        <v>21</v>
      </c>
      <c r="C194" s="13"/>
      <c r="G194" s="94" t="s">
        <v>100</v>
      </c>
      <c r="H194" s="94" t="s">
        <v>122</v>
      </c>
      <c r="I194" s="94" t="s">
        <v>122</v>
      </c>
      <c r="J194" s="15"/>
      <c r="K194" s="94" t="s">
        <v>123</v>
      </c>
      <c r="L194" s="94" t="s">
        <v>123</v>
      </c>
      <c r="M194" s="94" t="s">
        <v>101</v>
      </c>
      <c r="N194" s="94" t="s">
        <v>102</v>
      </c>
      <c r="O194" s="94" t="s">
        <v>102</v>
      </c>
      <c r="Q194" s="13"/>
      <c r="R194" s="94" t="s">
        <v>102</v>
      </c>
      <c r="T194" s="94" t="s">
        <v>102</v>
      </c>
      <c r="V194" s="94" t="s">
        <v>102</v>
      </c>
      <c r="W194" s="94" t="s">
        <v>80</v>
      </c>
      <c r="X194" s="13"/>
      <c r="Y194" s="94" t="s">
        <v>81</v>
      </c>
      <c r="Z194" s="94" t="s">
        <v>84</v>
      </c>
      <c r="AA194" s="94" t="s">
        <v>84</v>
      </c>
      <c r="AB194" s="94" t="s">
        <v>83</v>
      </c>
      <c r="AC194" s="94" t="s">
        <v>99</v>
      </c>
      <c r="AE194" s="13"/>
      <c r="AG194" s="98"/>
      <c r="AH194" s="14"/>
      <c r="AI194" s="14"/>
    </row>
    <row r="195" spans="1:35" ht="14.25" customHeight="1">
      <c r="A195" s="154" t="s">
        <v>22</v>
      </c>
      <c r="C195" s="13"/>
      <c r="G195" s="27"/>
      <c r="H195" s="27"/>
      <c r="I195" s="27"/>
      <c r="J195" s="15"/>
      <c r="K195" s="27"/>
      <c r="L195" s="27"/>
      <c r="M195" s="27"/>
      <c r="N195" s="27"/>
      <c r="O195" s="27"/>
      <c r="Q195" s="13"/>
      <c r="R195" s="27"/>
      <c r="T195" s="27"/>
      <c r="V195" s="27"/>
      <c r="W195" s="27"/>
      <c r="X195" s="13"/>
      <c r="Y195" s="27"/>
      <c r="Z195" s="27"/>
      <c r="AA195" s="27"/>
      <c r="AB195" s="27"/>
      <c r="AC195" s="27"/>
      <c r="AE195" s="13"/>
      <c r="AG195" s="98"/>
      <c r="AH195" s="14"/>
      <c r="AI195" s="14"/>
    </row>
    <row r="196" spans="1:35" ht="14.25" customHeight="1">
      <c r="A196" s="153" t="s">
        <v>23</v>
      </c>
      <c r="C196" s="13"/>
      <c r="G196" s="280">
        <v>504</v>
      </c>
      <c r="H196" s="280">
        <v>1128</v>
      </c>
      <c r="I196" s="280">
        <v>1308</v>
      </c>
      <c r="J196" s="15"/>
      <c r="K196" s="280">
        <v>372</v>
      </c>
      <c r="L196" s="280">
        <v>1584</v>
      </c>
      <c r="M196" s="280">
        <v>384</v>
      </c>
      <c r="N196" s="280">
        <v>576</v>
      </c>
      <c r="O196" s="280">
        <v>240</v>
      </c>
      <c r="Q196" s="13"/>
      <c r="R196" s="280">
        <v>144</v>
      </c>
      <c r="T196" s="280">
        <v>348</v>
      </c>
      <c r="V196" s="280">
        <v>1008</v>
      </c>
      <c r="W196" s="280">
        <v>1584</v>
      </c>
      <c r="X196" s="13"/>
      <c r="Y196" s="280">
        <v>1920</v>
      </c>
      <c r="Z196" s="280">
        <v>372</v>
      </c>
      <c r="AA196" s="280">
        <v>120</v>
      </c>
      <c r="AB196" s="280">
        <v>1212</v>
      </c>
      <c r="AC196" s="280">
        <v>1200</v>
      </c>
      <c r="AE196" s="13"/>
      <c r="AG196" s="98"/>
      <c r="AH196" s="14"/>
      <c r="AI196" s="14"/>
    </row>
    <row r="197" spans="1:35" ht="14.25" customHeight="1">
      <c r="A197" s="155" t="s">
        <v>24</v>
      </c>
      <c r="C197" s="13"/>
      <c r="G197" s="29" t="s">
        <v>499</v>
      </c>
      <c r="H197" s="29" t="s">
        <v>502</v>
      </c>
      <c r="I197" s="29" t="s">
        <v>519</v>
      </c>
      <c r="J197" s="15"/>
      <c r="K197" s="29" t="s">
        <v>501</v>
      </c>
      <c r="L197" s="29" t="s">
        <v>520</v>
      </c>
      <c r="M197" s="29" t="s">
        <v>519</v>
      </c>
      <c r="N197" s="29" t="s">
        <v>521</v>
      </c>
      <c r="O197" s="29">
        <v>-5</v>
      </c>
      <c r="Q197" s="13"/>
      <c r="R197" s="30"/>
      <c r="T197" s="30"/>
      <c r="V197" s="30"/>
      <c r="W197" s="30"/>
      <c r="X197" s="13"/>
      <c r="Y197" s="30"/>
      <c r="Z197" s="30"/>
      <c r="AA197" s="30"/>
      <c r="AB197" s="30"/>
      <c r="AC197" s="30"/>
      <c r="AE197" s="13"/>
      <c r="AG197" s="98"/>
      <c r="AH197" s="14"/>
      <c r="AI197" s="14"/>
    </row>
    <row r="198" spans="1:35" ht="14.25" customHeight="1">
      <c r="A198" s="128" t="s">
        <v>25</v>
      </c>
      <c r="C198" s="13"/>
      <c r="G198" s="32">
        <v>43446</v>
      </c>
      <c r="H198" s="32">
        <v>43462</v>
      </c>
      <c r="I198" s="32">
        <v>43490</v>
      </c>
      <c r="J198" s="15"/>
      <c r="K198" s="32">
        <v>43114</v>
      </c>
      <c r="L198" s="32">
        <v>43509</v>
      </c>
      <c r="M198" s="32">
        <v>43483</v>
      </c>
      <c r="N198" s="32">
        <v>43105</v>
      </c>
      <c r="O198" s="32">
        <v>43464</v>
      </c>
      <c r="Q198" s="13"/>
      <c r="R198" s="32">
        <v>43492</v>
      </c>
      <c r="T198" s="32">
        <v>43510</v>
      </c>
      <c r="V198" s="32">
        <v>43518</v>
      </c>
      <c r="W198" s="32">
        <v>43510</v>
      </c>
      <c r="X198" s="13"/>
      <c r="Y198" s="32">
        <v>43490</v>
      </c>
      <c r="Z198" s="32">
        <v>43114</v>
      </c>
      <c r="AA198" s="32">
        <v>43492</v>
      </c>
      <c r="AB198" s="32">
        <v>43479</v>
      </c>
      <c r="AC198" s="32">
        <v>43479</v>
      </c>
      <c r="AE198" s="13"/>
      <c r="AG198" s="98"/>
      <c r="AH198" s="14"/>
      <c r="AI198" s="14"/>
    </row>
    <row r="199" spans="1:35" ht="14.25" customHeight="1" thickBot="1">
      <c r="A199" s="146" t="s">
        <v>27</v>
      </c>
      <c r="C199" s="13"/>
      <c r="G199" s="31" t="s">
        <v>33</v>
      </c>
      <c r="H199" s="31" t="s">
        <v>29</v>
      </c>
      <c r="I199" s="31" t="s">
        <v>29</v>
      </c>
      <c r="J199" s="187"/>
      <c r="K199" s="31" t="s">
        <v>62</v>
      </c>
      <c r="L199" s="31" t="s">
        <v>30</v>
      </c>
      <c r="M199" s="31" t="s">
        <v>29</v>
      </c>
      <c r="N199" s="31" t="s">
        <v>48</v>
      </c>
      <c r="O199" s="31" t="s">
        <v>63</v>
      </c>
      <c r="Q199" s="183"/>
      <c r="R199" s="31" t="s">
        <v>28</v>
      </c>
      <c r="T199" s="31" t="s">
        <v>28</v>
      </c>
      <c r="V199" s="31" t="s">
        <v>28</v>
      </c>
      <c r="W199" s="31" t="s">
        <v>33</v>
      </c>
      <c r="X199" s="183"/>
      <c r="Y199" s="31" t="s">
        <v>29</v>
      </c>
      <c r="Z199" s="31" t="s">
        <v>62</v>
      </c>
      <c r="AA199" s="31" t="s">
        <v>28</v>
      </c>
      <c r="AB199" s="31" t="s">
        <v>29</v>
      </c>
      <c r="AC199" s="31" t="s">
        <v>29</v>
      </c>
      <c r="AE199" s="13"/>
      <c r="AG199" s="98"/>
      <c r="AH199" s="14"/>
      <c r="AI199" s="14"/>
    </row>
    <row r="200" spans="1:35" ht="14.25" customHeight="1">
      <c r="A200" s="146" t="s">
        <v>10</v>
      </c>
      <c r="C200" s="13"/>
      <c r="G200" s="280" t="s">
        <v>103</v>
      </c>
      <c r="H200" s="280" t="s">
        <v>103</v>
      </c>
      <c r="I200" s="280" t="s">
        <v>103</v>
      </c>
      <c r="J200" s="15"/>
      <c r="K200" s="280" t="s">
        <v>103</v>
      </c>
      <c r="L200" s="280" t="s">
        <v>103</v>
      </c>
      <c r="M200" s="280" t="s">
        <v>103</v>
      </c>
      <c r="N200" s="116" t="s">
        <v>103</v>
      </c>
      <c r="O200" s="280" t="s">
        <v>103</v>
      </c>
      <c r="Q200" s="13"/>
      <c r="R200" s="280" t="s">
        <v>103</v>
      </c>
      <c r="T200" s="280" t="s">
        <v>103</v>
      </c>
      <c r="V200" s="280" t="s">
        <v>103</v>
      </c>
      <c r="W200" s="280" t="s">
        <v>78</v>
      </c>
      <c r="X200" s="13"/>
      <c r="Z200" s="280" t="s">
        <v>78</v>
      </c>
      <c r="AA200" s="280" t="s">
        <v>78</v>
      </c>
      <c r="AB200" s="280" t="s">
        <v>78</v>
      </c>
      <c r="AC200" s="116" t="s">
        <v>78</v>
      </c>
      <c r="AE200" s="13"/>
      <c r="AG200" s="98"/>
      <c r="AH200" s="14"/>
    </row>
    <row r="201" spans="1:35" ht="14.25" customHeight="1">
      <c r="A201" s="147" t="s">
        <v>11</v>
      </c>
      <c r="C201" s="13"/>
      <c r="G201" s="93" t="s">
        <v>385</v>
      </c>
      <c r="H201" s="93" t="s">
        <v>391</v>
      </c>
      <c r="I201" s="93" t="s">
        <v>389</v>
      </c>
      <c r="J201" s="15"/>
      <c r="K201" s="93" t="s">
        <v>392</v>
      </c>
      <c r="L201" s="93" t="s">
        <v>396</v>
      </c>
      <c r="M201" s="93" t="s">
        <v>397</v>
      </c>
      <c r="N201" s="117" t="s">
        <v>399</v>
      </c>
      <c r="O201" s="93" t="s">
        <v>401</v>
      </c>
      <c r="Q201" s="13"/>
      <c r="R201" s="93" t="s">
        <v>403</v>
      </c>
      <c r="T201" s="93" t="s">
        <v>407</v>
      </c>
      <c r="V201" s="93" t="s">
        <v>410</v>
      </c>
      <c r="W201" s="93" t="s">
        <v>227</v>
      </c>
      <c r="X201" s="13"/>
      <c r="Z201" s="93" t="s">
        <v>203</v>
      </c>
      <c r="AA201" s="93" t="s">
        <v>228</v>
      </c>
      <c r="AB201" s="93" t="s">
        <v>191</v>
      </c>
      <c r="AC201" s="117" t="s">
        <v>495</v>
      </c>
      <c r="AE201" s="13"/>
      <c r="AG201" s="98"/>
      <c r="AH201" s="14"/>
    </row>
    <row r="202" spans="1:35" ht="14.25" customHeight="1">
      <c r="A202" s="148" t="s">
        <v>12</v>
      </c>
      <c r="C202" s="13"/>
      <c r="G202" s="17">
        <v>43435</v>
      </c>
      <c r="H202" s="17" t="s">
        <v>503</v>
      </c>
      <c r="I202" s="17" t="s">
        <v>504</v>
      </c>
      <c r="J202" s="15"/>
      <c r="K202" s="17" t="s">
        <v>503</v>
      </c>
      <c r="L202" s="17" t="s">
        <v>503</v>
      </c>
      <c r="M202" s="17" t="s">
        <v>503</v>
      </c>
      <c r="N202" s="17" t="s">
        <v>504</v>
      </c>
      <c r="O202" s="17" t="s">
        <v>503</v>
      </c>
      <c r="Q202" s="13"/>
      <c r="R202" s="17" t="s">
        <v>504</v>
      </c>
      <c r="T202" s="17" t="s">
        <v>504</v>
      </c>
      <c r="V202" s="17" t="s">
        <v>484</v>
      </c>
      <c r="W202" s="17" t="s">
        <v>504</v>
      </c>
      <c r="X202" s="13"/>
      <c r="Z202" s="17" t="s">
        <v>503</v>
      </c>
      <c r="AA202" s="17" t="s">
        <v>503</v>
      </c>
      <c r="AB202" s="17" t="s">
        <v>503</v>
      </c>
      <c r="AC202" s="249"/>
      <c r="AE202" s="13"/>
      <c r="AG202" s="98"/>
      <c r="AH202" s="14"/>
    </row>
    <row r="203" spans="1:35" ht="14.25" customHeight="1">
      <c r="A203" s="149" t="s">
        <v>13</v>
      </c>
      <c r="C203" s="13"/>
      <c r="G203" s="19" t="s">
        <v>85</v>
      </c>
      <c r="H203" s="19" t="s">
        <v>85</v>
      </c>
      <c r="I203" s="19" t="s">
        <v>85</v>
      </c>
      <c r="J203" s="15"/>
      <c r="K203" s="19" t="s">
        <v>85</v>
      </c>
      <c r="L203" s="19" t="s">
        <v>85</v>
      </c>
      <c r="M203" s="19" t="s">
        <v>85</v>
      </c>
      <c r="N203" s="118" t="s">
        <v>85</v>
      </c>
      <c r="O203" s="19" t="s">
        <v>85</v>
      </c>
      <c r="Q203" s="13"/>
      <c r="R203" s="19" t="s">
        <v>85</v>
      </c>
      <c r="T203" s="19" t="s">
        <v>85</v>
      </c>
      <c r="V203" s="19" t="s">
        <v>85</v>
      </c>
      <c r="W203" s="19" t="s">
        <v>85</v>
      </c>
      <c r="X203" s="13"/>
      <c r="Z203" s="19" t="s">
        <v>85</v>
      </c>
      <c r="AA203" s="19" t="s">
        <v>85</v>
      </c>
      <c r="AB203" s="19" t="s">
        <v>85</v>
      </c>
      <c r="AC203" s="118" t="s">
        <v>85</v>
      </c>
      <c r="AE203" s="13"/>
      <c r="AG203" s="98"/>
      <c r="AH203" s="14"/>
    </row>
    <row r="204" spans="1:35" ht="14.25" customHeight="1">
      <c r="A204" s="150" t="s">
        <v>15</v>
      </c>
      <c r="C204" s="13"/>
      <c r="G204" s="280" t="s">
        <v>16</v>
      </c>
      <c r="H204" s="280" t="s">
        <v>16</v>
      </c>
      <c r="I204" s="280" t="s">
        <v>16</v>
      </c>
      <c r="J204" s="15"/>
      <c r="K204" s="280" t="s">
        <v>16</v>
      </c>
      <c r="L204" s="280" t="s">
        <v>16</v>
      </c>
      <c r="M204" s="280" t="s">
        <v>16</v>
      </c>
      <c r="N204" s="119" t="s">
        <v>16</v>
      </c>
      <c r="O204" s="280" t="s">
        <v>16</v>
      </c>
      <c r="Q204" s="13"/>
      <c r="R204" s="280" t="s">
        <v>16</v>
      </c>
      <c r="T204" s="280" t="s">
        <v>16</v>
      </c>
      <c r="V204" s="280" t="s">
        <v>16</v>
      </c>
      <c r="W204" s="280" t="s">
        <v>53</v>
      </c>
      <c r="X204" s="13"/>
      <c r="Z204" s="280" t="s">
        <v>53</v>
      </c>
      <c r="AA204" s="280" t="s">
        <v>53</v>
      </c>
      <c r="AB204" s="280" t="s">
        <v>53</v>
      </c>
      <c r="AC204" s="119" t="s">
        <v>53</v>
      </c>
      <c r="AE204" s="13"/>
      <c r="AG204" s="98"/>
      <c r="AH204" s="14"/>
    </row>
    <row r="205" spans="1:35" ht="14.25" customHeight="1">
      <c r="A205" s="151" t="s">
        <v>17</v>
      </c>
      <c r="C205" s="13"/>
      <c r="G205" s="100" t="s">
        <v>145</v>
      </c>
      <c r="H205" s="100" t="s">
        <v>145</v>
      </c>
      <c r="I205" s="100" t="s">
        <v>145</v>
      </c>
      <c r="J205" s="15"/>
      <c r="K205" s="100" t="s">
        <v>145</v>
      </c>
      <c r="L205" s="100" t="s">
        <v>145</v>
      </c>
      <c r="M205" s="100" t="s">
        <v>145</v>
      </c>
      <c r="N205" s="120" t="s">
        <v>145</v>
      </c>
      <c r="O205" s="100" t="s">
        <v>145</v>
      </c>
      <c r="Q205" s="13"/>
      <c r="R205" s="100" t="s">
        <v>145</v>
      </c>
      <c r="T205" s="100" t="s">
        <v>145</v>
      </c>
      <c r="V205" s="100" t="s">
        <v>145</v>
      </c>
      <c r="W205" s="100" t="s">
        <v>145</v>
      </c>
      <c r="X205" s="13"/>
      <c r="Z205" s="100" t="s">
        <v>145</v>
      </c>
      <c r="AA205" s="100" t="s">
        <v>145</v>
      </c>
      <c r="AB205" s="100" t="s">
        <v>145</v>
      </c>
      <c r="AC205" s="120" t="s">
        <v>493</v>
      </c>
      <c r="AE205" s="13"/>
      <c r="AG205" s="98"/>
      <c r="AH205" s="14"/>
    </row>
    <row r="206" spans="1:35" ht="14.25" customHeight="1">
      <c r="A206" s="152" t="s">
        <v>18</v>
      </c>
      <c r="C206" s="13"/>
      <c r="G206" s="23"/>
      <c r="H206" s="23"/>
      <c r="I206" s="23"/>
      <c r="J206" s="15"/>
      <c r="K206" s="23"/>
      <c r="L206" s="23"/>
      <c r="M206" s="23"/>
      <c r="N206" s="121"/>
      <c r="O206" s="23"/>
      <c r="Q206" s="13"/>
      <c r="R206" s="23"/>
      <c r="T206" s="23"/>
      <c r="V206" s="23"/>
      <c r="W206" s="23"/>
      <c r="X206" s="13"/>
      <c r="Z206" s="23"/>
      <c r="AA206" s="23"/>
      <c r="AB206" s="23"/>
      <c r="AC206" s="121"/>
      <c r="AE206" s="13"/>
      <c r="AG206" s="98"/>
      <c r="AH206" s="14"/>
    </row>
    <row r="207" spans="1:35" ht="14.25" customHeight="1">
      <c r="A207" s="146" t="s">
        <v>20</v>
      </c>
      <c r="C207" s="13"/>
      <c r="G207" s="176"/>
      <c r="H207" s="176"/>
      <c r="I207" s="176"/>
      <c r="J207" s="15"/>
      <c r="K207" s="176"/>
      <c r="L207" s="176"/>
      <c r="M207" s="176"/>
      <c r="N207" s="221"/>
      <c r="O207" s="176"/>
      <c r="Q207" s="13"/>
      <c r="R207" s="176"/>
      <c r="T207" s="176"/>
      <c r="V207" s="176"/>
      <c r="W207" s="176"/>
      <c r="X207" s="13"/>
      <c r="Z207" s="176"/>
      <c r="AA207" s="176"/>
      <c r="AB207" s="176"/>
      <c r="AC207" s="221"/>
      <c r="AE207" s="13"/>
      <c r="AG207" s="98"/>
      <c r="AH207" s="14"/>
    </row>
    <row r="208" spans="1:35" ht="14.25" customHeight="1">
      <c r="A208" s="153" t="s">
        <v>21</v>
      </c>
      <c r="C208" s="13"/>
      <c r="G208" s="94" t="s">
        <v>100</v>
      </c>
      <c r="H208" s="94" t="s">
        <v>122</v>
      </c>
      <c r="I208" s="94" t="s">
        <v>123</v>
      </c>
      <c r="J208" s="15"/>
      <c r="K208" s="94" t="s">
        <v>123</v>
      </c>
      <c r="L208" s="94" t="s">
        <v>101</v>
      </c>
      <c r="M208" s="94" t="s">
        <v>101</v>
      </c>
      <c r="N208" s="122" t="s">
        <v>102</v>
      </c>
      <c r="O208" s="94" t="s">
        <v>102</v>
      </c>
      <c r="Q208" s="13"/>
      <c r="R208" s="94" t="s">
        <v>102</v>
      </c>
      <c r="T208" s="94" t="s">
        <v>102</v>
      </c>
      <c r="V208" s="94" t="s">
        <v>102</v>
      </c>
      <c r="W208" s="94" t="s">
        <v>82</v>
      </c>
      <c r="X208" s="13"/>
      <c r="Z208" s="94" t="s">
        <v>84</v>
      </c>
      <c r="AA208" s="94" t="s">
        <v>84</v>
      </c>
      <c r="AB208" s="94" t="s">
        <v>99</v>
      </c>
      <c r="AC208" s="122" t="s">
        <v>492</v>
      </c>
      <c r="AE208" s="13"/>
      <c r="AG208" s="98"/>
      <c r="AH208" s="14"/>
    </row>
    <row r="209" spans="1:35" ht="14.25" customHeight="1">
      <c r="A209" s="154" t="s">
        <v>22</v>
      </c>
      <c r="C209" s="13"/>
      <c r="G209" s="27"/>
      <c r="H209" s="27"/>
      <c r="I209" s="27"/>
      <c r="J209" s="15"/>
      <c r="K209" s="27"/>
      <c r="L209" s="27" t="s">
        <v>124</v>
      </c>
      <c r="M209" s="27"/>
      <c r="N209" s="123"/>
      <c r="O209" s="27"/>
      <c r="Q209" s="13"/>
      <c r="R209" s="27"/>
      <c r="T209" s="27"/>
      <c r="V209" s="27" t="s">
        <v>117</v>
      </c>
      <c r="W209" s="27"/>
      <c r="X209" s="13"/>
      <c r="Z209" s="27"/>
      <c r="AA209" s="27"/>
      <c r="AB209" s="27"/>
      <c r="AC209" s="123"/>
      <c r="AE209" s="13"/>
      <c r="AG209" s="98"/>
      <c r="AH209" s="14"/>
    </row>
    <row r="210" spans="1:35" ht="14.25" customHeight="1">
      <c r="A210" s="153" t="s">
        <v>23</v>
      </c>
      <c r="C210" s="13"/>
      <c r="G210" s="280">
        <v>384</v>
      </c>
      <c r="H210" s="280">
        <v>456</v>
      </c>
      <c r="I210" s="280">
        <v>384</v>
      </c>
      <c r="J210" s="15"/>
      <c r="K210" s="280">
        <v>1020</v>
      </c>
      <c r="L210" s="280">
        <v>900</v>
      </c>
      <c r="M210" s="280">
        <v>1932</v>
      </c>
      <c r="N210" s="119">
        <v>960</v>
      </c>
      <c r="O210" s="280">
        <v>4044</v>
      </c>
      <c r="Q210" s="13"/>
      <c r="R210" s="280">
        <v>576</v>
      </c>
      <c r="T210" s="280">
        <v>924</v>
      </c>
      <c r="V210" s="280">
        <v>168</v>
      </c>
      <c r="W210" s="280">
        <v>360</v>
      </c>
      <c r="X210" s="13"/>
      <c r="Z210" s="280">
        <v>300</v>
      </c>
      <c r="AA210" s="280">
        <v>144</v>
      </c>
      <c r="AB210" s="280">
        <v>948</v>
      </c>
      <c r="AC210" s="119">
        <v>10200</v>
      </c>
      <c r="AE210" s="13"/>
      <c r="AG210" s="98"/>
      <c r="AH210" s="14"/>
    </row>
    <row r="211" spans="1:35" ht="14.25" customHeight="1">
      <c r="A211" s="155" t="s">
        <v>24</v>
      </c>
      <c r="C211" s="13"/>
      <c r="G211" s="29" t="s">
        <v>499</v>
      </c>
      <c r="H211" s="29" t="s">
        <v>500</v>
      </c>
      <c r="I211" s="29" t="s">
        <v>501</v>
      </c>
      <c r="J211" s="15"/>
      <c r="K211" s="29" t="s">
        <v>501</v>
      </c>
      <c r="L211" s="29" t="s">
        <v>519</v>
      </c>
      <c r="M211" s="29">
        <v>-5</v>
      </c>
      <c r="N211" s="29">
        <v>-5</v>
      </c>
      <c r="O211" s="29">
        <v>-2741</v>
      </c>
      <c r="Q211" s="13"/>
      <c r="R211" s="30"/>
      <c r="T211" s="30"/>
      <c r="V211" s="30"/>
      <c r="W211" s="30"/>
      <c r="X211" s="13"/>
      <c r="Z211" s="30"/>
      <c r="AA211" s="30"/>
      <c r="AB211" s="30"/>
      <c r="AC211" s="124"/>
      <c r="AE211" s="13"/>
      <c r="AG211" s="98"/>
      <c r="AH211" s="14"/>
    </row>
    <row r="212" spans="1:35" ht="14.25" customHeight="1">
      <c r="A212" s="128" t="s">
        <v>25</v>
      </c>
      <c r="C212" s="13"/>
      <c r="G212" s="32">
        <v>43114</v>
      </c>
      <c r="H212" s="32">
        <v>43490</v>
      </c>
      <c r="I212" s="32">
        <v>43105</v>
      </c>
      <c r="J212" s="15"/>
      <c r="K212" s="32">
        <v>43488</v>
      </c>
      <c r="L212" s="32">
        <v>43479</v>
      </c>
      <c r="M212" s="32">
        <v>43486</v>
      </c>
      <c r="N212" s="125">
        <v>43464</v>
      </c>
      <c r="O212" s="32">
        <v>43488</v>
      </c>
      <c r="Q212" s="13"/>
      <c r="R212" s="32">
        <v>43506</v>
      </c>
      <c r="T212" s="32">
        <v>43510</v>
      </c>
      <c r="V212" s="32">
        <v>43525</v>
      </c>
      <c r="W212" s="32">
        <v>43114</v>
      </c>
      <c r="X212" s="13"/>
      <c r="Z212" s="32">
        <v>43476</v>
      </c>
      <c r="AA212" s="32">
        <v>43492</v>
      </c>
      <c r="AB212" s="32">
        <v>43477</v>
      </c>
      <c r="AC212" s="125">
        <v>43475</v>
      </c>
      <c r="AE212" s="13"/>
      <c r="AG212" s="98"/>
      <c r="AH212" s="14"/>
    </row>
    <row r="213" spans="1:35" ht="14.25" customHeight="1" thickBot="1">
      <c r="A213" s="146" t="s">
        <v>27</v>
      </c>
      <c r="C213" s="13"/>
      <c r="G213" s="31" t="s">
        <v>62</v>
      </c>
      <c r="H213" s="31" t="s">
        <v>29</v>
      </c>
      <c r="I213" s="31" t="s">
        <v>48</v>
      </c>
      <c r="J213" s="15"/>
      <c r="K213" s="31" t="s">
        <v>28</v>
      </c>
      <c r="L213" s="31" t="s">
        <v>29</v>
      </c>
      <c r="M213" s="31" t="s">
        <v>29</v>
      </c>
      <c r="N213" s="128" t="s">
        <v>55</v>
      </c>
      <c r="O213" s="31" t="s">
        <v>28</v>
      </c>
      <c r="Q213" s="183"/>
      <c r="R213" s="31" t="s">
        <v>33</v>
      </c>
      <c r="T213" s="31" t="s">
        <v>28</v>
      </c>
      <c r="V213" s="31" t="s">
        <v>34</v>
      </c>
      <c r="W213" s="31" t="s">
        <v>62</v>
      </c>
      <c r="X213" s="183"/>
      <c r="Z213" s="31" t="s">
        <v>31</v>
      </c>
      <c r="AA213" s="31" t="s">
        <v>28</v>
      </c>
      <c r="AB213" s="31" t="s">
        <v>29</v>
      </c>
      <c r="AC213" s="126" t="s">
        <v>29</v>
      </c>
      <c r="AE213" s="13"/>
      <c r="AG213" s="98"/>
      <c r="AH213" s="14"/>
    </row>
    <row r="214" spans="1:35" ht="14.25" customHeight="1">
      <c r="A214" s="146" t="s">
        <v>10</v>
      </c>
      <c r="C214" s="13"/>
      <c r="G214" s="280" t="s">
        <v>103</v>
      </c>
      <c r="J214" s="15"/>
      <c r="K214" s="280" t="s">
        <v>103</v>
      </c>
      <c r="N214" s="119" t="s">
        <v>103</v>
      </c>
      <c r="Q214" s="13"/>
      <c r="R214" s="280" t="s">
        <v>103</v>
      </c>
      <c r="T214" s="280" t="s">
        <v>103</v>
      </c>
      <c r="V214" s="280" t="s">
        <v>78</v>
      </c>
      <c r="W214" s="280" t="s">
        <v>78</v>
      </c>
      <c r="X214" s="13"/>
      <c r="Z214" s="280" t="s">
        <v>78</v>
      </c>
      <c r="AA214" s="280" t="s">
        <v>78</v>
      </c>
      <c r="AE214" s="13"/>
      <c r="AF214" s="14"/>
      <c r="AG214" s="98"/>
      <c r="AH214" s="14"/>
      <c r="AI214" s="14"/>
    </row>
    <row r="215" spans="1:35" ht="14.25" customHeight="1">
      <c r="A215" s="147" t="s">
        <v>11</v>
      </c>
      <c r="C215" s="13"/>
      <c r="G215" s="93" t="s">
        <v>386</v>
      </c>
      <c r="J215" s="15"/>
      <c r="K215" s="93" t="s">
        <v>394</v>
      </c>
      <c r="N215" s="117" t="s">
        <v>406</v>
      </c>
      <c r="Q215" s="13"/>
      <c r="R215" s="93" t="s">
        <v>402</v>
      </c>
      <c r="T215" s="93" t="s">
        <v>405</v>
      </c>
      <c r="V215" s="93" t="s">
        <v>214</v>
      </c>
      <c r="W215" s="93" t="s">
        <v>200</v>
      </c>
      <c r="X215" s="13"/>
      <c r="Z215" s="93" t="s">
        <v>236</v>
      </c>
      <c r="AA215" s="93" t="s">
        <v>216</v>
      </c>
      <c r="AE215" s="13"/>
      <c r="AF215" s="14"/>
      <c r="AG215" s="98"/>
      <c r="AH215" s="14"/>
      <c r="AI215" s="14"/>
    </row>
    <row r="216" spans="1:35" ht="14.25" customHeight="1">
      <c r="A216" s="148" t="s">
        <v>12</v>
      </c>
      <c r="C216" s="13"/>
      <c r="G216" s="17">
        <v>43435</v>
      </c>
      <c r="J216" s="15"/>
      <c r="K216" s="17" t="s">
        <v>504</v>
      </c>
      <c r="N216" s="17" t="s">
        <v>504</v>
      </c>
      <c r="Q216" s="13"/>
      <c r="R216" s="17" t="s">
        <v>504</v>
      </c>
      <c r="T216" s="17" t="s">
        <v>504</v>
      </c>
      <c r="V216" s="17" t="s">
        <v>504</v>
      </c>
      <c r="W216" s="17" t="s">
        <v>503</v>
      </c>
      <c r="X216" s="13"/>
      <c r="Z216" s="17" t="s">
        <v>503</v>
      </c>
      <c r="AA216" s="17" t="s">
        <v>504</v>
      </c>
      <c r="AE216" s="13"/>
      <c r="AF216" s="14"/>
      <c r="AG216" s="98"/>
      <c r="AH216" s="14"/>
      <c r="AI216" s="14"/>
    </row>
    <row r="217" spans="1:35" ht="14.25" customHeight="1">
      <c r="A217" s="149" t="s">
        <v>13</v>
      </c>
      <c r="C217" s="13"/>
      <c r="G217" s="19" t="s">
        <v>85</v>
      </c>
      <c r="J217" s="15"/>
      <c r="K217" s="19" t="s">
        <v>85</v>
      </c>
      <c r="N217" s="118" t="s">
        <v>85</v>
      </c>
      <c r="Q217" s="13"/>
      <c r="R217" s="19" t="s">
        <v>85</v>
      </c>
      <c r="T217" s="19" t="s">
        <v>85</v>
      </c>
      <c r="V217" s="19" t="s">
        <v>85</v>
      </c>
      <c r="W217" s="19" t="s">
        <v>85</v>
      </c>
      <c r="X217" s="13"/>
      <c r="Z217" s="19" t="s">
        <v>85</v>
      </c>
      <c r="AA217" s="19" t="s">
        <v>85</v>
      </c>
      <c r="AE217" s="13"/>
      <c r="AF217" s="14"/>
      <c r="AG217" s="98"/>
      <c r="AH217" s="14"/>
      <c r="AI217" s="14"/>
    </row>
    <row r="218" spans="1:35" ht="14.25" customHeight="1">
      <c r="A218" s="150" t="s">
        <v>15</v>
      </c>
      <c r="C218" s="13"/>
      <c r="G218" s="280" t="s">
        <v>16</v>
      </c>
      <c r="J218" s="15"/>
      <c r="K218" s="280" t="s">
        <v>16</v>
      </c>
      <c r="N218" s="119" t="s">
        <v>16</v>
      </c>
      <c r="Q218" s="13"/>
      <c r="R218" s="280" t="s">
        <v>16</v>
      </c>
      <c r="T218" s="280" t="s">
        <v>16</v>
      </c>
      <c r="V218" s="280" t="s">
        <v>53</v>
      </c>
      <c r="W218" s="280" t="s">
        <v>53</v>
      </c>
      <c r="X218" s="13"/>
      <c r="Z218" s="280" t="s">
        <v>53</v>
      </c>
      <c r="AA218" s="280" t="s">
        <v>53</v>
      </c>
      <c r="AE218" s="13"/>
      <c r="AF218" s="14"/>
      <c r="AG218" s="98"/>
      <c r="AH218" s="14"/>
      <c r="AI218" s="14"/>
    </row>
    <row r="219" spans="1:35" ht="14.25" customHeight="1">
      <c r="A219" s="151" t="s">
        <v>17</v>
      </c>
      <c r="C219" s="13"/>
      <c r="G219" s="100" t="s">
        <v>145</v>
      </c>
      <c r="J219" s="15"/>
      <c r="K219" s="100" t="s">
        <v>145</v>
      </c>
      <c r="N219" s="120" t="s">
        <v>145</v>
      </c>
      <c r="Q219" s="13"/>
      <c r="R219" s="100" t="s">
        <v>145</v>
      </c>
      <c r="T219" s="100" t="s">
        <v>145</v>
      </c>
      <c r="V219" s="100" t="s">
        <v>145</v>
      </c>
      <c r="W219" s="100" t="s">
        <v>145</v>
      </c>
      <c r="X219" s="13"/>
      <c r="Z219" s="100" t="s">
        <v>145</v>
      </c>
      <c r="AA219" s="100" t="s">
        <v>145</v>
      </c>
      <c r="AE219" s="13"/>
      <c r="AF219" s="14"/>
      <c r="AG219" s="98"/>
      <c r="AH219" s="14"/>
      <c r="AI219" s="14"/>
    </row>
    <row r="220" spans="1:35" ht="14.25" customHeight="1">
      <c r="A220" s="152" t="s">
        <v>18</v>
      </c>
      <c r="C220" s="13"/>
      <c r="G220" s="23"/>
      <c r="J220" s="15"/>
      <c r="K220" s="23"/>
      <c r="N220" s="121"/>
      <c r="Q220" s="13"/>
      <c r="R220" s="23"/>
      <c r="T220" s="23"/>
      <c r="V220" s="23"/>
      <c r="W220" s="23"/>
      <c r="X220" s="13"/>
      <c r="Z220" s="23"/>
      <c r="AA220" s="23"/>
      <c r="AE220" s="13"/>
      <c r="AF220" s="14"/>
      <c r="AG220" s="98"/>
      <c r="AH220" s="14"/>
      <c r="AI220" s="14"/>
    </row>
    <row r="221" spans="1:35" ht="14.25" customHeight="1">
      <c r="A221" s="146" t="s">
        <v>20</v>
      </c>
      <c r="C221" s="13"/>
      <c r="G221" s="176"/>
      <c r="J221" s="15"/>
      <c r="K221" s="176"/>
      <c r="N221" s="221"/>
      <c r="Q221" s="13"/>
      <c r="R221" s="176"/>
      <c r="T221" s="176"/>
      <c r="V221" s="176"/>
      <c r="W221" s="176"/>
      <c r="X221" s="13"/>
      <c r="Z221" s="176"/>
      <c r="AA221" s="176"/>
      <c r="AE221" s="13"/>
      <c r="AF221" s="14"/>
      <c r="AG221" s="98"/>
      <c r="AH221" s="14"/>
      <c r="AI221" s="14"/>
    </row>
    <row r="222" spans="1:35" ht="14.25" customHeight="1">
      <c r="A222" s="153" t="s">
        <v>21</v>
      </c>
      <c r="C222" s="13"/>
      <c r="G222" s="94" t="s">
        <v>100</v>
      </c>
      <c r="J222" s="15"/>
      <c r="K222" s="94" t="s">
        <v>123</v>
      </c>
      <c r="N222" s="122" t="s">
        <v>102</v>
      </c>
      <c r="Q222" s="13"/>
      <c r="R222" s="94" t="s">
        <v>102</v>
      </c>
      <c r="T222" s="94" t="s">
        <v>102</v>
      </c>
      <c r="V222" s="94" t="s">
        <v>80</v>
      </c>
      <c r="W222" s="94" t="s">
        <v>81</v>
      </c>
      <c r="X222" s="13"/>
      <c r="Z222" s="94" t="s">
        <v>84</v>
      </c>
      <c r="AA222" s="94" t="s">
        <v>84</v>
      </c>
      <c r="AE222" s="13"/>
      <c r="AF222" s="14"/>
      <c r="AG222" s="98"/>
      <c r="AH222" s="14"/>
      <c r="AI222" s="14"/>
    </row>
    <row r="223" spans="1:35" ht="14.25" customHeight="1">
      <c r="A223" s="154" t="s">
        <v>22</v>
      </c>
      <c r="C223" s="13"/>
      <c r="G223" s="27"/>
      <c r="J223" s="15"/>
      <c r="K223" s="27"/>
      <c r="N223" s="123" t="s">
        <v>117</v>
      </c>
      <c r="Q223" s="13"/>
      <c r="R223" s="27"/>
      <c r="T223" s="27"/>
      <c r="V223" s="27"/>
      <c r="W223" s="27"/>
      <c r="X223" s="13"/>
      <c r="Z223" s="27"/>
      <c r="AA223" s="27"/>
      <c r="AE223" s="13"/>
      <c r="AF223" s="14"/>
      <c r="AG223" s="98"/>
      <c r="AH223" s="14"/>
      <c r="AI223" s="14"/>
    </row>
    <row r="224" spans="1:35" ht="14.25" customHeight="1">
      <c r="A224" s="153" t="s">
        <v>23</v>
      </c>
      <c r="C224" s="13"/>
      <c r="G224" s="280">
        <v>1692</v>
      </c>
      <c r="J224" s="15"/>
      <c r="K224" s="280">
        <v>156</v>
      </c>
      <c r="N224" s="119">
        <v>264</v>
      </c>
      <c r="Q224" s="13"/>
      <c r="R224" s="280">
        <v>288</v>
      </c>
      <c r="T224" s="280">
        <v>2100</v>
      </c>
      <c r="V224" s="280">
        <v>372</v>
      </c>
      <c r="W224" s="280">
        <v>1248</v>
      </c>
      <c r="X224" s="13"/>
      <c r="Z224" s="280">
        <v>1704</v>
      </c>
      <c r="AA224" s="280">
        <v>204</v>
      </c>
      <c r="AE224" s="13"/>
      <c r="AF224" s="14"/>
      <c r="AG224" s="98"/>
      <c r="AH224" s="14"/>
      <c r="AI224" s="14"/>
    </row>
    <row r="225" spans="1:35" ht="14.25" customHeight="1">
      <c r="A225" s="155" t="s">
        <v>24</v>
      </c>
      <c r="C225" s="13"/>
      <c r="G225" s="29" t="s">
        <v>500</v>
      </c>
      <c r="J225" s="15"/>
      <c r="K225" s="29" t="s">
        <v>501</v>
      </c>
      <c r="N225" s="29">
        <v>-6</v>
      </c>
      <c r="Q225" s="13"/>
      <c r="R225" s="30"/>
      <c r="T225" s="30"/>
      <c r="V225" s="30"/>
      <c r="W225" s="30"/>
      <c r="X225" s="13"/>
      <c r="Z225" s="30"/>
      <c r="AA225" s="30"/>
      <c r="AE225" s="13"/>
      <c r="AF225" s="14"/>
      <c r="AG225" s="98"/>
      <c r="AH225" s="14"/>
      <c r="AI225" s="14"/>
    </row>
    <row r="226" spans="1:35" ht="14.25" customHeight="1">
      <c r="A226" s="128" t="s">
        <v>25</v>
      </c>
      <c r="C226" s="13"/>
      <c r="G226" s="32">
        <v>43510</v>
      </c>
      <c r="J226" s="15"/>
      <c r="K226" s="32">
        <v>43509</v>
      </c>
      <c r="N226" s="125">
        <v>43510</v>
      </c>
      <c r="Q226" s="13"/>
      <c r="R226" s="32">
        <v>43509</v>
      </c>
      <c r="T226" s="32">
        <v>43517</v>
      </c>
      <c r="V226" s="32">
        <v>43105</v>
      </c>
      <c r="W226" s="32">
        <v>43490</v>
      </c>
      <c r="X226" s="13"/>
      <c r="Z226" s="32">
        <v>43488</v>
      </c>
      <c r="AA226" s="32">
        <v>43509</v>
      </c>
      <c r="AE226" s="13"/>
      <c r="AF226" s="14"/>
      <c r="AG226" s="98"/>
      <c r="AH226" s="14"/>
      <c r="AI226" s="14"/>
    </row>
    <row r="227" spans="1:35" ht="14.25" customHeight="1" thickBot="1">
      <c r="A227" s="146" t="s">
        <v>27</v>
      </c>
      <c r="C227" s="13"/>
      <c r="G227" s="31" t="s">
        <v>33</v>
      </c>
      <c r="J227" s="15"/>
      <c r="K227" s="31" t="s">
        <v>28</v>
      </c>
      <c r="N227" s="126" t="s">
        <v>28</v>
      </c>
      <c r="Q227" s="183"/>
      <c r="R227" s="31" t="s">
        <v>28</v>
      </c>
      <c r="T227" s="31" t="s">
        <v>28</v>
      </c>
      <c r="V227" s="31" t="s">
        <v>48</v>
      </c>
      <c r="W227" s="31" t="s">
        <v>29</v>
      </c>
      <c r="X227" s="183"/>
      <c r="Z227" s="31" t="s">
        <v>28</v>
      </c>
      <c r="AA227" s="31" t="s">
        <v>28</v>
      </c>
      <c r="AE227" s="13"/>
      <c r="AF227" s="14"/>
      <c r="AG227" s="98"/>
      <c r="AH227" s="14"/>
      <c r="AI227" s="14"/>
    </row>
    <row r="228" spans="1:35" ht="14.25" customHeight="1">
      <c r="A228" s="146" t="s">
        <v>10</v>
      </c>
      <c r="C228" s="13"/>
      <c r="F228" s="50"/>
      <c r="G228" s="280"/>
      <c r="J228" s="15"/>
      <c r="Q228" s="13"/>
      <c r="R228" s="280" t="s">
        <v>103</v>
      </c>
      <c r="V228" s="280" t="s">
        <v>78</v>
      </c>
      <c r="X228" s="13"/>
      <c r="AA228" s="280" t="s">
        <v>78</v>
      </c>
      <c r="AE228" s="13"/>
      <c r="AF228" s="14"/>
      <c r="AG228" s="98"/>
      <c r="AH228" s="14"/>
      <c r="AI228" s="14"/>
    </row>
    <row r="229" spans="1:35" ht="14.25" customHeight="1">
      <c r="A229" s="147" t="s">
        <v>11</v>
      </c>
      <c r="C229" s="13"/>
      <c r="F229" s="50"/>
      <c r="G229" s="176"/>
      <c r="J229" s="15"/>
      <c r="Q229" s="13"/>
      <c r="R229" s="93" t="s">
        <v>409</v>
      </c>
      <c r="V229" s="93" t="s">
        <v>199</v>
      </c>
      <c r="X229" s="13"/>
      <c r="AA229" s="93" t="s">
        <v>204</v>
      </c>
      <c r="AE229" s="13"/>
      <c r="AF229" s="14"/>
      <c r="AG229" s="98"/>
      <c r="AH229" s="14"/>
      <c r="AI229" s="14"/>
    </row>
    <row r="230" spans="1:35" ht="14.25" customHeight="1">
      <c r="A230" s="148" t="s">
        <v>12</v>
      </c>
      <c r="C230" s="13"/>
      <c r="F230" s="50"/>
      <c r="G230" s="181"/>
      <c r="J230" s="15"/>
      <c r="Q230" s="13"/>
      <c r="R230" s="17" t="s">
        <v>504</v>
      </c>
      <c r="V230" s="17" t="s">
        <v>504</v>
      </c>
      <c r="X230" s="13"/>
      <c r="AA230" s="17" t="s">
        <v>503</v>
      </c>
      <c r="AE230" s="13"/>
      <c r="AF230" s="14"/>
      <c r="AG230" s="98"/>
      <c r="AH230" s="14"/>
      <c r="AI230" s="14"/>
    </row>
    <row r="231" spans="1:35" ht="14.25" customHeight="1">
      <c r="A231" s="149" t="s">
        <v>13</v>
      </c>
      <c r="C231" s="13"/>
      <c r="F231" s="50"/>
      <c r="G231" s="176"/>
      <c r="J231" s="15"/>
      <c r="Q231" s="13"/>
      <c r="R231" s="19" t="s">
        <v>85</v>
      </c>
      <c r="V231" s="19" t="s">
        <v>85</v>
      </c>
      <c r="X231" s="13"/>
      <c r="AA231" s="19" t="s">
        <v>85</v>
      </c>
      <c r="AE231" s="13"/>
      <c r="AF231" s="14"/>
      <c r="AG231" s="98"/>
      <c r="AH231" s="14"/>
      <c r="AI231" s="14"/>
    </row>
    <row r="232" spans="1:35" ht="14.25" customHeight="1">
      <c r="A232" s="150" t="s">
        <v>15</v>
      </c>
      <c r="C232" s="13"/>
      <c r="F232" s="50"/>
      <c r="G232" s="280"/>
      <c r="J232" s="15"/>
      <c r="Q232" s="13"/>
      <c r="R232" s="280" t="s">
        <v>16</v>
      </c>
      <c r="V232" s="280" t="s">
        <v>53</v>
      </c>
      <c r="X232" s="13"/>
      <c r="AA232" s="280" t="s">
        <v>53</v>
      </c>
      <c r="AE232" s="13"/>
      <c r="AF232" s="14"/>
      <c r="AG232" s="98"/>
      <c r="AH232" s="14"/>
      <c r="AI232" s="14"/>
    </row>
    <row r="233" spans="1:35" ht="14.25" customHeight="1">
      <c r="A233" s="151" t="s">
        <v>17</v>
      </c>
      <c r="C233" s="13"/>
      <c r="F233" s="50"/>
      <c r="G233" s="179"/>
      <c r="J233" s="15"/>
      <c r="Q233" s="13"/>
      <c r="R233" s="100" t="s">
        <v>145</v>
      </c>
      <c r="V233" s="100" t="s">
        <v>145</v>
      </c>
      <c r="X233" s="13"/>
      <c r="AA233" s="100" t="s">
        <v>145</v>
      </c>
      <c r="AE233" s="13"/>
      <c r="AF233" s="14"/>
      <c r="AG233" s="98"/>
      <c r="AH233" s="14"/>
      <c r="AI233" s="14"/>
    </row>
    <row r="234" spans="1:35" ht="14.25" customHeight="1">
      <c r="A234" s="152" t="s">
        <v>18</v>
      </c>
      <c r="C234" s="13"/>
      <c r="F234" s="50"/>
      <c r="G234" s="176"/>
      <c r="J234" s="15"/>
      <c r="Q234" s="13"/>
      <c r="R234" s="23"/>
      <c r="V234" s="23"/>
      <c r="X234" s="13"/>
      <c r="AA234" s="23"/>
      <c r="AE234" s="13"/>
      <c r="AF234" s="14"/>
      <c r="AG234" s="98"/>
      <c r="AH234" s="14"/>
      <c r="AI234" s="14"/>
    </row>
    <row r="235" spans="1:35" ht="14.25" customHeight="1">
      <c r="A235" s="146" t="s">
        <v>20</v>
      </c>
      <c r="C235" s="13"/>
      <c r="F235" s="50"/>
      <c r="G235" s="176"/>
      <c r="J235" s="15"/>
      <c r="Q235" s="13"/>
      <c r="R235" s="176"/>
      <c r="V235" s="176"/>
      <c r="X235" s="13"/>
      <c r="AA235" s="176"/>
      <c r="AE235" s="13"/>
      <c r="AF235" s="14"/>
      <c r="AG235" s="98"/>
      <c r="AH235" s="14"/>
      <c r="AI235" s="14"/>
    </row>
    <row r="236" spans="1:35" ht="14.25" customHeight="1">
      <c r="A236" s="153" t="s">
        <v>21</v>
      </c>
      <c r="C236" s="13"/>
      <c r="F236" s="50"/>
      <c r="G236" s="280"/>
      <c r="J236" s="15"/>
      <c r="Q236" s="13"/>
      <c r="R236" s="94" t="s">
        <v>102</v>
      </c>
      <c r="V236" s="94" t="s">
        <v>80</v>
      </c>
      <c r="X236" s="13"/>
      <c r="AA236" s="94" t="s">
        <v>83</v>
      </c>
      <c r="AE236" s="13"/>
      <c r="AF236" s="14"/>
      <c r="AG236" s="98"/>
      <c r="AH236" s="14"/>
      <c r="AI236" s="14"/>
    </row>
    <row r="237" spans="1:35" ht="14.25" customHeight="1">
      <c r="A237" s="154" t="s">
        <v>22</v>
      </c>
      <c r="C237" s="13"/>
      <c r="F237" s="50"/>
      <c r="G237" s="176"/>
      <c r="J237" s="15"/>
      <c r="Q237" s="13"/>
      <c r="R237" s="27"/>
      <c r="V237" s="27"/>
      <c r="X237" s="13"/>
      <c r="AA237" s="27" t="s">
        <v>117</v>
      </c>
      <c r="AE237" s="13"/>
      <c r="AF237" s="14"/>
      <c r="AG237" s="98"/>
      <c r="AH237" s="14"/>
      <c r="AI237" s="14"/>
    </row>
    <row r="238" spans="1:35" ht="14.25" customHeight="1">
      <c r="A238" s="153" t="s">
        <v>23</v>
      </c>
      <c r="C238" s="13"/>
      <c r="F238" s="50"/>
      <c r="G238" s="280"/>
      <c r="J238" s="15"/>
      <c r="Q238" s="13"/>
      <c r="R238" s="280">
        <v>2508</v>
      </c>
      <c r="V238" s="280">
        <v>360</v>
      </c>
      <c r="X238" s="13"/>
      <c r="AA238" s="280">
        <v>900</v>
      </c>
      <c r="AE238" s="13"/>
      <c r="AF238" s="14"/>
      <c r="AG238" s="98"/>
      <c r="AH238" s="14"/>
      <c r="AI238" s="14"/>
    </row>
    <row r="239" spans="1:35" ht="14.25" customHeight="1">
      <c r="A239" s="155" t="s">
        <v>24</v>
      </c>
      <c r="C239" s="13"/>
      <c r="F239" s="50"/>
      <c r="G239" s="176"/>
      <c r="J239" s="15"/>
      <c r="Q239" s="13"/>
      <c r="R239" s="30"/>
      <c r="V239" s="30"/>
      <c r="X239" s="13"/>
      <c r="AA239" s="30"/>
      <c r="AE239" s="13"/>
      <c r="AF239" s="14"/>
      <c r="AG239" s="98"/>
      <c r="AH239" s="14"/>
      <c r="AI239" s="14"/>
    </row>
    <row r="240" spans="1:35" ht="14.25" customHeight="1">
      <c r="A240" s="128" t="s">
        <v>25</v>
      </c>
      <c r="C240" s="13"/>
      <c r="F240" s="50"/>
      <c r="G240" s="281"/>
      <c r="J240" s="15"/>
      <c r="Q240" s="13"/>
      <c r="R240" s="32">
        <v>43510</v>
      </c>
      <c r="V240" s="32">
        <v>43114</v>
      </c>
      <c r="X240" s="13"/>
      <c r="AA240" s="32">
        <v>43468</v>
      </c>
      <c r="AE240" s="13"/>
      <c r="AF240" s="14"/>
      <c r="AG240" s="98"/>
      <c r="AH240" s="14"/>
      <c r="AI240" s="14"/>
    </row>
    <row r="241" spans="1:35" ht="14.25" customHeight="1" thickBot="1">
      <c r="A241" s="146" t="s">
        <v>27</v>
      </c>
      <c r="C241" s="13"/>
      <c r="F241" s="90"/>
      <c r="G241" s="176"/>
      <c r="J241" s="34"/>
      <c r="Q241" s="183"/>
      <c r="R241" s="31" t="s">
        <v>33</v>
      </c>
      <c r="V241" s="31" t="s">
        <v>62</v>
      </c>
      <c r="X241" s="183"/>
      <c r="AA241" s="31" t="s">
        <v>29</v>
      </c>
      <c r="AE241" s="13"/>
      <c r="AF241" s="14"/>
      <c r="AG241" s="99"/>
      <c r="AH241" s="14"/>
      <c r="AI241" s="14"/>
    </row>
    <row r="242" spans="1:35" ht="15.75" customHeight="1" thickBot="1">
      <c r="A242" s="216" t="s">
        <v>36</v>
      </c>
      <c r="B242" s="143">
        <f t="shared" ref="B242:AF242" si="18">+B238+B224+B210+B196</f>
        <v>0</v>
      </c>
      <c r="C242" s="143">
        <f t="shared" si="18"/>
        <v>0</v>
      </c>
      <c r="D242" s="143">
        <f t="shared" si="18"/>
        <v>0</v>
      </c>
      <c r="E242" s="143">
        <f t="shared" si="18"/>
        <v>0</v>
      </c>
      <c r="F242" s="143">
        <f t="shared" si="18"/>
        <v>0</v>
      </c>
      <c r="G242" s="143">
        <f t="shared" si="18"/>
        <v>2580</v>
      </c>
      <c r="H242" s="143">
        <f t="shared" si="18"/>
        <v>1584</v>
      </c>
      <c r="I242" s="143">
        <f t="shared" si="18"/>
        <v>1692</v>
      </c>
      <c r="J242" s="143">
        <f t="shared" si="18"/>
        <v>0</v>
      </c>
      <c r="K242" s="143">
        <f t="shared" si="18"/>
        <v>1548</v>
      </c>
      <c r="L242" s="143">
        <f t="shared" si="18"/>
        <v>2484</v>
      </c>
      <c r="M242" s="143">
        <f t="shared" si="18"/>
        <v>2316</v>
      </c>
      <c r="N242" s="143">
        <f t="shared" si="18"/>
        <v>1800</v>
      </c>
      <c r="O242" s="143">
        <f t="shared" si="18"/>
        <v>4284</v>
      </c>
      <c r="P242" s="143">
        <f t="shared" si="18"/>
        <v>0</v>
      </c>
      <c r="Q242" s="143">
        <f t="shared" si="18"/>
        <v>0</v>
      </c>
      <c r="R242" s="143">
        <f t="shared" si="18"/>
        <v>3516</v>
      </c>
      <c r="S242" s="143">
        <f t="shared" si="18"/>
        <v>0</v>
      </c>
      <c r="T242" s="143">
        <f t="shared" si="18"/>
        <v>3372</v>
      </c>
      <c r="U242" s="143">
        <f t="shared" si="18"/>
        <v>0</v>
      </c>
      <c r="V242" s="143">
        <v>5100</v>
      </c>
      <c r="W242" s="143"/>
      <c r="X242" s="143">
        <f t="shared" si="18"/>
        <v>0</v>
      </c>
      <c r="Y242" s="143">
        <f t="shared" si="18"/>
        <v>1920</v>
      </c>
      <c r="Z242" s="143">
        <f t="shared" si="18"/>
        <v>2376</v>
      </c>
      <c r="AA242" s="143">
        <f t="shared" si="18"/>
        <v>1368</v>
      </c>
      <c r="AB242" s="143">
        <f t="shared" si="18"/>
        <v>2160</v>
      </c>
      <c r="AC242" s="143">
        <f t="shared" si="18"/>
        <v>11400</v>
      </c>
      <c r="AD242" s="143">
        <f t="shared" si="18"/>
        <v>0</v>
      </c>
      <c r="AE242" s="143">
        <f t="shared" si="18"/>
        <v>0</v>
      </c>
      <c r="AF242" s="143">
        <f t="shared" si="18"/>
        <v>0</v>
      </c>
      <c r="AG242" s="38"/>
      <c r="AH242" s="14"/>
      <c r="AI242" s="14"/>
    </row>
    <row r="243" spans="1:35" ht="15.75" customHeight="1" thickTop="1" thickBot="1">
      <c r="A243" s="216" t="s">
        <v>37</v>
      </c>
      <c r="B243" s="144">
        <f t="shared" ref="B243:AF243" si="19">+B244*B5</f>
        <v>1760</v>
      </c>
      <c r="C243" s="39">
        <f t="shared" si="19"/>
        <v>0</v>
      </c>
      <c r="D243" s="40">
        <f t="shared" si="19"/>
        <v>2090</v>
      </c>
      <c r="E243" s="40">
        <f t="shared" si="19"/>
        <v>2090</v>
      </c>
      <c r="F243" s="40">
        <f t="shared" si="19"/>
        <v>2090</v>
      </c>
      <c r="G243" s="40">
        <f t="shared" si="19"/>
        <v>2090</v>
      </c>
      <c r="H243" s="40">
        <f t="shared" si="19"/>
        <v>2090</v>
      </c>
      <c r="I243" s="40">
        <f t="shared" si="19"/>
        <v>1760</v>
      </c>
      <c r="J243" s="39">
        <f t="shared" si="19"/>
        <v>0</v>
      </c>
      <c r="K243" s="40">
        <f t="shared" si="19"/>
        <v>2090</v>
      </c>
      <c r="L243" s="40">
        <f t="shared" si="19"/>
        <v>2090</v>
      </c>
      <c r="M243" s="40">
        <f t="shared" si="19"/>
        <v>2090</v>
      </c>
      <c r="N243" s="40">
        <f t="shared" si="19"/>
        <v>2090</v>
      </c>
      <c r="O243" s="40">
        <f t="shared" si="19"/>
        <v>2090</v>
      </c>
      <c r="P243" s="40">
        <f t="shared" si="19"/>
        <v>1760</v>
      </c>
      <c r="Q243" s="39">
        <f t="shared" si="19"/>
        <v>0</v>
      </c>
      <c r="R243" s="40">
        <f t="shared" si="19"/>
        <v>2090</v>
      </c>
      <c r="S243" s="40">
        <f t="shared" si="19"/>
        <v>2090</v>
      </c>
      <c r="T243" s="40">
        <f t="shared" si="19"/>
        <v>2090</v>
      </c>
      <c r="U243" s="40">
        <f t="shared" si="19"/>
        <v>2090</v>
      </c>
      <c r="V243" s="40">
        <f t="shared" si="19"/>
        <v>2090</v>
      </c>
      <c r="W243" s="40">
        <f t="shared" si="19"/>
        <v>1760</v>
      </c>
      <c r="X243" s="39">
        <f t="shared" si="19"/>
        <v>0</v>
      </c>
      <c r="Y243" s="40">
        <f t="shared" si="19"/>
        <v>1760</v>
      </c>
      <c r="Z243" s="40">
        <f t="shared" si="19"/>
        <v>2090</v>
      </c>
      <c r="AA243" s="40">
        <f t="shared" si="19"/>
        <v>2090</v>
      </c>
      <c r="AB243" s="40">
        <f t="shared" si="19"/>
        <v>2090</v>
      </c>
      <c r="AC243" s="40">
        <f t="shared" si="19"/>
        <v>2090</v>
      </c>
      <c r="AD243" s="40">
        <f t="shared" si="19"/>
        <v>1760</v>
      </c>
      <c r="AE243" s="39">
        <f t="shared" si="19"/>
        <v>0</v>
      </c>
      <c r="AF243" s="40">
        <f t="shared" si="19"/>
        <v>1760</v>
      </c>
      <c r="AG243" s="41">
        <f>SUM(B243:AF243)</f>
        <v>52030</v>
      </c>
      <c r="AH243" s="14"/>
      <c r="AI243" s="14"/>
    </row>
    <row r="244" spans="1:35" ht="15.75" customHeight="1" thickTop="1" thickBot="1">
      <c r="A244" s="216" t="s">
        <v>38</v>
      </c>
      <c r="B244" s="145">
        <v>220</v>
      </c>
      <c r="C244" s="42"/>
      <c r="D244" s="43">
        <v>220</v>
      </c>
      <c r="E244" s="43">
        <v>220</v>
      </c>
      <c r="F244" s="43">
        <v>220</v>
      </c>
      <c r="G244" s="43">
        <v>220</v>
      </c>
      <c r="H244" s="43">
        <v>220</v>
      </c>
      <c r="I244" s="43">
        <v>220</v>
      </c>
      <c r="J244" s="42"/>
      <c r="K244" s="43">
        <v>220</v>
      </c>
      <c r="L244" s="43">
        <v>220</v>
      </c>
      <c r="M244" s="43">
        <v>220</v>
      </c>
      <c r="N244" s="43">
        <v>220</v>
      </c>
      <c r="O244" s="43">
        <v>220</v>
      </c>
      <c r="P244" s="43">
        <v>220</v>
      </c>
      <c r="Q244" s="42"/>
      <c r="R244" s="43">
        <v>220</v>
      </c>
      <c r="S244" s="43">
        <v>220</v>
      </c>
      <c r="T244" s="43">
        <v>220</v>
      </c>
      <c r="U244" s="43">
        <v>220</v>
      </c>
      <c r="V244" s="43">
        <v>220</v>
      </c>
      <c r="W244" s="43">
        <v>220</v>
      </c>
      <c r="X244" s="42"/>
      <c r="Y244" s="43">
        <v>220</v>
      </c>
      <c r="Z244" s="43">
        <v>220</v>
      </c>
      <c r="AA244" s="43">
        <v>220</v>
      </c>
      <c r="AB244" s="43">
        <v>220</v>
      </c>
      <c r="AC244" s="43">
        <v>220</v>
      </c>
      <c r="AD244" s="43">
        <v>220</v>
      </c>
      <c r="AE244" s="42"/>
      <c r="AF244" s="43">
        <v>220</v>
      </c>
      <c r="AG244" s="44"/>
      <c r="AH244" s="14"/>
      <c r="AI244" s="14"/>
    </row>
    <row r="245" spans="1:35" ht="15.75" customHeight="1" thickTop="1" thickBot="1">
      <c r="A245" s="217"/>
      <c r="B245" s="144">
        <f t="shared" ref="B245:AF245" si="20">IF(A245+B242-B243&lt;0,0,A245+B242-B243)</f>
        <v>0</v>
      </c>
      <c r="C245" s="39">
        <f t="shared" si="20"/>
        <v>0</v>
      </c>
      <c r="D245" s="40">
        <f t="shared" si="20"/>
        <v>0</v>
      </c>
      <c r="E245" s="40">
        <f t="shared" si="20"/>
        <v>0</v>
      </c>
      <c r="F245" s="40">
        <f t="shared" si="20"/>
        <v>0</v>
      </c>
      <c r="G245" s="40">
        <f t="shared" si="20"/>
        <v>490</v>
      </c>
      <c r="H245" s="40">
        <f t="shared" si="20"/>
        <v>0</v>
      </c>
      <c r="I245" s="40">
        <f t="shared" si="20"/>
        <v>0</v>
      </c>
      <c r="J245" s="39">
        <f t="shared" si="20"/>
        <v>0</v>
      </c>
      <c r="K245" s="40">
        <f t="shared" si="20"/>
        <v>0</v>
      </c>
      <c r="L245" s="40">
        <f t="shared" si="20"/>
        <v>394</v>
      </c>
      <c r="M245" s="40">
        <f t="shared" si="20"/>
        <v>620</v>
      </c>
      <c r="N245" s="40">
        <f t="shared" si="20"/>
        <v>330</v>
      </c>
      <c r="O245" s="40">
        <f t="shared" si="20"/>
        <v>2524</v>
      </c>
      <c r="P245" s="40">
        <f t="shared" si="20"/>
        <v>764</v>
      </c>
      <c r="Q245" s="39">
        <f t="shared" si="20"/>
        <v>764</v>
      </c>
      <c r="R245" s="40">
        <f t="shared" si="20"/>
        <v>2190</v>
      </c>
      <c r="S245" s="40">
        <f t="shared" si="20"/>
        <v>100</v>
      </c>
      <c r="T245" s="40">
        <f t="shared" si="20"/>
        <v>1382</v>
      </c>
      <c r="U245" s="39"/>
      <c r="V245" s="40">
        <f t="shared" si="20"/>
        <v>3010</v>
      </c>
      <c r="W245" s="40">
        <f t="shared" si="20"/>
        <v>1250</v>
      </c>
      <c r="X245" s="39">
        <f t="shared" si="20"/>
        <v>1250</v>
      </c>
      <c r="Y245" s="40">
        <f t="shared" si="20"/>
        <v>1410</v>
      </c>
      <c r="Z245" s="40">
        <f t="shared" si="20"/>
        <v>1696</v>
      </c>
      <c r="AA245" s="40">
        <f t="shared" si="20"/>
        <v>974</v>
      </c>
      <c r="AB245" s="40">
        <f t="shared" si="20"/>
        <v>1044</v>
      </c>
      <c r="AC245" s="40">
        <f t="shared" si="20"/>
        <v>10354</v>
      </c>
      <c r="AD245" s="40">
        <f t="shared" si="20"/>
        <v>8594</v>
      </c>
      <c r="AE245" s="39">
        <f t="shared" si="20"/>
        <v>8594</v>
      </c>
      <c r="AF245" s="40">
        <f t="shared" si="20"/>
        <v>6834</v>
      </c>
      <c r="AG245" s="47">
        <f>IF(AE245+AG242-AG243&lt;0,0,AE245+AG242-AG243)</f>
        <v>0</v>
      </c>
      <c r="AH245" s="14"/>
      <c r="AI245" s="14"/>
    </row>
    <row r="246" spans="1:35" ht="20.25" thickBo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14"/>
      <c r="AI246" s="14"/>
    </row>
    <row r="247" spans="1:35" ht="21" thickTop="1" thickBot="1">
      <c r="A247" s="62" t="s">
        <v>56</v>
      </c>
      <c r="B247" s="43">
        <f t="shared" ref="B247:AG247" si="21">+B243+B183+B63+B123</f>
        <v>6080</v>
      </c>
      <c r="C247" s="42">
        <f t="shared" si="21"/>
        <v>0</v>
      </c>
      <c r="D247" s="43">
        <f t="shared" si="21"/>
        <v>7220</v>
      </c>
      <c r="E247" s="43">
        <f t="shared" si="21"/>
        <v>6405</v>
      </c>
      <c r="F247" s="43">
        <f t="shared" si="21"/>
        <v>7220</v>
      </c>
      <c r="G247" s="43">
        <f t="shared" si="21"/>
        <v>6920</v>
      </c>
      <c r="H247" s="43">
        <f t="shared" si="21"/>
        <v>7359</v>
      </c>
      <c r="I247" s="43">
        <f t="shared" si="21"/>
        <v>6168</v>
      </c>
      <c r="J247" s="42">
        <f t="shared" si="21"/>
        <v>0</v>
      </c>
      <c r="K247" s="43">
        <f t="shared" si="21"/>
        <v>7543</v>
      </c>
      <c r="L247" s="43">
        <f t="shared" si="21"/>
        <v>7543</v>
      </c>
      <c r="M247" s="43">
        <f t="shared" si="21"/>
        <v>7543</v>
      </c>
      <c r="N247" s="43">
        <f t="shared" si="21"/>
        <v>7543</v>
      </c>
      <c r="O247" s="43">
        <f t="shared" si="21"/>
        <v>7543</v>
      </c>
      <c r="P247" s="43">
        <f t="shared" si="21"/>
        <v>6352</v>
      </c>
      <c r="Q247" s="42">
        <f t="shared" si="21"/>
        <v>0</v>
      </c>
      <c r="R247" s="43">
        <f t="shared" si="21"/>
        <v>7543</v>
      </c>
      <c r="S247" s="43">
        <f t="shared" si="21"/>
        <v>7543</v>
      </c>
      <c r="T247" s="43">
        <f t="shared" si="21"/>
        <v>7638</v>
      </c>
      <c r="U247" s="43">
        <f t="shared" si="21"/>
        <v>7638</v>
      </c>
      <c r="V247" s="43">
        <f t="shared" si="21"/>
        <v>7638</v>
      </c>
      <c r="W247" s="43">
        <f t="shared" si="21"/>
        <v>6432</v>
      </c>
      <c r="X247" s="42">
        <f t="shared" si="21"/>
        <v>0</v>
      </c>
      <c r="Y247" s="43">
        <f t="shared" si="21"/>
        <v>6432</v>
      </c>
      <c r="Z247" s="43">
        <f t="shared" si="21"/>
        <v>7638</v>
      </c>
      <c r="AA247" s="43">
        <f t="shared" si="21"/>
        <v>7638</v>
      </c>
      <c r="AB247" s="43">
        <f t="shared" si="21"/>
        <v>7638</v>
      </c>
      <c r="AC247" s="43">
        <f t="shared" si="21"/>
        <v>7638</v>
      </c>
      <c r="AD247" s="43">
        <f t="shared" si="21"/>
        <v>6072</v>
      </c>
      <c r="AE247" s="42">
        <f t="shared" si="21"/>
        <v>0</v>
      </c>
      <c r="AF247" s="43">
        <f t="shared" si="21"/>
        <v>6400</v>
      </c>
      <c r="AG247" s="43">
        <f t="shared" si="21"/>
        <v>185327</v>
      </c>
      <c r="AH247" s="14"/>
      <c r="AI247" s="14"/>
    </row>
    <row r="248" spans="1:35" ht="29.25" thickTop="1">
      <c r="A248" s="63"/>
      <c r="B248" s="64"/>
      <c r="C248" s="65"/>
      <c r="D248" s="66" t="s">
        <v>57</v>
      </c>
      <c r="E248" s="67"/>
      <c r="F248" s="68"/>
      <c r="G248" s="68"/>
      <c r="H248" s="65"/>
      <c r="I248" s="64"/>
      <c r="K248" s="68"/>
      <c r="L248" s="68" t="s">
        <v>58</v>
      </c>
      <c r="M248" s="68"/>
      <c r="N248" s="68"/>
      <c r="O248" s="65"/>
      <c r="P248" s="64"/>
      <c r="Q248" s="68"/>
      <c r="R248" s="68"/>
      <c r="S248" s="67"/>
      <c r="T248" s="68" t="s">
        <v>59</v>
      </c>
      <c r="U248" s="67"/>
      <c r="V248" s="68"/>
      <c r="W248" s="67"/>
      <c r="X248" s="64"/>
      <c r="Y248" s="66" t="s">
        <v>60</v>
      </c>
      <c r="Z248" s="68"/>
      <c r="AA248" s="65"/>
      <c r="AB248" s="68" t="s">
        <v>61</v>
      </c>
      <c r="AC248" s="68"/>
      <c r="AD248" s="64"/>
      <c r="AE248" s="68"/>
      <c r="AF248" s="65"/>
      <c r="AG248" s="69"/>
      <c r="AH248" s="70"/>
      <c r="AI248" s="67"/>
    </row>
  </sheetData>
  <mergeCells count="4">
    <mergeCell ref="A1:AI1"/>
    <mergeCell ref="U2:V2"/>
    <mergeCell ref="W2:Y2"/>
    <mergeCell ref="AG3:AG4"/>
  </mergeCells>
  <conditionalFormatting sqref="A71 A85 A99 A113 A11 A25 A39 A53 A131 A145 A159 A173 A191 A205 A219 A233">
    <cfRule type="cellIs" dxfId="554" priority="306" stopIfTrue="1" operator="lessThanOrEqual">
      <formula>0</formula>
    </cfRule>
  </conditionalFormatting>
  <conditionalFormatting sqref="F141 F155">
    <cfRule type="duplicateValues" dxfId="553" priority="259"/>
  </conditionalFormatting>
  <conditionalFormatting sqref="G127">
    <cfRule type="duplicateValues" dxfId="552" priority="258"/>
  </conditionalFormatting>
  <conditionalFormatting sqref="E67">
    <cfRule type="duplicateValues" dxfId="551" priority="1834"/>
  </conditionalFormatting>
  <conditionalFormatting sqref="Y155 Z127">
    <cfRule type="duplicateValues" dxfId="550" priority="202"/>
  </conditionalFormatting>
  <conditionalFormatting sqref="E21">
    <cfRule type="duplicateValues" dxfId="549" priority="196"/>
  </conditionalFormatting>
  <conditionalFormatting sqref="F7">
    <cfRule type="duplicateValues" dxfId="548" priority="195"/>
  </conditionalFormatting>
  <conditionalFormatting sqref="F21">
    <cfRule type="duplicateValues" dxfId="547" priority="194"/>
  </conditionalFormatting>
  <conditionalFormatting sqref="G21">
    <cfRule type="duplicateValues" dxfId="546" priority="192"/>
  </conditionalFormatting>
  <conditionalFormatting sqref="H7">
    <cfRule type="duplicateValues" dxfId="545" priority="191"/>
  </conditionalFormatting>
  <conditionalFormatting sqref="I7">
    <cfRule type="duplicateValues" dxfId="544" priority="190"/>
  </conditionalFormatting>
  <conditionalFormatting sqref="I21">
    <cfRule type="duplicateValues" dxfId="543" priority="189"/>
  </conditionalFormatting>
  <conditionalFormatting sqref="K7">
    <cfRule type="duplicateValues" dxfId="542" priority="188"/>
  </conditionalFormatting>
  <conditionalFormatting sqref="L7">
    <cfRule type="duplicateValues" dxfId="541" priority="187"/>
  </conditionalFormatting>
  <conditionalFormatting sqref="G67 B7">
    <cfRule type="duplicateValues" dxfId="540" priority="184"/>
  </conditionalFormatting>
  <conditionalFormatting sqref="F67">
    <cfRule type="duplicateValues" dxfId="539" priority="182"/>
  </conditionalFormatting>
  <conditionalFormatting sqref="G81">
    <cfRule type="duplicateValues" dxfId="538" priority="181"/>
  </conditionalFormatting>
  <conditionalFormatting sqref="P95 F95:G95 P81 P67 F81 F109">
    <cfRule type="duplicateValues" dxfId="537" priority="180"/>
  </conditionalFormatting>
  <conditionalFormatting sqref="R67">
    <cfRule type="duplicateValues" dxfId="536" priority="179"/>
  </conditionalFormatting>
  <conditionalFormatting sqref="AB67">
    <cfRule type="duplicateValues" dxfId="535" priority="178"/>
  </conditionalFormatting>
  <conditionalFormatting sqref="S67">
    <cfRule type="duplicateValues" dxfId="534" priority="177"/>
  </conditionalFormatting>
  <conditionalFormatting sqref="AA81 AA109 AA67 AA95">
    <cfRule type="duplicateValues" dxfId="533" priority="175"/>
  </conditionalFormatting>
  <conditionalFormatting sqref="AB81">
    <cfRule type="duplicateValues" dxfId="532" priority="173"/>
  </conditionalFormatting>
  <conditionalFormatting sqref="G215 G201">
    <cfRule type="duplicateValues" dxfId="531" priority="170"/>
  </conditionalFormatting>
  <conditionalFormatting sqref="H187">
    <cfRule type="duplicateValues" dxfId="530" priority="169"/>
  </conditionalFormatting>
  <conditionalFormatting sqref="I187 H201">
    <cfRule type="duplicateValues" dxfId="529" priority="168"/>
  </conditionalFormatting>
  <conditionalFormatting sqref="L201 M187">
    <cfRule type="duplicateValues" dxfId="528" priority="166"/>
  </conditionalFormatting>
  <conditionalFormatting sqref="M201">
    <cfRule type="duplicateValues" dxfId="527" priority="165"/>
  </conditionalFormatting>
  <conditionalFormatting sqref="N187">
    <cfRule type="duplicateValues" dxfId="526" priority="164"/>
  </conditionalFormatting>
  <conditionalFormatting sqref="O187 N201">
    <cfRule type="duplicateValues" dxfId="525" priority="163"/>
  </conditionalFormatting>
  <conditionalFormatting sqref="O201">
    <cfRule type="duplicateValues" dxfId="524" priority="162"/>
  </conditionalFormatting>
  <conditionalFormatting sqref="V187 V201">
    <cfRule type="duplicateValues" dxfId="523" priority="159"/>
  </conditionalFormatting>
  <conditionalFormatting sqref="V215">
    <cfRule type="duplicateValues" dxfId="522" priority="158"/>
  </conditionalFormatting>
  <conditionalFormatting sqref="V229">
    <cfRule type="duplicateValues" dxfId="521" priority="157"/>
  </conditionalFormatting>
  <conditionalFormatting sqref="W187">
    <cfRule type="duplicateValues" dxfId="520" priority="156"/>
  </conditionalFormatting>
  <conditionalFormatting sqref="W201">
    <cfRule type="duplicateValues" dxfId="519" priority="155"/>
  </conditionalFormatting>
  <conditionalFormatting sqref="W215">
    <cfRule type="duplicateValues" dxfId="518" priority="154"/>
  </conditionalFormatting>
  <conditionalFormatting sqref="Y187">
    <cfRule type="duplicateValues" dxfId="517" priority="152"/>
  </conditionalFormatting>
  <conditionalFormatting sqref="Z187">
    <cfRule type="duplicateValues" dxfId="516" priority="151"/>
  </conditionalFormatting>
  <conditionalFormatting sqref="Z201">
    <cfRule type="duplicateValues" dxfId="515" priority="150"/>
  </conditionalFormatting>
  <conditionalFormatting sqref="Z215">
    <cfRule type="duplicateValues" dxfId="514" priority="149"/>
  </conditionalFormatting>
  <conditionalFormatting sqref="AA215 AA187 AA201">
    <cfRule type="duplicateValues" dxfId="513" priority="148"/>
  </conditionalFormatting>
  <conditionalFormatting sqref="AA229">
    <cfRule type="duplicateValues" dxfId="512" priority="147"/>
  </conditionalFormatting>
  <conditionalFormatting sqref="AB187">
    <cfRule type="duplicateValues" dxfId="511" priority="1858"/>
  </conditionalFormatting>
  <conditionalFormatting sqref="O7 N21">
    <cfRule type="duplicateValues" dxfId="510" priority="145"/>
  </conditionalFormatting>
  <conditionalFormatting sqref="O21">
    <cfRule type="duplicateValues" dxfId="509" priority="144"/>
  </conditionalFormatting>
  <conditionalFormatting sqref="O35 M7">
    <cfRule type="duplicateValues" dxfId="508" priority="143"/>
  </conditionalFormatting>
  <conditionalFormatting sqref="S169">
    <cfRule type="duplicateValues" dxfId="507" priority="125"/>
  </conditionalFormatting>
  <conditionalFormatting sqref="V155">
    <cfRule type="duplicateValues" dxfId="506" priority="1859"/>
  </conditionalFormatting>
  <conditionalFormatting sqref="H127 G141">
    <cfRule type="duplicateValues" dxfId="505" priority="117"/>
  </conditionalFormatting>
  <conditionalFormatting sqref="H141">
    <cfRule type="duplicateValues" dxfId="504" priority="116"/>
  </conditionalFormatting>
  <conditionalFormatting sqref="H155">
    <cfRule type="duplicateValues" dxfId="503" priority="115"/>
  </conditionalFormatting>
  <conditionalFormatting sqref="H169">
    <cfRule type="duplicateValues" dxfId="502" priority="114"/>
  </conditionalFormatting>
  <conditionalFormatting sqref="K155">
    <cfRule type="duplicateValues" dxfId="501" priority="112"/>
  </conditionalFormatting>
  <conditionalFormatting sqref="K169">
    <cfRule type="duplicateValues" dxfId="500" priority="111"/>
  </conditionalFormatting>
  <conditionalFormatting sqref="L141 L169 L155 M127">
    <cfRule type="duplicateValues" dxfId="499" priority="110"/>
  </conditionalFormatting>
  <conditionalFormatting sqref="N127 M155">
    <cfRule type="duplicateValues" dxfId="498" priority="109"/>
  </conditionalFormatting>
  <conditionalFormatting sqref="M141">
    <cfRule type="duplicateValues" dxfId="497" priority="108"/>
  </conditionalFormatting>
  <conditionalFormatting sqref="N141">
    <cfRule type="duplicateValues" dxfId="496" priority="107"/>
  </conditionalFormatting>
  <conditionalFormatting sqref="P141">
    <cfRule type="duplicateValues" dxfId="495" priority="100"/>
  </conditionalFormatting>
  <conditionalFormatting sqref="S127">
    <cfRule type="duplicateValues" dxfId="494" priority="99"/>
  </conditionalFormatting>
  <conditionalFormatting sqref="S141">
    <cfRule type="duplicateValues" dxfId="493" priority="98"/>
  </conditionalFormatting>
  <conditionalFormatting sqref="T127">
    <cfRule type="duplicateValues" dxfId="492" priority="97"/>
  </conditionalFormatting>
  <conditionalFormatting sqref="Y127">
    <cfRule type="duplicateValues" dxfId="491" priority="96"/>
  </conditionalFormatting>
  <conditionalFormatting sqref="Y141">
    <cfRule type="duplicateValues" dxfId="490" priority="95"/>
  </conditionalFormatting>
  <conditionalFormatting sqref="AI69">
    <cfRule type="duplicateValues" dxfId="489" priority="87"/>
  </conditionalFormatting>
  <conditionalFormatting sqref="G187">
    <cfRule type="duplicateValues" dxfId="488" priority="86"/>
  </conditionalFormatting>
  <conditionalFormatting sqref="AB95">
    <cfRule type="duplicateValues" dxfId="487" priority="79"/>
  </conditionalFormatting>
  <conditionalFormatting sqref="T187 N215 R229 T215 T201">
    <cfRule type="duplicateValues" dxfId="486" priority="1875"/>
  </conditionalFormatting>
  <conditionalFormatting sqref="Y7">
    <cfRule type="duplicateValues" dxfId="485" priority="61"/>
  </conditionalFormatting>
  <conditionalFormatting sqref="Y21">
    <cfRule type="duplicateValues" dxfId="484" priority="60"/>
  </conditionalFormatting>
  <conditionalFormatting sqref="AA35">
    <cfRule type="duplicateValues" dxfId="483" priority="58"/>
  </conditionalFormatting>
  <conditionalFormatting sqref="K141 K127:L127">
    <cfRule type="duplicateValues" dxfId="482" priority="1888"/>
  </conditionalFormatting>
  <conditionalFormatting sqref="AA155">
    <cfRule type="duplicateValues" dxfId="481" priority="56"/>
  </conditionalFormatting>
  <conditionalFormatting sqref="AA169">
    <cfRule type="duplicateValues" dxfId="480" priority="55"/>
  </conditionalFormatting>
  <conditionalFormatting sqref="AA141 AA127">
    <cfRule type="duplicateValues" dxfId="479" priority="54"/>
  </conditionalFormatting>
  <conditionalFormatting sqref="E7">
    <cfRule type="duplicateValues" dxfId="478" priority="53"/>
  </conditionalFormatting>
  <conditionalFormatting sqref="B67">
    <cfRule type="duplicateValues" dxfId="477" priority="52"/>
  </conditionalFormatting>
  <conditionalFormatting sqref="D21 B21 D49 B35 D7 D35">
    <cfRule type="duplicateValues" dxfId="476" priority="1913"/>
  </conditionalFormatting>
  <conditionalFormatting sqref="S7">
    <cfRule type="duplicateValues" dxfId="475" priority="47"/>
  </conditionalFormatting>
  <conditionalFormatting sqref="AA49">
    <cfRule type="duplicateValues" dxfId="474" priority="46"/>
  </conditionalFormatting>
  <conditionalFormatting sqref="V7">
    <cfRule type="duplicateValues" dxfId="473" priority="45"/>
  </conditionalFormatting>
  <conditionalFormatting sqref="N155 P127">
    <cfRule type="duplicateValues" dxfId="472" priority="1916"/>
  </conditionalFormatting>
  <conditionalFormatting sqref="AB127">
    <cfRule type="duplicateValues" dxfId="471" priority="44"/>
  </conditionalFormatting>
  <conditionalFormatting sqref="AB141">
    <cfRule type="duplicateValues" dxfId="470" priority="43"/>
  </conditionalFormatting>
  <conditionalFormatting sqref="AB201">
    <cfRule type="duplicateValues" dxfId="469" priority="36"/>
  </conditionalFormatting>
  <conditionalFormatting sqref="AC187">
    <cfRule type="duplicateValues" dxfId="468" priority="35"/>
  </conditionalFormatting>
  <conditionalFormatting sqref="R215 R201 R187">
    <cfRule type="duplicateValues" dxfId="467" priority="1937"/>
  </conditionalFormatting>
  <conditionalFormatting sqref="O49 N7">
    <cfRule type="duplicateValues" dxfId="466" priority="1940"/>
  </conditionalFormatting>
  <conditionalFormatting sqref="AC7">
    <cfRule type="duplicateValues" dxfId="465" priority="31"/>
  </conditionalFormatting>
  <conditionalFormatting sqref="AC21">
    <cfRule type="duplicateValues" dxfId="464" priority="30"/>
  </conditionalFormatting>
  <conditionalFormatting sqref="AC35">
    <cfRule type="duplicateValues" dxfId="463" priority="28"/>
  </conditionalFormatting>
  <conditionalFormatting sqref="AD127">
    <cfRule type="duplicateValues" dxfId="462" priority="27"/>
  </conditionalFormatting>
  <conditionalFormatting sqref="Z7:AA7 Z21:AA21">
    <cfRule type="duplicateValues" dxfId="461" priority="1948"/>
  </conditionalFormatting>
  <conditionalFormatting sqref="K201 I201 K215 K187:L187">
    <cfRule type="duplicateValues" dxfId="460" priority="1951"/>
  </conditionalFormatting>
  <conditionalFormatting sqref="F127 D127">
    <cfRule type="duplicateValues" dxfId="459" priority="1952"/>
  </conditionalFormatting>
  <conditionalFormatting sqref="AC81">
    <cfRule type="duplicateValues" dxfId="458" priority="22"/>
  </conditionalFormatting>
  <conditionalFormatting sqref="AC67">
    <cfRule type="duplicateValues" dxfId="457" priority="21"/>
  </conditionalFormatting>
  <conditionalFormatting sqref="AD67">
    <cfRule type="duplicateValues" dxfId="456" priority="20"/>
  </conditionalFormatting>
  <conditionalFormatting sqref="AB7">
    <cfRule type="duplicateValues" dxfId="455" priority="19"/>
  </conditionalFormatting>
  <conditionalFormatting sqref="AD81">
    <cfRule type="duplicateValues" dxfId="454" priority="18"/>
  </conditionalFormatting>
  <conditionalFormatting sqref="AB49">
    <cfRule type="duplicateValues" dxfId="453" priority="17"/>
  </conditionalFormatting>
  <conditionalFormatting sqref="AB35">
    <cfRule type="duplicateValues" dxfId="452" priority="16"/>
  </conditionalFormatting>
  <conditionalFormatting sqref="AB21">
    <cfRule type="duplicateValues" dxfId="451" priority="15"/>
  </conditionalFormatting>
  <conditionalFormatting sqref="AD21">
    <cfRule type="duplicateValues" dxfId="450" priority="14"/>
  </conditionalFormatting>
  <conditionalFormatting sqref="AD7">
    <cfRule type="duplicateValues" dxfId="449" priority="13"/>
  </conditionalFormatting>
  <conditionalFormatting sqref="AD155">
    <cfRule type="duplicateValues" dxfId="448" priority="12"/>
  </conditionalFormatting>
  <conditionalFormatting sqref="AD141">
    <cfRule type="duplicateValues" dxfId="447" priority="11"/>
  </conditionalFormatting>
  <conditionalFormatting sqref="AD169">
    <cfRule type="duplicateValues" dxfId="446" priority="10"/>
  </conditionalFormatting>
  <conditionalFormatting sqref="AI46">
    <cfRule type="duplicateValues" dxfId="445" priority="5"/>
  </conditionalFormatting>
  <conditionalFormatting sqref="AC201">
    <cfRule type="duplicateValues" dxfId="444" priority="2"/>
  </conditionalFormatting>
  <conditionalFormatting sqref="G7">
    <cfRule type="duplicateValues" dxfId="443" priority="1"/>
  </conditionalFormatting>
  <conditionalFormatting sqref="T95 T81 T67 V67">
    <cfRule type="duplicateValues" dxfId="442" priority="1999"/>
  </conditionalFormatting>
  <pageMargins left="0" right="0" top="0" bottom="0" header="0.31496062992126" footer="0.31496062992126"/>
  <pageSetup paperSize="9" scale="55" orientation="landscape" r:id="rId1"/>
  <rowBreaks count="3" manualBreakCount="3">
    <brk id="65" max="16383" man="1"/>
    <brk id="125" max="16383" man="1"/>
    <brk id="185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54"/>
  <sheetViews>
    <sheetView zoomScale="70" zoomScaleNormal="70" workbookViewId="0">
      <pane xSplit="1" ySplit="5" topLeftCell="B6" activePane="bottomRight" state="frozen"/>
      <selection activeCell="Z186" sqref="Z186"/>
      <selection pane="topRight" activeCell="Z186" sqref="Z186"/>
      <selection pane="bottomLeft" activeCell="Z186" sqref="Z186"/>
      <selection pane="bottomRight" activeCell="AE14" sqref="AE14"/>
    </sheetView>
  </sheetViews>
  <sheetFormatPr defaultRowHeight="15"/>
  <cols>
    <col min="1" max="1" width="9" style="161" customWidth="1"/>
    <col min="2" max="2" width="1.28515625" style="158" customWidth="1"/>
    <col min="3" max="6" width="9" style="158" customWidth="1"/>
    <col min="7" max="7" width="1.5703125" style="158" customWidth="1"/>
    <col min="8" max="13" width="9" style="158" customWidth="1"/>
    <col min="14" max="14" width="1.5703125" style="158" customWidth="1"/>
    <col min="15" max="20" width="9" style="158" customWidth="1"/>
    <col min="21" max="21" width="1.5703125" style="158" customWidth="1"/>
    <col min="22" max="27" width="9" style="158" customWidth="1"/>
    <col min="28" max="28" width="1.5703125" style="158" customWidth="1"/>
    <col min="29" max="32" width="9" style="158" customWidth="1"/>
    <col min="33" max="33" width="9.42578125" style="161" customWidth="1"/>
    <col min="34" max="16384" width="9.140625" style="161"/>
  </cols>
  <sheetData>
    <row r="1" spans="1:36" s="250" customFormat="1" ht="40.5" customHeight="1" thickBot="1">
      <c r="A1" s="524" t="s">
        <v>144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  <c r="AI1" s="524"/>
    </row>
    <row r="2" spans="1:36" ht="24.75" customHeight="1" thickBot="1">
      <c r="A2" s="2"/>
      <c r="B2" s="156"/>
      <c r="C2" s="156"/>
      <c r="D2" s="2" t="s">
        <v>0</v>
      </c>
      <c r="E2" s="157"/>
      <c r="F2" s="156"/>
      <c r="G2" s="157"/>
      <c r="H2" s="2" t="s">
        <v>1</v>
      </c>
      <c r="I2" s="157"/>
      <c r="J2" s="2" t="s">
        <v>2</v>
      </c>
      <c r="K2" s="6"/>
      <c r="L2" s="6"/>
      <c r="M2" s="6"/>
      <c r="N2" s="6"/>
      <c r="O2" s="225"/>
      <c r="P2" s="225"/>
      <c r="Q2" s="225"/>
      <c r="R2" s="6"/>
      <c r="S2" s="6"/>
      <c r="T2" s="6"/>
      <c r="U2" s="525" t="s">
        <v>3</v>
      </c>
      <c r="V2" s="525"/>
      <c r="W2" s="526">
        <f>+AG243+AG183+AG123+AG63</f>
        <v>188719</v>
      </c>
      <c r="X2" s="526"/>
      <c r="Y2" s="526"/>
      <c r="Z2" s="157"/>
      <c r="AA2" s="8" t="s">
        <v>4</v>
      </c>
      <c r="AB2" s="8"/>
      <c r="AC2" s="8"/>
      <c r="AD2" s="225" t="s">
        <v>5</v>
      </c>
      <c r="AE2" s="157"/>
      <c r="AF2" s="168">
        <v>43476</v>
      </c>
      <c r="AG2" s="260"/>
      <c r="AH2" s="157"/>
      <c r="AI2" s="157"/>
    </row>
    <row r="3" spans="1:36" s="409" customFormat="1" ht="19.5" customHeight="1" thickBot="1">
      <c r="A3" s="407" t="s">
        <v>6</v>
      </c>
      <c r="B3" s="169">
        <v>43466</v>
      </c>
      <c r="C3" s="168">
        <v>43467</v>
      </c>
      <c r="D3" s="168">
        <v>43468</v>
      </c>
      <c r="E3" s="168">
        <v>43469</v>
      </c>
      <c r="F3" s="168">
        <v>43470</v>
      </c>
      <c r="G3" s="169">
        <v>43471</v>
      </c>
      <c r="H3" s="168">
        <v>43472</v>
      </c>
      <c r="I3" s="168">
        <v>43473</v>
      </c>
      <c r="J3" s="168">
        <v>43474</v>
      </c>
      <c r="K3" s="168">
        <v>43475</v>
      </c>
      <c r="L3" s="168">
        <v>43476</v>
      </c>
      <c r="M3" s="168">
        <v>43477</v>
      </c>
      <c r="N3" s="169">
        <v>43478</v>
      </c>
      <c r="O3" s="168">
        <v>43479</v>
      </c>
      <c r="P3" s="168">
        <v>43480</v>
      </c>
      <c r="Q3" s="168">
        <v>43481</v>
      </c>
      <c r="R3" s="168">
        <v>43482</v>
      </c>
      <c r="S3" s="168">
        <v>43483</v>
      </c>
      <c r="T3" s="168">
        <v>43484</v>
      </c>
      <c r="U3" s="169">
        <v>43485</v>
      </c>
      <c r="V3" s="168">
        <v>43486</v>
      </c>
      <c r="W3" s="168">
        <v>43487</v>
      </c>
      <c r="X3" s="168">
        <v>43488</v>
      </c>
      <c r="Y3" s="168">
        <v>43489</v>
      </c>
      <c r="Z3" s="168">
        <v>43490</v>
      </c>
      <c r="AA3" s="168">
        <v>43491</v>
      </c>
      <c r="AB3" s="169">
        <v>43492</v>
      </c>
      <c r="AC3" s="168">
        <v>43493</v>
      </c>
      <c r="AD3" s="168">
        <v>43494</v>
      </c>
      <c r="AE3" s="168">
        <v>43495</v>
      </c>
      <c r="AF3" s="168">
        <v>43496</v>
      </c>
      <c r="AG3" s="527" t="s">
        <v>7</v>
      </c>
      <c r="AH3" s="408"/>
      <c r="AI3" s="408"/>
    </row>
    <row r="4" spans="1:36" ht="12" customHeight="1" thickBot="1">
      <c r="A4" s="95" t="s">
        <v>8</v>
      </c>
      <c r="B4" s="175" t="s">
        <v>70</v>
      </c>
      <c r="C4" s="170" t="str">
        <f t="shared" ref="C4:AF4" si="0">IF(B4="日","一",IF(B4="一","二",IF(B4="二","三",IF(B4="三","四",IF(B4="四","五",IF(B4="五","六",IF(B4="六","日","")))))))</f>
        <v>三</v>
      </c>
      <c r="D4" s="96" t="str">
        <f t="shared" si="0"/>
        <v>四</v>
      </c>
      <c r="E4" s="170" t="str">
        <f t="shared" si="0"/>
        <v>五</v>
      </c>
      <c r="F4" s="170" t="str">
        <f t="shared" si="0"/>
        <v>六</v>
      </c>
      <c r="G4" s="175" t="str">
        <f t="shared" si="0"/>
        <v>日</v>
      </c>
      <c r="H4" s="170" t="str">
        <f t="shared" si="0"/>
        <v>一</v>
      </c>
      <c r="I4" s="170" t="str">
        <f t="shared" si="0"/>
        <v>二</v>
      </c>
      <c r="J4" s="170" t="str">
        <f t="shared" si="0"/>
        <v>三</v>
      </c>
      <c r="K4" s="96" t="str">
        <f t="shared" si="0"/>
        <v>四</v>
      </c>
      <c r="L4" s="170" t="str">
        <f t="shared" si="0"/>
        <v>五</v>
      </c>
      <c r="M4" s="170" t="str">
        <f t="shared" si="0"/>
        <v>六</v>
      </c>
      <c r="N4" s="175" t="str">
        <f t="shared" si="0"/>
        <v>日</v>
      </c>
      <c r="O4" s="170" t="str">
        <f t="shared" si="0"/>
        <v>一</v>
      </c>
      <c r="P4" s="170" t="str">
        <f t="shared" si="0"/>
        <v>二</v>
      </c>
      <c r="Q4" s="170" t="str">
        <f t="shared" si="0"/>
        <v>三</v>
      </c>
      <c r="R4" s="96" t="str">
        <f t="shared" si="0"/>
        <v>四</v>
      </c>
      <c r="S4" s="170" t="str">
        <f t="shared" si="0"/>
        <v>五</v>
      </c>
      <c r="T4" s="170" t="str">
        <f t="shared" si="0"/>
        <v>六</v>
      </c>
      <c r="U4" s="175" t="str">
        <f t="shared" si="0"/>
        <v>日</v>
      </c>
      <c r="V4" s="170" t="str">
        <f t="shared" si="0"/>
        <v>一</v>
      </c>
      <c r="W4" s="170" t="str">
        <f t="shared" si="0"/>
        <v>二</v>
      </c>
      <c r="X4" s="170" t="str">
        <f t="shared" si="0"/>
        <v>三</v>
      </c>
      <c r="Y4" s="96" t="str">
        <f t="shared" si="0"/>
        <v>四</v>
      </c>
      <c r="Z4" s="170" t="str">
        <f t="shared" si="0"/>
        <v>五</v>
      </c>
      <c r="AA4" s="170" t="str">
        <f t="shared" si="0"/>
        <v>六</v>
      </c>
      <c r="AB4" s="175" t="str">
        <f t="shared" si="0"/>
        <v>日</v>
      </c>
      <c r="AC4" s="170" t="str">
        <f t="shared" si="0"/>
        <v>一</v>
      </c>
      <c r="AD4" s="170" t="str">
        <f t="shared" si="0"/>
        <v>二</v>
      </c>
      <c r="AE4" s="170" t="str">
        <f t="shared" si="0"/>
        <v>三</v>
      </c>
      <c r="AF4" s="96" t="str">
        <f t="shared" si="0"/>
        <v>四</v>
      </c>
      <c r="AG4" s="527"/>
      <c r="AH4" s="261">
        <f>+AH5*9.5</f>
        <v>171</v>
      </c>
      <c r="AI4" s="261">
        <f>+AI5*8</f>
        <v>64</v>
      </c>
      <c r="AJ4" s="261" t="s">
        <v>9</v>
      </c>
    </row>
    <row r="5" spans="1:36" ht="12.75" customHeight="1" thickBot="1">
      <c r="A5" s="96"/>
      <c r="B5" s="251"/>
      <c r="C5" s="172">
        <v>9.5</v>
      </c>
      <c r="D5" s="172">
        <v>9.5</v>
      </c>
      <c r="E5" s="172">
        <v>9.5</v>
      </c>
      <c r="F5" s="252">
        <v>8</v>
      </c>
      <c r="G5" s="251"/>
      <c r="H5" s="172">
        <v>9.5</v>
      </c>
      <c r="I5" s="172">
        <v>9.5</v>
      </c>
      <c r="J5" s="172">
        <v>9.5</v>
      </c>
      <c r="K5" s="172">
        <v>9.5</v>
      </c>
      <c r="L5" s="172">
        <v>9.5</v>
      </c>
      <c r="M5" s="252">
        <v>8</v>
      </c>
      <c r="N5" s="251"/>
      <c r="O5" s="172">
        <v>9.5</v>
      </c>
      <c r="P5" s="172">
        <v>9.5</v>
      </c>
      <c r="Q5" s="172">
        <v>9.5</v>
      </c>
      <c r="R5" s="172">
        <v>9.5</v>
      </c>
      <c r="S5" s="172">
        <v>9.5</v>
      </c>
      <c r="T5" s="252">
        <v>8</v>
      </c>
      <c r="U5" s="251"/>
      <c r="V5" s="172">
        <v>9.5</v>
      </c>
      <c r="W5" s="172">
        <v>9.5</v>
      </c>
      <c r="X5" s="172">
        <v>9.5</v>
      </c>
      <c r="Y5" s="172">
        <v>9.5</v>
      </c>
      <c r="Z5" s="172">
        <v>9.5</v>
      </c>
      <c r="AA5" s="252">
        <v>8</v>
      </c>
      <c r="AB5" s="251"/>
      <c r="AC5" s="252">
        <v>8</v>
      </c>
      <c r="AD5" s="252">
        <v>8</v>
      </c>
      <c r="AE5" s="252">
        <v>8</v>
      </c>
      <c r="AF5" s="252">
        <v>8</v>
      </c>
      <c r="AG5" s="96">
        <f>SUM(B5:AF5)</f>
        <v>235</v>
      </c>
      <c r="AH5" s="253">
        <f>COUNTIF(B5:AF5,9.5)</f>
        <v>18</v>
      </c>
      <c r="AI5" s="253">
        <f>COUNTIF(B5:AG5,8)</f>
        <v>8</v>
      </c>
      <c r="AJ5" s="253">
        <f>COUNTA(B5:AF5)</f>
        <v>26</v>
      </c>
    </row>
    <row r="6" spans="1:36" ht="15.75">
      <c r="A6" s="146" t="s">
        <v>10</v>
      </c>
      <c r="B6" s="255"/>
      <c r="C6" s="211" t="s">
        <v>163</v>
      </c>
      <c r="D6" s="273" t="s">
        <v>163</v>
      </c>
      <c r="E6" s="224" t="s">
        <v>98</v>
      </c>
      <c r="F6" s="224" t="s">
        <v>98</v>
      </c>
      <c r="G6" s="255"/>
      <c r="H6" s="224" t="s">
        <v>98</v>
      </c>
      <c r="I6" s="224" t="s">
        <v>98</v>
      </c>
      <c r="J6" s="224" t="s">
        <v>98</v>
      </c>
      <c r="L6" s="304" t="s">
        <v>98</v>
      </c>
      <c r="M6" s="224" t="s">
        <v>160</v>
      </c>
      <c r="N6" s="254"/>
      <c r="O6" s="303" t="s">
        <v>160</v>
      </c>
      <c r="P6" s="224" t="s">
        <v>39</v>
      </c>
      <c r="Q6" s="353" t="s">
        <v>573</v>
      </c>
      <c r="R6" s="353" t="s">
        <v>580</v>
      </c>
      <c r="U6" s="255"/>
      <c r="W6" s="304" t="s">
        <v>97</v>
      </c>
      <c r="X6" s="224" t="s">
        <v>97</v>
      </c>
      <c r="Y6" s="304" t="s">
        <v>97</v>
      </c>
      <c r="Z6" s="108" t="s">
        <v>97</v>
      </c>
      <c r="AA6" s="405" t="s">
        <v>78</v>
      </c>
      <c r="AB6" s="262"/>
      <c r="AC6" s="383" t="s">
        <v>78</v>
      </c>
      <c r="AD6" s="383" t="s">
        <v>78</v>
      </c>
      <c r="AE6" s="383" t="s">
        <v>78</v>
      </c>
      <c r="AG6" s="162"/>
      <c r="AH6" s="160"/>
    </row>
    <row r="7" spans="1:36" ht="15.75">
      <c r="A7" s="147" t="s">
        <v>11</v>
      </c>
      <c r="B7" s="255"/>
      <c r="C7" s="93" t="s">
        <v>253</v>
      </c>
      <c r="D7" s="93" t="s">
        <v>251</v>
      </c>
      <c r="E7" s="93" t="s">
        <v>259</v>
      </c>
      <c r="F7" s="93" t="s">
        <v>244</v>
      </c>
      <c r="G7" s="255"/>
      <c r="H7" s="93" t="s">
        <v>245</v>
      </c>
      <c r="I7" s="93" t="s">
        <v>246</v>
      </c>
      <c r="J7" s="93" t="s">
        <v>243</v>
      </c>
      <c r="L7" s="93" t="s">
        <v>469</v>
      </c>
      <c r="M7" s="93" t="s">
        <v>247</v>
      </c>
      <c r="N7" s="254"/>
      <c r="O7" s="93" t="s">
        <v>249</v>
      </c>
      <c r="P7" s="93" t="s">
        <v>241</v>
      </c>
      <c r="Q7" s="353">
        <v>39</v>
      </c>
      <c r="R7" s="353">
        <v>45</v>
      </c>
      <c r="U7" s="255"/>
      <c r="W7" s="93" t="s">
        <v>457</v>
      </c>
      <c r="X7" s="93" t="s">
        <v>263</v>
      </c>
      <c r="Y7" s="93" t="s">
        <v>458</v>
      </c>
      <c r="Z7" s="101" t="s">
        <v>459</v>
      </c>
      <c r="AA7" s="240" t="s">
        <v>596</v>
      </c>
      <c r="AB7" s="254"/>
      <c r="AC7" s="93" t="s">
        <v>597</v>
      </c>
      <c r="AD7" s="93" t="s">
        <v>601</v>
      </c>
      <c r="AE7" s="93" t="s">
        <v>598</v>
      </c>
      <c r="AG7" s="162"/>
      <c r="AH7" s="160"/>
    </row>
    <row r="8" spans="1:36" ht="15.75">
      <c r="A8" s="148" t="s">
        <v>12</v>
      </c>
      <c r="B8" s="255"/>
      <c r="C8" s="21" t="str">
        <f>VLOOKUP(C7,'[2]2019-02'!$A$3:$G$1657,7,0)</f>
        <v>OK</v>
      </c>
      <c r="D8" s="21" t="str">
        <f>VLOOKUP(D7,'[2]2019-02'!$A$3:$G$1657,7,0)</f>
        <v>OK</v>
      </c>
      <c r="E8" s="21" t="str">
        <f>VLOOKUP(E7,'[2]2019-02'!$A$3:$G$1657,7,0)</f>
        <v>OK</v>
      </c>
      <c r="F8" s="21" t="str">
        <f>VLOOKUP(F7,'[2]2019-02'!$A$3:$G$1657,7,0)</f>
        <v>OK</v>
      </c>
      <c r="G8" s="255"/>
      <c r="H8" s="21" t="str">
        <f>VLOOKUP(H7,'[2]2019-02'!$A$3:$G$1657,7,0)</f>
        <v>OK</v>
      </c>
      <c r="I8" s="21" t="str">
        <f>VLOOKUP(I7,'[2]2019-02'!$A$3:$G$1657,7,0)</f>
        <v>OK</v>
      </c>
      <c r="J8" s="21" t="str">
        <f>VLOOKUP(J7,'[2]2019-02'!$A$3:$G$1657,7,0)</f>
        <v>OK</v>
      </c>
      <c r="L8" s="21" t="str">
        <f>VLOOKUP(L7,'[2]2019-02'!$A$3:$G$1657,7,0)</f>
        <v>12/21</v>
      </c>
      <c r="M8" s="21" t="str">
        <f>VLOOKUP(M7,'[2]2019-02'!$A$3:$G$1657,7,0)</f>
        <v>OK</v>
      </c>
      <c r="N8" s="254"/>
      <c r="O8" s="21" t="str">
        <f>VLOOKUP(O7,'[2]2019-02'!$A$3:$G$1657,7,0)</f>
        <v>OK</v>
      </c>
      <c r="P8" s="21" t="str">
        <f>VLOOKUP(P7,'[2]2019-02'!$A$3:$G$1657,7,0)</f>
        <v>OK</v>
      </c>
      <c r="Q8" s="353" t="s">
        <v>572</v>
      </c>
      <c r="R8" s="353" t="s">
        <v>581</v>
      </c>
      <c r="U8" s="255"/>
      <c r="W8" s="21" t="str">
        <f>VLOOKUP(W7,'[2]2019-02'!$A$3:$G$1657,7,0)</f>
        <v>12/28</v>
      </c>
      <c r="X8" s="21" t="str">
        <f>VLOOKUP(X7,'[2]2019-02'!$A$3:$G$1657,7,0)</f>
        <v>OK</v>
      </c>
      <c r="Y8" s="21" t="str">
        <f>VLOOKUP(Y7,'[2]2019-02'!$A$3:$G$1657,7,0)</f>
        <v>01/03</v>
      </c>
      <c r="Z8" s="21" t="str">
        <f>VLOOKUP(Z7,'[2]2019-02'!$A$3:$G$1657,7,0)</f>
        <v>01/03</v>
      </c>
      <c r="AA8" s="242" t="str">
        <f>VLOOKUP(AA14,'[3]2018-11-16'!$A:$D,4,0)</f>
        <v>基本型體</v>
      </c>
      <c r="AB8" s="254"/>
      <c r="AC8" s="383" t="str">
        <f>VLOOKUP(AC14,'[3]2018-11-16'!$A:$D,4,0)</f>
        <v>基本型體</v>
      </c>
      <c r="AD8" s="383" t="str">
        <f>VLOOKUP(AD14,'[3]2018-11-16'!$A:$D,4,0)</f>
        <v>基本型體</v>
      </c>
      <c r="AE8" s="383" t="str">
        <f>VLOOKUP(AE14,'[3]2018-11-16'!$A:$D,4,0)</f>
        <v>基本型體</v>
      </c>
      <c r="AG8" s="162"/>
      <c r="AH8" s="160"/>
    </row>
    <row r="9" spans="1:36" ht="15.75">
      <c r="A9" s="149" t="s">
        <v>13</v>
      </c>
      <c r="B9" s="255"/>
      <c r="C9" s="19" t="s">
        <v>40</v>
      </c>
      <c r="D9" s="19" t="s">
        <v>40</v>
      </c>
      <c r="E9" s="19" t="s">
        <v>40</v>
      </c>
      <c r="F9" s="19" t="s">
        <v>40</v>
      </c>
      <c r="G9" s="255"/>
      <c r="H9" s="19" t="s">
        <v>40</v>
      </c>
      <c r="I9" s="19" t="s">
        <v>40</v>
      </c>
      <c r="J9" s="19" t="s">
        <v>40</v>
      </c>
      <c r="L9" s="19" t="s">
        <v>40</v>
      </c>
      <c r="M9" s="19" t="s">
        <v>40</v>
      </c>
      <c r="N9" s="254"/>
      <c r="O9" s="19" t="s">
        <v>40</v>
      </c>
      <c r="P9" s="19" t="s">
        <v>41</v>
      </c>
      <c r="Q9" s="51">
        <v>35</v>
      </c>
      <c r="R9" s="51">
        <v>90</v>
      </c>
      <c r="U9" s="255"/>
      <c r="W9" s="19" t="s">
        <v>40</v>
      </c>
      <c r="X9" s="19" t="s">
        <v>40</v>
      </c>
      <c r="Y9" s="19" t="s">
        <v>40</v>
      </c>
      <c r="Z9" s="102" t="s">
        <v>40</v>
      </c>
      <c r="AA9" s="241"/>
      <c r="AB9" s="254"/>
      <c r="AC9" s="19"/>
      <c r="AD9" s="19"/>
      <c r="AE9" s="19"/>
      <c r="AG9" s="162"/>
      <c r="AH9" s="160"/>
    </row>
    <row r="10" spans="1:36" ht="15.75">
      <c r="A10" s="150" t="s">
        <v>15</v>
      </c>
      <c r="B10" s="255"/>
      <c r="C10" s="211" t="s">
        <v>16</v>
      </c>
      <c r="D10" s="269" t="s">
        <v>16</v>
      </c>
      <c r="E10" s="224" t="s">
        <v>67</v>
      </c>
      <c r="F10" s="224" t="s">
        <v>67</v>
      </c>
      <c r="G10" s="255"/>
      <c r="H10" s="224" t="s">
        <v>67</v>
      </c>
      <c r="I10" s="224" t="s">
        <v>67</v>
      </c>
      <c r="J10" s="224" t="s">
        <v>67</v>
      </c>
      <c r="L10" s="304" t="s">
        <v>67</v>
      </c>
      <c r="M10" s="224" t="s">
        <v>67</v>
      </c>
      <c r="N10" s="254"/>
      <c r="O10" s="269" t="s">
        <v>67</v>
      </c>
      <c r="P10" s="224" t="s">
        <v>71</v>
      </c>
      <c r="R10"/>
      <c r="U10" s="255"/>
      <c r="W10" s="304" t="s">
        <v>53</v>
      </c>
      <c r="X10" s="224" t="s">
        <v>53</v>
      </c>
      <c r="Y10" s="304" t="s">
        <v>53</v>
      </c>
      <c r="Z10" s="103" t="s">
        <v>53</v>
      </c>
      <c r="AA10" s="242" t="s">
        <v>53</v>
      </c>
      <c r="AB10" s="254"/>
      <c r="AC10" s="383" t="s">
        <v>53</v>
      </c>
      <c r="AD10" s="383" t="s">
        <v>53</v>
      </c>
      <c r="AE10" s="383" t="s">
        <v>53</v>
      </c>
      <c r="AG10" s="162"/>
      <c r="AH10" s="160"/>
    </row>
    <row r="11" spans="1:36" ht="15.75">
      <c r="A11" s="151" t="s">
        <v>17</v>
      </c>
      <c r="B11" s="255"/>
      <c r="C11" s="100" t="s">
        <v>145</v>
      </c>
      <c r="D11" s="100" t="s">
        <v>145</v>
      </c>
      <c r="E11" s="100" t="s">
        <v>145</v>
      </c>
      <c r="F11" s="100" t="s">
        <v>145</v>
      </c>
      <c r="G11" s="255"/>
      <c r="H11" s="100" t="s">
        <v>145</v>
      </c>
      <c r="I11" s="100" t="s">
        <v>145</v>
      </c>
      <c r="J11" s="100" t="s">
        <v>145</v>
      </c>
      <c r="L11" s="272" t="s">
        <v>419</v>
      </c>
      <c r="M11" s="100" t="s">
        <v>145</v>
      </c>
      <c r="N11" s="254"/>
      <c r="O11" s="100" t="s">
        <v>145</v>
      </c>
      <c r="P11" s="100" t="s">
        <v>145</v>
      </c>
      <c r="Q11" s="353" t="s">
        <v>573</v>
      </c>
      <c r="R11" s="353" t="s">
        <v>580</v>
      </c>
      <c r="U11" s="255"/>
      <c r="W11" s="272" t="s">
        <v>419</v>
      </c>
      <c r="X11" s="100" t="s">
        <v>145</v>
      </c>
      <c r="Y11" s="272" t="s">
        <v>419</v>
      </c>
      <c r="Z11" s="394" t="s">
        <v>419</v>
      </c>
      <c r="AA11" s="392" t="s">
        <v>493</v>
      </c>
      <c r="AB11" s="254"/>
      <c r="AC11" s="391" t="s">
        <v>493</v>
      </c>
      <c r="AD11" s="391" t="s">
        <v>493</v>
      </c>
      <c r="AE11" s="391" t="s">
        <v>493</v>
      </c>
      <c r="AG11" s="162"/>
      <c r="AH11" s="160"/>
    </row>
    <row r="12" spans="1:36" ht="12.75" customHeight="1">
      <c r="A12" s="152" t="s">
        <v>18</v>
      </c>
      <c r="B12" s="255"/>
      <c r="C12" s="23"/>
      <c r="D12" s="23"/>
      <c r="E12" s="23"/>
      <c r="F12" s="23"/>
      <c r="G12" s="255"/>
      <c r="H12" s="23"/>
      <c r="I12" s="23"/>
      <c r="J12" s="23"/>
      <c r="L12" s="23"/>
      <c r="M12" s="23"/>
      <c r="N12" s="254"/>
      <c r="O12" s="23"/>
      <c r="P12" s="23"/>
      <c r="Q12" s="353">
        <v>40</v>
      </c>
      <c r="R12" s="353">
        <v>46</v>
      </c>
      <c r="U12" s="255"/>
      <c r="W12" s="23"/>
      <c r="X12" s="23"/>
      <c r="Y12" s="23"/>
      <c r="Z12" s="109"/>
      <c r="AA12" s="243"/>
      <c r="AB12" s="254"/>
      <c r="AC12" s="23"/>
      <c r="AD12" s="23"/>
      <c r="AE12" s="23"/>
      <c r="AG12" s="162"/>
      <c r="AH12" s="160"/>
    </row>
    <row r="13" spans="1:36" ht="15.75">
      <c r="A13" s="146" t="s">
        <v>20</v>
      </c>
      <c r="B13" s="255"/>
      <c r="C13" s="182">
        <v>5</v>
      </c>
      <c r="D13" s="182">
        <v>5</v>
      </c>
      <c r="E13" s="161">
        <v>3</v>
      </c>
      <c r="F13" s="161">
        <v>3</v>
      </c>
      <c r="G13" s="255"/>
      <c r="H13" s="161">
        <v>3</v>
      </c>
      <c r="I13" s="161">
        <v>3</v>
      </c>
      <c r="J13" s="161">
        <v>3</v>
      </c>
      <c r="L13" s="161">
        <v>3</v>
      </c>
      <c r="M13" s="161">
        <v>3</v>
      </c>
      <c r="N13" s="254"/>
      <c r="O13" s="161">
        <v>3</v>
      </c>
      <c r="P13" s="161">
        <v>3</v>
      </c>
      <c r="Q13" s="353" t="s">
        <v>575</v>
      </c>
      <c r="R13" s="353" t="s">
        <v>579</v>
      </c>
      <c r="U13" s="255"/>
      <c r="W13" s="182">
        <v>5</v>
      </c>
      <c r="X13" s="182">
        <v>5</v>
      </c>
      <c r="Y13" s="182">
        <v>5</v>
      </c>
      <c r="Z13" s="182">
        <v>5</v>
      </c>
      <c r="AA13" s="393">
        <v>1</v>
      </c>
      <c r="AB13" s="254"/>
      <c r="AC13" s="87">
        <v>1</v>
      </c>
      <c r="AD13" s="87">
        <v>1</v>
      </c>
      <c r="AE13" s="87">
        <v>1</v>
      </c>
      <c r="AG13" s="162"/>
      <c r="AH13" s="160"/>
    </row>
    <row r="14" spans="1:36" ht="15.75">
      <c r="A14" s="153" t="s">
        <v>21</v>
      </c>
      <c r="B14" s="255"/>
      <c r="C14" s="94" t="s">
        <v>162</v>
      </c>
      <c r="D14" s="94" t="s">
        <v>164</v>
      </c>
      <c r="E14" s="94" t="s">
        <v>108</v>
      </c>
      <c r="F14" s="94" t="s">
        <v>157</v>
      </c>
      <c r="G14" s="255"/>
      <c r="H14" s="94" t="s">
        <v>157</v>
      </c>
      <c r="I14" s="94" t="s">
        <v>156</v>
      </c>
      <c r="J14" s="94" t="s">
        <v>158</v>
      </c>
      <c r="L14" s="94" t="s">
        <v>158</v>
      </c>
      <c r="M14" s="94" t="s">
        <v>159</v>
      </c>
      <c r="N14" s="254"/>
      <c r="O14" s="94" t="s">
        <v>161</v>
      </c>
      <c r="P14" s="94" t="s">
        <v>43</v>
      </c>
      <c r="Q14" s="51">
        <v>74</v>
      </c>
      <c r="R14" s="51">
        <v>88</v>
      </c>
      <c r="U14" s="255"/>
      <c r="W14" s="94" t="s">
        <v>153</v>
      </c>
      <c r="X14" s="94" t="s">
        <v>155</v>
      </c>
      <c r="Y14" s="94" t="s">
        <v>155</v>
      </c>
      <c r="Z14" s="104" t="s">
        <v>420</v>
      </c>
      <c r="AA14" s="242" t="s">
        <v>79</v>
      </c>
      <c r="AB14" s="254"/>
      <c r="AC14" s="383" t="s">
        <v>79</v>
      </c>
      <c r="AD14" s="383" t="s">
        <v>82</v>
      </c>
      <c r="AE14" s="383" t="s">
        <v>83</v>
      </c>
      <c r="AG14" s="162"/>
      <c r="AH14" s="160"/>
    </row>
    <row r="15" spans="1:36">
      <c r="A15" s="154" t="s">
        <v>22</v>
      </c>
      <c r="B15" s="255"/>
      <c r="C15" s="27"/>
      <c r="D15" s="27"/>
      <c r="E15" s="27"/>
      <c r="F15" s="27"/>
      <c r="G15" s="255"/>
      <c r="H15" s="27"/>
      <c r="I15" s="27"/>
      <c r="J15" s="27"/>
      <c r="L15" s="27"/>
      <c r="M15" s="27"/>
      <c r="N15" s="254"/>
      <c r="O15" s="27"/>
      <c r="P15" s="27"/>
      <c r="U15" s="255"/>
      <c r="W15" s="27"/>
      <c r="X15" s="27"/>
      <c r="Y15" s="27"/>
      <c r="Z15" s="105"/>
      <c r="AA15" s="246"/>
      <c r="AB15" s="254"/>
      <c r="AC15" s="27"/>
      <c r="AD15" s="27"/>
      <c r="AE15" s="27"/>
      <c r="AG15" s="162"/>
      <c r="AH15" s="160"/>
    </row>
    <row r="16" spans="1:36" ht="15.75">
      <c r="A16" s="153" t="s">
        <v>23</v>
      </c>
      <c r="B16" s="255"/>
      <c r="C16" s="211">
        <v>468</v>
      </c>
      <c r="D16" s="269">
        <v>588</v>
      </c>
      <c r="E16" s="224">
        <v>1800</v>
      </c>
      <c r="F16" s="224">
        <v>168</v>
      </c>
      <c r="G16" s="255"/>
      <c r="H16" s="224">
        <v>408</v>
      </c>
      <c r="I16" s="224">
        <v>408</v>
      </c>
      <c r="J16" s="224">
        <v>168</v>
      </c>
      <c r="L16" s="304">
        <v>1824</v>
      </c>
      <c r="M16" s="224">
        <v>1800</v>
      </c>
      <c r="N16" s="254"/>
      <c r="O16" s="269">
        <v>600</v>
      </c>
      <c r="P16" s="224">
        <v>1800</v>
      </c>
      <c r="Q16" s="353" t="s">
        <v>573</v>
      </c>
      <c r="R16" s="353" t="s">
        <v>584</v>
      </c>
      <c r="U16" s="255"/>
      <c r="W16" s="304">
        <v>1800</v>
      </c>
      <c r="X16" s="224">
        <v>1764</v>
      </c>
      <c r="Y16" s="304">
        <v>1800</v>
      </c>
      <c r="Z16" s="103">
        <v>1800</v>
      </c>
      <c r="AA16" s="242">
        <v>864</v>
      </c>
      <c r="AB16" s="254"/>
      <c r="AC16" s="383">
        <v>360</v>
      </c>
      <c r="AD16" s="383">
        <v>672</v>
      </c>
      <c r="AE16" s="383">
        <v>5700</v>
      </c>
      <c r="AG16" s="162"/>
      <c r="AH16" s="160"/>
    </row>
    <row r="17" spans="1:34" ht="12.75" customHeight="1">
      <c r="A17" s="155" t="s">
        <v>24</v>
      </c>
      <c r="B17" s="255"/>
      <c r="C17" s="29" t="s">
        <v>686</v>
      </c>
      <c r="D17" s="29" t="s">
        <v>687</v>
      </c>
      <c r="E17" s="29">
        <v>-4</v>
      </c>
      <c r="F17" s="29" t="s">
        <v>678</v>
      </c>
      <c r="G17" s="255"/>
      <c r="H17" s="29" t="s">
        <v>688</v>
      </c>
      <c r="I17" s="29">
        <v>-5</v>
      </c>
      <c r="J17" s="29">
        <v>-5</v>
      </c>
      <c r="L17" s="30"/>
      <c r="M17" s="30" t="s">
        <v>19</v>
      </c>
      <c r="N17" s="254"/>
      <c r="O17" s="30" t="s">
        <v>19</v>
      </c>
      <c r="P17" s="30" t="s">
        <v>19</v>
      </c>
      <c r="Q17" s="353">
        <v>41</v>
      </c>
      <c r="R17" s="353">
        <v>47</v>
      </c>
      <c r="U17" s="255"/>
      <c r="W17" s="30"/>
      <c r="X17" s="30" t="s">
        <v>19</v>
      </c>
      <c r="Y17" s="30"/>
      <c r="Z17" s="395"/>
      <c r="AA17" s="393"/>
      <c r="AB17" s="254"/>
      <c r="AC17" s="24"/>
      <c r="AD17" s="24"/>
      <c r="AE17" s="24"/>
      <c r="AG17" s="162"/>
      <c r="AH17" s="160"/>
    </row>
    <row r="18" spans="1:34" ht="15.75">
      <c r="A18" s="128" t="s">
        <v>25</v>
      </c>
      <c r="B18" s="255"/>
      <c r="C18" s="32">
        <v>43490</v>
      </c>
      <c r="D18" s="32">
        <v>43490</v>
      </c>
      <c r="E18" s="32">
        <v>43507</v>
      </c>
      <c r="F18" s="32">
        <v>43490</v>
      </c>
      <c r="G18" s="255"/>
      <c r="H18" s="32">
        <v>43510</v>
      </c>
      <c r="I18" s="32">
        <v>43510</v>
      </c>
      <c r="J18" s="32">
        <v>43490</v>
      </c>
      <c r="L18" s="32">
        <v>43542</v>
      </c>
      <c r="M18" s="32">
        <v>43507</v>
      </c>
      <c r="N18" s="254"/>
      <c r="O18" s="32">
        <v>43510</v>
      </c>
      <c r="P18" s="32">
        <v>43493</v>
      </c>
      <c r="Q18" s="353" t="s">
        <v>574</v>
      </c>
      <c r="R18" s="353" t="s">
        <v>583</v>
      </c>
      <c r="U18" s="255"/>
      <c r="W18" s="32">
        <v>43543</v>
      </c>
      <c r="X18" s="32">
        <v>43508</v>
      </c>
      <c r="Y18" s="32">
        <v>43539</v>
      </c>
      <c r="Z18" s="106">
        <v>43522</v>
      </c>
      <c r="AA18" s="247">
        <v>43520</v>
      </c>
      <c r="AB18" s="254"/>
      <c r="AC18" s="32">
        <v>43520</v>
      </c>
      <c r="AD18" s="32">
        <v>43519</v>
      </c>
      <c r="AE18" s="32">
        <v>43535</v>
      </c>
      <c r="AG18" s="162"/>
      <c r="AH18" s="160"/>
    </row>
    <row r="19" spans="1:34" ht="16.5" thickBot="1">
      <c r="A19" s="146" t="s">
        <v>27</v>
      </c>
      <c r="B19" s="255"/>
      <c r="C19" s="31" t="s">
        <v>29</v>
      </c>
      <c r="D19" s="31" t="s">
        <v>29</v>
      </c>
      <c r="E19" s="31" t="s">
        <v>28</v>
      </c>
      <c r="F19" s="31" t="s">
        <v>29</v>
      </c>
      <c r="G19" s="255"/>
      <c r="H19" s="31" t="s">
        <v>28</v>
      </c>
      <c r="I19" s="31" t="s">
        <v>28</v>
      </c>
      <c r="J19" s="31" t="s">
        <v>29</v>
      </c>
      <c r="L19" s="31" t="s">
        <v>28</v>
      </c>
      <c r="M19" s="31" t="s">
        <v>28</v>
      </c>
      <c r="N19" s="254"/>
      <c r="O19" s="31" t="s">
        <v>28</v>
      </c>
      <c r="P19" s="31" t="s">
        <v>30</v>
      </c>
      <c r="Q19" s="51">
        <v>41</v>
      </c>
      <c r="R19" s="51">
        <v>51.5</v>
      </c>
      <c r="U19" s="255"/>
      <c r="W19" s="31" t="s">
        <v>28</v>
      </c>
      <c r="X19" s="31" t="s">
        <v>28</v>
      </c>
      <c r="Y19" s="31" t="s">
        <v>28</v>
      </c>
      <c r="Z19" s="107" t="s">
        <v>28</v>
      </c>
      <c r="AA19" s="296" t="s">
        <v>48</v>
      </c>
      <c r="AB19" s="254"/>
      <c r="AC19" s="31" t="s">
        <v>63</v>
      </c>
      <c r="AD19" s="31" t="s">
        <v>28</v>
      </c>
      <c r="AE19" s="31" t="s">
        <v>29</v>
      </c>
      <c r="AF19"/>
      <c r="AG19" s="162"/>
      <c r="AH19" s="160"/>
    </row>
    <row r="20" spans="1:34" ht="15.75">
      <c r="A20" s="146" t="s">
        <v>10</v>
      </c>
      <c r="B20" s="255"/>
      <c r="C20" s="211" t="s">
        <v>163</v>
      </c>
      <c r="D20" s="269" t="s">
        <v>163</v>
      </c>
      <c r="F20" s="224" t="s">
        <v>98</v>
      </c>
      <c r="G20" s="255"/>
      <c r="H20" s="224" t="s">
        <v>98</v>
      </c>
      <c r="I20" s="304" t="s">
        <v>98</v>
      </c>
      <c r="J20" s="224" t="s">
        <v>98</v>
      </c>
      <c r="L20" s="161"/>
      <c r="N20" s="254"/>
      <c r="O20" s="269" t="s">
        <v>160</v>
      </c>
      <c r="U20" s="255"/>
      <c r="Z20" s="105"/>
      <c r="AA20" s="242" t="s">
        <v>78</v>
      </c>
      <c r="AB20" s="254"/>
      <c r="AD20" s="116" t="s">
        <v>78</v>
      </c>
      <c r="AG20" s="162"/>
      <c r="AH20" s="160"/>
    </row>
    <row r="21" spans="1:34" ht="15.75">
      <c r="A21" s="147" t="s">
        <v>11</v>
      </c>
      <c r="B21" s="255"/>
      <c r="C21" s="93" t="s">
        <v>250</v>
      </c>
      <c r="D21" s="93" t="s">
        <v>258</v>
      </c>
      <c r="F21" s="93" t="s">
        <v>261</v>
      </c>
      <c r="G21" s="255"/>
      <c r="H21" s="93" t="s">
        <v>262</v>
      </c>
      <c r="I21" s="93" t="s">
        <v>468</v>
      </c>
      <c r="J21" s="93" t="s">
        <v>260</v>
      </c>
      <c r="L21" s="161"/>
      <c r="N21" s="254"/>
      <c r="O21" s="93" t="s">
        <v>248</v>
      </c>
      <c r="Q21" s="353" t="s">
        <v>573</v>
      </c>
      <c r="R21" s="353" t="s">
        <v>584</v>
      </c>
      <c r="U21" s="255"/>
      <c r="Z21" s="105"/>
      <c r="AA21" s="240" t="s">
        <v>595</v>
      </c>
      <c r="AB21" s="254"/>
      <c r="AD21" s="117" t="s">
        <v>600</v>
      </c>
      <c r="AG21" s="162"/>
      <c r="AH21" s="160"/>
    </row>
    <row r="22" spans="1:34" ht="15.75">
      <c r="A22" s="148" t="s">
        <v>12</v>
      </c>
      <c r="B22" s="255"/>
      <c r="C22" s="21" t="str">
        <f>VLOOKUP(C21,'[2]2019-02'!$A$3:$G$1657,7,0)</f>
        <v>OK</v>
      </c>
      <c r="D22" s="21" t="str">
        <f>VLOOKUP(D21,'[2]2019-02'!$A$3:$G$1657,7,0)</f>
        <v>OK</v>
      </c>
      <c r="F22" s="21" t="str">
        <f>VLOOKUP(F21,'[2]2019-02'!$A$3:$G$1657,7,0)</f>
        <v>OK</v>
      </c>
      <c r="G22" s="255"/>
      <c r="H22" s="21" t="str">
        <f>VLOOKUP(H21,'[2]2019-02'!$A$3:$G$1657,7,0)</f>
        <v>OK</v>
      </c>
      <c r="I22" s="21" t="str">
        <f>VLOOKUP(I21,'[2]2019-02'!$A$3:$G$1657,7,0)</f>
        <v>01/03</v>
      </c>
      <c r="J22" s="21" t="str">
        <f>VLOOKUP(J21,'[2]2019-02'!$A$3:$G$1657,7,0)</f>
        <v>OK</v>
      </c>
      <c r="L22" s="161"/>
      <c r="N22" s="254"/>
      <c r="O22" s="21" t="str">
        <f>VLOOKUP(O21,'[2]2019-02'!$A$3:$G$1657,7,0)</f>
        <v>OK</v>
      </c>
      <c r="Q22" s="353">
        <v>42</v>
      </c>
      <c r="R22" s="353">
        <v>48</v>
      </c>
      <c r="U22" s="255"/>
      <c r="Z22" s="105"/>
      <c r="AA22" s="242" t="str">
        <f>VLOOKUP(AA28,'[3]2018-11-16'!$A:$D,4,0)</f>
        <v>基本型體</v>
      </c>
      <c r="AB22" s="254"/>
      <c r="AD22" s="119" t="str">
        <f>VLOOKUP(AD28,'[3]2018-11-16'!$A:$D,4,0)</f>
        <v>基本型體</v>
      </c>
      <c r="AG22" s="162"/>
      <c r="AH22" s="160"/>
    </row>
    <row r="23" spans="1:34" ht="15.75">
      <c r="A23" s="149" t="s">
        <v>13</v>
      </c>
      <c r="B23" s="255"/>
      <c r="C23" s="19" t="s">
        <v>40</v>
      </c>
      <c r="D23" s="19" t="s">
        <v>40</v>
      </c>
      <c r="F23" s="19" t="s">
        <v>40</v>
      </c>
      <c r="G23" s="255"/>
      <c r="H23" s="19" t="s">
        <v>40</v>
      </c>
      <c r="I23" s="19" t="s">
        <v>40</v>
      </c>
      <c r="J23" s="19" t="s">
        <v>40</v>
      </c>
      <c r="L23" s="161"/>
      <c r="N23" s="254"/>
      <c r="O23" s="19" t="s">
        <v>40</v>
      </c>
      <c r="Q23" s="353" t="s">
        <v>578</v>
      </c>
      <c r="R23" s="353" t="s">
        <v>582</v>
      </c>
      <c r="U23" s="255"/>
      <c r="Z23" s="105"/>
      <c r="AA23" s="241"/>
      <c r="AB23" s="254"/>
      <c r="AD23" s="118"/>
      <c r="AG23" s="162"/>
      <c r="AH23" s="160"/>
    </row>
    <row r="24" spans="1:34" ht="15.75">
      <c r="A24" s="150" t="s">
        <v>15</v>
      </c>
      <c r="B24" s="255"/>
      <c r="C24" s="211" t="s">
        <v>16</v>
      </c>
      <c r="D24" s="269" t="s">
        <v>16</v>
      </c>
      <c r="F24" s="224" t="s">
        <v>67</v>
      </c>
      <c r="G24" s="255"/>
      <c r="H24" s="224" t="s">
        <v>67</v>
      </c>
      <c r="I24" s="304" t="s">
        <v>67</v>
      </c>
      <c r="J24" s="224" t="s">
        <v>67</v>
      </c>
      <c r="L24" s="161"/>
      <c r="N24" s="254"/>
      <c r="O24" s="269" t="s">
        <v>67</v>
      </c>
      <c r="Q24" s="51">
        <v>42</v>
      </c>
      <c r="R24" s="51">
        <v>51</v>
      </c>
      <c r="U24" s="255"/>
      <c r="Z24" s="105"/>
      <c r="AA24" s="242" t="s">
        <v>53</v>
      </c>
      <c r="AB24" s="254"/>
      <c r="AD24" s="119" t="s">
        <v>53</v>
      </c>
      <c r="AG24" s="162"/>
      <c r="AH24" s="160"/>
    </row>
    <row r="25" spans="1:34" ht="15.75">
      <c r="A25" s="151" t="s">
        <v>17</v>
      </c>
      <c r="B25" s="255"/>
      <c r="C25" s="100" t="s">
        <v>145</v>
      </c>
      <c r="D25" s="100" t="s">
        <v>145</v>
      </c>
      <c r="F25" s="100" t="s">
        <v>145</v>
      </c>
      <c r="G25" s="255"/>
      <c r="H25" s="100" t="s">
        <v>145</v>
      </c>
      <c r="I25" s="272" t="s">
        <v>419</v>
      </c>
      <c r="J25" s="100" t="s">
        <v>145</v>
      </c>
      <c r="L25" s="161"/>
      <c r="N25" s="254"/>
      <c r="O25" s="100" t="s">
        <v>145</v>
      </c>
      <c r="U25" s="255"/>
      <c r="Z25" s="105"/>
      <c r="AA25" s="392" t="s">
        <v>493</v>
      </c>
      <c r="AB25" s="254"/>
      <c r="AD25" s="390" t="s">
        <v>493</v>
      </c>
      <c r="AG25" s="162"/>
      <c r="AH25" s="160"/>
    </row>
    <row r="26" spans="1:34" ht="12.75" customHeight="1">
      <c r="A26" s="152" t="s">
        <v>18</v>
      </c>
      <c r="B26" s="255"/>
      <c r="C26" s="23"/>
      <c r="D26" s="23"/>
      <c r="F26" s="23"/>
      <c r="G26" s="255"/>
      <c r="H26" s="23"/>
      <c r="I26" s="23"/>
      <c r="J26" s="23"/>
      <c r="L26" s="161"/>
      <c r="N26" s="254"/>
      <c r="O26" s="23"/>
      <c r="Q26" s="353" t="s">
        <v>573</v>
      </c>
      <c r="R26" s="353" t="s">
        <v>587</v>
      </c>
      <c r="U26" s="255"/>
      <c r="Z26" s="105"/>
      <c r="AA26" s="243"/>
      <c r="AB26" s="254"/>
      <c r="AD26" s="121"/>
      <c r="AG26" s="162"/>
      <c r="AH26" s="160"/>
    </row>
    <row r="27" spans="1:34" ht="15.75">
      <c r="A27" s="146" t="s">
        <v>20</v>
      </c>
      <c r="B27" s="255"/>
      <c r="C27" s="182">
        <v>5</v>
      </c>
      <c r="D27" s="182">
        <v>5</v>
      </c>
      <c r="F27" s="161">
        <v>3</v>
      </c>
      <c r="G27" s="255"/>
      <c r="H27" s="161">
        <v>3</v>
      </c>
      <c r="I27" s="161">
        <v>3</v>
      </c>
      <c r="J27" s="161">
        <v>3</v>
      </c>
      <c r="L27" s="161"/>
      <c r="N27" s="254"/>
      <c r="O27" s="161">
        <v>3</v>
      </c>
      <c r="Q27" s="353">
        <v>43</v>
      </c>
      <c r="R27" s="353">
        <v>35</v>
      </c>
      <c r="U27" s="255"/>
      <c r="Z27" s="105"/>
      <c r="AA27" s="87">
        <v>1</v>
      </c>
      <c r="AB27" s="254"/>
      <c r="AD27" s="87">
        <v>1</v>
      </c>
      <c r="AG27" s="162"/>
      <c r="AH27" s="160"/>
    </row>
    <row r="28" spans="1:34" ht="15.75">
      <c r="A28" s="153" t="s">
        <v>21</v>
      </c>
      <c r="B28" s="255"/>
      <c r="C28" s="94" t="s">
        <v>162</v>
      </c>
      <c r="D28" s="94" t="s">
        <v>164</v>
      </c>
      <c r="F28" s="94" t="s">
        <v>157</v>
      </c>
      <c r="G28" s="255"/>
      <c r="H28" s="94" t="s">
        <v>156</v>
      </c>
      <c r="I28" s="94" t="s">
        <v>156</v>
      </c>
      <c r="J28" s="94" t="s">
        <v>158</v>
      </c>
      <c r="L28" s="161"/>
      <c r="N28" s="254"/>
      <c r="O28" s="94" t="s">
        <v>161</v>
      </c>
      <c r="Q28" s="353" t="s">
        <v>577</v>
      </c>
      <c r="R28" s="353" t="s">
        <v>586</v>
      </c>
      <c r="U28" s="255"/>
      <c r="Z28" s="105"/>
      <c r="AA28" s="242" t="s">
        <v>79</v>
      </c>
      <c r="AB28" s="254"/>
      <c r="AD28" s="119" t="s">
        <v>82</v>
      </c>
      <c r="AG28" s="162"/>
      <c r="AH28" s="160"/>
    </row>
    <row r="29" spans="1:34" ht="15.75">
      <c r="A29" s="154" t="s">
        <v>22</v>
      </c>
      <c r="B29" s="255"/>
      <c r="C29" s="27"/>
      <c r="D29" s="27"/>
      <c r="F29" s="27"/>
      <c r="G29" s="255"/>
      <c r="H29" s="27"/>
      <c r="I29" s="27"/>
      <c r="J29" s="27"/>
      <c r="L29" s="161"/>
      <c r="N29" s="254"/>
      <c r="O29" s="27"/>
      <c r="Q29" s="51">
        <v>80</v>
      </c>
      <c r="R29" s="51">
        <v>63</v>
      </c>
      <c r="U29" s="255"/>
      <c r="Z29" s="105"/>
      <c r="AA29" s="246"/>
      <c r="AB29" s="254"/>
      <c r="AD29" s="123"/>
      <c r="AG29" s="162"/>
      <c r="AH29" s="160"/>
    </row>
    <row r="30" spans="1:34" ht="15.75">
      <c r="A30" s="153" t="s">
        <v>23</v>
      </c>
      <c r="B30" s="255"/>
      <c r="C30" s="211">
        <v>528</v>
      </c>
      <c r="D30" s="269">
        <v>612</v>
      </c>
      <c r="F30" s="224">
        <v>1224</v>
      </c>
      <c r="G30" s="255"/>
      <c r="H30" s="224">
        <v>168</v>
      </c>
      <c r="I30" s="304">
        <v>1812</v>
      </c>
      <c r="J30" s="224">
        <v>3420</v>
      </c>
      <c r="L30" s="161"/>
      <c r="N30" s="254"/>
      <c r="O30" s="269">
        <v>1728</v>
      </c>
      <c r="U30" s="255"/>
      <c r="Z30" s="105"/>
      <c r="AA30" s="242">
        <v>1752</v>
      </c>
      <c r="AB30" s="254"/>
      <c r="AD30" s="119">
        <v>360</v>
      </c>
      <c r="AG30" s="162"/>
      <c r="AH30" s="160"/>
    </row>
    <row r="31" spans="1:34" ht="12.75" customHeight="1">
      <c r="A31" s="155" t="s">
        <v>24</v>
      </c>
      <c r="B31" s="255"/>
      <c r="C31" s="29" t="s">
        <v>687</v>
      </c>
      <c r="D31" s="29" t="s">
        <v>678</v>
      </c>
      <c r="F31" s="29" t="s">
        <v>689</v>
      </c>
      <c r="G31" s="255"/>
      <c r="H31" s="29" t="s">
        <v>690</v>
      </c>
      <c r="I31" s="29">
        <v>-5</v>
      </c>
      <c r="J31" s="29">
        <v>-1404</v>
      </c>
      <c r="L31" s="161"/>
      <c r="N31" s="254"/>
      <c r="O31" s="30" t="s">
        <v>19</v>
      </c>
      <c r="Q31" s="353" t="s">
        <v>573</v>
      </c>
      <c r="R31" s="353" t="s">
        <v>587</v>
      </c>
      <c r="U31" s="255"/>
      <c r="Z31" s="105"/>
      <c r="AA31" s="393"/>
      <c r="AB31" s="254"/>
      <c r="AD31" s="389"/>
      <c r="AG31" s="162"/>
      <c r="AH31" s="160"/>
    </row>
    <row r="32" spans="1:34" ht="15.75">
      <c r="A32" s="128" t="s">
        <v>25</v>
      </c>
      <c r="B32" s="255"/>
      <c r="C32" s="32">
        <v>43519</v>
      </c>
      <c r="D32" s="32">
        <v>43519</v>
      </c>
      <c r="F32" s="32">
        <v>43507</v>
      </c>
      <c r="G32" s="255"/>
      <c r="H32" s="32">
        <v>43490</v>
      </c>
      <c r="I32" s="32">
        <v>43542</v>
      </c>
      <c r="J32" s="32">
        <v>43508</v>
      </c>
      <c r="L32" s="161"/>
      <c r="N32" s="254"/>
      <c r="O32" s="32">
        <v>43507</v>
      </c>
      <c r="Q32" s="353">
        <v>44</v>
      </c>
      <c r="R32" s="353">
        <v>36</v>
      </c>
      <c r="U32" s="255"/>
      <c r="Z32" s="105"/>
      <c r="AA32" s="247">
        <v>43551</v>
      </c>
      <c r="AB32" s="254"/>
      <c r="AD32" s="125">
        <v>43520</v>
      </c>
      <c r="AG32" s="162"/>
      <c r="AH32" s="160"/>
    </row>
    <row r="33" spans="1:35" ht="16.5" thickBot="1">
      <c r="A33" s="146" t="s">
        <v>27</v>
      </c>
      <c r="B33" s="255"/>
      <c r="C33" s="31" t="s">
        <v>29</v>
      </c>
      <c r="D33" s="31" t="s">
        <v>29</v>
      </c>
      <c r="F33" s="31" t="s">
        <v>28</v>
      </c>
      <c r="G33" s="255"/>
      <c r="H33" s="31" t="s">
        <v>29</v>
      </c>
      <c r="I33" s="31" t="s">
        <v>28</v>
      </c>
      <c r="J33" s="31" t="s">
        <v>28</v>
      </c>
      <c r="L33" s="161"/>
      <c r="N33" s="254"/>
      <c r="O33" s="31" t="s">
        <v>28</v>
      </c>
      <c r="Q33" s="353" t="s">
        <v>576</v>
      </c>
      <c r="R33" s="353" t="s">
        <v>585</v>
      </c>
      <c r="U33" s="255"/>
      <c r="Y33" s="27"/>
      <c r="Z33" s="105"/>
      <c r="AA33" s="248" t="s">
        <v>28</v>
      </c>
      <c r="AB33" s="254"/>
      <c r="AD33" s="128" t="s">
        <v>62</v>
      </c>
      <c r="AF33" s="160"/>
      <c r="AG33" s="162"/>
      <c r="AH33" s="160"/>
    </row>
    <row r="34" spans="1:35" ht="15.75">
      <c r="A34" s="146" t="s">
        <v>10</v>
      </c>
      <c r="B34" s="255"/>
      <c r="C34" s="211" t="s">
        <v>163</v>
      </c>
      <c r="D34" s="224" t="s">
        <v>98</v>
      </c>
      <c r="G34" s="255"/>
      <c r="H34" s="224" t="s">
        <v>98</v>
      </c>
      <c r="N34" s="254"/>
      <c r="P34" s="27"/>
      <c r="Q34" s="51">
        <v>45</v>
      </c>
      <c r="R34" s="51">
        <v>56</v>
      </c>
      <c r="U34" s="255"/>
      <c r="Y34" s="27"/>
      <c r="Z34" s="105"/>
      <c r="AA34" s="354"/>
      <c r="AB34" s="254"/>
      <c r="AD34" s="119" t="s">
        <v>78</v>
      </c>
      <c r="AF34" s="160"/>
      <c r="AG34" s="162"/>
      <c r="AH34" s="160"/>
      <c r="AI34" s="160"/>
    </row>
    <row r="35" spans="1:35" ht="15.75">
      <c r="A35" s="147" t="s">
        <v>11</v>
      </c>
      <c r="B35" s="255"/>
      <c r="C35" s="93" t="s">
        <v>257</v>
      </c>
      <c r="D35" s="93" t="s">
        <v>242</v>
      </c>
      <c r="G35" s="255"/>
      <c r="H35" s="93" t="s">
        <v>252</v>
      </c>
      <c r="N35" s="254"/>
      <c r="P35" s="27"/>
      <c r="U35" s="255"/>
      <c r="Y35" s="27"/>
      <c r="Z35" s="105"/>
      <c r="AB35" s="254"/>
      <c r="AD35" s="117" t="s">
        <v>603</v>
      </c>
      <c r="AF35" s="160"/>
      <c r="AG35" s="162"/>
      <c r="AH35" s="160"/>
      <c r="AI35" s="160"/>
    </row>
    <row r="36" spans="1:35" ht="15.75">
      <c r="A36" s="148" t="s">
        <v>12</v>
      </c>
      <c r="B36" s="255"/>
      <c r="C36" s="21" t="str">
        <f>VLOOKUP(C35,'[2]2019-02'!$A$3:$G$1657,7,0)</f>
        <v>OK</v>
      </c>
      <c r="D36" s="21" t="str">
        <f>VLOOKUP(D35,'[2]2019-02'!$A$3:$G$1657,7,0)</f>
        <v>OK</v>
      </c>
      <c r="G36" s="255"/>
      <c r="H36" s="21" t="str">
        <f>VLOOKUP(H35,'[2]2019-02'!$A$3:$G$1657,7,0)</f>
        <v>OK</v>
      </c>
      <c r="N36" s="254"/>
      <c r="P36" s="27"/>
      <c r="R36" s="353" t="s">
        <v>587</v>
      </c>
      <c r="U36" s="255"/>
      <c r="Y36" s="27"/>
      <c r="Z36" s="105"/>
      <c r="AA36" s="176"/>
      <c r="AB36" s="254"/>
      <c r="AD36" s="119" t="str">
        <f>VLOOKUP(AD42,'[3]2018-11-16'!$A:$D,4,0)</f>
        <v>基本型體</v>
      </c>
      <c r="AF36" s="160"/>
      <c r="AG36" s="162"/>
      <c r="AH36" s="160"/>
      <c r="AI36" s="160"/>
    </row>
    <row r="37" spans="1:35" ht="15.75">
      <c r="A37" s="149" t="s">
        <v>13</v>
      </c>
      <c r="B37" s="255"/>
      <c r="C37" s="19" t="s">
        <v>40</v>
      </c>
      <c r="D37" s="19" t="s">
        <v>40</v>
      </c>
      <c r="G37" s="255"/>
      <c r="H37" s="19" t="s">
        <v>40</v>
      </c>
      <c r="N37" s="254"/>
      <c r="P37" s="27"/>
      <c r="R37" s="353">
        <v>37</v>
      </c>
      <c r="U37" s="255"/>
      <c r="Y37" s="27"/>
      <c r="Z37" s="105"/>
      <c r="AA37" s="19"/>
      <c r="AB37" s="254"/>
      <c r="AD37" s="118"/>
      <c r="AF37" s="160"/>
      <c r="AG37" s="162"/>
      <c r="AH37" s="160"/>
      <c r="AI37" s="160"/>
    </row>
    <row r="38" spans="1:35" ht="15.75">
      <c r="A38" s="150" t="s">
        <v>15</v>
      </c>
      <c r="B38" s="255"/>
      <c r="C38" s="211" t="s">
        <v>16</v>
      </c>
      <c r="D38" s="224" t="s">
        <v>67</v>
      </c>
      <c r="G38" s="255"/>
      <c r="H38" s="224" t="s">
        <v>67</v>
      </c>
      <c r="N38" s="254"/>
      <c r="P38" s="27"/>
      <c r="R38" s="353" t="s">
        <v>589</v>
      </c>
      <c r="U38" s="255"/>
      <c r="Y38" s="27"/>
      <c r="Z38" s="105"/>
      <c r="AA38" s="307"/>
      <c r="AB38" s="254"/>
      <c r="AD38" s="119" t="s">
        <v>53</v>
      </c>
      <c r="AF38" s="160"/>
      <c r="AG38" s="162"/>
      <c r="AH38" s="160"/>
      <c r="AI38" s="160"/>
    </row>
    <row r="39" spans="1:35" ht="15.75">
      <c r="A39" s="151" t="s">
        <v>17</v>
      </c>
      <c r="B39" s="255"/>
      <c r="C39" s="100" t="s">
        <v>145</v>
      </c>
      <c r="D39" s="100" t="s">
        <v>145</v>
      </c>
      <c r="G39" s="255"/>
      <c r="H39" s="100" t="s">
        <v>145</v>
      </c>
      <c r="N39" s="254"/>
      <c r="P39" s="27"/>
      <c r="R39" s="51">
        <v>57</v>
      </c>
      <c r="U39" s="255"/>
      <c r="Y39" s="27"/>
      <c r="Z39" s="105"/>
      <c r="AA39" s="310"/>
      <c r="AB39" s="254"/>
      <c r="AD39" s="390" t="s">
        <v>493</v>
      </c>
      <c r="AF39" s="160"/>
      <c r="AG39" s="162"/>
      <c r="AH39" s="160"/>
      <c r="AI39" s="160"/>
    </row>
    <row r="40" spans="1:35" ht="12.75" customHeight="1">
      <c r="A40" s="152" t="s">
        <v>18</v>
      </c>
      <c r="B40" s="255"/>
      <c r="C40" s="23"/>
      <c r="D40" s="23"/>
      <c r="G40" s="255"/>
      <c r="H40" s="23"/>
      <c r="N40" s="254"/>
      <c r="P40" s="27"/>
      <c r="U40" s="255"/>
      <c r="Y40" s="27"/>
      <c r="Z40" s="105"/>
      <c r="AA40" s="176"/>
      <c r="AB40" s="254"/>
      <c r="AD40" s="121"/>
      <c r="AF40" s="160"/>
      <c r="AG40" s="162"/>
      <c r="AH40" s="160"/>
      <c r="AI40" s="160"/>
    </row>
    <row r="41" spans="1:35" ht="15.75">
      <c r="A41" s="146" t="s">
        <v>20</v>
      </c>
      <c r="B41" s="255"/>
      <c r="C41" s="182">
        <v>5</v>
      </c>
      <c r="D41" s="161">
        <v>3</v>
      </c>
      <c r="G41" s="255"/>
      <c r="H41" s="161">
        <v>3</v>
      </c>
      <c r="N41" s="254"/>
      <c r="P41" s="27"/>
      <c r="R41" s="353" t="s">
        <v>587</v>
      </c>
      <c r="U41" s="255"/>
      <c r="Y41" s="27"/>
      <c r="Z41" s="105"/>
      <c r="AA41" s="176"/>
      <c r="AB41" s="254"/>
      <c r="AD41" s="87">
        <v>1</v>
      </c>
      <c r="AF41" s="160"/>
      <c r="AG41" s="162"/>
      <c r="AH41" s="160"/>
      <c r="AI41" s="160"/>
    </row>
    <row r="42" spans="1:35" ht="15.75">
      <c r="A42" s="153" t="s">
        <v>21</v>
      </c>
      <c r="B42" s="255"/>
      <c r="C42" s="94" t="s">
        <v>164</v>
      </c>
      <c r="D42" s="94" t="s">
        <v>108</v>
      </c>
      <c r="G42" s="255"/>
      <c r="H42" s="94" t="s">
        <v>156</v>
      </c>
      <c r="N42" s="254"/>
      <c r="P42" s="27"/>
      <c r="R42" s="353">
        <v>38</v>
      </c>
      <c r="U42" s="255"/>
      <c r="Y42" s="27"/>
      <c r="Z42" s="105"/>
      <c r="AA42" s="94"/>
      <c r="AB42" s="254"/>
      <c r="AD42" s="119" t="s">
        <v>82</v>
      </c>
      <c r="AF42" s="160"/>
      <c r="AG42" s="162"/>
      <c r="AH42" s="160"/>
      <c r="AI42" s="160"/>
    </row>
    <row r="43" spans="1:35" ht="15.75">
      <c r="A43" s="154" t="s">
        <v>22</v>
      </c>
      <c r="B43" s="255"/>
      <c r="C43" s="27"/>
      <c r="D43" s="27"/>
      <c r="G43" s="255"/>
      <c r="H43" s="27"/>
      <c r="N43" s="254"/>
      <c r="P43" s="27"/>
      <c r="R43" s="353" t="s">
        <v>588</v>
      </c>
      <c r="U43" s="255"/>
      <c r="Y43" s="27"/>
      <c r="Z43" s="105"/>
      <c r="AA43" s="176"/>
      <c r="AB43" s="254"/>
      <c r="AD43" s="123"/>
      <c r="AF43" s="160"/>
      <c r="AG43" s="162"/>
      <c r="AH43" s="160"/>
      <c r="AI43" s="160"/>
    </row>
    <row r="44" spans="1:35" ht="15.75">
      <c r="A44" s="153" t="s">
        <v>23</v>
      </c>
      <c r="B44" s="255"/>
      <c r="C44" s="211">
        <v>1116</v>
      </c>
      <c r="D44" s="224">
        <v>420</v>
      </c>
      <c r="G44" s="255"/>
      <c r="H44" s="224">
        <v>2364</v>
      </c>
      <c r="N44" s="254"/>
      <c r="P44" s="27"/>
      <c r="R44" s="51">
        <v>64</v>
      </c>
      <c r="U44" s="255"/>
      <c r="Y44" s="27"/>
      <c r="Z44" s="105"/>
      <c r="AA44" s="307"/>
      <c r="AB44" s="254"/>
      <c r="AD44" s="119">
        <v>480</v>
      </c>
      <c r="AF44" s="160"/>
      <c r="AG44" s="162"/>
      <c r="AH44" s="160"/>
      <c r="AI44" s="160"/>
    </row>
    <row r="45" spans="1:35" ht="14.25" customHeight="1">
      <c r="A45" s="155" t="s">
        <v>24</v>
      </c>
      <c r="B45" s="255"/>
      <c r="C45" s="29" t="s">
        <v>686</v>
      </c>
      <c r="D45" s="29" t="s">
        <v>691</v>
      </c>
      <c r="G45" s="255"/>
      <c r="H45" s="29" t="s">
        <v>692</v>
      </c>
      <c r="N45" s="254"/>
      <c r="P45" s="27"/>
      <c r="U45" s="255"/>
      <c r="Y45" s="27"/>
      <c r="Z45" s="105"/>
      <c r="AA45" s="176"/>
      <c r="AB45" s="254"/>
      <c r="AD45" s="389" t="s">
        <v>602</v>
      </c>
      <c r="AF45" s="160"/>
      <c r="AG45" s="162"/>
      <c r="AH45" s="160"/>
      <c r="AI45" s="160"/>
    </row>
    <row r="46" spans="1:35" ht="15.75">
      <c r="A46" s="128" t="s">
        <v>25</v>
      </c>
      <c r="B46" s="255"/>
      <c r="C46" s="32">
        <v>43484</v>
      </c>
      <c r="D46" s="32">
        <v>43481</v>
      </c>
      <c r="G46" s="255"/>
      <c r="H46" s="32">
        <v>43508</v>
      </c>
      <c r="N46" s="254"/>
      <c r="P46" s="27"/>
      <c r="U46" s="255"/>
      <c r="Y46" s="27"/>
      <c r="Z46" s="105"/>
      <c r="AA46" s="32"/>
      <c r="AB46" s="254"/>
      <c r="AD46" s="125">
        <v>43551</v>
      </c>
      <c r="AF46" s="160"/>
      <c r="AG46" s="162"/>
      <c r="AH46" s="160"/>
      <c r="AI46" s="160"/>
    </row>
    <row r="47" spans="1:35" ht="15.75" thickBot="1">
      <c r="A47" s="146" t="s">
        <v>27</v>
      </c>
      <c r="B47" s="255"/>
      <c r="C47" s="31" t="s">
        <v>29</v>
      </c>
      <c r="D47" s="31" t="s">
        <v>31</v>
      </c>
      <c r="G47" s="255"/>
      <c r="H47" s="31" t="s">
        <v>28</v>
      </c>
      <c r="N47" s="254"/>
      <c r="P47" s="27"/>
      <c r="U47" s="255"/>
      <c r="Y47" s="27"/>
      <c r="Z47" s="105"/>
      <c r="AA47"/>
      <c r="AB47" s="254"/>
      <c r="AD47" s="126" t="s">
        <v>28</v>
      </c>
      <c r="AF47" s="160"/>
      <c r="AG47" s="162"/>
      <c r="AH47" s="160"/>
      <c r="AI47" s="160"/>
    </row>
    <row r="48" spans="1:35" ht="15.75">
      <c r="A48" s="146" t="s">
        <v>10</v>
      </c>
      <c r="B48" s="255"/>
      <c r="G48" s="255"/>
      <c r="N48" s="254"/>
      <c r="Q48" s="211" t="s">
        <v>97</v>
      </c>
      <c r="S48" s="27"/>
      <c r="T48" s="27"/>
      <c r="U48" s="255"/>
      <c r="Y48" s="163"/>
      <c r="Z48" s="105"/>
      <c r="AA48" s="307"/>
      <c r="AB48" s="254"/>
      <c r="AD48" s="383" t="s">
        <v>78</v>
      </c>
      <c r="AF48" s="160"/>
      <c r="AG48" s="162"/>
      <c r="AH48" s="160"/>
      <c r="AI48" s="160"/>
    </row>
    <row r="49" spans="1:35" ht="15.75">
      <c r="A49" s="147" t="s">
        <v>11</v>
      </c>
      <c r="B49" s="255"/>
      <c r="G49" s="255"/>
      <c r="N49" s="254"/>
      <c r="Q49" s="93" t="s">
        <v>177</v>
      </c>
      <c r="S49" s="27"/>
      <c r="T49" s="27"/>
      <c r="U49" s="255"/>
      <c r="Y49" s="163"/>
      <c r="Z49" s="105"/>
      <c r="AB49" s="254"/>
      <c r="AD49" s="93" t="s">
        <v>599</v>
      </c>
      <c r="AF49" s="160"/>
      <c r="AG49" s="162"/>
      <c r="AH49" s="160"/>
      <c r="AI49" s="160"/>
    </row>
    <row r="50" spans="1:35" ht="15.75">
      <c r="A50" s="148" t="s">
        <v>12</v>
      </c>
      <c r="B50" s="255"/>
      <c r="G50" s="255"/>
      <c r="N50" s="254"/>
      <c r="Q50" s="17" t="s">
        <v>485</v>
      </c>
      <c r="S50" s="27"/>
      <c r="T50" s="27"/>
      <c r="U50" s="255"/>
      <c r="Y50" s="163"/>
      <c r="Z50" s="105"/>
      <c r="AA50" s="176"/>
      <c r="AB50" s="254"/>
      <c r="AD50" s="383" t="str">
        <f>VLOOKUP(AD56,'[3]2018-11-16'!$A:$D,4,0)</f>
        <v>基本型體</v>
      </c>
      <c r="AF50" s="160"/>
      <c r="AG50" s="162"/>
      <c r="AH50" s="160"/>
      <c r="AI50" s="160"/>
    </row>
    <row r="51" spans="1:35" ht="15.75">
      <c r="A51" s="149" t="s">
        <v>13</v>
      </c>
      <c r="B51" s="255"/>
      <c r="G51" s="255"/>
      <c r="N51" s="254"/>
      <c r="Q51" s="19" t="s">
        <v>40</v>
      </c>
      <c r="S51" s="27"/>
      <c r="T51" s="27"/>
      <c r="U51" s="255"/>
      <c r="Y51" s="163"/>
      <c r="Z51" s="105"/>
      <c r="AA51" s="19"/>
      <c r="AB51" s="254"/>
      <c r="AD51" s="19"/>
      <c r="AF51" s="160"/>
      <c r="AG51" s="162"/>
      <c r="AH51" s="160"/>
      <c r="AI51" s="160"/>
    </row>
    <row r="52" spans="1:35" ht="15.75">
      <c r="A52" s="150" t="s">
        <v>15</v>
      </c>
      <c r="B52" s="255"/>
      <c r="G52" s="255"/>
      <c r="N52" s="254"/>
      <c r="Q52" s="211" t="s">
        <v>53</v>
      </c>
      <c r="S52" s="27"/>
      <c r="T52" s="27"/>
      <c r="U52" s="255"/>
      <c r="Y52" s="27"/>
      <c r="Z52" s="105"/>
      <c r="AA52" s="307"/>
      <c r="AB52" s="254"/>
      <c r="AD52" s="383" t="s">
        <v>53</v>
      </c>
      <c r="AF52" s="160"/>
      <c r="AG52" s="162"/>
      <c r="AH52" s="160"/>
      <c r="AI52" s="160"/>
    </row>
    <row r="53" spans="1:35" ht="15.75">
      <c r="A53" s="151" t="s">
        <v>17</v>
      </c>
      <c r="B53" s="255"/>
      <c r="G53" s="255"/>
      <c r="N53" s="254"/>
      <c r="Q53" s="100" t="s">
        <v>145</v>
      </c>
      <c r="S53" s="27"/>
      <c r="T53" s="27"/>
      <c r="U53" s="255"/>
      <c r="Y53" s="27"/>
      <c r="Z53" s="105"/>
      <c r="AA53" s="310"/>
      <c r="AB53" s="254"/>
      <c r="AD53" s="391" t="s">
        <v>493</v>
      </c>
      <c r="AF53" s="160"/>
      <c r="AG53" s="162"/>
      <c r="AH53" s="160"/>
      <c r="AI53" s="160"/>
    </row>
    <row r="54" spans="1:35" ht="12.75" customHeight="1">
      <c r="A54" s="152" t="s">
        <v>18</v>
      </c>
      <c r="B54" s="255"/>
      <c r="G54" s="255"/>
      <c r="N54" s="254"/>
      <c r="Q54" s="23"/>
      <c r="S54" s="27"/>
      <c r="T54" s="27"/>
      <c r="U54" s="255"/>
      <c r="Y54" s="27"/>
      <c r="Z54" s="105"/>
      <c r="AA54" s="176"/>
      <c r="AB54" s="254"/>
      <c r="AD54" s="23"/>
      <c r="AF54" s="160"/>
      <c r="AG54" s="162"/>
      <c r="AH54" s="160"/>
      <c r="AI54" s="160"/>
    </row>
    <row r="55" spans="1:35">
      <c r="A55" s="146" t="s">
        <v>20</v>
      </c>
      <c r="B55" s="255"/>
      <c r="G55" s="255"/>
      <c r="N55" s="254"/>
      <c r="Q55" s="182">
        <v>5</v>
      </c>
      <c r="S55" s="27"/>
      <c r="T55" s="27"/>
      <c r="U55" s="255"/>
      <c r="Y55" s="27"/>
      <c r="Z55" s="105"/>
      <c r="AA55" s="176"/>
      <c r="AB55" s="254"/>
      <c r="AD55" s="87">
        <v>1</v>
      </c>
      <c r="AF55" s="160"/>
      <c r="AG55" s="162"/>
      <c r="AH55" s="160"/>
      <c r="AI55" s="160"/>
    </row>
    <row r="56" spans="1:35" ht="15.75">
      <c r="A56" s="153" t="s">
        <v>21</v>
      </c>
      <c r="B56" s="255"/>
      <c r="G56" s="255"/>
      <c r="N56" s="254"/>
      <c r="Q56" s="94" t="s">
        <v>153</v>
      </c>
      <c r="S56" s="27"/>
      <c r="T56" s="27"/>
      <c r="U56" s="255"/>
      <c r="Y56" s="27"/>
      <c r="Z56" s="105"/>
      <c r="AA56" s="94"/>
      <c r="AB56" s="254"/>
      <c r="AD56" s="383" t="s">
        <v>84</v>
      </c>
      <c r="AF56" s="160"/>
      <c r="AG56" s="162"/>
      <c r="AH56" s="160"/>
      <c r="AI56" s="160"/>
    </row>
    <row r="57" spans="1:35">
      <c r="A57" s="154" t="s">
        <v>22</v>
      </c>
      <c r="B57" s="255"/>
      <c r="G57" s="255"/>
      <c r="N57" s="254"/>
      <c r="Q57" s="27"/>
      <c r="S57" s="27"/>
      <c r="T57" s="27"/>
      <c r="U57" s="255"/>
      <c r="Y57" s="27"/>
      <c r="Z57" s="105"/>
      <c r="AA57" s="176"/>
      <c r="AB57" s="254"/>
      <c r="AD57" s="27"/>
      <c r="AF57" s="160"/>
      <c r="AG57" s="162"/>
      <c r="AH57" s="160"/>
      <c r="AI57" s="160"/>
    </row>
    <row r="58" spans="1:35" ht="15.75">
      <c r="A58" s="153" t="s">
        <v>23</v>
      </c>
      <c r="B58" s="255"/>
      <c r="G58" s="255"/>
      <c r="N58" s="254"/>
      <c r="Q58" s="211">
        <v>5124</v>
      </c>
      <c r="S58" s="27"/>
      <c r="T58" s="27"/>
      <c r="U58" s="255"/>
      <c r="Y58" s="27"/>
      <c r="Z58" s="105"/>
      <c r="AA58" s="307"/>
      <c r="AB58" s="254"/>
      <c r="AD58" s="383">
        <v>360</v>
      </c>
      <c r="AF58" s="160"/>
      <c r="AG58" s="162"/>
      <c r="AH58" s="160"/>
      <c r="AI58" s="160"/>
    </row>
    <row r="59" spans="1:35" ht="12.75" customHeight="1">
      <c r="A59" s="155" t="s">
        <v>24</v>
      </c>
      <c r="B59" s="255"/>
      <c r="G59" s="255"/>
      <c r="N59" s="254"/>
      <c r="Q59" s="30" t="s">
        <v>19</v>
      </c>
      <c r="S59" s="27"/>
      <c r="T59" s="27"/>
      <c r="U59" s="255"/>
      <c r="Y59" s="27"/>
      <c r="Z59" s="105"/>
      <c r="AA59" s="176"/>
      <c r="AB59" s="254"/>
      <c r="AD59" s="24"/>
      <c r="AF59" s="160"/>
      <c r="AG59" s="162"/>
      <c r="AH59" s="160"/>
      <c r="AI59" s="160"/>
    </row>
    <row r="60" spans="1:35" ht="15.75">
      <c r="A60" s="128" t="s">
        <v>25</v>
      </c>
      <c r="B60" s="255"/>
      <c r="G60" s="255"/>
      <c r="N60" s="254"/>
      <c r="Q60" s="32">
        <v>43508</v>
      </c>
      <c r="S60" s="27"/>
      <c r="T60" s="27"/>
      <c r="U60" s="255"/>
      <c r="Y60" s="27"/>
      <c r="Z60" s="105"/>
      <c r="AA60" s="32"/>
      <c r="AB60" s="254"/>
      <c r="AD60" s="32">
        <v>43520</v>
      </c>
      <c r="AF60" s="160"/>
      <c r="AG60" s="162"/>
      <c r="AH60" s="160"/>
      <c r="AI60" s="160"/>
    </row>
    <row r="61" spans="1:35" ht="15.75" thickBot="1">
      <c r="A61" s="146" t="s">
        <v>27</v>
      </c>
      <c r="B61" s="255"/>
      <c r="G61" s="255"/>
      <c r="K61" s="164"/>
      <c r="N61" s="263"/>
      <c r="Q61" s="31" t="s">
        <v>28</v>
      </c>
      <c r="S61" s="167"/>
      <c r="T61" s="167"/>
      <c r="U61" s="255"/>
      <c r="Y61" s="167"/>
      <c r="Z61" s="396"/>
      <c r="AA61" s="167"/>
      <c r="AB61" s="263"/>
      <c r="AD61" s="31" t="s">
        <v>62</v>
      </c>
      <c r="AF61" s="160"/>
      <c r="AG61" s="165"/>
      <c r="AH61" s="160"/>
      <c r="AI61" s="160"/>
    </row>
    <row r="62" spans="1:35" ht="15" customHeight="1" thickBot="1">
      <c r="A62" s="264" t="s">
        <v>36</v>
      </c>
      <c r="B62" s="218">
        <f t="shared" ref="B62:P62" si="1">+B58+B44+B30+B16</f>
        <v>0</v>
      </c>
      <c r="C62" s="37">
        <f t="shared" si="1"/>
        <v>2112</v>
      </c>
      <c r="D62" s="37">
        <f t="shared" si="1"/>
        <v>1620</v>
      </c>
      <c r="E62" s="37">
        <f t="shared" si="1"/>
        <v>1800</v>
      </c>
      <c r="F62" s="37">
        <f t="shared" si="1"/>
        <v>1392</v>
      </c>
      <c r="G62" s="37">
        <f t="shared" si="1"/>
        <v>0</v>
      </c>
      <c r="H62" s="37">
        <f t="shared" si="1"/>
        <v>2940</v>
      </c>
      <c r="I62" s="37">
        <f t="shared" si="1"/>
        <v>2220</v>
      </c>
      <c r="J62" s="37">
        <f t="shared" si="1"/>
        <v>3588</v>
      </c>
      <c r="K62" s="37">
        <f t="shared" si="1"/>
        <v>0</v>
      </c>
      <c r="L62" s="37">
        <f t="shared" si="1"/>
        <v>1824</v>
      </c>
      <c r="M62" s="37">
        <f t="shared" si="1"/>
        <v>1800</v>
      </c>
      <c r="N62" s="37">
        <f t="shared" si="1"/>
        <v>0</v>
      </c>
      <c r="O62" s="37">
        <f t="shared" si="1"/>
        <v>2328</v>
      </c>
      <c r="P62" s="37">
        <f t="shared" si="1"/>
        <v>1800</v>
      </c>
      <c r="Q62" s="37">
        <v>5124</v>
      </c>
      <c r="R62" s="37"/>
      <c r="S62" s="37"/>
      <c r="T62" s="37">
        <f>+T58+T44+T30+T16</f>
        <v>0</v>
      </c>
      <c r="U62" s="37">
        <f t="shared" ref="U62:AF62" si="2">+U58+U44+U30+U16</f>
        <v>0</v>
      </c>
      <c r="V62" s="37">
        <f t="shared" si="2"/>
        <v>0</v>
      </c>
      <c r="W62" s="37"/>
      <c r="X62" s="37">
        <v>17712</v>
      </c>
      <c r="Y62" s="37"/>
      <c r="Z62" s="37"/>
      <c r="AA62" s="37"/>
      <c r="AB62" s="37"/>
      <c r="AC62" s="37"/>
      <c r="AD62" s="37"/>
      <c r="AE62" s="37"/>
      <c r="AF62" s="37">
        <f t="shared" si="2"/>
        <v>0</v>
      </c>
      <c r="AG62" s="38"/>
      <c r="AH62" s="160"/>
      <c r="AI62" s="160"/>
    </row>
    <row r="63" spans="1:35" ht="15" customHeight="1" thickTop="1" thickBot="1">
      <c r="A63" s="264" t="s">
        <v>37</v>
      </c>
      <c r="B63" s="189">
        <f>+B64*B5</f>
        <v>0</v>
      </c>
      <c r="C63" s="40">
        <f t="shared" ref="C63:AF63" si="3">+C64*C5</f>
        <v>1710</v>
      </c>
      <c r="D63" s="39">
        <f>+D64*(D5-2)</f>
        <v>1350</v>
      </c>
      <c r="E63" s="40">
        <f t="shared" si="3"/>
        <v>2090</v>
      </c>
      <c r="F63" s="40">
        <f t="shared" si="3"/>
        <v>1760</v>
      </c>
      <c r="G63" s="40">
        <f t="shared" si="3"/>
        <v>0</v>
      </c>
      <c r="H63" s="40">
        <f t="shared" si="3"/>
        <v>2090</v>
      </c>
      <c r="I63" s="40">
        <f t="shared" si="3"/>
        <v>2090</v>
      </c>
      <c r="J63" s="40">
        <f t="shared" si="3"/>
        <v>2090</v>
      </c>
      <c r="K63" s="40">
        <f t="shared" si="3"/>
        <v>2090</v>
      </c>
      <c r="L63" s="40">
        <f t="shared" si="3"/>
        <v>2090</v>
      </c>
      <c r="M63" s="40">
        <f t="shared" si="3"/>
        <v>1760</v>
      </c>
      <c r="N63" s="39">
        <f t="shared" si="3"/>
        <v>0</v>
      </c>
      <c r="O63" s="40">
        <f t="shared" si="3"/>
        <v>2090</v>
      </c>
      <c r="P63" s="40">
        <f t="shared" si="3"/>
        <v>1900</v>
      </c>
      <c r="Q63" s="39">
        <v>1200</v>
      </c>
      <c r="R63" s="39">
        <v>1200</v>
      </c>
      <c r="S63" s="39">
        <v>1200</v>
      </c>
      <c r="T63" s="40">
        <f t="shared" si="3"/>
        <v>1440</v>
      </c>
      <c r="U63" s="39">
        <f t="shared" si="3"/>
        <v>0</v>
      </c>
      <c r="V63" s="39">
        <f>+V64*(V5-2)</f>
        <v>1425</v>
      </c>
      <c r="W63" s="40">
        <f t="shared" si="3"/>
        <v>1805</v>
      </c>
      <c r="X63" s="40">
        <f t="shared" si="3"/>
        <v>1805</v>
      </c>
      <c r="Y63" s="40">
        <f t="shared" si="3"/>
        <v>1805</v>
      </c>
      <c r="Z63" s="40">
        <f t="shared" si="3"/>
        <v>1805</v>
      </c>
      <c r="AA63" s="40">
        <f t="shared" si="3"/>
        <v>1760</v>
      </c>
      <c r="AB63" s="39">
        <f t="shared" si="3"/>
        <v>0</v>
      </c>
      <c r="AC63" s="40">
        <f t="shared" si="3"/>
        <v>1760</v>
      </c>
      <c r="AD63" s="40">
        <f t="shared" si="3"/>
        <v>1760</v>
      </c>
      <c r="AE63" s="40">
        <f t="shared" si="3"/>
        <v>1760</v>
      </c>
      <c r="AF63" s="40">
        <f t="shared" si="3"/>
        <v>1760</v>
      </c>
      <c r="AG63" s="41">
        <f>SUM(B63:AF63)</f>
        <v>45595</v>
      </c>
      <c r="AH63" s="160"/>
      <c r="AI63" s="160"/>
    </row>
    <row r="64" spans="1:35" ht="15" customHeight="1" thickTop="1" thickBot="1">
      <c r="A64" s="264" t="s">
        <v>38</v>
      </c>
      <c r="B64" s="219"/>
      <c r="C64" s="43">
        <v>180</v>
      </c>
      <c r="D64" s="43">
        <v>180</v>
      </c>
      <c r="E64" s="43">
        <v>220</v>
      </c>
      <c r="F64" s="43">
        <v>220</v>
      </c>
      <c r="G64" s="42"/>
      <c r="H64" s="43">
        <v>220</v>
      </c>
      <c r="I64" s="43">
        <v>220</v>
      </c>
      <c r="J64" s="43">
        <v>220</v>
      </c>
      <c r="K64" s="43">
        <v>220</v>
      </c>
      <c r="L64" s="43">
        <v>220</v>
      </c>
      <c r="M64" s="43">
        <v>220</v>
      </c>
      <c r="N64" s="42"/>
      <c r="O64" s="43">
        <v>220</v>
      </c>
      <c r="P64" s="43">
        <v>200</v>
      </c>
      <c r="Q64" s="43">
        <v>180</v>
      </c>
      <c r="R64" s="43">
        <v>180</v>
      </c>
      <c r="S64" s="43">
        <v>180</v>
      </c>
      <c r="T64" s="43">
        <v>180</v>
      </c>
      <c r="U64" s="42"/>
      <c r="V64" s="43">
        <v>190</v>
      </c>
      <c r="W64" s="43">
        <v>190</v>
      </c>
      <c r="X64" s="43">
        <v>190</v>
      </c>
      <c r="Y64" s="43">
        <v>190</v>
      </c>
      <c r="Z64" s="43">
        <v>190</v>
      </c>
      <c r="AA64" s="43">
        <v>220</v>
      </c>
      <c r="AB64" s="42"/>
      <c r="AC64" s="43">
        <v>220</v>
      </c>
      <c r="AD64" s="43">
        <v>220</v>
      </c>
      <c r="AE64" s="43">
        <v>220</v>
      </c>
      <c r="AF64" s="43">
        <v>220</v>
      </c>
      <c r="AG64" s="44"/>
      <c r="AH64" s="160"/>
      <c r="AI64" s="160"/>
    </row>
    <row r="65" spans="1:37" ht="15" customHeight="1" thickTop="1" thickBot="1">
      <c r="A65" s="217">
        <f>'T12'!AF65</f>
        <v>6</v>
      </c>
      <c r="B65" s="189">
        <f t="shared" ref="B65:AF65" si="4">IF(A65+B62-B63&lt;0,0,A65+B62-B63)</f>
        <v>6</v>
      </c>
      <c r="C65" s="40">
        <f t="shared" si="4"/>
        <v>408</v>
      </c>
      <c r="D65" s="40">
        <f t="shared" si="4"/>
        <v>678</v>
      </c>
      <c r="E65" s="40">
        <f t="shared" si="4"/>
        <v>388</v>
      </c>
      <c r="F65" s="40">
        <f t="shared" si="4"/>
        <v>20</v>
      </c>
      <c r="G65" s="39">
        <f t="shared" si="4"/>
        <v>20</v>
      </c>
      <c r="H65" s="40">
        <f t="shared" si="4"/>
        <v>870</v>
      </c>
      <c r="I65" s="40">
        <f t="shared" si="4"/>
        <v>1000</v>
      </c>
      <c r="J65" s="40">
        <f t="shared" si="4"/>
        <v>2498</v>
      </c>
      <c r="K65" s="40">
        <f t="shared" si="4"/>
        <v>408</v>
      </c>
      <c r="L65" s="40">
        <f t="shared" si="4"/>
        <v>142</v>
      </c>
      <c r="M65" s="40">
        <f t="shared" si="4"/>
        <v>182</v>
      </c>
      <c r="N65" s="39">
        <f t="shared" si="4"/>
        <v>182</v>
      </c>
      <c r="O65" s="40">
        <f t="shared" si="4"/>
        <v>420</v>
      </c>
      <c r="P65" s="40">
        <f t="shared" si="4"/>
        <v>320</v>
      </c>
      <c r="Q65" s="40">
        <f t="shared" si="4"/>
        <v>4244</v>
      </c>
      <c r="R65" s="40">
        <f t="shared" si="4"/>
        <v>3044</v>
      </c>
      <c r="S65" s="40">
        <f t="shared" si="4"/>
        <v>1844</v>
      </c>
      <c r="T65" s="39">
        <f>5124-216*6</f>
        <v>3828</v>
      </c>
      <c r="U65" s="39">
        <f t="shared" si="4"/>
        <v>3828</v>
      </c>
      <c r="V65" s="39">
        <f t="shared" si="4"/>
        <v>2403</v>
      </c>
      <c r="W65" s="40">
        <f>5124-216*23</f>
        <v>156</v>
      </c>
      <c r="X65" s="40">
        <f t="shared" si="4"/>
        <v>16063</v>
      </c>
      <c r="Y65" s="40">
        <f t="shared" si="4"/>
        <v>14258</v>
      </c>
      <c r="Z65" s="40">
        <f t="shared" si="4"/>
        <v>12453</v>
      </c>
      <c r="AA65" s="40">
        <f t="shared" si="4"/>
        <v>10693</v>
      </c>
      <c r="AB65" s="39">
        <f t="shared" si="4"/>
        <v>10693</v>
      </c>
      <c r="AC65" s="40">
        <f t="shared" si="4"/>
        <v>8933</v>
      </c>
      <c r="AD65" s="40">
        <f t="shared" si="4"/>
        <v>7173</v>
      </c>
      <c r="AE65" s="40">
        <f t="shared" si="4"/>
        <v>5413</v>
      </c>
      <c r="AF65" s="40">
        <f t="shared" si="4"/>
        <v>3653</v>
      </c>
      <c r="AG65" s="268">
        <f>IF(AE65+AG62-AG63&lt;0,0,AE65+AG62-AG63)</f>
        <v>0</v>
      </c>
      <c r="AH65" s="160"/>
      <c r="AI65" s="160" t="s">
        <v>496</v>
      </c>
    </row>
    <row r="66" spans="1:37" ht="15.75">
      <c r="A66" s="220" t="s">
        <v>10</v>
      </c>
      <c r="B66" s="255"/>
      <c r="C66" s="304" t="s">
        <v>78</v>
      </c>
      <c r="D66" s="304" t="s">
        <v>78</v>
      </c>
      <c r="E66" s="304" t="s">
        <v>78</v>
      </c>
      <c r="F66" s="280" t="s">
        <v>78</v>
      </c>
      <c r="G66" s="262"/>
      <c r="J66" s="59" t="s">
        <v>494</v>
      </c>
      <c r="N66" s="255"/>
      <c r="S66" s="304" t="s">
        <v>103</v>
      </c>
      <c r="T66" s="304" t="s">
        <v>103</v>
      </c>
      <c r="U66" s="255"/>
      <c r="W66" s="304" t="s">
        <v>103</v>
      </c>
      <c r="X66" s="304" t="s">
        <v>103</v>
      </c>
      <c r="Y66" s="383" t="s">
        <v>103</v>
      </c>
      <c r="AB66" s="255"/>
      <c r="AD66" s="383" t="s">
        <v>103</v>
      </c>
      <c r="AF66" s="307"/>
      <c r="AG66" s="159"/>
      <c r="AH66" s="160"/>
      <c r="AI66" s="59" t="s">
        <v>494</v>
      </c>
      <c r="AJ66" s="59" t="s">
        <v>494</v>
      </c>
      <c r="AK66" s="59" t="s">
        <v>494</v>
      </c>
    </row>
    <row r="67" spans="1:37" ht="15.75">
      <c r="A67" s="147" t="s">
        <v>11</v>
      </c>
      <c r="B67" s="255"/>
      <c r="C67" s="93" t="s">
        <v>460</v>
      </c>
      <c r="D67" s="93" t="s">
        <v>464</v>
      </c>
      <c r="E67" s="93" t="s">
        <v>451</v>
      </c>
      <c r="F67" s="93" t="s">
        <v>196</v>
      </c>
      <c r="G67" s="254"/>
      <c r="J67" s="93" t="s">
        <v>450</v>
      </c>
      <c r="N67" s="255"/>
      <c r="S67" s="93" t="s">
        <v>452</v>
      </c>
      <c r="T67" s="93" t="s">
        <v>443</v>
      </c>
      <c r="U67" s="255"/>
      <c r="W67" s="93" t="s">
        <v>453</v>
      </c>
      <c r="X67" s="93" t="s">
        <v>448</v>
      </c>
      <c r="Y67" s="93" t="s">
        <v>620</v>
      </c>
      <c r="AB67" s="255"/>
      <c r="AD67" s="93" t="s">
        <v>629</v>
      </c>
      <c r="AG67" s="162"/>
      <c r="AH67" s="160"/>
      <c r="AI67" s="93" t="s">
        <v>429</v>
      </c>
      <c r="AJ67" s="93" t="s">
        <v>445</v>
      </c>
      <c r="AK67" s="93" t="s">
        <v>455</v>
      </c>
    </row>
    <row r="68" spans="1:37" ht="15.75">
      <c r="A68" s="148" t="s">
        <v>12</v>
      </c>
      <c r="B68" s="255"/>
      <c r="C68" s="21" t="str">
        <f>VLOOKUP(C67,'[2]2019-02'!$A$3:$G$1657,7,0)</f>
        <v>OK</v>
      </c>
      <c r="D68" s="21" t="str">
        <f>VLOOKUP(D67,'[2]2019-02'!$A$3:$G$1657,7,0)</f>
        <v>12/21</v>
      </c>
      <c r="E68" s="21" t="str">
        <f>VLOOKUP(E67,'[2]2019-02'!$A$3:$G$1657,7,0)</f>
        <v>CFM</v>
      </c>
      <c r="F68" s="21" t="str">
        <f>VLOOKUP(F67,'[2]2019-02'!$A$3:$G$1657,7,0)</f>
        <v>OK</v>
      </c>
      <c r="G68" s="274"/>
      <c r="J68" s="21" t="str">
        <f>VLOOKUP(J67,'[2]2019-02'!$A$3:$G$1657,7,0)</f>
        <v>12/25</v>
      </c>
      <c r="N68" s="275"/>
      <c r="S68" s="21" t="str">
        <f>VLOOKUP(S67,'[2]2019-02'!$A$3:$G$1657,7,0)</f>
        <v>12/21</v>
      </c>
      <c r="T68" s="21" t="str">
        <f>VLOOKUP(T67,'[2]2019-02'!$A$3:$G$1657,7,0)</f>
        <v>12/21</v>
      </c>
      <c r="U68" s="275"/>
      <c r="W68" s="21" t="str">
        <f>VLOOKUP(W67,'[2]2019-02'!$A$3:$G$1657,7,0)</f>
        <v>CFM</v>
      </c>
      <c r="X68" s="21" t="str">
        <f>VLOOKUP(X67,'[2]2019-02'!$A$3:$G$1657,7,0)</f>
        <v>12/21</v>
      </c>
      <c r="Y68" s="21" t="e">
        <f>VLOOKUP(Y67,'[2]2019-02'!$A$3:$G$1657,7,0)</f>
        <v>#N/A</v>
      </c>
      <c r="AB68" s="275"/>
      <c r="AD68" s="21" t="e">
        <f>VLOOKUP(AD67,'[2]2019-02'!$A$3:$G$1657,7,0)</f>
        <v>#N/A</v>
      </c>
      <c r="AF68" s="176"/>
      <c r="AG68" s="162"/>
      <c r="AH68" s="160"/>
      <c r="AI68" s="49" t="s">
        <v>488</v>
      </c>
      <c r="AJ68" s="49" t="s">
        <v>489</v>
      </c>
      <c r="AK68" s="49" t="s">
        <v>489</v>
      </c>
    </row>
    <row r="69" spans="1:37" ht="15.75">
      <c r="A69" s="149" t="s">
        <v>13</v>
      </c>
      <c r="B69" s="255"/>
      <c r="C69" s="19" t="s">
        <v>85</v>
      </c>
      <c r="D69" s="19" t="s">
        <v>85</v>
      </c>
      <c r="E69" s="19" t="s">
        <v>85</v>
      </c>
      <c r="F69" s="19" t="s">
        <v>85</v>
      </c>
      <c r="G69" s="254"/>
      <c r="J69" s="19" t="s">
        <v>85</v>
      </c>
      <c r="N69" s="255"/>
      <c r="S69" s="19" t="s">
        <v>85</v>
      </c>
      <c r="T69" s="19" t="s">
        <v>85</v>
      </c>
      <c r="U69" s="255"/>
      <c r="W69" s="19" t="s">
        <v>85</v>
      </c>
      <c r="X69" s="19" t="s">
        <v>85</v>
      </c>
      <c r="Y69" s="19"/>
      <c r="AB69" s="255"/>
      <c r="AD69" s="19"/>
      <c r="AF69" s="19"/>
      <c r="AG69" s="162"/>
      <c r="AH69" s="160"/>
      <c r="AI69" s="19" t="s">
        <v>85</v>
      </c>
      <c r="AJ69" s="19" t="s">
        <v>85</v>
      </c>
      <c r="AK69" s="19" t="s">
        <v>85</v>
      </c>
    </row>
    <row r="70" spans="1:37" ht="15.75">
      <c r="A70" s="150" t="s">
        <v>15</v>
      </c>
      <c r="B70" s="255"/>
      <c r="C70" s="304" t="s">
        <v>53</v>
      </c>
      <c r="D70" s="304" t="s">
        <v>53</v>
      </c>
      <c r="E70" s="304" t="s">
        <v>53</v>
      </c>
      <c r="F70" s="280" t="s">
        <v>53</v>
      </c>
      <c r="G70" s="254"/>
      <c r="J70" s="304" t="s">
        <v>65</v>
      </c>
      <c r="N70" s="255"/>
      <c r="S70" s="304" t="s">
        <v>16</v>
      </c>
      <c r="T70" s="304" t="s">
        <v>16</v>
      </c>
      <c r="U70" s="255"/>
      <c r="W70" s="304" t="s">
        <v>16</v>
      </c>
      <c r="X70" s="304" t="s">
        <v>16</v>
      </c>
      <c r="Y70" s="383" t="s">
        <v>16</v>
      </c>
      <c r="AB70" s="255"/>
      <c r="AD70" s="383" t="s">
        <v>16</v>
      </c>
      <c r="AF70" s="307"/>
      <c r="AG70" s="162"/>
      <c r="AH70" s="160"/>
      <c r="AI70" s="304" t="s">
        <v>65</v>
      </c>
      <c r="AJ70" s="304" t="s">
        <v>65</v>
      </c>
      <c r="AK70" s="304" t="s">
        <v>65</v>
      </c>
    </row>
    <row r="71" spans="1:37" ht="15.75">
      <c r="A71" s="151" t="s">
        <v>17</v>
      </c>
      <c r="B71" s="255"/>
      <c r="C71" s="272" t="s">
        <v>419</v>
      </c>
      <c r="D71" s="272" t="s">
        <v>419</v>
      </c>
      <c r="E71" s="272" t="s">
        <v>419</v>
      </c>
      <c r="F71" s="100" t="s">
        <v>145</v>
      </c>
      <c r="G71" s="254"/>
      <c r="J71" s="272" t="s">
        <v>419</v>
      </c>
      <c r="N71" s="255"/>
      <c r="S71" s="272" t="s">
        <v>419</v>
      </c>
      <c r="T71" s="272" t="s">
        <v>419</v>
      </c>
      <c r="U71" s="255"/>
      <c r="W71" s="272" t="s">
        <v>419</v>
      </c>
      <c r="X71" s="272" t="s">
        <v>419</v>
      </c>
      <c r="Y71" s="391" t="s">
        <v>493</v>
      </c>
      <c r="AB71" s="255"/>
      <c r="AD71" s="391" t="s">
        <v>493</v>
      </c>
      <c r="AF71" s="310"/>
      <c r="AG71" s="162"/>
      <c r="AH71" s="160"/>
      <c r="AI71" s="272" t="s">
        <v>419</v>
      </c>
      <c r="AJ71" s="272" t="s">
        <v>419</v>
      </c>
      <c r="AK71" s="272" t="s">
        <v>419</v>
      </c>
    </row>
    <row r="72" spans="1:37" ht="12.75" customHeight="1">
      <c r="A72" s="152" t="s">
        <v>18</v>
      </c>
      <c r="B72" s="255"/>
      <c r="C72" s="23"/>
      <c r="D72" s="23"/>
      <c r="E72" s="23"/>
      <c r="F72" s="23"/>
      <c r="G72" s="254"/>
      <c r="J72" s="23"/>
      <c r="N72" s="255"/>
      <c r="S72" s="23"/>
      <c r="T72" s="23"/>
      <c r="U72" s="255"/>
      <c r="W72" s="23"/>
      <c r="X72" s="23"/>
      <c r="Y72" s="23"/>
      <c r="AB72" s="255"/>
      <c r="AD72" s="23"/>
      <c r="AF72" s="176"/>
      <c r="AG72" s="162"/>
      <c r="AH72" s="160"/>
      <c r="AI72" s="23"/>
      <c r="AJ72" s="23"/>
      <c r="AK72" s="23"/>
    </row>
    <row r="73" spans="1:37">
      <c r="A73" s="146" t="s">
        <v>20</v>
      </c>
      <c r="B73" s="255"/>
      <c r="C73" s="182">
        <v>1</v>
      </c>
      <c r="D73" s="182">
        <v>1</v>
      </c>
      <c r="E73" s="182">
        <v>1</v>
      </c>
      <c r="F73" s="182">
        <v>1</v>
      </c>
      <c r="G73" s="254"/>
      <c r="J73" s="182">
        <v>1</v>
      </c>
      <c r="N73" s="255"/>
      <c r="S73" s="182">
        <v>1</v>
      </c>
      <c r="T73" s="182">
        <v>1</v>
      </c>
      <c r="U73" s="255"/>
      <c r="W73" s="182">
        <v>1</v>
      </c>
      <c r="X73" s="182">
        <v>1</v>
      </c>
      <c r="Y73" s="182">
        <v>1</v>
      </c>
      <c r="AB73" s="255"/>
      <c r="AD73" s="182">
        <v>1</v>
      </c>
      <c r="AF73" s="176"/>
      <c r="AG73" s="162"/>
      <c r="AH73" s="160"/>
      <c r="AI73" s="182"/>
      <c r="AJ73" s="182"/>
      <c r="AK73" s="182"/>
    </row>
    <row r="74" spans="1:37" ht="15.75">
      <c r="A74" s="153" t="s">
        <v>21</v>
      </c>
      <c r="B74" s="255"/>
      <c r="C74" s="94" t="s">
        <v>77</v>
      </c>
      <c r="D74" s="94" t="s">
        <v>77</v>
      </c>
      <c r="E74" s="94" t="s">
        <v>77</v>
      </c>
      <c r="F74" s="94" t="s">
        <v>99</v>
      </c>
      <c r="G74" s="254"/>
      <c r="J74" s="94" t="s">
        <v>425</v>
      </c>
      <c r="N74" s="255"/>
      <c r="S74" s="94" t="s">
        <v>102</v>
      </c>
      <c r="T74" s="94" t="s">
        <v>102</v>
      </c>
      <c r="U74" s="255"/>
      <c r="W74" s="94" t="s">
        <v>102</v>
      </c>
      <c r="X74" s="94" t="s">
        <v>102</v>
      </c>
      <c r="Y74" s="383" t="s">
        <v>123</v>
      </c>
      <c r="AB74" s="255"/>
      <c r="AD74" s="383" t="s">
        <v>101</v>
      </c>
      <c r="AF74" s="94"/>
      <c r="AG74" s="162"/>
      <c r="AH74" s="160"/>
      <c r="AI74" s="94" t="s">
        <v>426</v>
      </c>
      <c r="AJ74" s="94" t="s">
        <v>425</v>
      </c>
      <c r="AK74" s="94" t="s">
        <v>425</v>
      </c>
    </row>
    <row r="75" spans="1:37">
      <c r="A75" s="154" t="s">
        <v>22</v>
      </c>
      <c r="B75" s="255"/>
      <c r="C75" s="27"/>
      <c r="D75" s="27"/>
      <c r="E75" s="27"/>
      <c r="F75" s="27" t="s">
        <v>104</v>
      </c>
      <c r="G75" s="254"/>
      <c r="J75" s="27"/>
      <c r="N75" s="255"/>
      <c r="S75" s="27"/>
      <c r="T75" s="27"/>
      <c r="U75" s="255"/>
      <c r="W75" s="27"/>
      <c r="X75" s="27"/>
      <c r="Y75" s="27"/>
      <c r="AB75" s="255"/>
      <c r="AD75" s="27"/>
      <c r="AF75" s="176"/>
      <c r="AG75" s="162"/>
      <c r="AH75" s="160"/>
      <c r="AI75" s="27"/>
      <c r="AJ75" s="27"/>
      <c r="AK75" s="27"/>
    </row>
    <row r="76" spans="1:37" ht="15.75">
      <c r="A76" s="153" t="s">
        <v>23</v>
      </c>
      <c r="B76" s="255"/>
      <c r="C76" s="304">
        <v>672</v>
      </c>
      <c r="D76" s="304">
        <v>300</v>
      </c>
      <c r="E76" s="304">
        <v>360</v>
      </c>
      <c r="F76" s="280">
        <v>6012</v>
      </c>
      <c r="G76" s="254"/>
      <c r="J76" s="304">
        <v>17832</v>
      </c>
      <c r="N76" s="255"/>
      <c r="S76" s="304">
        <v>876</v>
      </c>
      <c r="T76" s="304">
        <v>432</v>
      </c>
      <c r="U76" s="255"/>
      <c r="W76" s="304">
        <v>648</v>
      </c>
      <c r="X76" s="304">
        <v>300</v>
      </c>
      <c r="Y76" s="383">
        <v>360</v>
      </c>
      <c r="AB76" s="255"/>
      <c r="AD76" s="383">
        <v>5040</v>
      </c>
      <c r="AF76" s="307"/>
      <c r="AG76" s="162"/>
      <c r="AH76" s="160"/>
      <c r="AI76" s="304">
        <v>408</v>
      </c>
      <c r="AJ76" s="304">
        <v>2004</v>
      </c>
      <c r="AK76" s="304">
        <v>1608</v>
      </c>
    </row>
    <row r="77" spans="1:37" ht="12.75" customHeight="1">
      <c r="A77" s="155" t="s">
        <v>24</v>
      </c>
      <c r="B77" s="255"/>
      <c r="C77" s="29" t="s">
        <v>686</v>
      </c>
      <c r="D77" s="29" t="s">
        <v>693</v>
      </c>
      <c r="E77" s="29" t="s">
        <v>678</v>
      </c>
      <c r="F77" s="29" t="s">
        <v>690</v>
      </c>
      <c r="G77" s="254"/>
      <c r="J77" s="29">
        <v>-5697</v>
      </c>
      <c r="N77" s="255"/>
      <c r="S77" s="30"/>
      <c r="T77" s="30"/>
      <c r="U77" s="255"/>
      <c r="W77" s="30"/>
      <c r="X77" s="30"/>
      <c r="Y77" s="24"/>
      <c r="AB77" s="255"/>
      <c r="AD77" s="24"/>
      <c r="AF77" s="176"/>
      <c r="AG77" s="162"/>
      <c r="AH77" s="160"/>
      <c r="AI77" s="30"/>
      <c r="AJ77" s="30"/>
      <c r="AK77" s="30"/>
    </row>
    <row r="78" spans="1:37" ht="15.75">
      <c r="A78" s="128" t="s">
        <v>25</v>
      </c>
      <c r="B78" s="255"/>
      <c r="C78" s="32">
        <v>43492</v>
      </c>
      <c r="D78" s="32">
        <v>43520</v>
      </c>
      <c r="E78" s="32">
        <v>43542</v>
      </c>
      <c r="F78" s="32">
        <v>43483</v>
      </c>
      <c r="G78" s="254"/>
      <c r="J78" s="32">
        <v>43520</v>
      </c>
      <c r="N78" s="255"/>
      <c r="S78" s="32">
        <v>43492</v>
      </c>
      <c r="T78" s="32">
        <v>43492</v>
      </c>
      <c r="U78" s="255"/>
      <c r="W78" s="32">
        <v>43532</v>
      </c>
      <c r="X78" s="32">
        <v>43542</v>
      </c>
      <c r="Y78" s="32">
        <v>43520</v>
      </c>
      <c r="AB78" s="255"/>
      <c r="AD78" s="32">
        <v>43538</v>
      </c>
      <c r="AF78" s="32"/>
      <c r="AG78" s="162"/>
      <c r="AH78" s="160"/>
      <c r="AI78" s="32">
        <v>43483</v>
      </c>
      <c r="AJ78" s="32">
        <v>43492</v>
      </c>
      <c r="AK78" s="32">
        <v>43147</v>
      </c>
    </row>
    <row r="79" spans="1:37">
      <c r="A79" s="146" t="s">
        <v>27</v>
      </c>
      <c r="B79" s="255"/>
      <c r="C79" s="31" t="s">
        <v>55</v>
      </c>
      <c r="D79" s="31" t="s">
        <v>470</v>
      </c>
      <c r="E79" s="31" t="s">
        <v>28</v>
      </c>
      <c r="F79" s="31" t="s">
        <v>29</v>
      </c>
      <c r="G79" s="254"/>
      <c r="J79" s="31" t="s">
        <v>28</v>
      </c>
      <c r="N79" s="255"/>
      <c r="S79" s="31" t="s">
        <v>48</v>
      </c>
      <c r="T79" s="31" t="s">
        <v>55</v>
      </c>
      <c r="U79" s="255"/>
      <c r="W79" s="31" t="s">
        <v>30</v>
      </c>
      <c r="X79" s="31" t="s">
        <v>28</v>
      </c>
      <c r="Y79" s="31" t="s">
        <v>48</v>
      </c>
      <c r="AB79" s="255"/>
      <c r="AD79" s="31" t="s">
        <v>29</v>
      </c>
      <c r="AF79" s="27"/>
      <c r="AG79" s="162"/>
      <c r="AH79" s="160"/>
      <c r="AI79" s="31" t="s">
        <v>31</v>
      </c>
      <c r="AJ79" s="31" t="s">
        <v>55</v>
      </c>
      <c r="AK79" s="31" t="s">
        <v>47</v>
      </c>
    </row>
    <row r="80" spans="1:37" ht="15.75">
      <c r="A80" s="146" t="s">
        <v>10</v>
      </c>
      <c r="B80" s="255"/>
      <c r="C80" s="304" t="s">
        <v>78</v>
      </c>
      <c r="D80" s="304" t="s">
        <v>78</v>
      </c>
      <c r="E80" s="304" t="s">
        <v>78</v>
      </c>
      <c r="G80" s="254"/>
      <c r="N80" s="255"/>
      <c r="S80" s="304" t="s">
        <v>103</v>
      </c>
      <c r="T80" s="304" t="s">
        <v>103</v>
      </c>
      <c r="U80" s="255"/>
      <c r="X80" s="304" t="s">
        <v>103</v>
      </c>
      <c r="Y80" s="383" t="s">
        <v>103</v>
      </c>
      <c r="AB80" s="255"/>
      <c r="AC80" s="307"/>
      <c r="AD80" s="307"/>
      <c r="AF80" s="27"/>
      <c r="AG80" s="162"/>
      <c r="AH80" s="160"/>
      <c r="AI80" s="305" t="s">
        <v>494</v>
      </c>
      <c r="AJ80" s="158"/>
    </row>
    <row r="81" spans="1:36" ht="15.75">
      <c r="A81" s="147" t="s">
        <v>11</v>
      </c>
      <c r="B81" s="255"/>
      <c r="C81" s="93" t="s">
        <v>463</v>
      </c>
      <c r="D81" s="93" t="s">
        <v>462</v>
      </c>
      <c r="E81" s="93" t="s">
        <v>446</v>
      </c>
      <c r="G81" s="254"/>
      <c r="N81" s="255"/>
      <c r="S81" s="93" t="s">
        <v>447</v>
      </c>
      <c r="T81" s="93" t="s">
        <v>467</v>
      </c>
      <c r="U81" s="255"/>
      <c r="X81" s="93" t="s">
        <v>444</v>
      </c>
      <c r="Y81" s="93" t="s">
        <v>619</v>
      </c>
      <c r="AB81" s="255"/>
      <c r="AF81" s="27"/>
      <c r="AG81" s="162"/>
      <c r="AH81" s="160"/>
      <c r="AI81" s="93" t="s">
        <v>456</v>
      </c>
      <c r="AJ81" s="158"/>
    </row>
    <row r="82" spans="1:36" ht="15.75">
      <c r="A82" s="148" t="s">
        <v>12</v>
      </c>
      <c r="B82" s="255"/>
      <c r="C82" s="21" t="str">
        <f>VLOOKUP(C81,'[2]2019-02'!$A$3:$G$1657,7,0)</f>
        <v>OK</v>
      </c>
      <c r="D82" s="21" t="str">
        <f>VLOOKUP(D81,'[2]2019-02'!$A$3:$G$1657,7,0)</f>
        <v>12/21</v>
      </c>
      <c r="E82" s="21" t="str">
        <f>VLOOKUP(E81,'[2]2019-02'!$A$3:$G$1657,7,0)</f>
        <v>12/21</v>
      </c>
      <c r="G82" s="274"/>
      <c r="N82" s="275"/>
      <c r="S82" s="21" t="str">
        <f>VLOOKUP(S81,'[2]2019-02'!$A$3:$G$1657,7,0)</f>
        <v>12/21</v>
      </c>
      <c r="T82" s="21" t="str">
        <f>VLOOKUP(T81,'[2]2019-02'!$A$3:$G$1657,7,0)</f>
        <v>12/21</v>
      </c>
      <c r="U82" s="275"/>
      <c r="X82" s="21" t="str">
        <f>VLOOKUP(X81,'[2]2019-02'!$A$3:$G$1657,7,0)</f>
        <v>12/21</v>
      </c>
      <c r="Y82" s="383" t="str">
        <f>VLOOKUP(Y88,'[3]2018-11-16'!$A:$D,4,0)</f>
        <v>基本型體</v>
      </c>
      <c r="AB82" s="275"/>
      <c r="AC82" s="176"/>
      <c r="AD82" s="176"/>
      <c r="AF82" s="27"/>
      <c r="AG82" s="162"/>
      <c r="AH82" s="160"/>
      <c r="AI82" s="49" t="s">
        <v>490</v>
      </c>
      <c r="AJ82" s="158"/>
    </row>
    <row r="83" spans="1:36" ht="15.75">
      <c r="A83" s="149" t="s">
        <v>13</v>
      </c>
      <c r="B83" s="255"/>
      <c r="C83" s="19" t="s">
        <v>85</v>
      </c>
      <c r="D83" s="19" t="s">
        <v>85</v>
      </c>
      <c r="E83" s="19" t="s">
        <v>85</v>
      </c>
      <c r="G83" s="254"/>
      <c r="N83" s="255"/>
      <c r="S83" s="19" t="s">
        <v>85</v>
      </c>
      <c r="T83" s="19" t="s">
        <v>85</v>
      </c>
      <c r="U83" s="255"/>
      <c r="X83" s="19" t="s">
        <v>85</v>
      </c>
      <c r="Y83" s="19"/>
      <c r="AB83" s="255"/>
      <c r="AC83" s="19"/>
      <c r="AD83" s="19"/>
      <c r="AF83" s="27"/>
      <c r="AG83" s="162"/>
      <c r="AH83" s="160"/>
      <c r="AI83" s="19" t="s">
        <v>85</v>
      </c>
      <c r="AJ83" s="158"/>
    </row>
    <row r="84" spans="1:36" ht="15.75">
      <c r="A84" s="150" t="s">
        <v>15</v>
      </c>
      <c r="B84" s="255"/>
      <c r="C84" s="304" t="s">
        <v>53</v>
      </c>
      <c r="D84" s="304" t="s">
        <v>53</v>
      </c>
      <c r="E84" s="304" t="s">
        <v>53</v>
      </c>
      <c r="G84" s="254"/>
      <c r="N84" s="255"/>
      <c r="S84" s="304" t="s">
        <v>16</v>
      </c>
      <c r="T84" s="304" t="s">
        <v>16</v>
      </c>
      <c r="U84" s="255"/>
      <c r="X84" s="304" t="s">
        <v>16</v>
      </c>
      <c r="Y84" s="383" t="s">
        <v>16</v>
      </c>
      <c r="AB84" s="255"/>
      <c r="AC84" s="307"/>
      <c r="AD84" s="307"/>
      <c r="AF84" s="27"/>
      <c r="AG84" s="162"/>
      <c r="AH84" s="160"/>
      <c r="AI84" s="305" t="s">
        <v>65</v>
      </c>
      <c r="AJ84" s="158"/>
    </row>
    <row r="85" spans="1:36" ht="15.75">
      <c r="A85" s="151" t="s">
        <v>17</v>
      </c>
      <c r="B85" s="255"/>
      <c r="C85" s="272" t="s">
        <v>419</v>
      </c>
      <c r="D85" s="272" t="s">
        <v>419</v>
      </c>
      <c r="E85" s="272" t="s">
        <v>419</v>
      </c>
      <c r="G85" s="254"/>
      <c r="N85" s="255"/>
      <c r="S85" s="272" t="s">
        <v>419</v>
      </c>
      <c r="T85" s="272" t="s">
        <v>419</v>
      </c>
      <c r="U85" s="255"/>
      <c r="X85" s="272" t="s">
        <v>419</v>
      </c>
      <c r="Y85" s="391" t="s">
        <v>493</v>
      </c>
      <c r="AB85" s="255"/>
      <c r="AC85" s="310"/>
      <c r="AD85" s="310"/>
      <c r="AF85" s="27"/>
      <c r="AG85" s="162"/>
      <c r="AH85" s="160"/>
      <c r="AI85" s="272" t="s">
        <v>419</v>
      </c>
      <c r="AJ85" s="158"/>
    </row>
    <row r="86" spans="1:36" ht="12.75" customHeight="1">
      <c r="A86" s="152" t="s">
        <v>18</v>
      </c>
      <c r="B86" s="255"/>
      <c r="C86" s="23"/>
      <c r="D86" s="23"/>
      <c r="E86" s="23"/>
      <c r="G86" s="254"/>
      <c r="N86" s="255"/>
      <c r="S86" s="23"/>
      <c r="T86" s="23"/>
      <c r="U86" s="255"/>
      <c r="X86" s="23"/>
      <c r="Y86" s="23"/>
      <c r="AB86" s="255"/>
      <c r="AC86" s="176"/>
      <c r="AD86" s="176"/>
      <c r="AF86" s="27"/>
      <c r="AG86" s="162"/>
      <c r="AH86" s="160"/>
      <c r="AI86" s="23"/>
      <c r="AJ86" s="158"/>
    </row>
    <row r="87" spans="1:36">
      <c r="A87" s="146" t="s">
        <v>20</v>
      </c>
      <c r="B87" s="255"/>
      <c r="C87" s="182">
        <v>1</v>
      </c>
      <c r="D87" s="182">
        <v>1</v>
      </c>
      <c r="E87" s="182">
        <v>1</v>
      </c>
      <c r="G87" s="254"/>
      <c r="N87" s="255"/>
      <c r="S87" s="182">
        <v>1</v>
      </c>
      <c r="T87" s="182">
        <v>1</v>
      </c>
      <c r="U87" s="255"/>
      <c r="X87" s="182">
        <v>1</v>
      </c>
      <c r="Y87" s="182">
        <v>1</v>
      </c>
      <c r="AB87" s="255"/>
      <c r="AC87" s="176"/>
      <c r="AD87" s="176"/>
      <c r="AF87" s="27"/>
      <c r="AG87" s="162"/>
      <c r="AH87" s="160"/>
      <c r="AI87" s="188"/>
      <c r="AJ87" s="158"/>
    </row>
    <row r="88" spans="1:36" ht="15.75">
      <c r="A88" s="153" t="s">
        <v>21</v>
      </c>
      <c r="B88" s="255"/>
      <c r="C88" s="94" t="s">
        <v>77</v>
      </c>
      <c r="D88" s="94" t="s">
        <v>77</v>
      </c>
      <c r="E88" s="94" t="s">
        <v>99</v>
      </c>
      <c r="G88" s="254"/>
      <c r="N88" s="255"/>
      <c r="S88" s="94" t="s">
        <v>102</v>
      </c>
      <c r="T88" s="94" t="s">
        <v>102</v>
      </c>
      <c r="U88" s="255"/>
      <c r="X88" s="94" t="s">
        <v>102</v>
      </c>
      <c r="Y88" s="383" t="s">
        <v>123</v>
      </c>
      <c r="AB88" s="255"/>
      <c r="AC88" s="94"/>
      <c r="AD88" s="94"/>
      <c r="AF88" s="27"/>
      <c r="AG88" s="162"/>
      <c r="AH88" s="160"/>
      <c r="AI88" s="94" t="s">
        <v>425</v>
      </c>
      <c r="AJ88" s="158"/>
    </row>
    <row r="89" spans="1:36">
      <c r="A89" s="154" t="s">
        <v>22</v>
      </c>
      <c r="B89" s="255"/>
      <c r="C89" s="27"/>
      <c r="D89" s="27"/>
      <c r="E89" s="27" t="s">
        <v>104</v>
      </c>
      <c r="G89" s="254"/>
      <c r="N89" s="255"/>
      <c r="S89" s="27"/>
      <c r="T89" s="27"/>
      <c r="U89" s="255"/>
      <c r="X89" s="27"/>
      <c r="Y89" s="27"/>
      <c r="AB89" s="255"/>
      <c r="AC89" s="176"/>
      <c r="AD89" s="176"/>
      <c r="AF89" s="27"/>
      <c r="AG89" s="162"/>
      <c r="AH89" s="160"/>
      <c r="AI89" s="27"/>
      <c r="AJ89" s="158"/>
    </row>
    <row r="90" spans="1:36" ht="15.75">
      <c r="A90" s="153" t="s">
        <v>23</v>
      </c>
      <c r="B90" s="255"/>
      <c r="C90" s="304">
        <v>1248</v>
      </c>
      <c r="D90" s="304">
        <v>600</v>
      </c>
      <c r="E90" s="304">
        <v>1800</v>
      </c>
      <c r="G90" s="254"/>
      <c r="N90" s="255"/>
      <c r="S90" s="304">
        <v>252</v>
      </c>
      <c r="T90" s="304">
        <v>2700</v>
      </c>
      <c r="U90" s="255"/>
      <c r="X90" s="304">
        <v>432</v>
      </c>
      <c r="Y90" s="383">
        <v>360</v>
      </c>
      <c r="AB90" s="255"/>
      <c r="AC90" s="307"/>
      <c r="AD90" s="307"/>
      <c r="AF90" s="27"/>
      <c r="AG90" s="162"/>
      <c r="AH90" s="160"/>
      <c r="AI90" s="305">
        <v>360</v>
      </c>
      <c r="AJ90" s="158"/>
    </row>
    <row r="91" spans="1:36" ht="15.75">
      <c r="A91" s="155" t="s">
        <v>24</v>
      </c>
      <c r="B91" s="255"/>
      <c r="C91" s="29" t="s">
        <v>678</v>
      </c>
      <c r="D91" s="29" t="s">
        <v>686</v>
      </c>
      <c r="E91" s="29" t="s">
        <v>693</v>
      </c>
      <c r="G91" s="254"/>
      <c r="N91" s="255"/>
      <c r="S91" s="30"/>
      <c r="T91" s="30"/>
      <c r="U91" s="255"/>
      <c r="X91" s="30"/>
      <c r="Y91" s="24"/>
      <c r="AB91" s="255"/>
      <c r="AC91" s="176"/>
      <c r="AD91" s="176"/>
      <c r="AF91" s="27"/>
      <c r="AG91" s="162"/>
      <c r="AH91" s="160"/>
      <c r="AI91" s="30"/>
      <c r="AJ91" s="158"/>
    </row>
    <row r="92" spans="1:36" ht="15.75">
      <c r="A92" s="128" t="s">
        <v>25</v>
      </c>
      <c r="B92" s="255"/>
      <c r="C92" s="32">
        <v>43492</v>
      </c>
      <c r="D92" s="32">
        <v>43511</v>
      </c>
      <c r="E92" s="32">
        <v>43511</v>
      </c>
      <c r="G92" s="254"/>
      <c r="N92" s="255"/>
      <c r="S92" s="32">
        <v>43147</v>
      </c>
      <c r="T92" s="32">
        <v>43520</v>
      </c>
      <c r="U92" s="255"/>
      <c r="X92" s="32">
        <v>43542</v>
      </c>
      <c r="Y92" s="32">
        <v>43521</v>
      </c>
      <c r="AB92" s="255"/>
      <c r="AC92" s="32"/>
      <c r="AD92" s="32"/>
      <c r="AF92" s="27"/>
      <c r="AG92" s="162"/>
      <c r="AH92" s="160"/>
      <c r="AI92" s="32">
        <v>43483</v>
      </c>
      <c r="AJ92" s="158"/>
    </row>
    <row r="93" spans="1:36" ht="15.75" thickBot="1">
      <c r="A93" s="146" t="s">
        <v>27</v>
      </c>
      <c r="B93" s="255"/>
      <c r="C93" s="31" t="s">
        <v>48</v>
      </c>
      <c r="D93" s="31" t="s">
        <v>31</v>
      </c>
      <c r="E93" s="31" t="s">
        <v>29</v>
      </c>
      <c r="G93" s="254"/>
      <c r="N93" s="255"/>
      <c r="S93" s="31" t="s">
        <v>47</v>
      </c>
      <c r="T93" s="31" t="s">
        <v>28</v>
      </c>
      <c r="U93" s="255"/>
      <c r="X93" s="31" t="s">
        <v>28</v>
      </c>
      <c r="Y93" s="31" t="s">
        <v>31</v>
      </c>
      <c r="AB93" s="255"/>
      <c r="AC93"/>
      <c r="AE93" s="27"/>
      <c r="AF93" s="27"/>
      <c r="AG93" s="162"/>
      <c r="AH93" s="160"/>
      <c r="AI93" s="31" t="s">
        <v>31</v>
      </c>
      <c r="AJ93" s="158"/>
    </row>
    <row r="94" spans="1:36" ht="15.75">
      <c r="A94" s="146" t="s">
        <v>10</v>
      </c>
      <c r="B94" s="255"/>
      <c r="C94" s="304" t="s">
        <v>78</v>
      </c>
      <c r="D94" s="304" t="s">
        <v>78</v>
      </c>
      <c r="G94" s="254"/>
      <c r="N94" s="255"/>
      <c r="O94" s="160"/>
      <c r="U94" s="255"/>
      <c r="X94" s="383" t="s">
        <v>103</v>
      </c>
      <c r="Y94" s="239" t="s">
        <v>103</v>
      </c>
      <c r="Z94" s="59" t="s">
        <v>103</v>
      </c>
      <c r="AA94" s="59" t="s">
        <v>103</v>
      </c>
      <c r="AB94" s="262"/>
      <c r="AC94" s="384" t="s">
        <v>103</v>
      </c>
      <c r="AE94" s="27"/>
      <c r="AF94" s="27"/>
      <c r="AG94" s="162"/>
      <c r="AH94" s="160"/>
      <c r="AI94" s="305" t="s">
        <v>494</v>
      </c>
      <c r="AJ94" s="158"/>
    </row>
    <row r="95" spans="1:36" ht="15.75">
      <c r="A95" s="147" t="s">
        <v>11</v>
      </c>
      <c r="B95" s="255"/>
      <c r="C95" s="93" t="s">
        <v>461</v>
      </c>
      <c r="D95" s="93" t="s">
        <v>465</v>
      </c>
      <c r="G95" s="254"/>
      <c r="N95" s="255"/>
      <c r="O95" s="160"/>
      <c r="U95" s="255"/>
      <c r="X95" s="93" t="s">
        <v>622</v>
      </c>
      <c r="Y95" s="299" t="s">
        <v>623</v>
      </c>
      <c r="Z95" s="93" t="s">
        <v>624</v>
      </c>
      <c r="AA95" s="93" t="s">
        <v>625</v>
      </c>
      <c r="AB95" s="254"/>
      <c r="AC95" s="240" t="s">
        <v>627</v>
      </c>
      <c r="AE95" s="27"/>
      <c r="AF95" s="27"/>
      <c r="AG95" s="162"/>
      <c r="AH95" s="160"/>
      <c r="AI95" s="93" t="s">
        <v>454</v>
      </c>
      <c r="AJ95" s="158"/>
    </row>
    <row r="96" spans="1:36" ht="15.75">
      <c r="A96" s="148" t="s">
        <v>12</v>
      </c>
      <c r="B96" s="255"/>
      <c r="C96" s="21" t="str">
        <f>VLOOKUP(C95,'[2]2019-02'!$A$3:$G$1657,7,0)</f>
        <v>12/21</v>
      </c>
      <c r="D96" s="21" t="str">
        <f>VLOOKUP(D95,'[2]2019-02'!$A$3:$G$1657,7,0)</f>
        <v>12/21</v>
      </c>
      <c r="G96" s="274"/>
      <c r="N96" s="275"/>
      <c r="O96" s="276"/>
      <c r="U96" s="275"/>
      <c r="X96" s="383" t="str">
        <f>VLOOKUP(X102,'[3]2018-11-16'!$A:$D,4,0)</f>
        <v>基本型體</v>
      </c>
      <c r="Y96" s="290" t="str">
        <f>VLOOKUP(Y102,'[3]2018-11-16'!$A:$D,4,0)</f>
        <v>基本型體</v>
      </c>
      <c r="Z96" s="383" t="str">
        <f>VLOOKUP(Z102,'[3]2018-11-16'!$A:$D,4,0)</f>
        <v>基本型體</v>
      </c>
      <c r="AA96" s="383" t="str">
        <f>VLOOKUP(AA102,'[3]2018-11-16'!$A:$D,4,0)</f>
        <v>基本型體</v>
      </c>
      <c r="AB96" s="274"/>
      <c r="AC96" s="242" t="str">
        <f>VLOOKUP(AC102,'[3]2018-11-16'!$A:$D,4,0)</f>
        <v>基本型體</v>
      </c>
      <c r="AE96" s="27"/>
      <c r="AF96" s="27"/>
      <c r="AG96" s="162"/>
      <c r="AH96" s="160"/>
      <c r="AI96" s="49" t="s">
        <v>489</v>
      </c>
      <c r="AJ96" s="158"/>
    </row>
    <row r="97" spans="1:36" ht="15.75">
      <c r="A97" s="149" t="s">
        <v>13</v>
      </c>
      <c r="B97" s="255"/>
      <c r="C97" s="19" t="s">
        <v>85</v>
      </c>
      <c r="D97" s="19" t="s">
        <v>85</v>
      </c>
      <c r="G97" s="254"/>
      <c r="N97" s="255"/>
      <c r="O97" s="160"/>
      <c r="U97" s="255"/>
      <c r="X97" s="19"/>
      <c r="Y97" s="300"/>
      <c r="Z97" s="19"/>
      <c r="AA97" s="19"/>
      <c r="AB97" s="254"/>
      <c r="AC97" s="241"/>
      <c r="AE97" s="27"/>
      <c r="AF97" s="27"/>
      <c r="AG97" s="162"/>
      <c r="AH97" s="160"/>
      <c r="AI97" s="19" t="s">
        <v>85</v>
      </c>
      <c r="AJ97" s="158"/>
    </row>
    <row r="98" spans="1:36" ht="15.75">
      <c r="A98" s="150" t="s">
        <v>15</v>
      </c>
      <c r="B98" s="255"/>
      <c r="C98" s="304" t="s">
        <v>53</v>
      </c>
      <c r="D98" s="304" t="s">
        <v>53</v>
      </c>
      <c r="G98" s="254"/>
      <c r="N98" s="255"/>
      <c r="O98" s="160"/>
      <c r="U98" s="255"/>
      <c r="X98" s="383" t="s">
        <v>16</v>
      </c>
      <c r="Y98" s="290" t="s">
        <v>16</v>
      </c>
      <c r="Z98" s="383" t="s">
        <v>16</v>
      </c>
      <c r="AA98" s="383" t="s">
        <v>16</v>
      </c>
      <c r="AB98" s="254"/>
      <c r="AC98" s="242" t="s">
        <v>16</v>
      </c>
      <c r="AE98" s="27"/>
      <c r="AF98" s="27"/>
      <c r="AG98" s="162"/>
      <c r="AH98" s="160"/>
      <c r="AI98" s="305" t="s">
        <v>65</v>
      </c>
      <c r="AJ98" s="158"/>
    </row>
    <row r="99" spans="1:36" ht="15.75">
      <c r="A99" s="151" t="s">
        <v>17</v>
      </c>
      <c r="B99" s="255"/>
      <c r="C99" s="272" t="s">
        <v>419</v>
      </c>
      <c r="D99" s="272" t="s">
        <v>419</v>
      </c>
      <c r="G99" s="254"/>
      <c r="N99" s="255"/>
      <c r="O99" s="160"/>
      <c r="U99" s="255"/>
      <c r="X99" s="391" t="s">
        <v>493</v>
      </c>
      <c r="Y99" s="397" t="s">
        <v>493</v>
      </c>
      <c r="Z99" s="391" t="s">
        <v>493</v>
      </c>
      <c r="AA99" s="391" t="s">
        <v>493</v>
      </c>
      <c r="AB99" s="254"/>
      <c r="AC99" s="392" t="s">
        <v>493</v>
      </c>
      <c r="AE99" s="27"/>
      <c r="AF99" s="27"/>
      <c r="AG99" s="162"/>
      <c r="AH99" s="160"/>
      <c r="AI99" s="272" t="s">
        <v>419</v>
      </c>
      <c r="AJ99" s="158"/>
    </row>
    <row r="100" spans="1:36" ht="12.75" customHeight="1">
      <c r="A100" s="152" t="s">
        <v>18</v>
      </c>
      <c r="B100" s="255"/>
      <c r="C100" s="23"/>
      <c r="D100" s="23"/>
      <c r="G100" s="254"/>
      <c r="N100" s="255"/>
      <c r="O100" s="160"/>
      <c r="U100" s="255"/>
      <c r="X100" s="23"/>
      <c r="Y100" s="301"/>
      <c r="Z100" s="23"/>
      <c r="AA100" s="23"/>
      <c r="AB100" s="254"/>
      <c r="AC100" s="243"/>
      <c r="AE100" s="27"/>
      <c r="AF100" s="27"/>
      <c r="AG100" s="162"/>
      <c r="AH100" s="160"/>
      <c r="AI100" s="23"/>
      <c r="AJ100" s="158"/>
    </row>
    <row r="101" spans="1:36">
      <c r="A101" s="146" t="s">
        <v>20</v>
      </c>
      <c r="B101" s="255"/>
      <c r="C101" s="182">
        <v>1</v>
      </c>
      <c r="D101" s="182">
        <v>1</v>
      </c>
      <c r="G101" s="254"/>
      <c r="N101" s="255"/>
      <c r="O101" s="160"/>
      <c r="U101" s="255"/>
      <c r="X101" s="182">
        <v>1</v>
      </c>
      <c r="Y101" s="182">
        <v>1</v>
      </c>
      <c r="Z101" s="182">
        <v>1</v>
      </c>
      <c r="AA101" s="182">
        <v>1</v>
      </c>
      <c r="AB101" s="254"/>
      <c r="AC101" s="182">
        <v>1</v>
      </c>
      <c r="AE101" s="27"/>
      <c r="AF101" s="27"/>
      <c r="AG101" s="162"/>
      <c r="AH101" s="160"/>
      <c r="AI101" s="188"/>
      <c r="AJ101" s="158"/>
    </row>
    <row r="102" spans="1:36" ht="15.75">
      <c r="A102" s="153" t="s">
        <v>21</v>
      </c>
      <c r="B102" s="255"/>
      <c r="C102" s="94" t="s">
        <v>77</v>
      </c>
      <c r="D102" s="94" t="s">
        <v>77</v>
      </c>
      <c r="G102" s="254"/>
      <c r="N102" s="255"/>
      <c r="O102" s="160"/>
      <c r="U102" s="255"/>
      <c r="X102" s="383" t="s">
        <v>100</v>
      </c>
      <c r="Y102" s="290" t="s">
        <v>102</v>
      </c>
      <c r="Z102" s="383" t="s">
        <v>102</v>
      </c>
      <c r="AA102" s="383" t="s">
        <v>102</v>
      </c>
      <c r="AB102" s="254"/>
      <c r="AC102" s="242" t="s">
        <v>102</v>
      </c>
      <c r="AE102" s="27"/>
      <c r="AF102" s="27"/>
      <c r="AG102" s="162"/>
      <c r="AH102" s="160"/>
      <c r="AI102" s="94" t="s">
        <v>425</v>
      </c>
      <c r="AJ102" s="158"/>
    </row>
    <row r="103" spans="1:36">
      <c r="A103" s="154" t="s">
        <v>22</v>
      </c>
      <c r="B103" s="255"/>
      <c r="C103" s="27"/>
      <c r="D103" s="27"/>
      <c r="G103" s="254"/>
      <c r="N103" s="255"/>
      <c r="O103" s="160"/>
      <c r="U103" s="255"/>
      <c r="X103" s="27"/>
      <c r="Y103" s="302"/>
      <c r="Z103" s="27"/>
      <c r="AA103" s="27"/>
      <c r="AB103" s="254"/>
      <c r="AC103" s="246"/>
      <c r="AE103" s="27"/>
      <c r="AF103" s="246"/>
      <c r="AG103" s="284"/>
      <c r="AH103" s="160"/>
      <c r="AI103" s="27"/>
      <c r="AJ103" s="158"/>
    </row>
    <row r="104" spans="1:36" ht="15.75">
      <c r="A104" s="153" t="s">
        <v>23</v>
      </c>
      <c r="B104" s="255"/>
      <c r="C104" s="304">
        <v>384</v>
      </c>
      <c r="D104" s="304">
        <v>672</v>
      </c>
      <c r="G104" s="254"/>
      <c r="N104" s="255"/>
      <c r="O104" s="160"/>
      <c r="U104" s="255"/>
      <c r="X104" s="383">
        <v>360</v>
      </c>
      <c r="Y104" s="290">
        <v>5232</v>
      </c>
      <c r="Z104" s="383">
        <v>672</v>
      </c>
      <c r="AA104" s="383">
        <v>360</v>
      </c>
      <c r="AB104" s="254"/>
      <c r="AC104" s="242">
        <v>384</v>
      </c>
      <c r="AE104" s="27"/>
      <c r="AF104" s="246"/>
      <c r="AG104" s="284"/>
      <c r="AH104" s="160"/>
      <c r="AI104" s="305">
        <v>366</v>
      </c>
      <c r="AJ104" s="158"/>
    </row>
    <row r="105" spans="1:36" ht="12.75" customHeight="1">
      <c r="A105" s="155" t="s">
        <v>24</v>
      </c>
      <c r="B105" s="255"/>
      <c r="C105" s="29" t="s">
        <v>687</v>
      </c>
      <c r="D105" s="29" t="s">
        <v>694</v>
      </c>
      <c r="G105" s="254"/>
      <c r="N105" s="255"/>
      <c r="O105" s="160"/>
      <c r="U105" s="255"/>
      <c r="X105" s="24"/>
      <c r="Y105" s="333" t="s">
        <v>105</v>
      </c>
      <c r="Z105" s="50"/>
      <c r="AA105" s="50"/>
      <c r="AB105" s="254"/>
      <c r="AC105" s="393" t="s">
        <v>106</v>
      </c>
      <c r="AE105" s="27"/>
      <c r="AF105" s="246"/>
      <c r="AG105" s="284"/>
      <c r="AH105" s="160"/>
      <c r="AI105" s="30"/>
      <c r="AJ105" s="158"/>
    </row>
    <row r="106" spans="1:36" ht="15.75">
      <c r="A106" s="128" t="s">
        <v>25</v>
      </c>
      <c r="B106" s="255"/>
      <c r="C106" s="32">
        <v>43147</v>
      </c>
      <c r="D106" s="32">
        <v>43542</v>
      </c>
      <c r="G106" s="254"/>
      <c r="N106" s="255"/>
      <c r="O106" s="256"/>
      <c r="U106" s="255"/>
      <c r="X106" s="32">
        <v>43520</v>
      </c>
      <c r="Y106" s="294">
        <v>43551</v>
      </c>
      <c r="Z106" s="32">
        <v>43520</v>
      </c>
      <c r="AA106" s="32">
        <v>43520</v>
      </c>
      <c r="AB106" s="254"/>
      <c r="AC106" s="247">
        <v>43544</v>
      </c>
      <c r="AE106" s="27"/>
      <c r="AF106" s="246"/>
      <c r="AG106" s="284"/>
      <c r="AH106" s="160"/>
      <c r="AI106" s="32">
        <v>43492</v>
      </c>
      <c r="AJ106" s="158"/>
    </row>
    <row r="107" spans="1:36">
      <c r="A107" s="146" t="s">
        <v>27</v>
      </c>
      <c r="B107" s="255"/>
      <c r="C107" s="31" t="s">
        <v>47</v>
      </c>
      <c r="D107" s="31" t="s">
        <v>28</v>
      </c>
      <c r="G107" s="254"/>
      <c r="N107" s="255"/>
      <c r="O107" s="160"/>
      <c r="U107" s="255"/>
      <c r="X107" s="31" t="s">
        <v>48</v>
      </c>
      <c r="Y107" s="295" t="s">
        <v>28</v>
      </c>
      <c r="Z107" s="31" t="s">
        <v>48</v>
      </c>
      <c r="AA107" s="31" t="s">
        <v>63</v>
      </c>
      <c r="AB107" s="254"/>
      <c r="AC107" s="296" t="s">
        <v>28</v>
      </c>
      <c r="AD107" s="27"/>
      <c r="AE107" s="27"/>
      <c r="AF107" s="246"/>
      <c r="AG107" s="284"/>
      <c r="AH107" s="160"/>
      <c r="AI107" s="31" t="s">
        <v>63</v>
      </c>
      <c r="AJ107" s="158"/>
    </row>
    <row r="108" spans="1:36" ht="15.75">
      <c r="A108" s="146" t="s">
        <v>10</v>
      </c>
      <c r="B108" s="255"/>
      <c r="D108" s="304" t="s">
        <v>78</v>
      </c>
      <c r="F108" s="163"/>
      <c r="G108" s="254"/>
      <c r="H108" s="163"/>
      <c r="J108" s="163"/>
      <c r="N108" s="255"/>
      <c r="O108" s="160"/>
      <c r="T108" s="160"/>
      <c r="U108" s="255"/>
      <c r="X108" s="383" t="s">
        <v>103</v>
      </c>
      <c r="Y108" s="302"/>
      <c r="Z108" s="27"/>
      <c r="AA108" s="383" t="s">
        <v>103</v>
      </c>
      <c r="AB108" s="254"/>
      <c r="AC108" s="242" t="s">
        <v>103</v>
      </c>
      <c r="AD108" s="27"/>
      <c r="AE108" s="27"/>
      <c r="AF108" s="246"/>
      <c r="AG108" s="284"/>
      <c r="AH108" s="160"/>
      <c r="AI108" s="305" t="s">
        <v>494</v>
      </c>
      <c r="AJ108" s="158"/>
    </row>
    <row r="109" spans="1:36" ht="15.75">
      <c r="A109" s="147" t="s">
        <v>11</v>
      </c>
      <c r="B109" s="255"/>
      <c r="D109" s="93" t="s">
        <v>466</v>
      </c>
      <c r="F109" s="163"/>
      <c r="G109" s="254"/>
      <c r="H109" s="163"/>
      <c r="J109" s="163"/>
      <c r="K109" s="163"/>
      <c r="N109" s="255"/>
      <c r="O109" s="160"/>
      <c r="T109" s="160"/>
      <c r="U109" s="255"/>
      <c r="X109" s="93" t="s">
        <v>621</v>
      </c>
      <c r="Y109" s="302"/>
      <c r="Z109" s="27"/>
      <c r="AA109" s="93" t="s">
        <v>626</v>
      </c>
      <c r="AB109" s="254"/>
      <c r="AC109" s="240" t="s">
        <v>628</v>
      </c>
      <c r="AD109" s="27"/>
      <c r="AE109" s="27"/>
      <c r="AF109" s="246"/>
      <c r="AG109" s="284"/>
      <c r="AH109" s="160"/>
      <c r="AI109" s="93" t="s">
        <v>449</v>
      </c>
      <c r="AJ109" s="163"/>
    </row>
    <row r="110" spans="1:36" ht="15.75">
      <c r="A110" s="148" t="s">
        <v>12</v>
      </c>
      <c r="B110" s="255"/>
      <c r="D110" s="21" t="str">
        <f>VLOOKUP(D109,'[2]2019-02'!$A$3:$G$1657,7,0)</f>
        <v>12/21</v>
      </c>
      <c r="F110" s="163"/>
      <c r="G110" s="254"/>
      <c r="H110" s="163"/>
      <c r="J110" s="163"/>
      <c r="K110" s="163"/>
      <c r="N110" s="255"/>
      <c r="O110" s="160"/>
      <c r="T110" s="160"/>
      <c r="U110" s="255"/>
      <c r="X110" s="383" t="str">
        <f>VLOOKUP(X116,'[3]2018-11-16'!$A:$D,4,0)</f>
        <v>基本型體</v>
      </c>
      <c r="Y110" s="302"/>
      <c r="Z110" s="27"/>
      <c r="AA110" s="383" t="str">
        <f>VLOOKUP(AA116,'[3]2018-11-16'!$A:$D,4,0)</f>
        <v>基本型體</v>
      </c>
      <c r="AB110" s="254"/>
      <c r="AC110" s="242" t="str">
        <f>VLOOKUP(AC116,'[3]2018-11-16'!$A:$D,4,0)</f>
        <v>基本型體</v>
      </c>
      <c r="AD110" s="27"/>
      <c r="AE110" s="27"/>
      <c r="AF110" s="246"/>
      <c r="AG110" s="284"/>
      <c r="AH110" s="160"/>
      <c r="AI110" s="49" t="s">
        <v>489</v>
      </c>
      <c r="AJ110" s="163"/>
    </row>
    <row r="111" spans="1:36" ht="15.75">
      <c r="A111" s="149" t="s">
        <v>13</v>
      </c>
      <c r="B111" s="255"/>
      <c r="D111" s="19" t="s">
        <v>85</v>
      </c>
      <c r="F111" s="163"/>
      <c r="G111" s="254"/>
      <c r="H111" s="163"/>
      <c r="J111" s="163"/>
      <c r="K111" s="163"/>
      <c r="N111" s="255"/>
      <c r="O111" s="160"/>
      <c r="T111" s="160"/>
      <c r="U111" s="255"/>
      <c r="X111" s="19"/>
      <c r="Y111" s="302"/>
      <c r="Z111" s="27"/>
      <c r="AA111" s="19"/>
      <c r="AB111" s="254"/>
      <c r="AC111" s="241"/>
      <c r="AD111" s="27"/>
      <c r="AE111" s="27"/>
      <c r="AF111" s="246"/>
      <c r="AG111" s="284"/>
      <c r="AH111" s="160"/>
      <c r="AI111" s="19" t="s">
        <v>85</v>
      </c>
      <c r="AJ111" s="163"/>
    </row>
    <row r="112" spans="1:36" ht="15.75">
      <c r="A112" s="150" t="s">
        <v>15</v>
      </c>
      <c r="B112" s="255"/>
      <c r="D112" s="304" t="s">
        <v>53</v>
      </c>
      <c r="F112" s="163"/>
      <c r="G112" s="254"/>
      <c r="H112" s="163"/>
      <c r="J112" s="163"/>
      <c r="K112" s="163"/>
      <c r="N112" s="255"/>
      <c r="O112" s="160"/>
      <c r="T112" s="160"/>
      <c r="U112" s="255"/>
      <c r="X112" s="383" t="s">
        <v>16</v>
      </c>
      <c r="Y112" s="302"/>
      <c r="Z112" s="27"/>
      <c r="AA112" s="383" t="s">
        <v>16</v>
      </c>
      <c r="AB112" s="254"/>
      <c r="AC112" s="242" t="s">
        <v>16</v>
      </c>
      <c r="AD112" s="27"/>
      <c r="AE112" s="27"/>
      <c r="AF112" s="246"/>
      <c r="AG112" s="284"/>
      <c r="AH112" s="160"/>
      <c r="AI112" s="304" t="s">
        <v>65</v>
      </c>
      <c r="AJ112" s="163"/>
    </row>
    <row r="113" spans="1:36" ht="15.75">
      <c r="A113" s="151" t="s">
        <v>17</v>
      </c>
      <c r="B113" s="255"/>
      <c r="D113" s="272" t="s">
        <v>419</v>
      </c>
      <c r="F113" s="163"/>
      <c r="G113" s="254"/>
      <c r="H113" s="163"/>
      <c r="J113" s="163"/>
      <c r="K113" s="163"/>
      <c r="N113" s="255"/>
      <c r="O113" s="160"/>
      <c r="T113" s="160"/>
      <c r="U113" s="255"/>
      <c r="X113" s="391" t="s">
        <v>493</v>
      </c>
      <c r="Y113" s="302"/>
      <c r="Z113" s="27"/>
      <c r="AA113" s="391" t="s">
        <v>493</v>
      </c>
      <c r="AB113" s="254"/>
      <c r="AC113" s="392" t="s">
        <v>493</v>
      </c>
      <c r="AD113" s="27"/>
      <c r="AE113" s="27"/>
      <c r="AF113" s="246"/>
      <c r="AG113" s="284"/>
      <c r="AH113" s="160"/>
      <c r="AI113" s="272" t="s">
        <v>419</v>
      </c>
      <c r="AJ113" s="163"/>
    </row>
    <row r="114" spans="1:36" ht="12.75" customHeight="1">
      <c r="A114" s="152" t="s">
        <v>18</v>
      </c>
      <c r="B114" s="255"/>
      <c r="D114" s="23"/>
      <c r="F114" s="163"/>
      <c r="G114" s="254"/>
      <c r="H114" s="163"/>
      <c r="J114" s="163"/>
      <c r="K114" s="163"/>
      <c r="N114" s="255"/>
      <c r="O114" s="160"/>
      <c r="T114" s="160"/>
      <c r="U114" s="255"/>
      <c r="X114" s="23"/>
      <c r="Y114" s="302"/>
      <c r="Z114" s="27"/>
      <c r="AA114" s="23"/>
      <c r="AB114" s="254"/>
      <c r="AC114" s="243"/>
      <c r="AD114" s="27"/>
      <c r="AE114" s="27"/>
      <c r="AF114" s="246"/>
      <c r="AG114" s="284"/>
      <c r="AH114" s="160"/>
      <c r="AI114" s="23"/>
      <c r="AJ114" s="163"/>
    </row>
    <row r="115" spans="1:36">
      <c r="A115" s="146" t="s">
        <v>20</v>
      </c>
      <c r="B115" s="255"/>
      <c r="D115" s="182">
        <v>1</v>
      </c>
      <c r="F115" s="163"/>
      <c r="G115" s="254"/>
      <c r="H115" s="163"/>
      <c r="J115" s="163"/>
      <c r="K115" s="163"/>
      <c r="N115" s="255"/>
      <c r="O115" s="160"/>
      <c r="T115" s="160"/>
      <c r="U115" s="255"/>
      <c r="X115" s="182">
        <v>1</v>
      </c>
      <c r="Y115" s="302"/>
      <c r="Z115" s="27"/>
      <c r="AA115" s="182">
        <v>1</v>
      </c>
      <c r="AB115" s="254"/>
      <c r="AC115" s="182">
        <v>1</v>
      </c>
      <c r="AD115" s="27"/>
      <c r="AE115" s="27"/>
      <c r="AF115" s="246"/>
      <c r="AG115" s="284"/>
      <c r="AH115" s="160"/>
      <c r="AI115" s="182"/>
      <c r="AJ115" s="163"/>
    </row>
    <row r="116" spans="1:36" ht="15.75">
      <c r="A116" s="153" t="s">
        <v>21</v>
      </c>
      <c r="B116" s="255"/>
      <c r="D116" s="94" t="s">
        <v>77</v>
      </c>
      <c r="F116" s="163"/>
      <c r="G116" s="254"/>
      <c r="H116" s="163"/>
      <c r="J116" s="163"/>
      <c r="K116" s="163"/>
      <c r="N116" s="255"/>
      <c r="O116" s="160"/>
      <c r="T116" s="160"/>
      <c r="U116" s="255"/>
      <c r="X116" s="383" t="s">
        <v>100</v>
      </c>
      <c r="Y116" s="302"/>
      <c r="Z116" s="27"/>
      <c r="AA116" s="383" t="s">
        <v>102</v>
      </c>
      <c r="AB116" s="254"/>
      <c r="AC116" s="242" t="s">
        <v>102</v>
      </c>
      <c r="AD116" s="27"/>
      <c r="AE116" s="27"/>
      <c r="AF116" s="246"/>
      <c r="AG116" s="284"/>
      <c r="AH116" s="160"/>
      <c r="AI116" s="94" t="s">
        <v>425</v>
      </c>
      <c r="AJ116" s="163"/>
    </row>
    <row r="117" spans="1:36">
      <c r="A117" s="154" t="s">
        <v>22</v>
      </c>
      <c r="B117" s="255"/>
      <c r="D117" s="27"/>
      <c r="F117" s="163"/>
      <c r="G117" s="254"/>
      <c r="H117" s="163"/>
      <c r="J117" s="163"/>
      <c r="K117" s="163"/>
      <c r="N117" s="255"/>
      <c r="O117" s="160"/>
      <c r="T117" s="160"/>
      <c r="U117" s="255"/>
      <c r="X117" s="27"/>
      <c r="Y117" s="302"/>
      <c r="Z117" s="27"/>
      <c r="AA117" s="27"/>
      <c r="AB117" s="254"/>
      <c r="AC117" s="246"/>
      <c r="AD117" s="27"/>
      <c r="AE117" s="27"/>
      <c r="AF117" s="246"/>
      <c r="AG117" s="284"/>
      <c r="AH117" s="160"/>
      <c r="AI117" s="27"/>
      <c r="AJ117" s="163"/>
    </row>
    <row r="118" spans="1:36" ht="15.75">
      <c r="A118" s="153" t="s">
        <v>23</v>
      </c>
      <c r="B118" s="255"/>
      <c r="D118" s="304">
        <v>996</v>
      </c>
      <c r="F118" s="163"/>
      <c r="G118" s="254"/>
      <c r="H118" s="163"/>
      <c r="J118" s="163"/>
      <c r="K118" s="163"/>
      <c r="N118" s="255"/>
      <c r="O118" s="160"/>
      <c r="T118" s="160"/>
      <c r="U118" s="255"/>
      <c r="X118" s="383">
        <v>240</v>
      </c>
      <c r="Y118" s="302"/>
      <c r="Z118" s="27"/>
      <c r="AA118" s="383">
        <v>576</v>
      </c>
      <c r="AB118" s="254"/>
      <c r="AC118" s="242">
        <v>648</v>
      </c>
      <c r="AD118" s="27"/>
      <c r="AE118" s="27"/>
      <c r="AF118" s="246"/>
      <c r="AG118" s="284"/>
      <c r="AH118" s="160"/>
      <c r="AI118" s="304">
        <v>900</v>
      </c>
      <c r="AJ118" s="163"/>
    </row>
    <row r="119" spans="1:36" ht="14.25" customHeight="1">
      <c r="A119" s="155" t="s">
        <v>24</v>
      </c>
      <c r="B119" s="255"/>
      <c r="D119" s="29" t="s">
        <v>678</v>
      </c>
      <c r="F119" s="163"/>
      <c r="G119" s="254"/>
      <c r="H119" s="163"/>
      <c r="J119" s="163"/>
      <c r="K119" s="163"/>
      <c r="N119" s="255"/>
      <c r="O119" s="160"/>
      <c r="T119" s="160"/>
      <c r="U119" s="255"/>
      <c r="X119" s="24" t="s">
        <v>106</v>
      </c>
      <c r="Y119" s="302"/>
      <c r="Z119" s="27"/>
      <c r="AA119" s="50" t="s">
        <v>106</v>
      </c>
      <c r="AB119" s="254"/>
      <c r="AC119" s="393"/>
      <c r="AD119" s="27"/>
      <c r="AE119" s="27"/>
      <c r="AF119" s="246"/>
      <c r="AG119" s="284"/>
      <c r="AH119" s="160"/>
      <c r="AI119" s="30"/>
      <c r="AJ119" s="163"/>
    </row>
    <row r="120" spans="1:36" ht="15.75">
      <c r="A120" s="128" t="s">
        <v>25</v>
      </c>
      <c r="B120" s="255"/>
      <c r="D120" s="32">
        <v>43542</v>
      </c>
      <c r="F120" s="163"/>
      <c r="G120" s="254"/>
      <c r="H120" s="163"/>
      <c r="J120" s="163"/>
      <c r="K120" s="163"/>
      <c r="N120" s="255"/>
      <c r="O120" s="160"/>
      <c r="T120" s="160"/>
      <c r="U120" s="255"/>
      <c r="X120" s="32">
        <v>43520</v>
      </c>
      <c r="Y120" s="302"/>
      <c r="Z120" s="27"/>
      <c r="AA120" s="32">
        <v>43540</v>
      </c>
      <c r="AB120" s="254"/>
      <c r="AC120" s="247">
        <v>43551</v>
      </c>
      <c r="AD120" s="27"/>
      <c r="AE120" s="27"/>
      <c r="AF120" s="284"/>
      <c r="AG120" s="284"/>
      <c r="AH120" s="160"/>
      <c r="AI120" s="32">
        <v>43492</v>
      </c>
      <c r="AJ120" s="163"/>
    </row>
    <row r="121" spans="1:36" ht="15.75" thickBot="1">
      <c r="A121" s="146" t="s">
        <v>27</v>
      </c>
      <c r="B121" s="255"/>
      <c r="D121" s="31" t="s">
        <v>28</v>
      </c>
      <c r="F121" s="164"/>
      <c r="G121" s="263"/>
      <c r="H121" s="167"/>
      <c r="J121" s="164"/>
      <c r="K121" s="164"/>
      <c r="N121" s="255"/>
      <c r="O121" s="160"/>
      <c r="P121" s="164"/>
      <c r="S121" s="160"/>
      <c r="T121" s="160"/>
      <c r="U121" s="255"/>
      <c r="V121" s="167"/>
      <c r="W121" s="167"/>
      <c r="X121" s="31" t="s">
        <v>55</v>
      </c>
      <c r="Y121" s="398"/>
      <c r="Z121" s="167"/>
      <c r="AA121" s="92" t="s">
        <v>31</v>
      </c>
      <c r="AB121" s="263"/>
      <c r="AC121" s="248" t="s">
        <v>28</v>
      </c>
      <c r="AD121" s="164"/>
      <c r="AE121" s="167"/>
      <c r="AF121" s="285"/>
      <c r="AG121" s="285"/>
      <c r="AH121" s="160"/>
      <c r="AI121" s="31" t="s">
        <v>48</v>
      </c>
      <c r="AJ121" s="164"/>
    </row>
    <row r="122" spans="1:36" ht="15" customHeight="1" thickBot="1">
      <c r="A122" s="264" t="s">
        <v>36</v>
      </c>
      <c r="B122" s="218">
        <f t="shared" ref="B122:AF122" si="5">+B118+B104+B90+B76</f>
        <v>0</v>
      </c>
      <c r="C122" s="37">
        <f t="shared" si="5"/>
        <v>2304</v>
      </c>
      <c r="D122" s="37">
        <f t="shared" si="5"/>
        <v>2568</v>
      </c>
      <c r="E122" s="37">
        <f t="shared" si="5"/>
        <v>2160</v>
      </c>
      <c r="F122" s="37">
        <f t="shared" si="5"/>
        <v>6012</v>
      </c>
      <c r="G122" s="37">
        <f t="shared" si="5"/>
        <v>0</v>
      </c>
      <c r="H122" s="37">
        <f t="shared" si="5"/>
        <v>0</v>
      </c>
      <c r="I122" s="37">
        <f t="shared" si="5"/>
        <v>0</v>
      </c>
      <c r="J122" s="37">
        <f t="shared" si="5"/>
        <v>17832</v>
      </c>
      <c r="K122" s="37">
        <f t="shared" si="5"/>
        <v>0</v>
      </c>
      <c r="L122" s="37">
        <f t="shared" si="5"/>
        <v>0</v>
      </c>
      <c r="M122" s="37">
        <f t="shared" si="5"/>
        <v>0</v>
      </c>
      <c r="N122" s="37">
        <f t="shared" si="5"/>
        <v>0</v>
      </c>
      <c r="O122" s="37">
        <f t="shared" si="5"/>
        <v>0</v>
      </c>
      <c r="P122" s="37">
        <f t="shared" si="5"/>
        <v>0</v>
      </c>
      <c r="Q122" s="37">
        <f t="shared" si="5"/>
        <v>0</v>
      </c>
      <c r="R122" s="37">
        <f t="shared" si="5"/>
        <v>0</v>
      </c>
      <c r="S122" s="37">
        <f t="shared" si="5"/>
        <v>1128</v>
      </c>
      <c r="T122" s="37">
        <f t="shared" si="5"/>
        <v>3132</v>
      </c>
      <c r="U122" s="37">
        <f t="shared" si="5"/>
        <v>0</v>
      </c>
      <c r="V122" s="37">
        <f t="shared" si="5"/>
        <v>0</v>
      </c>
      <c r="W122" s="37">
        <f t="shared" si="5"/>
        <v>648</v>
      </c>
      <c r="X122" s="37">
        <v>13272</v>
      </c>
      <c r="Y122" s="37"/>
      <c r="Z122" s="37"/>
      <c r="AA122" s="37"/>
      <c r="AB122" s="37"/>
      <c r="AC122" s="37"/>
      <c r="AD122" s="37"/>
      <c r="AE122" s="37"/>
      <c r="AF122" s="37">
        <f t="shared" si="5"/>
        <v>0</v>
      </c>
      <c r="AG122" s="38"/>
      <c r="AH122" s="160"/>
      <c r="AI122" s="160"/>
    </row>
    <row r="123" spans="1:36" ht="15" customHeight="1" thickTop="1" thickBot="1">
      <c r="A123" s="264" t="s">
        <v>37</v>
      </c>
      <c r="B123" s="189">
        <f t="shared" ref="B123:AF123" si="6">+B124*B5</f>
        <v>0</v>
      </c>
      <c r="C123" s="40">
        <f t="shared" si="6"/>
        <v>2090</v>
      </c>
      <c r="D123" s="40">
        <f t="shared" si="6"/>
        <v>2090</v>
      </c>
      <c r="E123" s="40">
        <f t="shared" si="6"/>
        <v>2090</v>
      </c>
      <c r="F123" s="40">
        <f t="shared" si="6"/>
        <v>1760</v>
      </c>
      <c r="G123" s="40">
        <f t="shared" si="6"/>
        <v>0</v>
      </c>
      <c r="H123" s="40">
        <f t="shared" si="6"/>
        <v>2090</v>
      </c>
      <c r="I123" s="40">
        <f t="shared" si="6"/>
        <v>2090</v>
      </c>
      <c r="J123" s="40">
        <f t="shared" si="6"/>
        <v>1995</v>
      </c>
      <c r="K123" s="40">
        <f t="shared" si="6"/>
        <v>1995</v>
      </c>
      <c r="L123" s="40">
        <f t="shared" si="6"/>
        <v>1995</v>
      </c>
      <c r="M123" s="40">
        <f t="shared" si="6"/>
        <v>1680</v>
      </c>
      <c r="N123" s="39">
        <f t="shared" si="6"/>
        <v>0</v>
      </c>
      <c r="O123" s="40">
        <f t="shared" si="6"/>
        <v>1995</v>
      </c>
      <c r="P123" s="40">
        <f t="shared" si="6"/>
        <v>1995</v>
      </c>
      <c r="Q123" s="40">
        <f t="shared" si="6"/>
        <v>1995</v>
      </c>
      <c r="R123" s="40">
        <f t="shared" si="6"/>
        <v>1995</v>
      </c>
      <c r="S123" s="40">
        <f t="shared" si="6"/>
        <v>1995</v>
      </c>
      <c r="T123" s="40">
        <f t="shared" si="6"/>
        <v>1680</v>
      </c>
      <c r="U123" s="39">
        <f t="shared" si="6"/>
        <v>0</v>
      </c>
      <c r="V123" s="40">
        <f t="shared" si="6"/>
        <v>2090</v>
      </c>
      <c r="W123" s="40">
        <f t="shared" si="6"/>
        <v>2090</v>
      </c>
      <c r="X123" s="40">
        <f t="shared" si="6"/>
        <v>2090</v>
      </c>
      <c r="Y123" s="40">
        <f t="shared" si="6"/>
        <v>2090</v>
      </c>
      <c r="Z123" s="40">
        <f t="shared" si="6"/>
        <v>2090</v>
      </c>
      <c r="AA123" s="40">
        <f t="shared" si="6"/>
        <v>1760</v>
      </c>
      <c r="AB123" s="39">
        <f t="shared" si="6"/>
        <v>0</v>
      </c>
      <c r="AC123" s="40">
        <f t="shared" si="6"/>
        <v>1760</v>
      </c>
      <c r="AD123" s="40">
        <f t="shared" si="6"/>
        <v>1760</v>
      </c>
      <c r="AE123" s="40">
        <f t="shared" si="6"/>
        <v>1760</v>
      </c>
      <c r="AF123" s="40">
        <f t="shared" si="6"/>
        <v>1760</v>
      </c>
      <c r="AG123" s="41">
        <f>SUM(B123:AF123)</f>
        <v>50780</v>
      </c>
      <c r="AH123" s="160"/>
      <c r="AI123" s="160"/>
    </row>
    <row r="124" spans="1:36" ht="15" customHeight="1" thickTop="1" thickBot="1">
      <c r="A124" s="264" t="s">
        <v>38</v>
      </c>
      <c r="B124" s="219"/>
      <c r="C124" s="43">
        <v>220</v>
      </c>
      <c r="D124" s="43">
        <v>220</v>
      </c>
      <c r="E124" s="43">
        <v>220</v>
      </c>
      <c r="F124" s="43">
        <v>220</v>
      </c>
      <c r="G124" s="42"/>
      <c r="H124" s="43">
        <v>220</v>
      </c>
      <c r="I124" s="43">
        <v>220</v>
      </c>
      <c r="J124" s="43">
        <v>210</v>
      </c>
      <c r="K124" s="43">
        <v>210</v>
      </c>
      <c r="L124" s="43">
        <v>210</v>
      </c>
      <c r="M124" s="43">
        <v>210</v>
      </c>
      <c r="N124" s="42"/>
      <c r="O124" s="43">
        <v>210</v>
      </c>
      <c r="P124" s="43">
        <v>210</v>
      </c>
      <c r="Q124" s="43">
        <v>210</v>
      </c>
      <c r="R124" s="43">
        <v>210</v>
      </c>
      <c r="S124" s="43">
        <v>210</v>
      </c>
      <c r="T124" s="43">
        <v>210</v>
      </c>
      <c r="U124" s="42"/>
      <c r="V124" s="43">
        <v>220</v>
      </c>
      <c r="W124" s="43">
        <v>220</v>
      </c>
      <c r="X124" s="43">
        <v>220</v>
      </c>
      <c r="Y124" s="43">
        <v>220</v>
      </c>
      <c r="Z124" s="43">
        <v>220</v>
      </c>
      <c r="AA124" s="43">
        <v>220</v>
      </c>
      <c r="AB124" s="42"/>
      <c r="AC124" s="43">
        <v>220</v>
      </c>
      <c r="AD124" s="43">
        <v>220</v>
      </c>
      <c r="AE124" s="43">
        <v>220</v>
      </c>
      <c r="AF124" s="43">
        <v>220</v>
      </c>
      <c r="AG124" s="44"/>
      <c r="AH124" s="160"/>
      <c r="AI124" s="160"/>
    </row>
    <row r="125" spans="1:36" ht="15" customHeight="1" thickTop="1" thickBot="1">
      <c r="A125" s="217">
        <f>'T12'!AF125</f>
        <v>114</v>
      </c>
      <c r="B125" s="189">
        <f t="shared" ref="B125:AF125" si="7">IF(A125+B122-B123&lt;0,0,A125+B122-B123)</f>
        <v>114</v>
      </c>
      <c r="C125" s="40">
        <f t="shared" si="7"/>
        <v>328</v>
      </c>
      <c r="D125" s="40">
        <f t="shared" si="7"/>
        <v>806</v>
      </c>
      <c r="E125" s="40">
        <f t="shared" si="7"/>
        <v>876</v>
      </c>
      <c r="F125" s="40">
        <f t="shared" si="7"/>
        <v>5128</v>
      </c>
      <c r="G125" s="39">
        <f t="shared" si="7"/>
        <v>5128</v>
      </c>
      <c r="H125" s="40">
        <f t="shared" si="7"/>
        <v>3038</v>
      </c>
      <c r="I125" s="40">
        <f t="shared" si="7"/>
        <v>948</v>
      </c>
      <c r="J125" s="40">
        <f t="shared" si="7"/>
        <v>16785</v>
      </c>
      <c r="K125" s="40">
        <f t="shared" si="7"/>
        <v>14790</v>
      </c>
      <c r="L125" s="40">
        <f t="shared" si="7"/>
        <v>12795</v>
      </c>
      <c r="M125" s="40">
        <f t="shared" si="7"/>
        <v>11115</v>
      </c>
      <c r="N125" s="39">
        <f t="shared" si="7"/>
        <v>11115</v>
      </c>
      <c r="O125" s="40">
        <f t="shared" si="7"/>
        <v>9120</v>
      </c>
      <c r="P125" s="40">
        <f t="shared" si="7"/>
        <v>7125</v>
      </c>
      <c r="Q125" s="40">
        <f t="shared" si="7"/>
        <v>5130</v>
      </c>
      <c r="R125" s="40">
        <f t="shared" si="7"/>
        <v>3135</v>
      </c>
      <c r="S125" s="40">
        <f t="shared" si="7"/>
        <v>2268</v>
      </c>
      <c r="T125" s="39">
        <f>2700-240*6</f>
        <v>1260</v>
      </c>
      <c r="U125" s="39">
        <f t="shared" si="7"/>
        <v>1260</v>
      </c>
      <c r="V125" s="40">
        <f t="shared" si="7"/>
        <v>0</v>
      </c>
      <c r="W125" s="40">
        <f t="shared" si="7"/>
        <v>0</v>
      </c>
      <c r="X125" s="40">
        <f t="shared" si="7"/>
        <v>11182</v>
      </c>
      <c r="Y125" s="40">
        <f t="shared" si="7"/>
        <v>9092</v>
      </c>
      <c r="Z125" s="40">
        <f t="shared" si="7"/>
        <v>7002</v>
      </c>
      <c r="AA125" s="40">
        <f t="shared" si="7"/>
        <v>5242</v>
      </c>
      <c r="AB125" s="39">
        <f t="shared" si="7"/>
        <v>5242</v>
      </c>
      <c r="AC125" s="40">
        <f t="shared" si="7"/>
        <v>3482</v>
      </c>
      <c r="AD125" s="40">
        <f t="shared" si="7"/>
        <v>1722</v>
      </c>
      <c r="AE125" s="46">
        <f t="shared" si="7"/>
        <v>0</v>
      </c>
      <c r="AF125" s="46">
        <f t="shared" si="7"/>
        <v>0</v>
      </c>
      <c r="AG125" s="47">
        <f>IF(AE125+AG122-AG123&lt;0,0,AE125+AG122-AG123)</f>
        <v>0</v>
      </c>
      <c r="AH125" s="160"/>
      <c r="AI125" s="160"/>
    </row>
    <row r="126" spans="1:36" ht="15.75">
      <c r="A126" s="146" t="s">
        <v>10</v>
      </c>
      <c r="B126" s="255"/>
      <c r="C126" s="116" t="s">
        <v>340</v>
      </c>
      <c r="D126" s="224" t="s">
        <v>340</v>
      </c>
      <c r="F126" s="224" t="s">
        <v>340</v>
      </c>
      <c r="G126" s="255"/>
      <c r="H126" s="224" t="s">
        <v>340</v>
      </c>
      <c r="I126" s="387" t="s">
        <v>340</v>
      </c>
      <c r="J126" s="224" t="s">
        <v>340</v>
      </c>
      <c r="K126" s="224" t="s">
        <v>340</v>
      </c>
      <c r="L126" s="224" t="s">
        <v>340</v>
      </c>
      <c r="M126" s="224" t="s">
        <v>340</v>
      </c>
      <c r="N126" s="255"/>
      <c r="O126" s="224" t="s">
        <v>76</v>
      </c>
      <c r="P126" s="353" t="s">
        <v>591</v>
      </c>
      <c r="Q126" s="224" t="s">
        <v>76</v>
      </c>
      <c r="R126" s="224" t="s">
        <v>76</v>
      </c>
      <c r="S126" s="224" t="s">
        <v>76</v>
      </c>
      <c r="T126" s="224" t="s">
        <v>76</v>
      </c>
      <c r="U126" s="255"/>
      <c r="V126" s="224" t="s">
        <v>76</v>
      </c>
      <c r="W126" s="224" t="s">
        <v>76</v>
      </c>
      <c r="X126" s="224" t="s">
        <v>76</v>
      </c>
      <c r="Y126" s="224" t="s">
        <v>76</v>
      </c>
      <c r="Z126" s="314" t="s">
        <v>76</v>
      </c>
      <c r="AA126" s="383" t="s">
        <v>473</v>
      </c>
      <c r="AB126" s="262"/>
      <c r="AC126" s="383" t="s">
        <v>473</v>
      </c>
      <c r="AD126" s="308"/>
      <c r="AG126" s="162"/>
    </row>
    <row r="127" spans="1:36" ht="15.75">
      <c r="A127" s="147" t="s">
        <v>11</v>
      </c>
      <c r="B127" s="255"/>
      <c r="C127" s="117" t="s">
        <v>344</v>
      </c>
      <c r="D127" s="93" t="s">
        <v>352</v>
      </c>
      <c r="F127" s="93" t="s">
        <v>357</v>
      </c>
      <c r="G127" s="255"/>
      <c r="H127" s="93" t="s">
        <v>350</v>
      </c>
      <c r="I127" s="228" t="s">
        <v>377</v>
      </c>
      <c r="J127" s="93" t="s">
        <v>372</v>
      </c>
      <c r="K127" s="93" t="s">
        <v>369</v>
      </c>
      <c r="L127" s="93" t="s">
        <v>368</v>
      </c>
      <c r="M127" s="93" t="s">
        <v>379</v>
      </c>
      <c r="N127" s="255"/>
      <c r="O127" s="93" t="s">
        <v>266</v>
      </c>
      <c r="P127" s="353">
        <v>13</v>
      </c>
      <c r="Q127" s="93" t="s">
        <v>290</v>
      </c>
      <c r="R127" s="93" t="s">
        <v>279</v>
      </c>
      <c r="S127" s="93" t="s">
        <v>297</v>
      </c>
      <c r="T127" s="93" t="s">
        <v>306</v>
      </c>
      <c r="U127" s="255"/>
      <c r="V127" s="93" t="s">
        <v>314</v>
      </c>
      <c r="W127" s="93" t="s">
        <v>312</v>
      </c>
      <c r="X127" s="93" t="s">
        <v>324</v>
      </c>
      <c r="Y127" s="93" t="s">
        <v>327</v>
      </c>
      <c r="Z127" s="136" t="s">
        <v>331</v>
      </c>
      <c r="AA127" s="93" t="s">
        <v>653</v>
      </c>
      <c r="AB127" s="254"/>
      <c r="AC127" s="93" t="s">
        <v>655</v>
      </c>
      <c r="AD127" s="176"/>
      <c r="AG127" s="162"/>
    </row>
    <row r="128" spans="1:36" ht="15.75">
      <c r="A128" s="148" t="s">
        <v>12</v>
      </c>
      <c r="B128" s="255"/>
      <c r="C128" s="21" t="str">
        <f>VLOOKUP(C127,'[2]2019-02'!$A$3:$G$1657,7,0)</f>
        <v>12/25</v>
      </c>
      <c r="D128" s="21" t="str">
        <f>VLOOKUP(D127,'[2]2019-02'!$A$3:$G$1657,7,0)</f>
        <v>OK</v>
      </c>
      <c r="F128" s="21" t="str">
        <f>VLOOKUP(F127,'[2]2019-02'!$A$3:$G$1657,7,0)</f>
        <v>OK</v>
      </c>
      <c r="G128" s="255"/>
      <c r="H128" s="21" t="str">
        <f>VLOOKUP(H127,'[2]2019-02'!$A$3:$G$1657,7,0)</f>
        <v>CFM</v>
      </c>
      <c r="I128" s="21" t="str">
        <f>VLOOKUP(I127,'[2]2019-02'!$A$3:$G$1657,7,0)</f>
        <v>OK</v>
      </c>
      <c r="J128" s="21" t="str">
        <f>VLOOKUP(J127,'[2]2019-02'!$A$3:$G$1657,7,0)</f>
        <v>OK</v>
      </c>
      <c r="K128" s="21" t="str">
        <f>VLOOKUP(K127,'[2]2019-02'!$A$3:$G$1657,7,0)</f>
        <v>OK</v>
      </c>
      <c r="L128" s="21" t="str">
        <f>VLOOKUP(L127,'[2]2019-02'!$A$3:$G$1657,7,0)</f>
        <v>12/24</v>
      </c>
      <c r="M128" s="21" t="str">
        <f>VLOOKUP(M127,'[2]2019-02'!$A$3:$G$1657,7,0)</f>
        <v>OK</v>
      </c>
      <c r="N128" s="255"/>
      <c r="O128" s="21" t="str">
        <f>VLOOKUP(O127,'[2]2019-02'!$A$3:$G$1657,7,0)</f>
        <v>12/20</v>
      </c>
      <c r="P128" s="353" t="s">
        <v>594</v>
      </c>
      <c r="Q128" s="21" t="str">
        <f>VLOOKUP(Q127,'[2]2019-02'!$A$3:$G$1657,7,0)</f>
        <v>OK</v>
      </c>
      <c r="R128" s="21" t="str">
        <f>VLOOKUP(R127,'[2]2019-02'!$A$3:$G$1657,7,0)</f>
        <v>OK</v>
      </c>
      <c r="S128" s="21" t="str">
        <f>VLOOKUP(S127,'[2]2019-02'!$A$3:$G$1657,7,0)</f>
        <v>12/24</v>
      </c>
      <c r="T128" s="21" t="str">
        <f>VLOOKUP(T127,'[2]2019-02'!$A$3:$G$1657,7,0)</f>
        <v>OK</v>
      </c>
      <c r="U128" s="255"/>
      <c r="V128" s="21" t="str">
        <f>VLOOKUP(V127,'[2]2019-02'!$A$3:$G$1657,7,0)</f>
        <v>12/20</v>
      </c>
      <c r="W128" s="21" t="str">
        <f>VLOOKUP(W127,'[2]2019-02'!$A$3:$G$1657,7,0)</f>
        <v>12/20</v>
      </c>
      <c r="X128" s="21" t="str">
        <f>VLOOKUP(X127,'[2]2019-02'!$A$3:$G$1657,7,0)</f>
        <v>OK</v>
      </c>
      <c r="Y128" s="21" t="str">
        <f>VLOOKUP(Y127,'[2]2019-02'!$A$3:$G$1657,7,0)</f>
        <v>OK</v>
      </c>
      <c r="Z128" s="21" t="str">
        <f>VLOOKUP(Z127,'[2]2019-02'!$A$3:$G$1657,7,0)</f>
        <v>OK</v>
      </c>
      <c r="AA128" s="383" t="str">
        <f>VLOOKUP(AA134,'[3]2018-11-16'!$A:$D,4,0)</f>
        <v>基本型體</v>
      </c>
      <c r="AB128" s="254"/>
      <c r="AC128" s="383" t="str">
        <f>VLOOKUP(AC134,'[3]2018-11-16'!$A:$D,4,0)</f>
        <v>基本型體</v>
      </c>
      <c r="AD128" s="332"/>
      <c r="AG128" s="162"/>
    </row>
    <row r="129" spans="1:33" ht="15.75">
      <c r="A129" s="149" t="s">
        <v>13</v>
      </c>
      <c r="B129" s="255"/>
      <c r="C129" s="118" t="s">
        <v>40</v>
      </c>
      <c r="D129" s="19" t="s">
        <v>40</v>
      </c>
      <c r="F129" s="19" t="s">
        <v>40</v>
      </c>
      <c r="G129" s="255"/>
      <c r="H129" s="19" t="s">
        <v>40</v>
      </c>
      <c r="I129" s="230" t="s">
        <v>40</v>
      </c>
      <c r="J129" s="19" t="s">
        <v>40</v>
      </c>
      <c r="K129" s="19" t="s">
        <v>40</v>
      </c>
      <c r="L129" s="19" t="s">
        <v>40</v>
      </c>
      <c r="M129" s="19" t="s">
        <v>40</v>
      </c>
      <c r="N129" s="255"/>
      <c r="O129" s="19" t="s">
        <v>42</v>
      </c>
      <c r="P129" s="51">
        <v>61</v>
      </c>
      <c r="Q129" s="19" t="s">
        <v>42</v>
      </c>
      <c r="R129" s="19" t="s">
        <v>42</v>
      </c>
      <c r="S129" s="19" t="s">
        <v>42</v>
      </c>
      <c r="T129" s="19" t="s">
        <v>42</v>
      </c>
      <c r="U129" s="255"/>
      <c r="V129" s="19" t="s">
        <v>42</v>
      </c>
      <c r="W129" s="19" t="s">
        <v>42</v>
      </c>
      <c r="X129" s="19" t="s">
        <v>42</v>
      </c>
      <c r="Y129" s="19" t="s">
        <v>42</v>
      </c>
      <c r="Z129" s="137" t="s">
        <v>42</v>
      </c>
      <c r="AA129" s="19"/>
      <c r="AB129" s="254"/>
      <c r="AC129" s="19"/>
      <c r="AD129" s="19"/>
      <c r="AG129" s="162"/>
    </row>
    <row r="130" spans="1:33" ht="15.75">
      <c r="A130" s="150" t="s">
        <v>15</v>
      </c>
      <c r="B130" s="255"/>
      <c r="C130" s="119" t="s">
        <v>413</v>
      </c>
      <c r="D130" s="224" t="s">
        <v>413</v>
      </c>
      <c r="F130" s="224" t="s">
        <v>413</v>
      </c>
      <c r="G130" s="255"/>
      <c r="H130" s="224" t="s">
        <v>413</v>
      </c>
      <c r="I130" s="227" t="s">
        <v>413</v>
      </c>
      <c r="J130" s="224" t="s">
        <v>413</v>
      </c>
      <c r="K130" s="224" t="s">
        <v>413</v>
      </c>
      <c r="L130" s="224" t="s">
        <v>413</v>
      </c>
      <c r="M130" s="224" t="s">
        <v>413</v>
      </c>
      <c r="N130" s="255"/>
      <c r="O130" s="224" t="s">
        <v>49</v>
      </c>
      <c r="P130"/>
      <c r="Q130" s="224" t="s">
        <v>49</v>
      </c>
      <c r="R130" s="224" t="s">
        <v>49</v>
      </c>
      <c r="S130" s="224" t="s">
        <v>49</v>
      </c>
      <c r="T130" s="224" t="s">
        <v>49</v>
      </c>
      <c r="U130" s="255"/>
      <c r="V130" s="224" t="s">
        <v>49</v>
      </c>
      <c r="W130" s="224" t="s">
        <v>49</v>
      </c>
      <c r="X130" s="224" t="s">
        <v>49</v>
      </c>
      <c r="Y130" s="224" t="s">
        <v>49</v>
      </c>
      <c r="Z130" s="138" t="s">
        <v>49</v>
      </c>
      <c r="AA130" s="383" t="s">
        <v>49</v>
      </c>
      <c r="AB130" s="254"/>
      <c r="AC130" s="383" t="s">
        <v>49</v>
      </c>
      <c r="AD130" s="308"/>
      <c r="AG130" s="162"/>
    </row>
    <row r="131" spans="1:33" ht="15.75">
      <c r="A131" s="151" t="s">
        <v>17</v>
      </c>
      <c r="B131" s="255"/>
      <c r="C131" s="120" t="s">
        <v>145</v>
      </c>
      <c r="D131" s="100" t="s">
        <v>145</v>
      </c>
      <c r="F131" s="100" t="s">
        <v>145</v>
      </c>
      <c r="G131" s="255"/>
      <c r="H131" s="100" t="s">
        <v>145</v>
      </c>
      <c r="I131" s="231" t="s">
        <v>145</v>
      </c>
      <c r="J131" s="100" t="s">
        <v>145</v>
      </c>
      <c r="K131" s="100" t="s">
        <v>145</v>
      </c>
      <c r="L131" s="100" t="s">
        <v>145</v>
      </c>
      <c r="M131" s="100" t="s">
        <v>145</v>
      </c>
      <c r="N131" s="255"/>
      <c r="O131" s="100" t="s">
        <v>145</v>
      </c>
      <c r="P131" s="353" t="s">
        <v>591</v>
      </c>
      <c r="Q131" s="100" t="s">
        <v>145</v>
      </c>
      <c r="R131" s="100" t="s">
        <v>145</v>
      </c>
      <c r="S131" s="100" t="s">
        <v>145</v>
      </c>
      <c r="T131" s="100" t="s">
        <v>145</v>
      </c>
      <c r="U131" s="255"/>
      <c r="V131" s="100" t="s">
        <v>145</v>
      </c>
      <c r="W131" s="100" t="s">
        <v>145</v>
      </c>
      <c r="X131" s="100" t="s">
        <v>145</v>
      </c>
      <c r="Y131" s="100" t="s">
        <v>145</v>
      </c>
      <c r="Z131" s="316" t="s">
        <v>145</v>
      </c>
      <c r="AA131" s="391" t="s">
        <v>493</v>
      </c>
      <c r="AB131" s="254"/>
      <c r="AC131" s="391" t="s">
        <v>493</v>
      </c>
      <c r="AD131" s="310"/>
      <c r="AG131" s="162"/>
    </row>
    <row r="132" spans="1:33" ht="12.75" customHeight="1">
      <c r="A132" s="152" t="s">
        <v>18</v>
      </c>
      <c r="B132" s="255"/>
      <c r="C132" s="121"/>
      <c r="D132" s="23"/>
      <c r="F132" s="23"/>
      <c r="G132" s="255"/>
      <c r="H132" s="23"/>
      <c r="I132" s="232"/>
      <c r="J132" s="23"/>
      <c r="K132" s="23"/>
      <c r="L132" s="23"/>
      <c r="M132" s="23"/>
      <c r="N132" s="255"/>
      <c r="O132" s="23"/>
      <c r="P132" s="353">
        <v>14</v>
      </c>
      <c r="Q132" s="23"/>
      <c r="R132" s="23"/>
      <c r="S132" s="23"/>
      <c r="T132" s="23"/>
      <c r="U132" s="255"/>
      <c r="V132" s="23"/>
      <c r="W132" s="23"/>
      <c r="X132" s="23"/>
      <c r="Y132" s="23"/>
      <c r="Z132" s="139"/>
      <c r="AA132" s="23"/>
      <c r="AB132" s="254"/>
      <c r="AC132" s="23"/>
      <c r="AD132" s="176"/>
      <c r="AG132" s="162"/>
    </row>
    <row r="133" spans="1:33" ht="15.75">
      <c r="A133" s="146" t="s">
        <v>20</v>
      </c>
      <c r="B133" s="255"/>
      <c r="C133" s="221">
        <v>5</v>
      </c>
      <c r="D133" s="221">
        <v>5</v>
      </c>
      <c r="F133" s="221">
        <v>5</v>
      </c>
      <c r="G133" s="255"/>
      <c r="H133" s="87">
        <v>5</v>
      </c>
      <c r="I133" s="87">
        <v>5</v>
      </c>
      <c r="J133" s="87">
        <v>5</v>
      </c>
      <c r="K133" s="87">
        <v>5</v>
      </c>
      <c r="L133" s="87">
        <v>5</v>
      </c>
      <c r="M133" s="87">
        <v>5</v>
      </c>
      <c r="N133" s="255"/>
      <c r="O133" s="87">
        <v>5</v>
      </c>
      <c r="P133" s="353" t="s">
        <v>593</v>
      </c>
      <c r="Q133" s="87">
        <v>5</v>
      </c>
      <c r="R133" s="87">
        <v>5</v>
      </c>
      <c r="S133" s="87">
        <v>5</v>
      </c>
      <c r="T133" s="87">
        <v>5</v>
      </c>
      <c r="U133" s="255"/>
      <c r="V133" s="87">
        <v>5</v>
      </c>
      <c r="W133" s="87">
        <v>5</v>
      </c>
      <c r="X133" s="87">
        <v>5</v>
      </c>
      <c r="Y133" s="87">
        <v>5</v>
      </c>
      <c r="Z133" s="87">
        <v>5</v>
      </c>
      <c r="AA133" s="24"/>
      <c r="AB133" s="254"/>
      <c r="AC133" s="24"/>
      <c r="AD133" s="176"/>
      <c r="AG133" s="162"/>
    </row>
    <row r="134" spans="1:33" ht="15.75">
      <c r="A134" s="153" t="s">
        <v>21</v>
      </c>
      <c r="B134" s="255"/>
      <c r="C134" s="122" t="s">
        <v>338</v>
      </c>
      <c r="D134" s="94" t="s">
        <v>338</v>
      </c>
      <c r="F134" s="94" t="s">
        <v>347</v>
      </c>
      <c r="G134" s="255"/>
      <c r="H134" s="94" t="s">
        <v>347</v>
      </c>
      <c r="I134" s="234" t="s">
        <v>362</v>
      </c>
      <c r="J134" s="94" t="s">
        <v>362</v>
      </c>
      <c r="K134" s="94" t="s">
        <v>362</v>
      </c>
      <c r="L134" s="94" t="s">
        <v>362</v>
      </c>
      <c r="M134" s="94" t="s">
        <v>361</v>
      </c>
      <c r="N134" s="255"/>
      <c r="O134" s="94" t="s">
        <v>265</v>
      </c>
      <c r="P134" s="51">
        <v>78</v>
      </c>
      <c r="Q134" s="94" t="s">
        <v>273</v>
      </c>
      <c r="R134" s="94" t="s">
        <v>273</v>
      </c>
      <c r="S134" s="94" t="s">
        <v>292</v>
      </c>
      <c r="T134" s="94" t="s">
        <v>299</v>
      </c>
      <c r="U134" s="255"/>
      <c r="V134" s="94" t="s">
        <v>299</v>
      </c>
      <c r="W134" s="94" t="s">
        <v>299</v>
      </c>
      <c r="X134" s="94" t="s">
        <v>307</v>
      </c>
      <c r="Y134" s="94" t="s">
        <v>322</v>
      </c>
      <c r="Z134" s="140" t="s">
        <v>322</v>
      </c>
      <c r="AA134" s="383" t="s">
        <v>506</v>
      </c>
      <c r="AB134" s="254"/>
      <c r="AC134" s="383" t="s">
        <v>506</v>
      </c>
      <c r="AD134" s="94"/>
      <c r="AG134" s="162"/>
    </row>
    <row r="135" spans="1:33">
      <c r="A135" s="154" t="s">
        <v>22</v>
      </c>
      <c r="B135" s="255"/>
      <c r="C135" s="123"/>
      <c r="D135" s="27"/>
      <c r="F135" s="27"/>
      <c r="G135" s="255"/>
      <c r="H135" s="27"/>
      <c r="I135" s="235"/>
      <c r="J135" s="27"/>
      <c r="K135" s="27" t="s">
        <v>115</v>
      </c>
      <c r="L135" s="27"/>
      <c r="M135" s="27"/>
      <c r="N135" s="255"/>
      <c r="O135" s="27"/>
      <c r="P135"/>
      <c r="Q135" s="27"/>
      <c r="R135" s="27"/>
      <c r="S135" s="27"/>
      <c r="T135" s="27"/>
      <c r="U135" s="255"/>
      <c r="V135" s="27"/>
      <c r="W135" s="27"/>
      <c r="X135" s="27"/>
      <c r="Y135" s="27"/>
      <c r="Z135" s="141"/>
      <c r="AA135" s="27"/>
      <c r="AB135" s="254"/>
      <c r="AC135" s="27"/>
      <c r="AD135" s="176"/>
      <c r="AG135" s="162"/>
    </row>
    <row r="136" spans="1:33" ht="15.75">
      <c r="A136" s="153" t="s">
        <v>23</v>
      </c>
      <c r="B136" s="255"/>
      <c r="C136" s="119">
        <v>756</v>
      </c>
      <c r="D136" s="224">
        <v>120</v>
      </c>
      <c r="F136" s="224">
        <v>384</v>
      </c>
      <c r="G136" s="255"/>
      <c r="H136" s="224">
        <v>684</v>
      </c>
      <c r="I136" s="227">
        <v>900</v>
      </c>
      <c r="J136" s="224">
        <v>192</v>
      </c>
      <c r="K136" s="224">
        <v>168</v>
      </c>
      <c r="L136" s="224">
        <v>816</v>
      </c>
      <c r="M136" s="224">
        <v>336</v>
      </c>
      <c r="N136" s="255"/>
      <c r="O136" s="224">
        <v>1092</v>
      </c>
      <c r="P136" s="353" t="s">
        <v>591</v>
      </c>
      <c r="Q136" s="224">
        <v>120</v>
      </c>
      <c r="R136" s="224">
        <v>276</v>
      </c>
      <c r="S136" s="224">
        <v>576</v>
      </c>
      <c r="T136" s="224">
        <v>120</v>
      </c>
      <c r="U136" s="255"/>
      <c r="V136" s="224">
        <v>516</v>
      </c>
      <c r="W136" s="224">
        <v>540</v>
      </c>
      <c r="X136" s="224">
        <v>540</v>
      </c>
      <c r="Y136" s="224">
        <v>2100</v>
      </c>
      <c r="Z136" s="138">
        <v>528</v>
      </c>
      <c r="AA136" s="383">
        <v>120</v>
      </c>
      <c r="AB136" s="254"/>
      <c r="AC136" s="383">
        <v>168</v>
      </c>
      <c r="AD136" s="308"/>
      <c r="AG136" s="162"/>
    </row>
    <row r="137" spans="1:33" ht="12.75" customHeight="1">
      <c r="A137" s="155" t="s">
        <v>24</v>
      </c>
      <c r="B137" s="255"/>
      <c r="C137" s="29" t="s">
        <v>689</v>
      </c>
      <c r="D137" s="29" t="s">
        <v>689</v>
      </c>
      <c r="F137" s="29" t="s">
        <v>690</v>
      </c>
      <c r="G137" s="255"/>
      <c r="H137" s="29" t="s">
        <v>695</v>
      </c>
      <c r="I137" s="29" t="s">
        <v>692</v>
      </c>
      <c r="J137" s="29">
        <v>-5</v>
      </c>
      <c r="K137" s="29">
        <v>-12</v>
      </c>
      <c r="L137" s="29">
        <v>-5</v>
      </c>
      <c r="M137" s="30"/>
      <c r="N137" s="255"/>
      <c r="O137" s="30"/>
      <c r="P137" s="353">
        <v>3</v>
      </c>
      <c r="Q137" s="30"/>
      <c r="R137" s="30"/>
      <c r="S137" s="30"/>
      <c r="T137" s="30"/>
      <c r="U137" s="255"/>
      <c r="V137" s="30"/>
      <c r="W137" s="30"/>
      <c r="X137" s="30"/>
      <c r="Y137" s="30"/>
      <c r="Z137" s="315"/>
      <c r="AA137" s="24"/>
      <c r="AB137" s="254"/>
      <c r="AC137" s="24" t="s">
        <v>107</v>
      </c>
      <c r="AD137" s="176"/>
      <c r="AG137" s="162"/>
    </row>
    <row r="138" spans="1:33" ht="15.75">
      <c r="A138" s="128" t="s">
        <v>25</v>
      </c>
      <c r="B138" s="255"/>
      <c r="C138" s="125">
        <v>43511</v>
      </c>
      <c r="D138" s="32">
        <v>43554</v>
      </c>
      <c r="F138" s="32">
        <v>43520</v>
      </c>
      <c r="G138" s="255"/>
      <c r="H138" s="32">
        <v>43532</v>
      </c>
      <c r="I138" s="237">
        <v>43483</v>
      </c>
      <c r="J138" s="32">
        <v>43507</v>
      </c>
      <c r="K138" s="32">
        <v>43532</v>
      </c>
      <c r="L138" s="32">
        <v>43511</v>
      </c>
      <c r="M138" s="32">
        <v>43490</v>
      </c>
      <c r="N138" s="255"/>
      <c r="O138" s="32">
        <v>43509</v>
      </c>
      <c r="P138" s="353" t="s">
        <v>592</v>
      </c>
      <c r="Q138" s="32">
        <v>43507</v>
      </c>
      <c r="R138" s="32">
        <v>43523</v>
      </c>
      <c r="S138" s="32">
        <v>43511</v>
      </c>
      <c r="T138" s="32">
        <v>43507</v>
      </c>
      <c r="U138" s="255"/>
      <c r="V138" s="32">
        <v>43509</v>
      </c>
      <c r="W138" s="32">
        <v>43509</v>
      </c>
      <c r="X138" s="32">
        <v>43509</v>
      </c>
      <c r="Y138" s="32">
        <v>43509</v>
      </c>
      <c r="Z138" s="142">
        <v>43525</v>
      </c>
      <c r="AA138" s="32">
        <v>43551</v>
      </c>
      <c r="AB138" s="254"/>
      <c r="AC138" s="32">
        <v>43551</v>
      </c>
      <c r="AD138" s="32"/>
      <c r="AG138" s="162"/>
    </row>
    <row r="139" spans="1:33" ht="16.5" thickBot="1">
      <c r="A139" s="146" t="s">
        <v>27</v>
      </c>
      <c r="B139" s="255"/>
      <c r="C139" s="128" t="s">
        <v>45</v>
      </c>
      <c r="D139" s="31" t="s">
        <v>34</v>
      </c>
      <c r="F139" s="31" t="s">
        <v>30</v>
      </c>
      <c r="G139" s="255"/>
      <c r="H139" s="31" t="s">
        <v>51</v>
      </c>
      <c r="I139" s="388" t="s">
        <v>29</v>
      </c>
      <c r="J139" s="31" t="s">
        <v>28</v>
      </c>
      <c r="K139" s="31" t="s">
        <v>51</v>
      </c>
      <c r="L139" s="31" t="s">
        <v>45</v>
      </c>
      <c r="M139" s="31" t="s">
        <v>29</v>
      </c>
      <c r="N139" s="255"/>
      <c r="O139" s="31" t="s">
        <v>47</v>
      </c>
      <c r="P139" s="51">
        <v>53.5</v>
      </c>
      <c r="Q139" s="31" t="s">
        <v>28</v>
      </c>
      <c r="R139" s="31" t="s">
        <v>47</v>
      </c>
      <c r="S139" s="31" t="s">
        <v>45</v>
      </c>
      <c r="T139" s="31" t="s">
        <v>28</v>
      </c>
      <c r="U139" s="255"/>
      <c r="V139" s="31" t="s">
        <v>28</v>
      </c>
      <c r="W139" s="31" t="s">
        <v>28</v>
      </c>
      <c r="X139" s="31" t="s">
        <v>28</v>
      </c>
      <c r="Y139" s="31" t="s">
        <v>47</v>
      </c>
      <c r="Z139" s="135" t="s">
        <v>34</v>
      </c>
      <c r="AA139" s="31" t="s">
        <v>28</v>
      </c>
      <c r="AB139" s="254"/>
      <c r="AC139" s="31" t="s">
        <v>28</v>
      </c>
      <c r="AG139" s="162"/>
    </row>
    <row r="140" spans="1:33" ht="15.75">
      <c r="A140" s="146" t="s">
        <v>10</v>
      </c>
      <c r="B140" s="255"/>
      <c r="C140" s="119" t="s">
        <v>340</v>
      </c>
      <c r="D140" s="382" t="s">
        <v>340</v>
      </c>
      <c r="E140" s="116" t="s">
        <v>340</v>
      </c>
      <c r="F140" s="224" t="s">
        <v>340</v>
      </c>
      <c r="G140" s="255"/>
      <c r="H140" s="224" t="s">
        <v>340</v>
      </c>
      <c r="I140" s="227" t="s">
        <v>340</v>
      </c>
      <c r="J140" s="224" t="s">
        <v>340</v>
      </c>
      <c r="K140" s="224" t="s">
        <v>340</v>
      </c>
      <c r="L140" s="224" t="s">
        <v>340</v>
      </c>
      <c r="M140" s="278" t="s">
        <v>340</v>
      </c>
      <c r="N140" s="255"/>
      <c r="O140" s="224" t="s">
        <v>76</v>
      </c>
      <c r="P140"/>
      <c r="Q140" s="224" t="s">
        <v>76</v>
      </c>
      <c r="R140" s="224" t="s">
        <v>76</v>
      </c>
      <c r="S140" s="224" t="s">
        <v>76</v>
      </c>
      <c r="T140" s="224" t="s">
        <v>76</v>
      </c>
      <c r="U140" s="255"/>
      <c r="W140" s="224" t="s">
        <v>76</v>
      </c>
      <c r="X140" s="224" t="s">
        <v>76</v>
      </c>
      <c r="Y140" s="224" t="s">
        <v>76</v>
      </c>
      <c r="Z140" s="138" t="s">
        <v>76</v>
      </c>
      <c r="AA140" s="383" t="s">
        <v>473</v>
      </c>
      <c r="AB140" s="254"/>
      <c r="AC140" s="383" t="s">
        <v>473</v>
      </c>
      <c r="AG140" s="162"/>
    </row>
    <row r="141" spans="1:33" ht="15.75">
      <c r="A141" s="147" t="s">
        <v>11</v>
      </c>
      <c r="B141" s="255"/>
      <c r="C141" s="117" t="s">
        <v>339</v>
      </c>
      <c r="D141" s="93" t="s">
        <v>355</v>
      </c>
      <c r="E141" s="117" t="s">
        <v>354</v>
      </c>
      <c r="F141" s="93" t="s">
        <v>348</v>
      </c>
      <c r="G141" s="255"/>
      <c r="H141" s="93" t="s">
        <v>353</v>
      </c>
      <c r="I141" s="228" t="s">
        <v>364</v>
      </c>
      <c r="J141" s="93" t="s">
        <v>370</v>
      </c>
      <c r="K141" s="93" t="s">
        <v>376</v>
      </c>
      <c r="L141" s="93" t="s">
        <v>380</v>
      </c>
      <c r="M141" s="93" t="s">
        <v>381</v>
      </c>
      <c r="N141" s="255"/>
      <c r="O141" s="93" t="s">
        <v>271</v>
      </c>
      <c r="P141" s="353" t="s">
        <v>591</v>
      </c>
      <c r="Q141" s="93" t="s">
        <v>289</v>
      </c>
      <c r="R141" s="93" t="s">
        <v>287</v>
      </c>
      <c r="S141" s="93" t="s">
        <v>293</v>
      </c>
      <c r="T141" s="93" t="s">
        <v>305</v>
      </c>
      <c r="U141" s="255"/>
      <c r="W141" s="93" t="s">
        <v>310</v>
      </c>
      <c r="X141" s="93" t="s">
        <v>328</v>
      </c>
      <c r="Y141" s="93" t="s">
        <v>336</v>
      </c>
      <c r="Z141" s="136" t="s">
        <v>337</v>
      </c>
      <c r="AA141" s="93" t="s">
        <v>652</v>
      </c>
      <c r="AB141" s="254"/>
      <c r="AC141" s="93" t="s">
        <v>654</v>
      </c>
      <c r="AG141" s="162"/>
    </row>
    <row r="142" spans="1:33" ht="15.75">
      <c r="A142" s="148" t="s">
        <v>12</v>
      </c>
      <c r="B142" s="255"/>
      <c r="C142" s="21" t="str">
        <f>VLOOKUP(C141,'[2]2019-02'!$A$3:$G$1657,7,0)</f>
        <v>CFM</v>
      </c>
      <c r="D142" s="21" t="str">
        <f>VLOOKUP(D141,'[2]2019-02'!$A$3:$G$1657,7,0)</f>
        <v>OK</v>
      </c>
      <c r="E142" s="21" t="str">
        <f>VLOOKUP(E141,'[2]2019-02'!$A$3:$G$1657,7,0)</f>
        <v>OK</v>
      </c>
      <c r="F142" s="21" t="str">
        <f>VLOOKUP(F141,'[2]2019-02'!$A$3:$G$1657,7,0)</f>
        <v>12/24</v>
      </c>
      <c r="G142" s="255"/>
      <c r="H142" s="21" t="str">
        <f>VLOOKUP(H141,'[2]2019-02'!$A$3:$G$1657,7,0)</f>
        <v>OK</v>
      </c>
      <c r="I142" s="21" t="str">
        <f>VLOOKUP(I141,'[2]2019-02'!$A$3:$G$1657,7,0)</f>
        <v>OK</v>
      </c>
      <c r="J142" s="21" t="str">
        <f>VLOOKUP(J141,'[2]2019-02'!$A$3:$G$1657,7,0)</f>
        <v>OK</v>
      </c>
      <c r="K142" s="21" t="str">
        <f>VLOOKUP(K141,'[2]2019-02'!$A$3:$G$1657,7,0)</f>
        <v>OK</v>
      </c>
      <c r="L142" s="21" t="str">
        <f>VLOOKUP(L141,'[2]2019-02'!$A$3:$G$1657,7,0)</f>
        <v>CFM</v>
      </c>
      <c r="M142" s="21" t="str">
        <f>VLOOKUP(M141,'[2]2019-02'!$A$3:$G$1657,7,0)</f>
        <v>OK</v>
      </c>
      <c r="N142" s="255"/>
      <c r="O142" s="21" t="str">
        <f>VLOOKUP(O141,'[2]2019-02'!$A$3:$G$1657,7,0)</f>
        <v>12/24</v>
      </c>
      <c r="P142" s="353">
        <v>4</v>
      </c>
      <c r="Q142" s="21" t="str">
        <f>VLOOKUP(Q141,'[2]2019-02'!$A$3:$G$1657,7,0)</f>
        <v>OK</v>
      </c>
      <c r="R142" s="21" t="str">
        <f>VLOOKUP(R141,'[2]2019-02'!$A$3:$G$1657,7,0)</f>
        <v>OK</v>
      </c>
      <c r="S142" s="21" t="str">
        <f>VLOOKUP(S141,'[2]2019-02'!$A$3:$G$1657,7,0)</f>
        <v>OK</v>
      </c>
      <c r="T142" s="21" t="str">
        <f>VLOOKUP(T141,'[2]2019-02'!$A$3:$G$1657,7,0)</f>
        <v>12/20</v>
      </c>
      <c r="U142" s="255"/>
      <c r="W142" s="21" t="str">
        <f>VLOOKUP(W141,'[2]2019-02'!$A$3:$G$1657,7,0)</f>
        <v>12/24</v>
      </c>
      <c r="X142" s="21" t="str">
        <f>VLOOKUP(X141,'[2]2019-02'!$A$3:$G$1657,7,0)</f>
        <v>12/24</v>
      </c>
      <c r="Y142" s="21" t="str">
        <f>VLOOKUP(Y141,'[2]2019-02'!$A$3:$G$1657,7,0)</f>
        <v>OK</v>
      </c>
      <c r="Z142" s="21" t="str">
        <f>VLOOKUP(Z141,'[2]2019-02'!$A$3:$G$1657,7,0)</f>
        <v>CFM</v>
      </c>
      <c r="AA142" s="383" t="str">
        <f>VLOOKUP(AA148,'[3]2018-11-16'!$A:$D,4,0)</f>
        <v>基本型體</v>
      </c>
      <c r="AB142" s="254"/>
      <c r="AC142" s="383" t="str">
        <f>VLOOKUP(AC148,'[3]2018-11-16'!$A:$D,4,0)</f>
        <v>基本型體</v>
      </c>
      <c r="AG142" s="162"/>
    </row>
    <row r="143" spans="1:33" ht="15.75">
      <c r="A143" s="149" t="s">
        <v>13</v>
      </c>
      <c r="B143" s="255"/>
      <c r="C143" s="118" t="s">
        <v>40</v>
      </c>
      <c r="D143" s="19" t="s">
        <v>40</v>
      </c>
      <c r="E143" s="118" t="s">
        <v>40</v>
      </c>
      <c r="F143" s="19" t="s">
        <v>40</v>
      </c>
      <c r="G143" s="255"/>
      <c r="H143" s="19" t="s">
        <v>40</v>
      </c>
      <c r="I143" s="230" t="s">
        <v>40</v>
      </c>
      <c r="J143" s="19" t="s">
        <v>40</v>
      </c>
      <c r="K143" s="19" t="s">
        <v>40</v>
      </c>
      <c r="L143" s="19" t="s">
        <v>40</v>
      </c>
      <c r="M143" s="19" t="s">
        <v>40</v>
      </c>
      <c r="N143" s="255"/>
      <c r="O143" s="19" t="s">
        <v>42</v>
      </c>
      <c r="P143" s="353" t="s">
        <v>590</v>
      </c>
      <c r="Q143" s="19" t="s">
        <v>42</v>
      </c>
      <c r="R143" s="19" t="s">
        <v>42</v>
      </c>
      <c r="S143" s="19" t="s">
        <v>42</v>
      </c>
      <c r="T143" s="19" t="s">
        <v>42</v>
      </c>
      <c r="U143" s="255"/>
      <c r="W143" s="19" t="s">
        <v>42</v>
      </c>
      <c r="X143" s="19" t="s">
        <v>42</v>
      </c>
      <c r="Y143" s="19" t="s">
        <v>42</v>
      </c>
      <c r="Z143" s="137" t="s">
        <v>42</v>
      </c>
      <c r="AA143" s="19"/>
      <c r="AB143" s="254"/>
      <c r="AC143" s="19"/>
      <c r="AG143" s="162"/>
    </row>
    <row r="144" spans="1:33" ht="15.75">
      <c r="A144" s="150" t="s">
        <v>15</v>
      </c>
      <c r="B144" s="255"/>
      <c r="C144" s="119" t="s">
        <v>413</v>
      </c>
      <c r="D144" s="382" t="s">
        <v>413</v>
      </c>
      <c r="E144" s="119" t="s">
        <v>413</v>
      </c>
      <c r="F144" s="224" t="s">
        <v>413</v>
      </c>
      <c r="G144" s="255"/>
      <c r="H144" s="224" t="s">
        <v>413</v>
      </c>
      <c r="I144" s="227" t="s">
        <v>413</v>
      </c>
      <c r="J144" s="224" t="s">
        <v>413</v>
      </c>
      <c r="K144" s="224" t="s">
        <v>413</v>
      </c>
      <c r="L144" s="224" t="s">
        <v>413</v>
      </c>
      <c r="M144" s="278" t="s">
        <v>413</v>
      </c>
      <c r="N144" s="255"/>
      <c r="O144" s="224" t="s">
        <v>49</v>
      </c>
      <c r="P144" s="51">
        <v>35.5</v>
      </c>
      <c r="Q144" s="224" t="s">
        <v>49</v>
      </c>
      <c r="R144" s="224" t="s">
        <v>49</v>
      </c>
      <c r="S144" s="224" t="s">
        <v>49</v>
      </c>
      <c r="T144" s="224" t="s">
        <v>49</v>
      </c>
      <c r="U144" s="255"/>
      <c r="W144" s="224" t="s">
        <v>49</v>
      </c>
      <c r="X144" s="224" t="s">
        <v>49</v>
      </c>
      <c r="Y144" s="224" t="s">
        <v>49</v>
      </c>
      <c r="Z144" s="138" t="s">
        <v>49</v>
      </c>
      <c r="AA144" s="383" t="s">
        <v>49</v>
      </c>
      <c r="AB144" s="254"/>
      <c r="AC144" s="383" t="s">
        <v>49</v>
      </c>
      <c r="AG144" s="162"/>
    </row>
    <row r="145" spans="1:33" ht="15.75">
      <c r="A145" s="151" t="s">
        <v>17</v>
      </c>
      <c r="B145" s="255"/>
      <c r="C145" s="120" t="s">
        <v>145</v>
      </c>
      <c r="D145" s="100" t="s">
        <v>145</v>
      </c>
      <c r="E145" s="120" t="s">
        <v>145</v>
      </c>
      <c r="F145" s="100" t="s">
        <v>145</v>
      </c>
      <c r="G145" s="255"/>
      <c r="H145" s="100" t="s">
        <v>145</v>
      </c>
      <c r="I145" s="231" t="s">
        <v>145</v>
      </c>
      <c r="J145" s="100" t="s">
        <v>145</v>
      </c>
      <c r="K145" s="100" t="s">
        <v>145</v>
      </c>
      <c r="L145" s="100" t="s">
        <v>145</v>
      </c>
      <c r="M145" s="100" t="s">
        <v>145</v>
      </c>
      <c r="N145" s="255"/>
      <c r="O145" s="100" t="s">
        <v>145</v>
      </c>
      <c r="Q145" s="100" t="s">
        <v>145</v>
      </c>
      <c r="R145" s="100" t="s">
        <v>145</v>
      </c>
      <c r="S145" s="100" t="s">
        <v>145</v>
      </c>
      <c r="T145" s="100" t="s">
        <v>145</v>
      </c>
      <c r="U145" s="255"/>
      <c r="W145" s="100" t="s">
        <v>145</v>
      </c>
      <c r="X145" s="100" t="s">
        <v>145</v>
      </c>
      <c r="Y145" s="100" t="s">
        <v>145</v>
      </c>
      <c r="Z145" s="316" t="s">
        <v>145</v>
      </c>
      <c r="AA145" s="391" t="s">
        <v>493</v>
      </c>
      <c r="AB145" s="254"/>
      <c r="AC145" s="391" t="s">
        <v>493</v>
      </c>
      <c r="AG145" s="162"/>
    </row>
    <row r="146" spans="1:33" ht="12.75" customHeight="1">
      <c r="A146" s="152" t="s">
        <v>18</v>
      </c>
      <c r="B146" s="255"/>
      <c r="C146" s="121"/>
      <c r="D146" s="23"/>
      <c r="E146" s="121"/>
      <c r="F146" s="23"/>
      <c r="G146" s="255"/>
      <c r="H146" s="23"/>
      <c r="I146" s="232"/>
      <c r="J146" s="23"/>
      <c r="K146" s="23"/>
      <c r="L146" s="23"/>
      <c r="M146" s="23"/>
      <c r="N146" s="255"/>
      <c r="O146" s="23"/>
      <c r="Q146" s="23"/>
      <c r="R146" s="23"/>
      <c r="S146" s="23"/>
      <c r="T146" s="23"/>
      <c r="U146" s="255"/>
      <c r="W146" s="23"/>
      <c r="X146" s="23"/>
      <c r="Y146" s="23"/>
      <c r="Z146" s="139"/>
      <c r="AA146" s="23"/>
      <c r="AB146" s="254"/>
      <c r="AC146" s="23"/>
      <c r="AG146" s="162"/>
    </row>
    <row r="147" spans="1:33">
      <c r="A147" s="146" t="s">
        <v>20</v>
      </c>
      <c r="B147" s="255"/>
      <c r="C147" s="87">
        <v>5</v>
      </c>
      <c r="D147" s="87">
        <v>5</v>
      </c>
      <c r="E147" s="87">
        <v>5</v>
      </c>
      <c r="F147" s="87">
        <v>5</v>
      </c>
      <c r="G147" s="255"/>
      <c r="H147" s="87">
        <v>5</v>
      </c>
      <c r="I147" s="87">
        <v>5</v>
      </c>
      <c r="J147" s="87">
        <v>5</v>
      </c>
      <c r="K147" s="87">
        <v>5</v>
      </c>
      <c r="L147" s="87">
        <v>5</v>
      </c>
      <c r="M147" s="87">
        <v>5</v>
      </c>
      <c r="N147" s="255"/>
      <c r="O147" s="87">
        <v>5</v>
      </c>
      <c r="Q147" s="87">
        <v>5</v>
      </c>
      <c r="R147" s="87">
        <v>5</v>
      </c>
      <c r="S147" s="87">
        <v>5</v>
      </c>
      <c r="T147" s="87">
        <v>5</v>
      </c>
      <c r="U147" s="255"/>
      <c r="W147" s="87">
        <v>5</v>
      </c>
      <c r="X147" s="87">
        <v>5</v>
      </c>
      <c r="Y147" s="87">
        <v>5</v>
      </c>
      <c r="Z147" s="87">
        <v>5</v>
      </c>
      <c r="AA147" s="24"/>
      <c r="AB147" s="254"/>
      <c r="AC147" s="24"/>
      <c r="AG147" s="162"/>
    </row>
    <row r="148" spans="1:33" ht="15.75">
      <c r="A148" s="153" t="s">
        <v>21</v>
      </c>
      <c r="B148" s="255"/>
      <c r="C148" s="122" t="s">
        <v>338</v>
      </c>
      <c r="D148" s="94" t="s">
        <v>338</v>
      </c>
      <c r="E148" s="122" t="s">
        <v>347</v>
      </c>
      <c r="F148" s="94" t="s">
        <v>347</v>
      </c>
      <c r="G148" s="255"/>
      <c r="H148" s="94" t="s">
        <v>347</v>
      </c>
      <c r="I148" s="234" t="s">
        <v>362</v>
      </c>
      <c r="J148" s="94" t="s">
        <v>362</v>
      </c>
      <c r="K148" s="94" t="s">
        <v>362</v>
      </c>
      <c r="L148" s="94" t="s">
        <v>361</v>
      </c>
      <c r="M148" s="94" t="s">
        <v>361</v>
      </c>
      <c r="N148" s="255"/>
      <c r="O148" s="94" t="s">
        <v>265</v>
      </c>
      <c r="Q148" s="94" t="s">
        <v>273</v>
      </c>
      <c r="R148" s="94" t="s">
        <v>273</v>
      </c>
      <c r="S148" s="94" t="s">
        <v>292</v>
      </c>
      <c r="T148" s="94" t="s">
        <v>299</v>
      </c>
      <c r="U148" s="255"/>
      <c r="W148" s="94" t="s">
        <v>299</v>
      </c>
      <c r="X148" s="94" t="s">
        <v>307</v>
      </c>
      <c r="Y148" s="94" t="s">
        <v>322</v>
      </c>
      <c r="Z148" s="140" t="s">
        <v>322</v>
      </c>
      <c r="AA148" s="383" t="s">
        <v>506</v>
      </c>
      <c r="AB148" s="254"/>
      <c r="AC148" s="383" t="s">
        <v>506</v>
      </c>
      <c r="AG148" s="162"/>
    </row>
    <row r="149" spans="1:33">
      <c r="A149" s="154" t="s">
        <v>22</v>
      </c>
      <c r="B149" s="255"/>
      <c r="C149" s="123"/>
      <c r="D149" s="27"/>
      <c r="E149" s="123"/>
      <c r="F149" s="27"/>
      <c r="G149" s="255"/>
      <c r="H149" s="27" t="s">
        <v>115</v>
      </c>
      <c r="I149" s="235"/>
      <c r="J149" s="27"/>
      <c r="K149" s="27" t="s">
        <v>117</v>
      </c>
      <c r="L149" s="27"/>
      <c r="M149" s="27"/>
      <c r="N149" s="255"/>
      <c r="O149" s="27"/>
      <c r="Q149" s="27"/>
      <c r="R149" s="27"/>
      <c r="S149" s="27"/>
      <c r="T149" s="27"/>
      <c r="U149" s="255"/>
      <c r="W149" s="27"/>
      <c r="X149" s="27"/>
      <c r="Y149" s="27"/>
      <c r="Z149" s="141"/>
      <c r="AA149" s="27"/>
      <c r="AB149" s="254"/>
      <c r="AC149" s="27"/>
      <c r="AG149" s="162"/>
    </row>
    <row r="150" spans="1:33" ht="15.75">
      <c r="A150" s="153" t="s">
        <v>23</v>
      </c>
      <c r="B150" s="255"/>
      <c r="C150" s="119">
        <v>684</v>
      </c>
      <c r="D150" s="382">
        <v>948</v>
      </c>
      <c r="E150" s="119">
        <v>132</v>
      </c>
      <c r="F150" s="224">
        <v>888</v>
      </c>
      <c r="G150" s="255"/>
      <c r="H150" s="224">
        <v>168</v>
      </c>
      <c r="I150" s="227">
        <v>1884</v>
      </c>
      <c r="J150" s="224">
        <v>168</v>
      </c>
      <c r="K150" s="224">
        <v>204</v>
      </c>
      <c r="L150" s="224">
        <v>672</v>
      </c>
      <c r="M150" s="278">
        <v>600</v>
      </c>
      <c r="N150" s="255"/>
      <c r="O150" s="224">
        <v>804</v>
      </c>
      <c r="Q150" s="224">
        <v>288</v>
      </c>
      <c r="R150" s="224">
        <v>120</v>
      </c>
      <c r="S150" s="224">
        <v>2328</v>
      </c>
      <c r="T150" s="224">
        <v>876</v>
      </c>
      <c r="U150" s="255"/>
      <c r="W150" s="224">
        <v>504</v>
      </c>
      <c r="X150" s="224">
        <v>468</v>
      </c>
      <c r="Y150" s="224">
        <v>120</v>
      </c>
      <c r="Z150" s="138">
        <v>396</v>
      </c>
      <c r="AA150" s="383">
        <v>720</v>
      </c>
      <c r="AB150" s="254"/>
      <c r="AC150" s="383">
        <v>7488</v>
      </c>
      <c r="AG150" s="162"/>
    </row>
    <row r="151" spans="1:33" ht="14.25" customHeight="1">
      <c r="A151" s="155" t="s">
        <v>24</v>
      </c>
      <c r="B151" s="255"/>
      <c r="C151" s="29" t="s">
        <v>693</v>
      </c>
      <c r="D151" s="29" t="s">
        <v>686</v>
      </c>
      <c r="E151" s="29" t="s">
        <v>689</v>
      </c>
      <c r="F151" s="29" t="s">
        <v>690</v>
      </c>
      <c r="G151" s="255"/>
      <c r="H151" s="29" t="s">
        <v>695</v>
      </c>
      <c r="I151" s="29">
        <v>-5</v>
      </c>
      <c r="J151" s="29">
        <v>-5</v>
      </c>
      <c r="K151" s="29">
        <v>-5</v>
      </c>
      <c r="L151" s="29">
        <v>-286</v>
      </c>
      <c r="M151" s="30"/>
      <c r="N151" s="255"/>
      <c r="O151" s="30"/>
      <c r="Q151" s="30"/>
      <c r="R151" s="30"/>
      <c r="S151" s="30"/>
      <c r="T151" s="30"/>
      <c r="U151" s="255"/>
      <c r="W151" s="30"/>
      <c r="X151" s="30"/>
      <c r="Y151" s="30"/>
      <c r="Z151" s="315"/>
      <c r="AA151" s="24"/>
      <c r="AB151" s="254"/>
      <c r="AC151" s="24"/>
      <c r="AG151" s="162"/>
    </row>
    <row r="152" spans="1:33" ht="15.75">
      <c r="A152" s="128" t="s">
        <v>25</v>
      </c>
      <c r="B152" s="255"/>
      <c r="C152" s="125">
        <v>43532</v>
      </c>
      <c r="D152" s="32">
        <v>43532</v>
      </c>
      <c r="E152" s="125">
        <v>43492</v>
      </c>
      <c r="F152" s="32">
        <v>43511</v>
      </c>
      <c r="G152" s="255"/>
      <c r="H152" s="32">
        <v>43532</v>
      </c>
      <c r="I152" s="237">
        <v>43533</v>
      </c>
      <c r="J152" s="32">
        <v>43492</v>
      </c>
      <c r="K152" s="32">
        <v>43535</v>
      </c>
      <c r="L152" s="32">
        <v>43532</v>
      </c>
      <c r="M152" s="32">
        <v>43533</v>
      </c>
      <c r="N152" s="255"/>
      <c r="O152" s="32">
        <v>43511</v>
      </c>
      <c r="Q152" s="32">
        <v>43509</v>
      </c>
      <c r="R152" s="32">
        <v>43525</v>
      </c>
      <c r="S152" s="32">
        <v>43523</v>
      </c>
      <c r="T152" s="32">
        <v>43508</v>
      </c>
      <c r="U152" s="255"/>
      <c r="W152" s="32">
        <v>43511</v>
      </c>
      <c r="X152" s="32">
        <v>43511</v>
      </c>
      <c r="Y152" s="32">
        <v>43509</v>
      </c>
      <c r="Z152" s="142">
        <v>43529</v>
      </c>
      <c r="AA152" s="32">
        <v>43551</v>
      </c>
      <c r="AB152" s="254"/>
      <c r="AC152" s="32">
        <v>43551</v>
      </c>
      <c r="AG152" s="162"/>
    </row>
    <row r="153" spans="1:33" ht="15.75" thickBot="1">
      <c r="A153" s="146" t="s">
        <v>27</v>
      </c>
      <c r="B153" s="255"/>
      <c r="C153" s="126" t="s">
        <v>51</v>
      </c>
      <c r="D153" s="31" t="s">
        <v>33</v>
      </c>
      <c r="E153" s="128" t="s">
        <v>28</v>
      </c>
      <c r="F153" s="31" t="s">
        <v>45</v>
      </c>
      <c r="G153" s="255"/>
      <c r="H153" s="31" t="s">
        <v>51</v>
      </c>
      <c r="I153" s="238" t="s">
        <v>33</v>
      </c>
      <c r="J153" s="31" t="s">
        <v>28</v>
      </c>
      <c r="K153" s="31" t="s">
        <v>47</v>
      </c>
      <c r="L153" s="31" t="s">
        <v>51</v>
      </c>
      <c r="M153" s="31" t="s">
        <v>33</v>
      </c>
      <c r="N153" s="255"/>
      <c r="O153" s="31" t="s">
        <v>45</v>
      </c>
      <c r="Q153" s="31" t="s">
        <v>28</v>
      </c>
      <c r="R153" s="31" t="s">
        <v>34</v>
      </c>
      <c r="S153" s="31" t="s">
        <v>47</v>
      </c>
      <c r="T153" s="31" t="s">
        <v>28</v>
      </c>
      <c r="U153" s="255"/>
      <c r="W153" s="31" t="s">
        <v>45</v>
      </c>
      <c r="X153" s="31" t="s">
        <v>45</v>
      </c>
      <c r="Y153" s="31" t="s">
        <v>28</v>
      </c>
      <c r="Z153" s="135" t="s">
        <v>51</v>
      </c>
      <c r="AA153" s="31" t="s">
        <v>28</v>
      </c>
      <c r="AB153" s="254"/>
      <c r="AC153" s="31" t="s">
        <v>28</v>
      </c>
      <c r="AG153" s="162"/>
    </row>
    <row r="154" spans="1:33" ht="15.75">
      <c r="A154" s="146" t="s">
        <v>10</v>
      </c>
      <c r="B154" s="255"/>
      <c r="C154" s="224" t="s">
        <v>340</v>
      </c>
      <c r="D154" s="239" t="s">
        <v>340</v>
      </c>
      <c r="E154" s="242" t="s">
        <v>340</v>
      </c>
      <c r="G154" s="255"/>
      <c r="H154" s="224" t="s">
        <v>340</v>
      </c>
      <c r="I154" s="224" t="s">
        <v>340</v>
      </c>
      <c r="J154" s="224" t="s">
        <v>340</v>
      </c>
      <c r="K154" s="224" t="s">
        <v>340</v>
      </c>
      <c r="L154" s="224" t="s">
        <v>340</v>
      </c>
      <c r="M154" s="224" t="s">
        <v>340</v>
      </c>
      <c r="N154" s="255"/>
      <c r="O154" s="224" t="s">
        <v>76</v>
      </c>
      <c r="P154" s="224" t="s">
        <v>76</v>
      </c>
      <c r="Q154" s="224" t="s">
        <v>76</v>
      </c>
      <c r="R154" s="224" t="s">
        <v>76</v>
      </c>
      <c r="U154" s="255"/>
      <c r="W154" s="224" t="s">
        <v>76</v>
      </c>
      <c r="X154" s="224" t="s">
        <v>76</v>
      </c>
      <c r="Y154" s="224" t="s">
        <v>76</v>
      </c>
      <c r="Z154" s="138" t="s">
        <v>76</v>
      </c>
      <c r="AA154" s="383" t="s">
        <v>473</v>
      </c>
      <c r="AB154" s="254"/>
      <c r="AG154" s="162"/>
    </row>
    <row r="155" spans="1:33" ht="15.75">
      <c r="A155" s="147" t="s">
        <v>11</v>
      </c>
      <c r="B155" s="255"/>
      <c r="C155" s="93" t="s">
        <v>345</v>
      </c>
      <c r="D155" s="299" t="s">
        <v>356</v>
      </c>
      <c r="E155" s="240" t="s">
        <v>351</v>
      </c>
      <c r="G155" s="255"/>
      <c r="H155" s="93" t="s">
        <v>378</v>
      </c>
      <c r="I155" s="93" t="s">
        <v>366</v>
      </c>
      <c r="J155" s="93" t="s">
        <v>365</v>
      </c>
      <c r="K155" s="93" t="s">
        <v>371</v>
      </c>
      <c r="L155" s="93" t="s">
        <v>363</v>
      </c>
      <c r="M155" s="93" t="s">
        <v>367</v>
      </c>
      <c r="N155" s="255"/>
      <c r="O155" s="93" t="s">
        <v>272</v>
      </c>
      <c r="P155" s="93" t="s">
        <v>286</v>
      </c>
      <c r="Q155" s="93" t="s">
        <v>270</v>
      </c>
      <c r="R155" s="93" t="s">
        <v>283</v>
      </c>
      <c r="U155" s="255"/>
      <c r="W155" s="93" t="s">
        <v>313</v>
      </c>
      <c r="X155" s="93" t="s">
        <v>320</v>
      </c>
      <c r="Y155" s="93" t="s">
        <v>333</v>
      </c>
      <c r="Z155" s="136" t="s">
        <v>334</v>
      </c>
      <c r="AA155" s="93" t="s">
        <v>651</v>
      </c>
      <c r="AB155" s="254"/>
      <c r="AG155" s="162"/>
    </row>
    <row r="156" spans="1:33" ht="15.75">
      <c r="A156" s="148" t="s">
        <v>12</v>
      </c>
      <c r="B156" s="255"/>
      <c r="C156" s="21" t="str">
        <f>VLOOKUP(C155,'[2]2019-02'!$A$3:$G$1657,7,0)</f>
        <v>OK</v>
      </c>
      <c r="D156" s="21" t="str">
        <f>VLOOKUP(D155,'[2]2019-02'!$A$3:$G$1657,7,0)</f>
        <v>OK</v>
      </c>
      <c r="E156" s="21" t="str">
        <f>VLOOKUP(E155,'[2]2019-02'!$A$3:$G$1657,7,0)</f>
        <v>OK</v>
      </c>
      <c r="G156" s="255"/>
      <c r="H156" s="21" t="str">
        <f>VLOOKUP(H155,'[2]2019-02'!$A$3:$G$1657,7,0)</f>
        <v>OK</v>
      </c>
      <c r="I156" s="21" t="str">
        <f>VLOOKUP(I155,'[2]2019-02'!$A$3:$G$1657,7,0)</f>
        <v>OK</v>
      </c>
      <c r="J156" s="21" t="str">
        <f>VLOOKUP(J155,'[2]2019-02'!$A$3:$G$1657,7,0)</f>
        <v>CFM</v>
      </c>
      <c r="K156" s="21" t="str">
        <f>VLOOKUP(K155,'[2]2019-02'!$A$3:$G$1657,7,0)</f>
        <v>OK</v>
      </c>
      <c r="L156" s="21" t="str">
        <f>VLOOKUP(L155,'[2]2019-02'!$A$3:$G$1657,7,0)</f>
        <v>OK</v>
      </c>
      <c r="M156" s="21" t="str">
        <f>VLOOKUP(M155,'[2]2019-02'!$A$3:$G$1657,7,0)</f>
        <v>OK</v>
      </c>
      <c r="N156" s="255"/>
      <c r="O156" s="21" t="str">
        <f>VLOOKUP(O155,'[2]2019-02'!$A$3:$G$1657,7,0)</f>
        <v>OK</v>
      </c>
      <c r="P156" s="21" t="str">
        <f>VLOOKUP(P155,'[2]2019-02'!$A$3:$G$1657,7,0)</f>
        <v>OK</v>
      </c>
      <c r="Q156" s="21" t="str">
        <f>VLOOKUP(Q155,'[2]2019-02'!$A$3:$G$1657,7,0)</f>
        <v>OK</v>
      </c>
      <c r="R156" s="21" t="str">
        <f>VLOOKUP(R155,'[2]2019-02'!$A$3:$G$1657,7,0)</f>
        <v>OK</v>
      </c>
      <c r="U156" s="255"/>
      <c r="W156" s="21" t="str">
        <f>VLOOKUP(W155,'[2]2019-02'!$A$3:$G$1657,7,0)</f>
        <v>OK</v>
      </c>
      <c r="X156" s="21" t="str">
        <f>VLOOKUP(X155,'[2]2019-02'!$A$3:$G$1657,7,0)</f>
        <v>OK</v>
      </c>
      <c r="Y156" s="21" t="str">
        <f>VLOOKUP(Y155,'[2]2019-02'!$A$3:$G$1657,7,0)</f>
        <v>12/24</v>
      </c>
      <c r="Z156" s="21" t="str">
        <f>VLOOKUP(Z155,'[2]2019-02'!$A$3:$G$1657,7,0)</f>
        <v>OK</v>
      </c>
      <c r="AA156" s="383" t="str">
        <f>VLOOKUP(AA162,'[3]2018-11-16'!$A:$D,4,0)</f>
        <v>基本型體</v>
      </c>
      <c r="AB156" s="254"/>
      <c r="AG156" s="162"/>
    </row>
    <row r="157" spans="1:33" ht="15.75">
      <c r="A157" s="149" t="s">
        <v>13</v>
      </c>
      <c r="B157" s="255"/>
      <c r="C157" s="19" t="s">
        <v>40</v>
      </c>
      <c r="D157" s="300" t="s">
        <v>40</v>
      </c>
      <c r="E157" s="241" t="s">
        <v>40</v>
      </c>
      <c r="G157" s="255"/>
      <c r="H157" s="19" t="s">
        <v>40</v>
      </c>
      <c r="I157" s="19" t="s">
        <v>40</v>
      </c>
      <c r="J157" s="19" t="s">
        <v>40</v>
      </c>
      <c r="K157" s="19" t="s">
        <v>40</v>
      </c>
      <c r="L157" s="19" t="s">
        <v>40</v>
      </c>
      <c r="M157" s="19" t="s">
        <v>40</v>
      </c>
      <c r="N157" s="255"/>
      <c r="O157" s="19" t="s">
        <v>42</v>
      </c>
      <c r="P157" s="19" t="s">
        <v>42</v>
      </c>
      <c r="Q157" s="19" t="s">
        <v>42</v>
      </c>
      <c r="R157" s="19" t="s">
        <v>42</v>
      </c>
      <c r="U157" s="255"/>
      <c r="W157" s="19" t="s">
        <v>42</v>
      </c>
      <c r="X157" s="19" t="s">
        <v>42</v>
      </c>
      <c r="Y157" s="19" t="s">
        <v>42</v>
      </c>
      <c r="Z157" s="137" t="s">
        <v>42</v>
      </c>
      <c r="AA157" s="19"/>
      <c r="AB157" s="254"/>
      <c r="AG157" s="162"/>
    </row>
    <row r="158" spans="1:33" ht="15.75">
      <c r="A158" s="150" t="s">
        <v>15</v>
      </c>
      <c r="B158" s="255"/>
      <c r="C158" s="224" t="s">
        <v>413</v>
      </c>
      <c r="D158" s="290" t="s">
        <v>413</v>
      </c>
      <c r="E158" s="242" t="s">
        <v>413</v>
      </c>
      <c r="G158" s="255"/>
      <c r="H158" s="224" t="s">
        <v>413</v>
      </c>
      <c r="I158" s="224" t="s">
        <v>413</v>
      </c>
      <c r="J158" s="224" t="s">
        <v>413</v>
      </c>
      <c r="K158" s="224" t="s">
        <v>413</v>
      </c>
      <c r="L158" s="224" t="s">
        <v>413</v>
      </c>
      <c r="M158" s="224" t="s">
        <v>413</v>
      </c>
      <c r="N158" s="255"/>
      <c r="O158" s="224" t="s">
        <v>49</v>
      </c>
      <c r="P158" s="224" t="s">
        <v>49</v>
      </c>
      <c r="Q158" s="224" t="s">
        <v>49</v>
      </c>
      <c r="R158" s="224" t="s">
        <v>49</v>
      </c>
      <c r="U158" s="255"/>
      <c r="W158" s="224" t="s">
        <v>49</v>
      </c>
      <c r="X158" s="224" t="s">
        <v>49</v>
      </c>
      <c r="Y158" s="224" t="s">
        <v>49</v>
      </c>
      <c r="Z158" s="138" t="s">
        <v>49</v>
      </c>
      <c r="AA158" s="383" t="s">
        <v>49</v>
      </c>
      <c r="AB158" s="254"/>
      <c r="AG158" s="162"/>
    </row>
    <row r="159" spans="1:33" ht="15.75">
      <c r="A159" s="151" t="s">
        <v>17</v>
      </c>
      <c r="B159" s="255"/>
      <c r="C159" s="100" t="s">
        <v>145</v>
      </c>
      <c r="D159" s="385" t="s">
        <v>145</v>
      </c>
      <c r="E159" s="386" t="s">
        <v>145</v>
      </c>
      <c r="G159" s="255"/>
      <c r="H159" s="100" t="s">
        <v>145</v>
      </c>
      <c r="I159" s="100" t="s">
        <v>145</v>
      </c>
      <c r="J159" s="100" t="s">
        <v>145</v>
      </c>
      <c r="K159" s="100" t="s">
        <v>145</v>
      </c>
      <c r="L159" s="100" t="s">
        <v>145</v>
      </c>
      <c r="M159" s="100" t="s">
        <v>145</v>
      </c>
      <c r="N159" s="255"/>
      <c r="O159" s="100" t="s">
        <v>145</v>
      </c>
      <c r="P159" s="100" t="s">
        <v>145</v>
      </c>
      <c r="Q159" s="100" t="s">
        <v>145</v>
      </c>
      <c r="R159" s="100" t="s">
        <v>145</v>
      </c>
      <c r="U159" s="255"/>
      <c r="W159" s="100" t="s">
        <v>145</v>
      </c>
      <c r="X159" s="100" t="s">
        <v>145</v>
      </c>
      <c r="Y159" s="100" t="s">
        <v>145</v>
      </c>
      <c r="Z159" s="316" t="s">
        <v>145</v>
      </c>
      <c r="AA159" s="391" t="s">
        <v>493</v>
      </c>
      <c r="AB159" s="254"/>
      <c r="AG159" s="162"/>
    </row>
    <row r="160" spans="1:33" ht="12.75" customHeight="1">
      <c r="A160" s="152" t="s">
        <v>18</v>
      </c>
      <c r="B160" s="255"/>
      <c r="C160" s="23"/>
      <c r="D160" s="301"/>
      <c r="E160" s="243"/>
      <c r="G160" s="255"/>
      <c r="H160" s="23"/>
      <c r="I160" s="23"/>
      <c r="J160" s="23"/>
      <c r="K160" s="23"/>
      <c r="L160" s="23"/>
      <c r="M160" s="23"/>
      <c r="N160" s="255"/>
      <c r="O160" s="23"/>
      <c r="P160" s="23"/>
      <c r="Q160" s="23"/>
      <c r="R160" s="23"/>
      <c r="U160" s="255"/>
      <c r="W160" s="23"/>
      <c r="X160" s="23"/>
      <c r="Y160" s="23"/>
      <c r="Z160" s="139"/>
      <c r="AA160" s="23"/>
      <c r="AB160" s="254"/>
      <c r="AG160" s="162"/>
    </row>
    <row r="161" spans="1:34">
      <c r="A161" s="146" t="s">
        <v>20</v>
      </c>
      <c r="B161" s="255"/>
      <c r="C161" s="87">
        <v>5</v>
      </c>
      <c r="D161" s="87">
        <v>5</v>
      </c>
      <c r="E161" s="87">
        <v>5</v>
      </c>
      <c r="G161" s="255"/>
      <c r="H161" s="87">
        <v>5</v>
      </c>
      <c r="I161" s="87">
        <v>5</v>
      </c>
      <c r="J161" s="87">
        <v>5</v>
      </c>
      <c r="K161" s="87">
        <v>5</v>
      </c>
      <c r="L161" s="87">
        <v>5</v>
      </c>
      <c r="M161" s="87">
        <v>5</v>
      </c>
      <c r="N161" s="255"/>
      <c r="O161" s="87">
        <v>5</v>
      </c>
      <c r="P161" s="87">
        <v>5</v>
      </c>
      <c r="Q161" s="87">
        <v>5</v>
      </c>
      <c r="R161" s="87">
        <v>5</v>
      </c>
      <c r="U161" s="255"/>
      <c r="W161" s="87">
        <v>5</v>
      </c>
      <c r="X161" s="87">
        <v>5</v>
      </c>
      <c r="Y161" s="87">
        <v>5</v>
      </c>
      <c r="Z161" s="87">
        <v>5</v>
      </c>
      <c r="AA161" s="24"/>
      <c r="AB161" s="254"/>
      <c r="AG161" s="162"/>
    </row>
    <row r="162" spans="1:34" ht="15.75">
      <c r="A162" s="153" t="s">
        <v>21</v>
      </c>
      <c r="B162" s="255"/>
      <c r="C162" s="94" t="s">
        <v>338</v>
      </c>
      <c r="D162" s="293" t="s">
        <v>347</v>
      </c>
      <c r="E162" s="245" t="s">
        <v>347</v>
      </c>
      <c r="G162" s="255"/>
      <c r="H162" s="94" t="s">
        <v>347</v>
      </c>
      <c r="I162" s="94" t="s">
        <v>362</v>
      </c>
      <c r="J162" s="94" t="s">
        <v>362</v>
      </c>
      <c r="K162" s="94" t="s">
        <v>362</v>
      </c>
      <c r="L162" s="94" t="s">
        <v>361</v>
      </c>
      <c r="M162" s="94" t="s">
        <v>361</v>
      </c>
      <c r="N162" s="255"/>
      <c r="O162" s="94" t="s">
        <v>265</v>
      </c>
      <c r="P162" s="94" t="s">
        <v>273</v>
      </c>
      <c r="Q162" s="94" t="s">
        <v>265</v>
      </c>
      <c r="R162" s="94" t="s">
        <v>273</v>
      </c>
      <c r="U162" s="255"/>
      <c r="W162" s="94" t="s">
        <v>299</v>
      </c>
      <c r="X162" s="94" t="s">
        <v>307</v>
      </c>
      <c r="Y162" s="94" t="s">
        <v>322</v>
      </c>
      <c r="Z162" s="140" t="s">
        <v>322</v>
      </c>
      <c r="AA162" s="383" t="s">
        <v>506</v>
      </c>
      <c r="AB162" s="254"/>
      <c r="AG162" s="162"/>
    </row>
    <row r="163" spans="1:34">
      <c r="A163" s="154" t="s">
        <v>22</v>
      </c>
      <c r="B163" s="255"/>
      <c r="C163" s="27" t="s">
        <v>115</v>
      </c>
      <c r="D163" s="302"/>
      <c r="E163" s="246"/>
      <c r="G163" s="255"/>
      <c r="H163" s="27"/>
      <c r="I163" s="27"/>
      <c r="J163" s="27"/>
      <c r="K163" s="27"/>
      <c r="L163" s="27"/>
      <c r="M163" s="27"/>
      <c r="N163" s="255"/>
      <c r="O163" s="27"/>
      <c r="P163" s="27"/>
      <c r="Q163" s="27"/>
      <c r="R163" s="27" t="s">
        <v>117</v>
      </c>
      <c r="U163" s="255"/>
      <c r="W163" s="27"/>
      <c r="X163" s="27"/>
      <c r="Y163" s="27"/>
      <c r="Z163" s="141" t="s">
        <v>117</v>
      </c>
      <c r="AA163" s="27"/>
      <c r="AB163" s="254"/>
      <c r="AG163" s="162"/>
    </row>
    <row r="164" spans="1:34" ht="15.75">
      <c r="A164" s="153" t="s">
        <v>23</v>
      </c>
      <c r="B164" s="255"/>
      <c r="C164" s="224">
        <v>168</v>
      </c>
      <c r="D164" s="290">
        <v>2460</v>
      </c>
      <c r="E164" s="242">
        <v>156</v>
      </c>
      <c r="G164" s="255"/>
      <c r="H164" s="224">
        <v>276</v>
      </c>
      <c r="I164" s="224">
        <v>180</v>
      </c>
      <c r="J164" s="224">
        <v>672</v>
      </c>
      <c r="K164" s="224">
        <v>180</v>
      </c>
      <c r="L164" s="224">
        <v>120</v>
      </c>
      <c r="M164" s="224">
        <v>168</v>
      </c>
      <c r="N164" s="255"/>
      <c r="O164" s="224">
        <v>336</v>
      </c>
      <c r="P164" s="224">
        <v>384</v>
      </c>
      <c r="Q164" s="224">
        <v>324</v>
      </c>
      <c r="R164" s="224">
        <v>132</v>
      </c>
      <c r="U164" s="255"/>
      <c r="W164" s="224">
        <v>120</v>
      </c>
      <c r="X164" s="224">
        <v>168</v>
      </c>
      <c r="Y164" s="224">
        <v>768</v>
      </c>
      <c r="Z164" s="138">
        <v>132</v>
      </c>
      <c r="AA164" s="383">
        <v>1116</v>
      </c>
      <c r="AB164" s="254"/>
      <c r="AG164" s="162"/>
    </row>
    <row r="165" spans="1:34" ht="14.25" customHeight="1">
      <c r="A165" s="155" t="s">
        <v>24</v>
      </c>
      <c r="B165" s="255"/>
      <c r="C165" s="29" t="s">
        <v>693</v>
      </c>
      <c r="D165" s="29" t="s">
        <v>686</v>
      </c>
      <c r="E165" s="29" t="s">
        <v>695</v>
      </c>
      <c r="G165" s="255"/>
      <c r="H165" s="29" t="s">
        <v>695</v>
      </c>
      <c r="I165" s="29" t="s">
        <v>695</v>
      </c>
      <c r="J165" s="29">
        <v>-5</v>
      </c>
      <c r="K165" s="29">
        <v>-5</v>
      </c>
      <c r="L165" s="30"/>
      <c r="M165" s="30"/>
      <c r="N165" s="255"/>
      <c r="O165" s="30"/>
      <c r="P165" s="30"/>
      <c r="Q165" s="30"/>
      <c r="R165" s="30"/>
      <c r="U165" s="255"/>
      <c r="W165" s="30"/>
      <c r="X165" s="30"/>
      <c r="Y165" s="30"/>
      <c r="Z165" s="315"/>
      <c r="AA165" s="24"/>
      <c r="AB165" s="254"/>
      <c r="AG165" s="162"/>
    </row>
    <row r="166" spans="1:34" ht="15.75">
      <c r="A166" s="128" t="s">
        <v>25</v>
      </c>
      <c r="B166" s="255"/>
      <c r="C166" s="32">
        <v>43535</v>
      </c>
      <c r="D166" s="294">
        <v>43532</v>
      </c>
      <c r="E166" s="247">
        <v>43492</v>
      </c>
      <c r="G166" s="255"/>
      <c r="H166" s="32">
        <v>43548</v>
      </c>
      <c r="I166" s="32">
        <v>43492</v>
      </c>
      <c r="J166" s="32">
        <v>43532</v>
      </c>
      <c r="K166" s="32">
        <v>43548</v>
      </c>
      <c r="L166" s="32">
        <v>43492</v>
      </c>
      <c r="M166" s="32">
        <v>43492</v>
      </c>
      <c r="N166" s="255"/>
      <c r="O166" s="32">
        <v>43519</v>
      </c>
      <c r="P166" s="32">
        <v>43509</v>
      </c>
      <c r="Q166" s="32">
        <v>43525</v>
      </c>
      <c r="R166" s="32">
        <v>43529</v>
      </c>
      <c r="U166" s="255"/>
      <c r="W166" s="32">
        <v>43525</v>
      </c>
      <c r="X166" s="32">
        <v>43523</v>
      </c>
      <c r="Y166" s="32">
        <v>43511</v>
      </c>
      <c r="Z166" s="142">
        <v>43529</v>
      </c>
      <c r="AA166" s="32">
        <v>43520</v>
      </c>
      <c r="AB166" s="254"/>
      <c r="AG166" s="162"/>
    </row>
    <row r="167" spans="1:34">
      <c r="A167" s="146" t="s">
        <v>27</v>
      </c>
      <c r="B167" s="255"/>
      <c r="C167" s="31" t="s">
        <v>51</v>
      </c>
      <c r="D167" s="295" t="s">
        <v>33</v>
      </c>
      <c r="E167" s="296" t="s">
        <v>28</v>
      </c>
      <c r="G167" s="255"/>
      <c r="H167" s="31" t="s">
        <v>46</v>
      </c>
      <c r="I167" s="31" t="s">
        <v>28</v>
      </c>
      <c r="J167" s="31" t="s">
        <v>51</v>
      </c>
      <c r="K167" s="31" t="s">
        <v>46</v>
      </c>
      <c r="L167" s="31" t="s">
        <v>28</v>
      </c>
      <c r="M167" s="31" t="s">
        <v>28</v>
      </c>
      <c r="N167" s="255"/>
      <c r="O167" s="31" t="s">
        <v>46</v>
      </c>
      <c r="P167" s="31" t="s">
        <v>28</v>
      </c>
      <c r="Q167" s="31" t="s">
        <v>34</v>
      </c>
      <c r="R167" s="31" t="s">
        <v>51</v>
      </c>
      <c r="U167" s="255"/>
      <c r="W167" s="31" t="s">
        <v>34</v>
      </c>
      <c r="X167" s="31" t="s">
        <v>47</v>
      </c>
      <c r="Y167" s="31" t="s">
        <v>45</v>
      </c>
      <c r="Z167" s="135" t="s">
        <v>51</v>
      </c>
      <c r="AA167" s="31" t="s">
        <v>62</v>
      </c>
      <c r="AB167" s="254"/>
      <c r="AC167" s="27"/>
      <c r="AD167" s="27"/>
      <c r="AE167" s="27"/>
      <c r="AF167" s="246"/>
      <c r="AG167" s="162"/>
    </row>
    <row r="168" spans="1:34" ht="15.75">
      <c r="A168" s="146" t="s">
        <v>10</v>
      </c>
      <c r="B168" s="255"/>
      <c r="C168" s="382" t="s">
        <v>340</v>
      </c>
      <c r="D168" s="290" t="s">
        <v>340</v>
      </c>
      <c r="E168" s="242" t="s">
        <v>340</v>
      </c>
      <c r="G168" s="255"/>
      <c r="H168" s="224" t="s">
        <v>340</v>
      </c>
      <c r="I168" s="224" t="s">
        <v>340</v>
      </c>
      <c r="J168" s="224" t="s">
        <v>340</v>
      </c>
      <c r="K168" s="224" t="s">
        <v>340</v>
      </c>
      <c r="L168" s="224" t="s">
        <v>340</v>
      </c>
      <c r="M168" s="279" t="s">
        <v>340</v>
      </c>
      <c r="N168" s="255"/>
      <c r="O168" s="224" t="s">
        <v>76</v>
      </c>
      <c r="P168" s="224" t="s">
        <v>76</v>
      </c>
      <c r="Q168" s="224" t="s">
        <v>76</v>
      </c>
      <c r="R168" s="224" t="s">
        <v>76</v>
      </c>
      <c r="U168" s="255"/>
      <c r="W168" s="224" t="s">
        <v>76</v>
      </c>
      <c r="X168" s="224" t="s">
        <v>76</v>
      </c>
      <c r="Y168" s="224" t="s">
        <v>76</v>
      </c>
      <c r="AA168" s="380"/>
      <c r="AB168" s="254"/>
      <c r="AC168" s="27"/>
      <c r="AD168" s="27"/>
      <c r="AE168" s="27"/>
      <c r="AF168" s="246"/>
      <c r="AG168" s="162"/>
      <c r="AH168" s="224"/>
    </row>
    <row r="169" spans="1:34" ht="15.75">
      <c r="A169" s="147" t="s">
        <v>11</v>
      </c>
      <c r="B169" s="255"/>
      <c r="C169" s="93" t="s">
        <v>346</v>
      </c>
      <c r="D169" s="299" t="s">
        <v>349</v>
      </c>
      <c r="E169" s="240" t="s">
        <v>358</v>
      </c>
      <c r="G169" s="255"/>
      <c r="H169" s="93" t="s">
        <v>360</v>
      </c>
      <c r="I169" s="93" t="s">
        <v>374</v>
      </c>
      <c r="J169" s="93" t="s">
        <v>373</v>
      </c>
      <c r="K169" s="93" t="s">
        <v>375</v>
      </c>
      <c r="L169" s="93" t="s">
        <v>383</v>
      </c>
      <c r="M169" s="93" t="s">
        <v>382</v>
      </c>
      <c r="N169" s="255"/>
      <c r="O169" s="93" t="s">
        <v>288</v>
      </c>
      <c r="P169" s="93" t="s">
        <v>291</v>
      </c>
      <c r="Q169" s="93" t="s">
        <v>278</v>
      </c>
      <c r="R169" s="93" t="s">
        <v>280</v>
      </c>
      <c r="U169" s="255"/>
      <c r="W169" s="93" t="s">
        <v>326</v>
      </c>
      <c r="X169" s="93" t="s">
        <v>325</v>
      </c>
      <c r="Y169" s="93" t="s">
        <v>335</v>
      </c>
      <c r="AA169" s="380"/>
      <c r="AB169" s="254"/>
      <c r="AC169" s="27"/>
      <c r="AD169" s="27"/>
      <c r="AE169" s="27"/>
      <c r="AF169" s="246"/>
      <c r="AG169" s="162"/>
      <c r="AH169" s="93"/>
    </row>
    <row r="170" spans="1:34" ht="15.75">
      <c r="A170" s="148" t="s">
        <v>12</v>
      </c>
      <c r="B170" s="255"/>
      <c r="C170" s="21" t="str">
        <f>VLOOKUP(C169,'[2]2019-02'!$A$3:$G$1657,7,0)</f>
        <v>OK</v>
      </c>
      <c r="D170" s="21" t="str">
        <f>VLOOKUP(D169,'[2]2019-02'!$A$3:$G$1657,7,0)</f>
        <v>OK</v>
      </c>
      <c r="E170" s="21" t="str">
        <f>VLOOKUP(E169,'[2]2019-02'!$A$3:$G$1657,7,0)</f>
        <v>OK</v>
      </c>
      <c r="G170" s="255"/>
      <c r="H170" s="21" t="str">
        <f>VLOOKUP(H169,'[2]2019-02'!$A$3:$G$1657,7,0)</f>
        <v>OK</v>
      </c>
      <c r="I170" s="21" t="str">
        <f>VLOOKUP(I169,'[2]2019-02'!$A$3:$G$1657,7,0)</f>
        <v>OK</v>
      </c>
      <c r="J170" s="21" t="str">
        <f>VLOOKUP(J169,'[2]2019-02'!$A$3:$G$1657,7,0)</f>
        <v>OK</v>
      </c>
      <c r="K170" s="21" t="str">
        <f>VLOOKUP(K169,'[2]2019-02'!$A$3:$G$1657,7,0)</f>
        <v>OK</v>
      </c>
      <c r="L170" s="21" t="str">
        <f>VLOOKUP(L169,'[2]2019-02'!$A$3:$G$1657,7,0)</f>
        <v>OK</v>
      </c>
      <c r="M170" s="21" t="str">
        <f>VLOOKUP(M169,'[2]2019-02'!$A$3:$G$1657,7,0)</f>
        <v>OK</v>
      </c>
      <c r="N170" s="255"/>
      <c r="O170" s="21" t="str">
        <f>VLOOKUP(O169,'[2]2019-02'!$A$3:$G$1657,7,0)</f>
        <v>12/24</v>
      </c>
      <c r="P170" s="21" t="str">
        <f>VLOOKUP(P169,'[2]2019-02'!$A$3:$G$1657,7,0)</f>
        <v>OK</v>
      </c>
      <c r="Q170" s="21" t="str">
        <f>VLOOKUP(Q169,'[2]2019-02'!$A$3:$G$1657,7,0)</f>
        <v>OK</v>
      </c>
      <c r="R170" s="21" t="str">
        <f>VLOOKUP(R169,'[2]2019-02'!$A$3:$G$1657,7,0)</f>
        <v>CFM</v>
      </c>
      <c r="U170" s="255"/>
      <c r="W170" s="21" t="str">
        <f>VLOOKUP(W169,'[2]2019-02'!$A$3:$G$1657,7,0)</f>
        <v>OK</v>
      </c>
      <c r="X170" s="21" t="str">
        <f>VLOOKUP(X169,'[2]2019-02'!$A$3:$G$1657,7,0)</f>
        <v>OK</v>
      </c>
      <c r="Y170" s="21" t="str">
        <f>VLOOKUP(Y169,'[2]2019-02'!$A$3:$G$1657,7,0)</f>
        <v>OK</v>
      </c>
      <c r="AA170" s="380"/>
      <c r="AB170" s="254"/>
      <c r="AC170" s="27"/>
      <c r="AD170" s="27"/>
      <c r="AE170" s="27"/>
      <c r="AF170" s="246"/>
      <c r="AG170" s="162"/>
      <c r="AH170" s="49"/>
    </row>
    <row r="171" spans="1:34" ht="15.75">
      <c r="A171" s="149" t="s">
        <v>13</v>
      </c>
      <c r="B171" s="255"/>
      <c r="C171" s="19" t="s">
        <v>40</v>
      </c>
      <c r="D171" s="300" t="s">
        <v>40</v>
      </c>
      <c r="E171" s="241" t="s">
        <v>40</v>
      </c>
      <c r="G171" s="255"/>
      <c r="H171" s="19" t="s">
        <v>40</v>
      </c>
      <c r="I171" s="19" t="s">
        <v>40</v>
      </c>
      <c r="J171" s="19" t="s">
        <v>40</v>
      </c>
      <c r="K171" s="19" t="s">
        <v>40</v>
      </c>
      <c r="L171" s="19" t="s">
        <v>40</v>
      </c>
      <c r="M171" s="19" t="s">
        <v>40</v>
      </c>
      <c r="N171" s="255"/>
      <c r="O171" s="19" t="s">
        <v>42</v>
      </c>
      <c r="P171" s="19" t="s">
        <v>42</v>
      </c>
      <c r="Q171" s="19" t="s">
        <v>42</v>
      </c>
      <c r="R171" s="19" t="s">
        <v>42</v>
      </c>
      <c r="U171" s="255"/>
      <c r="W171" s="19" t="s">
        <v>42</v>
      </c>
      <c r="X171" s="19" t="s">
        <v>42</v>
      </c>
      <c r="Y171" s="19" t="s">
        <v>42</v>
      </c>
      <c r="AA171" s="380"/>
      <c r="AB171" s="254"/>
      <c r="AC171" s="27"/>
      <c r="AD171" s="27"/>
      <c r="AE171" s="27"/>
      <c r="AF171" s="246"/>
      <c r="AG171" s="162"/>
      <c r="AH171" s="19"/>
    </row>
    <row r="172" spans="1:34" ht="15.75">
      <c r="A172" s="150" t="s">
        <v>15</v>
      </c>
      <c r="B172" s="255"/>
      <c r="C172" s="382" t="s">
        <v>413</v>
      </c>
      <c r="D172" s="290" t="s">
        <v>413</v>
      </c>
      <c r="E172" s="242" t="s">
        <v>413</v>
      </c>
      <c r="G172" s="255"/>
      <c r="H172" s="224" t="s">
        <v>413</v>
      </c>
      <c r="I172" s="224" t="s">
        <v>413</v>
      </c>
      <c r="J172" s="224" t="s">
        <v>413</v>
      </c>
      <c r="K172" s="224" t="s">
        <v>413</v>
      </c>
      <c r="L172" s="224" t="s">
        <v>413</v>
      </c>
      <c r="M172" s="278" t="s">
        <v>413</v>
      </c>
      <c r="N172" s="255"/>
      <c r="O172" s="224" t="s">
        <v>49</v>
      </c>
      <c r="P172" s="224" t="s">
        <v>49</v>
      </c>
      <c r="Q172" s="224" t="s">
        <v>49</v>
      </c>
      <c r="R172" s="224" t="s">
        <v>49</v>
      </c>
      <c r="U172" s="255"/>
      <c r="W172" s="224" t="s">
        <v>49</v>
      </c>
      <c r="X172" s="224" t="s">
        <v>49</v>
      </c>
      <c r="Y172" s="224" t="s">
        <v>49</v>
      </c>
      <c r="AA172" s="380"/>
      <c r="AB172" s="254"/>
      <c r="AC172" s="27"/>
      <c r="AD172" s="27"/>
      <c r="AE172" s="27"/>
      <c r="AF172" s="246"/>
      <c r="AG172" s="162"/>
      <c r="AH172" s="224"/>
    </row>
    <row r="173" spans="1:34" ht="15.75">
      <c r="A173" s="151" t="s">
        <v>17</v>
      </c>
      <c r="B173" s="255"/>
      <c r="C173" s="100" t="s">
        <v>145</v>
      </c>
      <c r="D173" s="385" t="s">
        <v>145</v>
      </c>
      <c r="E173" s="386" t="s">
        <v>145</v>
      </c>
      <c r="G173" s="255"/>
      <c r="H173" s="100" t="s">
        <v>145</v>
      </c>
      <c r="I173" s="100" t="s">
        <v>145</v>
      </c>
      <c r="J173" s="100" t="s">
        <v>145</v>
      </c>
      <c r="K173" s="100" t="s">
        <v>145</v>
      </c>
      <c r="L173" s="100" t="s">
        <v>145</v>
      </c>
      <c r="M173" s="100" t="s">
        <v>145</v>
      </c>
      <c r="N173" s="255"/>
      <c r="O173" s="100" t="s">
        <v>145</v>
      </c>
      <c r="P173" s="100" t="s">
        <v>145</v>
      </c>
      <c r="Q173" s="100" t="s">
        <v>145</v>
      </c>
      <c r="R173" s="100" t="s">
        <v>145</v>
      </c>
      <c r="U173" s="255"/>
      <c r="W173" s="100" t="s">
        <v>145</v>
      </c>
      <c r="X173" s="100" t="s">
        <v>145</v>
      </c>
      <c r="Y173" s="100" t="s">
        <v>145</v>
      </c>
      <c r="AA173" s="380"/>
      <c r="AB173" s="254"/>
      <c r="AC173" s="27"/>
      <c r="AD173" s="27"/>
      <c r="AE173" s="27"/>
      <c r="AF173" s="246"/>
      <c r="AG173" s="162"/>
      <c r="AH173" s="100"/>
    </row>
    <row r="174" spans="1:34" ht="12.75" customHeight="1">
      <c r="A174" s="152" t="s">
        <v>18</v>
      </c>
      <c r="B174" s="255"/>
      <c r="C174" s="23"/>
      <c r="D174" s="301"/>
      <c r="E174" s="243"/>
      <c r="G174" s="255"/>
      <c r="H174" s="23"/>
      <c r="I174" s="23"/>
      <c r="J174" s="23"/>
      <c r="K174" s="23"/>
      <c r="L174" s="23"/>
      <c r="M174" s="23"/>
      <c r="N174" s="255"/>
      <c r="O174" s="23"/>
      <c r="P174" s="23"/>
      <c r="Q174" s="23"/>
      <c r="R174" s="23"/>
      <c r="U174" s="255"/>
      <c r="W174" s="23"/>
      <c r="X174" s="23"/>
      <c r="Y174" s="23"/>
      <c r="AA174" s="380"/>
      <c r="AB174" s="254"/>
      <c r="AC174" s="27"/>
      <c r="AD174" s="27"/>
      <c r="AE174" s="27"/>
      <c r="AF174" s="246"/>
      <c r="AG174" s="162"/>
      <c r="AH174" s="23"/>
    </row>
    <row r="175" spans="1:34">
      <c r="A175" s="146" t="s">
        <v>20</v>
      </c>
      <c r="B175" s="255"/>
      <c r="C175" s="87">
        <v>5</v>
      </c>
      <c r="D175" s="87">
        <v>5</v>
      </c>
      <c r="E175" s="87">
        <v>5</v>
      </c>
      <c r="G175" s="255"/>
      <c r="H175" s="87">
        <v>5</v>
      </c>
      <c r="I175" s="87">
        <v>5</v>
      </c>
      <c r="J175" s="87">
        <v>5</v>
      </c>
      <c r="K175" s="87">
        <v>5</v>
      </c>
      <c r="L175" s="87">
        <v>5</v>
      </c>
      <c r="M175" s="87">
        <v>5</v>
      </c>
      <c r="N175" s="255"/>
      <c r="O175" s="87">
        <v>5</v>
      </c>
      <c r="P175" s="87">
        <v>5</v>
      </c>
      <c r="Q175" s="87">
        <v>5</v>
      </c>
      <c r="R175" s="87">
        <v>5</v>
      </c>
      <c r="U175" s="255"/>
      <c r="W175" s="87">
        <v>5</v>
      </c>
      <c r="X175" s="87">
        <v>5</v>
      </c>
      <c r="Y175" s="87">
        <v>5</v>
      </c>
      <c r="AA175" s="380"/>
      <c r="AB175" s="254"/>
      <c r="AC175" s="27"/>
      <c r="AD175" s="27"/>
      <c r="AE175" s="27"/>
      <c r="AF175" s="246"/>
      <c r="AG175" s="162"/>
      <c r="AH175" s="158"/>
    </row>
    <row r="176" spans="1:34" ht="15.75">
      <c r="A176" s="153" t="s">
        <v>21</v>
      </c>
      <c r="B176" s="255"/>
      <c r="C176" s="94" t="s">
        <v>338</v>
      </c>
      <c r="D176" s="293" t="s">
        <v>347</v>
      </c>
      <c r="E176" s="245" t="s">
        <v>347</v>
      </c>
      <c r="G176" s="255"/>
      <c r="H176" s="94" t="s">
        <v>347</v>
      </c>
      <c r="I176" s="94" t="s">
        <v>362</v>
      </c>
      <c r="J176" s="94" t="s">
        <v>362</v>
      </c>
      <c r="K176" s="94" t="s">
        <v>362</v>
      </c>
      <c r="L176" s="94" t="s">
        <v>361</v>
      </c>
      <c r="M176" s="94" t="s">
        <v>361</v>
      </c>
      <c r="N176" s="255"/>
      <c r="O176" s="94" t="s">
        <v>273</v>
      </c>
      <c r="P176" s="94" t="s">
        <v>273</v>
      </c>
      <c r="Q176" s="94" t="s">
        <v>273</v>
      </c>
      <c r="R176" s="94" t="s">
        <v>273</v>
      </c>
      <c r="U176" s="255"/>
      <c r="W176" s="94" t="s">
        <v>307</v>
      </c>
      <c r="X176" s="94" t="s">
        <v>307</v>
      </c>
      <c r="Y176" s="94" t="s">
        <v>322</v>
      </c>
      <c r="AA176" s="380"/>
      <c r="AB176" s="254"/>
      <c r="AC176" s="27"/>
      <c r="AD176" s="27"/>
      <c r="AE176" s="27"/>
      <c r="AF176" s="246"/>
      <c r="AG176" s="162"/>
      <c r="AH176" s="94"/>
    </row>
    <row r="177" spans="1:42">
      <c r="A177" s="154" t="s">
        <v>22</v>
      </c>
      <c r="B177" s="255"/>
      <c r="C177" s="222"/>
      <c r="D177" s="302"/>
      <c r="E177" s="246"/>
      <c r="G177" s="255"/>
      <c r="H177" s="27"/>
      <c r="I177" s="27"/>
      <c r="J177" s="27"/>
      <c r="K177" s="27"/>
      <c r="L177" s="27"/>
      <c r="M177" s="27" t="s">
        <v>115</v>
      </c>
      <c r="N177" s="255"/>
      <c r="O177" s="27"/>
      <c r="P177" s="27"/>
      <c r="Q177" s="27"/>
      <c r="R177" s="27"/>
      <c r="U177" s="255"/>
      <c r="W177" s="27"/>
      <c r="X177" s="27"/>
      <c r="Y177" s="27"/>
      <c r="AA177" s="380"/>
      <c r="AB177" s="254"/>
      <c r="AC177" s="27"/>
      <c r="AD177" s="27"/>
      <c r="AE177" s="27"/>
      <c r="AF177" s="246"/>
      <c r="AG177" s="162"/>
      <c r="AH177" s="27"/>
    </row>
    <row r="178" spans="1:42" ht="15.75">
      <c r="A178" s="153" t="s">
        <v>23</v>
      </c>
      <c r="B178" s="255"/>
      <c r="C178" s="382">
        <v>120</v>
      </c>
      <c r="D178" s="290">
        <v>576</v>
      </c>
      <c r="E178" s="242">
        <v>156</v>
      </c>
      <c r="G178" s="255"/>
      <c r="H178" s="224">
        <v>120</v>
      </c>
      <c r="I178" s="224">
        <v>156</v>
      </c>
      <c r="J178" s="224">
        <v>384</v>
      </c>
      <c r="K178" s="224">
        <v>132</v>
      </c>
      <c r="L178" s="224">
        <v>120</v>
      </c>
      <c r="M178" s="278">
        <v>168</v>
      </c>
      <c r="N178" s="255"/>
      <c r="O178" s="224">
        <v>552</v>
      </c>
      <c r="P178" s="224">
        <v>504</v>
      </c>
      <c r="Q178" s="224">
        <v>120</v>
      </c>
      <c r="R178" s="224">
        <v>360</v>
      </c>
      <c r="U178" s="255"/>
      <c r="W178" s="224">
        <v>516</v>
      </c>
      <c r="X178" s="224">
        <v>144</v>
      </c>
      <c r="Y178" s="224">
        <v>708</v>
      </c>
      <c r="AA178" s="380"/>
      <c r="AB178" s="254"/>
      <c r="AC178" s="27"/>
      <c r="AD178" s="27"/>
      <c r="AE178" s="27"/>
      <c r="AF178" s="246"/>
      <c r="AG178" s="162"/>
      <c r="AH178" s="224"/>
    </row>
    <row r="179" spans="1:42" ht="13.5" customHeight="1">
      <c r="A179" s="155" t="s">
        <v>24</v>
      </c>
      <c r="B179" s="255"/>
      <c r="C179" s="29" t="s">
        <v>689</v>
      </c>
      <c r="D179" s="29" t="s">
        <v>690</v>
      </c>
      <c r="E179" s="29" t="s">
        <v>695</v>
      </c>
      <c r="G179" s="255"/>
      <c r="H179" s="29" t="s">
        <v>695</v>
      </c>
      <c r="I179" s="29">
        <v>-5</v>
      </c>
      <c r="J179" s="29">
        <v>-13</v>
      </c>
      <c r="K179" s="29">
        <v>-12</v>
      </c>
      <c r="L179" s="30"/>
      <c r="M179" s="30"/>
      <c r="N179" s="255"/>
      <c r="O179" s="30"/>
      <c r="P179" s="30"/>
      <c r="Q179" s="30"/>
      <c r="R179" s="30"/>
      <c r="U179" s="255"/>
      <c r="W179" s="30"/>
      <c r="X179" s="30"/>
      <c r="Y179" s="30"/>
      <c r="AA179" s="380"/>
      <c r="AB179" s="254"/>
      <c r="AC179" s="27"/>
      <c r="AD179" s="27"/>
      <c r="AE179" s="27"/>
      <c r="AF179" s="246"/>
      <c r="AG179" s="162"/>
      <c r="AH179" s="30"/>
    </row>
    <row r="180" spans="1:42" ht="15.75">
      <c r="A180" s="128" t="s">
        <v>25</v>
      </c>
      <c r="B180" s="255"/>
      <c r="C180" s="32">
        <v>43520</v>
      </c>
      <c r="D180" s="294">
        <v>43490</v>
      </c>
      <c r="E180" s="247">
        <v>43492</v>
      </c>
      <c r="G180" s="255"/>
      <c r="H180" s="32">
        <v>43554</v>
      </c>
      <c r="I180" s="32">
        <v>43492</v>
      </c>
      <c r="J180" s="32">
        <v>43520</v>
      </c>
      <c r="K180" s="32">
        <v>43554</v>
      </c>
      <c r="L180" s="32">
        <v>43520</v>
      </c>
      <c r="M180" s="32">
        <v>43532</v>
      </c>
      <c r="N180" s="255"/>
      <c r="O180" s="32">
        <v>43511</v>
      </c>
      <c r="P180" s="32">
        <v>43519</v>
      </c>
      <c r="Q180" s="32">
        <v>43507</v>
      </c>
      <c r="R180" s="32">
        <v>43529</v>
      </c>
      <c r="U180" s="255"/>
      <c r="W180" s="32">
        <v>43509</v>
      </c>
      <c r="X180" s="32">
        <v>43525</v>
      </c>
      <c r="Y180" s="32">
        <v>43519</v>
      </c>
      <c r="AA180" s="380"/>
      <c r="AB180" s="254"/>
      <c r="AC180" s="27"/>
      <c r="AD180" s="27"/>
      <c r="AE180" s="27"/>
      <c r="AF180" s="246"/>
      <c r="AG180" s="162"/>
      <c r="AH180" s="32"/>
    </row>
    <row r="181" spans="1:42" ht="15.75" thickBot="1">
      <c r="A181" s="146" t="s">
        <v>27</v>
      </c>
      <c r="B181" s="255"/>
      <c r="C181" s="31" t="s">
        <v>30</v>
      </c>
      <c r="D181" s="297" t="s">
        <v>29</v>
      </c>
      <c r="E181" s="248" t="s">
        <v>48</v>
      </c>
      <c r="G181" s="255"/>
      <c r="H181" s="31" t="s">
        <v>34</v>
      </c>
      <c r="I181" s="31" t="s">
        <v>48</v>
      </c>
      <c r="J181" s="31" t="s">
        <v>30</v>
      </c>
      <c r="K181" s="31" t="s">
        <v>34</v>
      </c>
      <c r="L181" s="31" t="s">
        <v>30</v>
      </c>
      <c r="M181" s="31" t="s">
        <v>51</v>
      </c>
      <c r="N181" s="255"/>
      <c r="O181" s="31" t="s">
        <v>45</v>
      </c>
      <c r="P181" s="31" t="s">
        <v>46</v>
      </c>
      <c r="Q181" s="31" t="s">
        <v>28</v>
      </c>
      <c r="R181" s="31" t="s">
        <v>51</v>
      </c>
      <c r="U181" s="255"/>
      <c r="W181" s="31" t="s">
        <v>28</v>
      </c>
      <c r="X181" s="31" t="s">
        <v>34</v>
      </c>
      <c r="Y181" s="31" t="s">
        <v>46</v>
      </c>
      <c r="AA181" s="381"/>
      <c r="AB181" s="263"/>
      <c r="AC181" s="167"/>
      <c r="AD181" s="167"/>
      <c r="AE181" s="167"/>
      <c r="AF181" s="309"/>
      <c r="AG181" s="165"/>
      <c r="AH181" s="31"/>
    </row>
    <row r="182" spans="1:42" ht="15" customHeight="1" thickBot="1">
      <c r="A182" s="264" t="s">
        <v>36</v>
      </c>
      <c r="B182" s="143">
        <f t="shared" ref="B182:O182" si="8">+B178+B164+B150+B136</f>
        <v>0</v>
      </c>
      <c r="C182" s="143">
        <v>5832</v>
      </c>
      <c r="D182" s="143"/>
      <c r="E182" s="143">
        <f t="shared" si="8"/>
        <v>444</v>
      </c>
      <c r="F182" s="143">
        <f t="shared" si="8"/>
        <v>1272</v>
      </c>
      <c r="G182" s="143">
        <f t="shared" si="8"/>
        <v>0</v>
      </c>
      <c r="H182" s="143">
        <f t="shared" si="8"/>
        <v>1248</v>
      </c>
      <c r="I182" s="143">
        <f t="shared" si="8"/>
        <v>3120</v>
      </c>
      <c r="J182" s="143">
        <f t="shared" si="8"/>
        <v>1416</v>
      </c>
      <c r="K182" s="143">
        <f t="shared" si="8"/>
        <v>684</v>
      </c>
      <c r="L182" s="143">
        <f t="shared" si="8"/>
        <v>1728</v>
      </c>
      <c r="M182" s="143">
        <f t="shared" si="8"/>
        <v>1272</v>
      </c>
      <c r="N182" s="143">
        <f t="shared" si="8"/>
        <v>0</v>
      </c>
      <c r="O182" s="143">
        <f t="shared" si="8"/>
        <v>2784</v>
      </c>
      <c r="P182" s="143">
        <v>888</v>
      </c>
      <c r="Q182" s="143">
        <f t="shared" ref="Q182" si="9">+Q178+Q164+Q150+Q136</f>
        <v>852</v>
      </c>
      <c r="R182" s="143">
        <v>3792</v>
      </c>
      <c r="S182" s="143">
        <v>3792</v>
      </c>
      <c r="T182" s="143">
        <v>3792</v>
      </c>
      <c r="U182" s="143">
        <v>3792</v>
      </c>
      <c r="V182" s="143"/>
      <c r="W182" s="143"/>
      <c r="X182" s="143">
        <v>17364</v>
      </c>
      <c r="Y182" s="143"/>
      <c r="Z182" s="143"/>
      <c r="AA182" s="143"/>
      <c r="AB182" s="143"/>
      <c r="AC182" s="143"/>
      <c r="AD182" s="143"/>
      <c r="AE182" s="143">
        <f t="shared" ref="AE182:AF182" si="10">+AE178+AE164+AE150+AE136</f>
        <v>0</v>
      </c>
      <c r="AF182" s="143">
        <f t="shared" si="10"/>
        <v>0</v>
      </c>
      <c r="AG182" s="143">
        <f t="shared" ref="AG182" si="11">+AG178+AG164+AG150+AG136</f>
        <v>0</v>
      </c>
      <c r="AH182" s="160"/>
      <c r="AI182" s="160"/>
    </row>
    <row r="183" spans="1:42" ht="15" customHeight="1" thickTop="1" thickBot="1">
      <c r="A183" s="264" t="s">
        <v>37</v>
      </c>
      <c r="B183" s="189">
        <f t="shared" ref="B183:AF183" si="12">+B184*B5</f>
        <v>0</v>
      </c>
      <c r="C183" s="40">
        <f t="shared" si="12"/>
        <v>1710</v>
      </c>
      <c r="D183" s="40">
        <f t="shared" si="12"/>
        <v>1710</v>
      </c>
      <c r="E183" s="40">
        <f t="shared" si="12"/>
        <v>1710</v>
      </c>
      <c r="F183" s="40">
        <f t="shared" si="12"/>
        <v>1440</v>
      </c>
      <c r="G183" s="39">
        <f t="shared" si="12"/>
        <v>0</v>
      </c>
      <c r="H183" s="40">
        <f t="shared" si="12"/>
        <v>1710</v>
      </c>
      <c r="I183" s="40">
        <f t="shared" si="12"/>
        <v>1710</v>
      </c>
      <c r="J183" s="40">
        <f t="shared" si="12"/>
        <v>1710</v>
      </c>
      <c r="K183" s="40">
        <f t="shared" si="12"/>
        <v>1710</v>
      </c>
      <c r="L183" s="40">
        <f t="shared" si="12"/>
        <v>1710</v>
      </c>
      <c r="M183" s="39">
        <f>+M184*(M5-2)</f>
        <v>1080</v>
      </c>
      <c r="N183" s="40">
        <f t="shared" si="12"/>
        <v>0</v>
      </c>
      <c r="O183" s="40">
        <f t="shared" si="12"/>
        <v>1748</v>
      </c>
      <c r="P183" s="39">
        <v>1000</v>
      </c>
      <c r="Q183" s="40">
        <f t="shared" si="12"/>
        <v>1748</v>
      </c>
      <c r="R183" s="40">
        <f t="shared" si="12"/>
        <v>1748</v>
      </c>
      <c r="S183" s="40">
        <f t="shared" si="12"/>
        <v>1748</v>
      </c>
      <c r="T183" s="40">
        <f t="shared" si="12"/>
        <v>1472</v>
      </c>
      <c r="U183" s="39">
        <f t="shared" si="12"/>
        <v>0</v>
      </c>
      <c r="V183" s="40">
        <f t="shared" si="12"/>
        <v>1748</v>
      </c>
      <c r="W183" s="40">
        <f t="shared" si="12"/>
        <v>1748</v>
      </c>
      <c r="X183" s="40">
        <f t="shared" si="12"/>
        <v>1748</v>
      </c>
      <c r="Y183" s="40">
        <f t="shared" si="12"/>
        <v>1748</v>
      </c>
      <c r="Z183" s="40">
        <f t="shared" si="12"/>
        <v>1748</v>
      </c>
      <c r="AA183" s="40">
        <f t="shared" si="12"/>
        <v>1680</v>
      </c>
      <c r="AB183" s="39">
        <f t="shared" si="12"/>
        <v>0</v>
      </c>
      <c r="AC183" s="40">
        <f t="shared" si="12"/>
        <v>1680</v>
      </c>
      <c r="AD183" s="40">
        <f t="shared" si="12"/>
        <v>1680</v>
      </c>
      <c r="AE183" s="40">
        <f t="shared" si="12"/>
        <v>1680</v>
      </c>
      <c r="AF183" s="40">
        <f t="shared" si="12"/>
        <v>1680</v>
      </c>
      <c r="AG183" s="41">
        <f>SUM(B183:AF183)</f>
        <v>42804</v>
      </c>
      <c r="AH183" s="160"/>
      <c r="AI183" s="160"/>
    </row>
    <row r="184" spans="1:42" ht="15" customHeight="1" thickTop="1" thickBot="1">
      <c r="A184" s="264" t="s">
        <v>38</v>
      </c>
      <c r="B184" s="219"/>
      <c r="C184" s="43">
        <v>180</v>
      </c>
      <c r="D184" s="43">
        <v>180</v>
      </c>
      <c r="E184" s="43">
        <v>180</v>
      </c>
      <c r="F184" s="43">
        <v>180</v>
      </c>
      <c r="G184" s="42"/>
      <c r="H184" s="43">
        <v>180</v>
      </c>
      <c r="I184" s="43">
        <v>180</v>
      </c>
      <c r="J184" s="43">
        <v>180</v>
      </c>
      <c r="K184" s="43">
        <v>180</v>
      </c>
      <c r="L184" s="43">
        <v>180</v>
      </c>
      <c r="M184" s="43">
        <v>180</v>
      </c>
      <c r="N184" s="42"/>
      <c r="O184" s="43">
        <v>184</v>
      </c>
      <c r="P184" s="43">
        <v>184</v>
      </c>
      <c r="Q184" s="43">
        <v>184</v>
      </c>
      <c r="R184" s="43">
        <v>184</v>
      </c>
      <c r="S184" s="43">
        <v>184</v>
      </c>
      <c r="T184" s="43">
        <v>184</v>
      </c>
      <c r="U184" s="42"/>
      <c r="V184" s="43">
        <v>184</v>
      </c>
      <c r="W184" s="43">
        <v>184</v>
      </c>
      <c r="X184" s="43">
        <v>184</v>
      </c>
      <c r="Y184" s="43">
        <v>184</v>
      </c>
      <c r="Z184" s="43">
        <v>184</v>
      </c>
      <c r="AA184" s="43">
        <v>210</v>
      </c>
      <c r="AB184" s="42"/>
      <c r="AC184" s="43">
        <v>210</v>
      </c>
      <c r="AD184" s="43">
        <v>210</v>
      </c>
      <c r="AE184" s="43">
        <v>210</v>
      </c>
      <c r="AF184" s="43">
        <v>210</v>
      </c>
      <c r="AG184" s="44"/>
      <c r="AH184" s="160"/>
      <c r="AI184" s="160"/>
    </row>
    <row r="185" spans="1:42" ht="15.75" customHeight="1" thickTop="1" thickBot="1">
      <c r="A185" s="217">
        <f>'T12'!AF185</f>
        <v>0</v>
      </c>
      <c r="B185" s="189">
        <f t="shared" ref="B185:AF185" si="13">IF(A185+B182-B183&lt;0,0,A185+B182-B183)</f>
        <v>0</v>
      </c>
      <c r="C185" s="40">
        <f>IF(B185+C182-C183&lt;0,0,B185+C182-C183)-800</f>
        <v>3322</v>
      </c>
      <c r="D185" s="40">
        <f t="shared" si="13"/>
        <v>1612</v>
      </c>
      <c r="E185" s="40">
        <f t="shared" si="13"/>
        <v>346</v>
      </c>
      <c r="F185" s="40">
        <f t="shared" si="13"/>
        <v>178</v>
      </c>
      <c r="G185" s="39">
        <f t="shared" si="13"/>
        <v>178</v>
      </c>
      <c r="H185" s="40">
        <f t="shared" si="13"/>
        <v>0</v>
      </c>
      <c r="I185" s="40">
        <f t="shared" si="13"/>
        <v>1410</v>
      </c>
      <c r="J185" s="40">
        <f t="shared" si="13"/>
        <v>1116</v>
      </c>
      <c r="K185" s="40">
        <f t="shared" si="13"/>
        <v>90</v>
      </c>
      <c r="L185" s="40">
        <f t="shared" si="13"/>
        <v>108</v>
      </c>
      <c r="M185" s="40">
        <f t="shared" si="13"/>
        <v>300</v>
      </c>
      <c r="N185" s="39">
        <f t="shared" si="13"/>
        <v>300</v>
      </c>
      <c r="O185" s="40">
        <f t="shared" si="13"/>
        <v>1336</v>
      </c>
      <c r="P185" s="40">
        <f t="shared" si="13"/>
        <v>1224</v>
      </c>
      <c r="Q185" s="40">
        <f t="shared" si="13"/>
        <v>328</v>
      </c>
      <c r="R185" s="40">
        <f t="shared" si="13"/>
        <v>2372</v>
      </c>
      <c r="S185" s="40">
        <f t="shared" si="13"/>
        <v>4416</v>
      </c>
      <c r="T185" s="40">
        <f t="shared" si="13"/>
        <v>6736</v>
      </c>
      <c r="U185" s="40">
        <f t="shared" ref="U185" si="14">IF(T185+U182-U183&lt;0,0,T185+U182-U183)</f>
        <v>10528</v>
      </c>
      <c r="V185" s="40"/>
      <c r="W185" s="40">
        <f t="shared" ref="W185" si="15">IF(V185+W182-W183&lt;0,0,V185+W182-W183)</f>
        <v>0</v>
      </c>
      <c r="X185" s="40">
        <f t="shared" ref="X185" si="16">IF(W185+X182-X183&lt;0,0,W185+X182-X183)</f>
        <v>15616</v>
      </c>
      <c r="Y185" s="40">
        <f t="shared" ref="Y185" si="17">IF(X185+Y182-Y183&lt;0,0,X185+Y182-Y183)</f>
        <v>13868</v>
      </c>
      <c r="Z185" s="40">
        <f t="shared" ref="Z185" si="18">IF(Y185+Z182-Z183&lt;0,0,Y185+Z182-Z183)</f>
        <v>12120</v>
      </c>
      <c r="AA185" s="40">
        <f t="shared" si="13"/>
        <v>10440</v>
      </c>
      <c r="AB185" s="39">
        <f t="shared" si="13"/>
        <v>10440</v>
      </c>
      <c r="AC185" s="40">
        <f t="shared" si="13"/>
        <v>8760</v>
      </c>
      <c r="AD185" s="40">
        <f>IF(AC185+AD182-AD183&lt;0,0,AC185+AD182-AD183)</f>
        <v>7080</v>
      </c>
      <c r="AE185" s="46">
        <f t="shared" si="13"/>
        <v>5400</v>
      </c>
      <c r="AF185" s="40">
        <f t="shared" si="13"/>
        <v>3720</v>
      </c>
      <c r="AG185" s="47">
        <f>IF(AE185+AG182-AG183&lt;0,0,AE185+AG182-AG183)</f>
        <v>0</v>
      </c>
      <c r="AH185" s="160"/>
      <c r="AI185" s="160"/>
    </row>
    <row r="186" spans="1:42" ht="15.75">
      <c r="A186" s="146" t="s">
        <v>10</v>
      </c>
      <c r="B186" s="255"/>
      <c r="F186" s="360" t="s">
        <v>497</v>
      </c>
      <c r="G186" s="254"/>
      <c r="H186" s="27"/>
      <c r="I186" s="27"/>
      <c r="J186" s="355" t="s">
        <v>497</v>
      </c>
      <c r="K186" s="355" t="s">
        <v>497</v>
      </c>
      <c r="L186" s="403" t="s">
        <v>497</v>
      </c>
      <c r="M186" s="403" t="s">
        <v>497</v>
      </c>
      <c r="N186" s="254"/>
      <c r="U186" s="254"/>
      <c r="Y186" s="416" t="s">
        <v>78</v>
      </c>
      <c r="Z186" s="59" t="s">
        <v>78</v>
      </c>
      <c r="AA186" s="419"/>
      <c r="AB186" s="262"/>
      <c r="AC186" s="59" t="s">
        <v>103</v>
      </c>
      <c r="AD186" s="418" t="s">
        <v>494</v>
      </c>
      <c r="AG186" s="162"/>
      <c r="AH186" s="160"/>
      <c r="AI186" s="528" t="s">
        <v>471</v>
      </c>
      <c r="AJ186" s="529"/>
      <c r="AK186" s="529"/>
      <c r="AL186" s="529"/>
      <c r="AM186" s="529"/>
      <c r="AN186" s="530"/>
    </row>
    <row r="187" spans="1:42" ht="15.75">
      <c r="A187" s="147" t="s">
        <v>11</v>
      </c>
      <c r="B187" s="255"/>
      <c r="F187" s="356" t="s">
        <v>431</v>
      </c>
      <c r="G187" s="254"/>
      <c r="H187" s="27"/>
      <c r="I187" s="27"/>
      <c r="J187" s="93" t="s">
        <v>474</v>
      </c>
      <c r="K187" s="93" t="s">
        <v>477</v>
      </c>
      <c r="L187" s="93" t="s">
        <v>476</v>
      </c>
      <c r="M187" s="357" t="s">
        <v>475</v>
      </c>
      <c r="N187" s="254"/>
      <c r="U187" s="255"/>
      <c r="Y187" s="417" t="s">
        <v>682</v>
      </c>
      <c r="Z187" s="93" t="s">
        <v>681</v>
      </c>
      <c r="AA187" s="27"/>
      <c r="AB187" s="254"/>
      <c r="AC187" s="93" t="s">
        <v>680</v>
      </c>
      <c r="AD187" s="93" t="s">
        <v>683</v>
      </c>
      <c r="AG187" s="162"/>
      <c r="AH187" s="160"/>
      <c r="AI187" s="290" t="s">
        <v>422</v>
      </c>
      <c r="AJ187" s="286" t="s">
        <v>422</v>
      </c>
      <c r="AK187" s="286" t="s">
        <v>422</v>
      </c>
      <c r="AL187" s="286" t="s">
        <v>422</v>
      </c>
      <c r="AM187" s="286"/>
      <c r="AN187" s="242"/>
      <c r="AO187" s="304" t="s">
        <v>497</v>
      </c>
      <c r="AP187" s="306" t="s">
        <v>497</v>
      </c>
    </row>
    <row r="188" spans="1:42" ht="15.75">
      <c r="A188" s="148" t="s">
        <v>12</v>
      </c>
      <c r="B188" s="255"/>
      <c r="F188" s="21" t="str">
        <f>VLOOKUP(F187,'[2]2019-02'!$A$3:$G$1657,7,0)</f>
        <v>12/21</v>
      </c>
      <c r="G188" s="254"/>
      <c r="H188" s="27"/>
      <c r="I188" s="27"/>
      <c r="J188" s="21" t="str">
        <f>VLOOKUP(J187,'[2]2019-02'!$A$3:$G$1657,7,0)</f>
        <v>12/25</v>
      </c>
      <c r="K188" s="21" t="str">
        <f>VLOOKUP(K187,'[2]2019-02'!$A$3:$G$1657,7,0)</f>
        <v>CFM</v>
      </c>
      <c r="L188" s="21" t="str">
        <f>VLOOKUP(L187,'[2]2019-02'!$A$3:$G$1657,7,0)</f>
        <v>CFM</v>
      </c>
      <c r="M188" s="21" t="str">
        <f>VLOOKUP(M187,'[2]2019-02'!$A$3:$G$1657,7,0)</f>
        <v>CFM</v>
      </c>
      <c r="N188" s="274"/>
      <c r="U188" s="275"/>
      <c r="Y188" s="422"/>
      <c r="Z188" s="21"/>
      <c r="AA188" s="27"/>
      <c r="AB188" s="274"/>
      <c r="AC188" s="21"/>
      <c r="AD188" s="418" t="str">
        <f>VLOOKUP(AD194,'[3]2018-11-16'!$A:$D,4,0)</f>
        <v>基本型體</v>
      </c>
      <c r="AG188" s="162"/>
      <c r="AH188" s="160"/>
      <c r="AI188" s="287" t="s">
        <v>436</v>
      </c>
      <c r="AJ188" s="87" t="s">
        <v>428</v>
      </c>
      <c r="AK188" s="87" t="s">
        <v>439</v>
      </c>
      <c r="AL188" s="87" t="s">
        <v>433</v>
      </c>
      <c r="AM188" s="87"/>
      <c r="AN188" s="244"/>
      <c r="AO188" s="93" t="s">
        <v>434</v>
      </c>
      <c r="AP188" s="93" t="s">
        <v>441</v>
      </c>
    </row>
    <row r="189" spans="1:42" ht="15.75">
      <c r="A189" s="149" t="s">
        <v>13</v>
      </c>
      <c r="B189" s="255"/>
      <c r="F189" s="358" t="s">
        <v>85</v>
      </c>
      <c r="G189" s="254"/>
      <c r="H189" s="27"/>
      <c r="I189" s="27"/>
      <c r="J189" s="19" t="s">
        <v>85</v>
      </c>
      <c r="K189" s="19" t="s">
        <v>85</v>
      </c>
      <c r="L189" s="19" t="s">
        <v>85</v>
      </c>
      <c r="M189" s="359" t="s">
        <v>85</v>
      </c>
      <c r="N189" s="254"/>
      <c r="U189" s="255"/>
      <c r="Y189" s="129" t="s">
        <v>85</v>
      </c>
      <c r="Z189" s="19" t="s">
        <v>85</v>
      </c>
      <c r="AA189" s="27"/>
      <c r="AB189" s="254"/>
      <c r="AC189" s="19" t="s">
        <v>85</v>
      </c>
      <c r="AD189" s="19" t="e">
        <f>VLOOKUP(AD187,'[4]2019-01'!$A$3:$G$2159,7,0)</f>
        <v>#N/A</v>
      </c>
      <c r="AG189" s="162"/>
      <c r="AH189" s="160"/>
      <c r="AI189" s="288"/>
      <c r="AJ189" s="277"/>
      <c r="AK189" s="277"/>
      <c r="AL189" s="277"/>
      <c r="AM189" s="277"/>
      <c r="AN189" s="289"/>
      <c r="AO189" s="49" t="s">
        <v>489</v>
      </c>
      <c r="AP189" s="49" t="s">
        <v>489</v>
      </c>
    </row>
    <row r="190" spans="1:42" ht="15.75">
      <c r="A190" s="150" t="s">
        <v>15</v>
      </c>
      <c r="B190" s="255"/>
      <c r="F190" s="360" t="s">
        <v>49</v>
      </c>
      <c r="G190" s="254"/>
      <c r="H190" s="27"/>
      <c r="I190" s="27"/>
      <c r="J190" s="354" t="s">
        <v>49</v>
      </c>
      <c r="K190" s="354" t="s">
        <v>49</v>
      </c>
      <c r="L190" s="354" t="s">
        <v>49</v>
      </c>
      <c r="M190" s="361" t="s">
        <v>49</v>
      </c>
      <c r="N190" s="254"/>
      <c r="U190" s="255"/>
      <c r="Y190" s="130"/>
      <c r="Z190" s="418"/>
      <c r="AA190" s="27"/>
      <c r="AB190" s="254"/>
      <c r="AC190" s="418"/>
      <c r="AD190" s="418" t="s">
        <v>65</v>
      </c>
      <c r="AG190" s="162"/>
      <c r="AH190" s="160"/>
      <c r="AI190" s="287"/>
      <c r="AJ190" s="87"/>
      <c r="AK190" s="87"/>
      <c r="AL190" s="87"/>
      <c r="AM190" s="87"/>
      <c r="AN190" s="244"/>
      <c r="AO190" s="19" t="s">
        <v>85</v>
      </c>
      <c r="AP190" s="19" t="s">
        <v>85</v>
      </c>
    </row>
    <row r="191" spans="1:42" ht="15.75">
      <c r="A191" s="151" t="s">
        <v>17</v>
      </c>
      <c r="B191" s="255"/>
      <c r="F191" s="362" t="s">
        <v>419</v>
      </c>
      <c r="G191" s="254"/>
      <c r="H191" s="27"/>
      <c r="I191" s="27"/>
      <c r="J191" s="272" t="s">
        <v>419</v>
      </c>
      <c r="K191" s="272" t="s">
        <v>419</v>
      </c>
      <c r="L191" s="272" t="s">
        <v>419</v>
      </c>
      <c r="M191" s="363" t="s">
        <v>419</v>
      </c>
      <c r="N191" s="254"/>
      <c r="U191" s="255"/>
      <c r="Y191" s="423" t="s">
        <v>685</v>
      </c>
      <c r="Z191" s="272" t="s">
        <v>685</v>
      </c>
      <c r="AA191" s="27"/>
      <c r="AB191" s="254"/>
      <c r="AC191" s="272" t="s">
        <v>685</v>
      </c>
      <c r="AD191" s="391" t="s">
        <v>493</v>
      </c>
      <c r="AG191" s="162"/>
      <c r="AH191" s="160"/>
      <c r="AI191" s="290" t="s">
        <v>49</v>
      </c>
      <c r="AJ191" s="286" t="s">
        <v>49</v>
      </c>
      <c r="AK191" s="286" t="s">
        <v>49</v>
      </c>
      <c r="AL191" s="286" t="s">
        <v>49</v>
      </c>
      <c r="AM191" s="286"/>
      <c r="AN191" s="242"/>
      <c r="AO191" s="304" t="s">
        <v>49</v>
      </c>
      <c r="AP191" s="304" t="s">
        <v>49</v>
      </c>
    </row>
    <row r="192" spans="1:42" ht="12.75" customHeight="1">
      <c r="A192" s="152" t="s">
        <v>18</v>
      </c>
      <c r="B192" s="255"/>
      <c r="F192" s="364"/>
      <c r="G192" s="254"/>
      <c r="H192" s="27"/>
      <c r="I192" s="27"/>
      <c r="J192" s="23"/>
      <c r="K192" s="23"/>
      <c r="L192" s="23"/>
      <c r="M192" s="365"/>
      <c r="N192" s="254"/>
      <c r="U192" s="255"/>
      <c r="Y192" s="131"/>
      <c r="Z192" s="23"/>
      <c r="AA192" s="27"/>
      <c r="AB192" s="254"/>
      <c r="AC192" s="23"/>
      <c r="AD192" s="23"/>
      <c r="AG192" s="162"/>
      <c r="AH192" s="160"/>
      <c r="AI192" s="291" t="s">
        <v>419</v>
      </c>
      <c r="AJ192" s="272" t="s">
        <v>419</v>
      </c>
      <c r="AK192" s="272" t="s">
        <v>419</v>
      </c>
      <c r="AL192" s="272" t="s">
        <v>419</v>
      </c>
      <c r="AM192" s="272"/>
      <c r="AN192" s="292"/>
      <c r="AO192" s="272" t="s">
        <v>419</v>
      </c>
      <c r="AP192" s="272" t="s">
        <v>419</v>
      </c>
    </row>
    <row r="193" spans="1:42" ht="15.75">
      <c r="A193" s="146" t="s">
        <v>20</v>
      </c>
      <c r="B193" s="255"/>
      <c r="F193" s="366">
        <v>1</v>
      </c>
      <c r="G193" s="254"/>
      <c r="H193" s="27"/>
      <c r="I193" s="27"/>
      <c r="J193" s="188">
        <v>1</v>
      </c>
      <c r="K193" s="188">
        <v>1</v>
      </c>
      <c r="L193" s="188">
        <v>1</v>
      </c>
      <c r="M193" s="188">
        <v>1</v>
      </c>
      <c r="N193" s="254"/>
      <c r="U193" s="255"/>
      <c r="Y193" s="424"/>
      <c r="Z193" s="188"/>
      <c r="AA193" s="27"/>
      <c r="AB193" s="254"/>
      <c r="AC193" s="188"/>
      <c r="AD193" s="427"/>
      <c r="AG193" s="162"/>
      <c r="AH193" s="160"/>
      <c r="AI193" s="287"/>
      <c r="AJ193" s="87"/>
      <c r="AK193" s="87"/>
      <c r="AL193" s="87"/>
      <c r="AM193" s="87"/>
      <c r="AN193" s="244"/>
      <c r="AO193" s="23"/>
      <c r="AP193" s="23"/>
    </row>
    <row r="194" spans="1:42" ht="15.75">
      <c r="A194" s="153" t="s">
        <v>21</v>
      </c>
      <c r="B194" s="255"/>
      <c r="F194" s="368" t="s">
        <v>427</v>
      </c>
      <c r="G194" s="254"/>
      <c r="H194" s="27"/>
      <c r="I194" s="27"/>
      <c r="J194" s="94" t="s">
        <v>427</v>
      </c>
      <c r="K194" s="94" t="s">
        <v>427</v>
      </c>
      <c r="L194" s="94" t="s">
        <v>427</v>
      </c>
      <c r="M194" s="369" t="s">
        <v>427</v>
      </c>
      <c r="N194" s="254"/>
      <c r="U194" s="255"/>
      <c r="Y194" s="425" t="s">
        <v>99</v>
      </c>
      <c r="Z194" s="94" t="s">
        <v>492</v>
      </c>
      <c r="AA194" s="27"/>
      <c r="AB194" s="254"/>
      <c r="AC194" s="94" t="s">
        <v>679</v>
      </c>
      <c r="AD194" s="418" t="s">
        <v>507</v>
      </c>
      <c r="AG194" s="162"/>
      <c r="AH194" s="160"/>
      <c r="AI194" s="287"/>
      <c r="AJ194" s="87"/>
      <c r="AK194" s="87"/>
      <c r="AL194" s="87"/>
      <c r="AM194" s="87"/>
      <c r="AN194" s="244"/>
      <c r="AO194" s="182"/>
      <c r="AP194" s="182"/>
    </row>
    <row r="195" spans="1:42" ht="15.75">
      <c r="A195" s="154" t="s">
        <v>22</v>
      </c>
      <c r="B195" s="255"/>
      <c r="F195" s="370" t="s">
        <v>105</v>
      </c>
      <c r="G195" s="254"/>
      <c r="H195" s="27"/>
      <c r="I195" s="27"/>
      <c r="J195" s="27"/>
      <c r="K195" s="27"/>
      <c r="L195" s="27"/>
      <c r="M195" s="371"/>
      <c r="N195" s="254"/>
      <c r="U195" s="255"/>
      <c r="Y195" s="132"/>
      <c r="Z195" s="27"/>
      <c r="AA195" s="27"/>
      <c r="AB195" s="254"/>
      <c r="AC195" s="27"/>
      <c r="AD195" s="27" t="s">
        <v>995</v>
      </c>
      <c r="AG195" s="162"/>
      <c r="AH195" s="160"/>
      <c r="AI195" s="293" t="s">
        <v>421</v>
      </c>
      <c r="AJ195" s="94" t="s">
        <v>421</v>
      </c>
      <c r="AK195" s="94" t="s">
        <v>423</v>
      </c>
      <c r="AL195" s="94" t="s">
        <v>423</v>
      </c>
      <c r="AM195" s="94"/>
      <c r="AN195" s="245"/>
      <c r="AO195" s="94" t="s">
        <v>424</v>
      </c>
      <c r="AP195" s="94" t="s">
        <v>424</v>
      </c>
    </row>
    <row r="196" spans="1:42" ht="15.75">
      <c r="A196" s="153" t="s">
        <v>23</v>
      </c>
      <c r="B196" s="255"/>
      <c r="F196" s="360">
        <v>18000</v>
      </c>
      <c r="G196" s="254"/>
      <c r="H196" s="27"/>
      <c r="I196" s="27"/>
      <c r="J196" s="354">
        <v>1512</v>
      </c>
      <c r="K196" s="354">
        <v>360</v>
      </c>
      <c r="L196" s="354">
        <v>1800</v>
      </c>
      <c r="M196" s="361">
        <v>396</v>
      </c>
      <c r="N196" s="254"/>
      <c r="U196" s="255"/>
      <c r="Y196" s="130">
        <v>1800</v>
      </c>
      <c r="Z196" s="418">
        <v>3804</v>
      </c>
      <c r="AA196" s="27"/>
      <c r="AB196" s="254"/>
      <c r="AC196" s="418">
        <v>1800</v>
      </c>
      <c r="AD196" s="418">
        <f>228*22</f>
        <v>5016</v>
      </c>
      <c r="AG196" s="162"/>
      <c r="AH196" s="160"/>
      <c r="AI196" s="287"/>
      <c r="AJ196" s="87"/>
      <c r="AK196" s="27"/>
      <c r="AL196" s="27"/>
      <c r="AM196" s="27"/>
      <c r="AN196" s="246"/>
      <c r="AO196" s="27"/>
      <c r="AP196" s="27"/>
    </row>
    <row r="197" spans="1:42" ht="12.75" customHeight="1">
      <c r="A197" s="155" t="s">
        <v>24</v>
      </c>
      <c r="B197" s="255"/>
      <c r="F197" s="29" t="s">
        <v>696</v>
      </c>
      <c r="G197" s="254"/>
      <c r="H197" s="27"/>
      <c r="I197" s="27"/>
      <c r="J197" s="29" t="s">
        <v>691</v>
      </c>
      <c r="K197" s="29" t="s">
        <v>691</v>
      </c>
      <c r="L197" s="29" t="s">
        <v>692</v>
      </c>
      <c r="M197" s="29" t="s">
        <v>690</v>
      </c>
      <c r="N197" s="254"/>
      <c r="U197" s="255"/>
      <c r="Y197" s="426"/>
      <c r="Z197" s="421"/>
      <c r="AA197" s="27"/>
      <c r="AB197" s="254"/>
      <c r="AC197" s="421"/>
      <c r="AD197" s="427" t="s">
        <v>107</v>
      </c>
      <c r="AG197" s="162"/>
      <c r="AH197" s="160"/>
      <c r="AI197" s="290">
        <v>480</v>
      </c>
      <c r="AJ197" s="286">
        <v>1242</v>
      </c>
      <c r="AK197" s="286">
        <v>588</v>
      </c>
      <c r="AL197" s="286">
        <v>468</v>
      </c>
      <c r="AM197" s="286"/>
      <c r="AN197" s="242"/>
      <c r="AO197" s="304">
        <v>900</v>
      </c>
      <c r="AP197" s="304">
        <v>360</v>
      </c>
    </row>
    <row r="198" spans="1:42" ht="15.75">
      <c r="A198" s="128" t="s">
        <v>25</v>
      </c>
      <c r="B198" s="255"/>
      <c r="F198" s="372">
        <v>43520</v>
      </c>
      <c r="G198" s="254"/>
      <c r="H198" s="27"/>
      <c r="I198" s="27"/>
      <c r="J198" s="32">
        <v>43512</v>
      </c>
      <c r="K198" s="32">
        <v>43512</v>
      </c>
      <c r="L198" s="32">
        <v>43525</v>
      </c>
      <c r="M198" s="373">
        <v>43537</v>
      </c>
      <c r="N198" s="254"/>
      <c r="U198" s="255"/>
      <c r="Y198" s="133">
        <v>43520</v>
      </c>
      <c r="Z198" s="32">
        <v>43520</v>
      </c>
      <c r="AA198" s="27"/>
      <c r="AB198" s="254"/>
      <c r="AC198" s="32">
        <v>43520</v>
      </c>
      <c r="AD198" s="32">
        <v>43551</v>
      </c>
      <c r="AG198" s="162"/>
      <c r="AH198" s="160"/>
      <c r="AI198" s="287"/>
      <c r="AJ198" s="87"/>
      <c r="AK198" s="87"/>
      <c r="AL198" s="87"/>
      <c r="AM198" s="87"/>
      <c r="AN198" s="244"/>
      <c r="AO198" s="30"/>
      <c r="AP198" s="30"/>
    </row>
    <row r="199" spans="1:42" ht="15.75">
      <c r="A199" s="146" t="s">
        <v>27</v>
      </c>
      <c r="B199" s="255"/>
      <c r="F199" s="374" t="s">
        <v>28</v>
      </c>
      <c r="G199" s="254"/>
      <c r="H199" s="27"/>
      <c r="I199" s="27"/>
      <c r="J199" s="31" t="s">
        <v>28</v>
      </c>
      <c r="K199" s="31" t="s">
        <v>28</v>
      </c>
      <c r="L199" s="31" t="s">
        <v>51</v>
      </c>
      <c r="M199" s="375" t="s">
        <v>51</v>
      </c>
      <c r="N199" s="254"/>
      <c r="U199" s="255"/>
      <c r="Y199" s="134" t="s">
        <v>29</v>
      </c>
      <c r="Z199" s="31" t="s">
        <v>29</v>
      </c>
      <c r="AA199" s="27"/>
      <c r="AB199" s="254"/>
      <c r="AC199" s="31" t="s">
        <v>29</v>
      </c>
      <c r="AD199" s="31" t="s">
        <v>28</v>
      </c>
      <c r="AG199" s="162"/>
      <c r="AH199" s="160"/>
      <c r="AI199" s="294" t="e">
        <f>VLOOKUP(AI188,#REF!,12,0)</f>
        <v>#REF!</v>
      </c>
      <c r="AJ199" s="32">
        <v>43517</v>
      </c>
      <c r="AK199" s="32">
        <v>43517</v>
      </c>
      <c r="AL199" s="32">
        <v>43517</v>
      </c>
      <c r="AM199" s="32"/>
      <c r="AN199" s="247"/>
      <c r="AO199" s="32">
        <v>43490</v>
      </c>
      <c r="AP199" s="32">
        <v>43490</v>
      </c>
    </row>
    <row r="200" spans="1:42" ht="14.25" customHeight="1">
      <c r="A200" s="146" t="s">
        <v>10</v>
      </c>
      <c r="B200" s="255"/>
      <c r="F200" s="360" t="s">
        <v>497</v>
      </c>
      <c r="G200" s="254"/>
      <c r="H200" s="27"/>
      <c r="I200" s="27"/>
      <c r="J200" s="27"/>
      <c r="K200" s="27"/>
      <c r="L200" s="27"/>
      <c r="M200" s="403" t="s">
        <v>497</v>
      </c>
      <c r="N200" s="254"/>
      <c r="S200" s="27"/>
      <c r="U200" s="255"/>
      <c r="Y200" s="132"/>
      <c r="Z200" s="27"/>
      <c r="AA200" s="27"/>
      <c r="AB200" s="254"/>
      <c r="AC200" s="27"/>
      <c r="AE200" s="428"/>
      <c r="AF200" s="428"/>
      <c r="AG200" s="162"/>
      <c r="AH200" s="160"/>
      <c r="AI200" s="295" t="e">
        <f>VLOOKUP(AI188,#REF!,13,0)</f>
        <v>#REF!</v>
      </c>
      <c r="AJ200" s="31" t="s">
        <v>73</v>
      </c>
      <c r="AK200" s="31" t="s">
        <v>29</v>
      </c>
      <c r="AL200" s="31" t="s">
        <v>29</v>
      </c>
      <c r="AM200" s="31"/>
      <c r="AN200" s="296"/>
      <c r="AO200" s="31" t="s">
        <v>29</v>
      </c>
      <c r="AP200" s="31" t="s">
        <v>29</v>
      </c>
    </row>
    <row r="201" spans="1:42" ht="15.75">
      <c r="A201" s="147" t="s">
        <v>11</v>
      </c>
      <c r="B201" s="255"/>
      <c r="F201" s="356" t="s">
        <v>472</v>
      </c>
      <c r="G201" s="254"/>
      <c r="H201" s="27"/>
      <c r="I201" s="27"/>
      <c r="J201" s="27"/>
      <c r="K201" s="27"/>
      <c r="L201" s="27"/>
      <c r="M201" s="357" t="s">
        <v>442</v>
      </c>
      <c r="N201" s="254"/>
      <c r="S201" s="27"/>
      <c r="U201" s="255"/>
      <c r="Y201" s="132"/>
      <c r="Z201" s="27"/>
      <c r="AA201" s="27"/>
      <c r="AB201" s="254"/>
      <c r="AC201" s="27"/>
      <c r="AE201" s="428"/>
      <c r="AF201" s="428"/>
      <c r="AG201" s="162"/>
      <c r="AH201" s="160"/>
      <c r="AI201" s="290" t="s">
        <v>422</v>
      </c>
      <c r="AJ201" s="286" t="s">
        <v>422</v>
      </c>
      <c r="AK201" s="27"/>
      <c r="AL201" s="286" t="s">
        <v>422</v>
      </c>
      <c r="AM201" s="286"/>
      <c r="AN201" s="242"/>
      <c r="AO201" s="158"/>
      <c r="AP201" s="306" t="s">
        <v>497</v>
      </c>
    </row>
    <row r="202" spans="1:42" ht="15.75">
      <c r="A202" s="148" t="s">
        <v>12</v>
      </c>
      <c r="B202" s="255"/>
      <c r="F202" s="21" t="str">
        <f>VLOOKUP(F201,'[2]2019-02'!$A$3:$G$1657,7,0)</f>
        <v>12/21</v>
      </c>
      <c r="G202" s="254"/>
      <c r="H202" s="27"/>
      <c r="I202" s="27"/>
      <c r="J202" s="27"/>
      <c r="K202" s="27"/>
      <c r="L202" s="27"/>
      <c r="M202" s="21" t="str">
        <f>VLOOKUP(M201,'[2]2019-02'!$A$3:$G$1657,7,0)</f>
        <v>12/20</v>
      </c>
      <c r="N202" s="274"/>
      <c r="S202" s="27"/>
      <c r="U202" s="255"/>
      <c r="Y202" s="132"/>
      <c r="Z202" s="27"/>
      <c r="AA202" s="27"/>
      <c r="AB202" s="254"/>
      <c r="AC202" s="27"/>
      <c r="AE202" s="428"/>
      <c r="AF202" s="428"/>
      <c r="AG202" s="162"/>
      <c r="AH202" s="160"/>
      <c r="AI202" s="287" t="s">
        <v>437</v>
      </c>
      <c r="AJ202" s="87" t="s">
        <v>438</v>
      </c>
      <c r="AK202" s="27"/>
      <c r="AL202" s="87" t="s">
        <v>440</v>
      </c>
      <c r="AM202" s="87"/>
      <c r="AN202" s="244"/>
      <c r="AO202" s="158"/>
      <c r="AP202" s="93" t="s">
        <v>435</v>
      </c>
    </row>
    <row r="203" spans="1:42" ht="15.75">
      <c r="A203" s="149" t="s">
        <v>13</v>
      </c>
      <c r="B203" s="255"/>
      <c r="F203" s="358" t="s">
        <v>85</v>
      </c>
      <c r="G203" s="254"/>
      <c r="H203" s="27"/>
      <c r="I203" s="27"/>
      <c r="J203" s="27"/>
      <c r="K203" s="27"/>
      <c r="L203" s="27"/>
      <c r="M203" s="359" t="s">
        <v>85</v>
      </c>
      <c r="N203" s="254"/>
      <c r="S203" s="27"/>
      <c r="U203" s="255"/>
      <c r="Y203" s="132"/>
      <c r="Z203" s="27"/>
      <c r="AA203" s="27"/>
      <c r="AB203" s="254"/>
      <c r="AC203" s="27"/>
      <c r="AE203" s="428"/>
      <c r="AF203" s="428"/>
      <c r="AG203" s="162"/>
      <c r="AH203" s="160"/>
      <c r="AI203" s="288"/>
      <c r="AJ203" s="277"/>
      <c r="AK203" s="27"/>
      <c r="AL203" s="277"/>
      <c r="AM203" s="277"/>
      <c r="AN203" s="289"/>
      <c r="AO203" s="158"/>
      <c r="AP203" s="49" t="s">
        <v>489</v>
      </c>
    </row>
    <row r="204" spans="1:42" ht="15.75">
      <c r="A204" s="150" t="s">
        <v>15</v>
      </c>
      <c r="B204" s="255"/>
      <c r="F204" s="360" t="s">
        <v>49</v>
      </c>
      <c r="G204" s="254"/>
      <c r="H204" s="27"/>
      <c r="I204" s="27"/>
      <c r="J204" s="27"/>
      <c r="K204" s="27"/>
      <c r="L204" s="27"/>
      <c r="M204" s="361" t="s">
        <v>49</v>
      </c>
      <c r="N204" s="254"/>
      <c r="S204" s="27"/>
      <c r="U204" s="255"/>
      <c r="Y204" s="132"/>
      <c r="Z204" s="27"/>
      <c r="AA204" s="27"/>
      <c r="AB204" s="254"/>
      <c r="AC204" s="27"/>
      <c r="AE204" s="428"/>
      <c r="AF204" s="428"/>
      <c r="AG204" s="162"/>
      <c r="AH204" s="160"/>
      <c r="AI204" s="287"/>
      <c r="AJ204" s="87"/>
      <c r="AK204" s="27"/>
      <c r="AL204" s="87"/>
      <c r="AM204" s="87"/>
      <c r="AN204" s="244"/>
      <c r="AO204" s="158"/>
      <c r="AP204" s="19" t="s">
        <v>85</v>
      </c>
    </row>
    <row r="205" spans="1:42" ht="15.75">
      <c r="A205" s="151" t="s">
        <v>17</v>
      </c>
      <c r="B205" s="255"/>
      <c r="F205" s="362" t="s">
        <v>419</v>
      </c>
      <c r="G205" s="254"/>
      <c r="H205" s="27"/>
      <c r="I205" s="27"/>
      <c r="J205" s="27"/>
      <c r="K205" s="27"/>
      <c r="L205" s="27"/>
      <c r="M205" s="363" t="s">
        <v>419</v>
      </c>
      <c r="N205" s="254"/>
      <c r="S205" s="27"/>
      <c r="U205" s="255"/>
      <c r="Y205" s="132"/>
      <c r="Z205" s="27"/>
      <c r="AA205" s="27"/>
      <c r="AB205" s="254"/>
      <c r="AC205" s="27"/>
      <c r="AE205" s="428"/>
      <c r="AF205" s="428"/>
      <c r="AG205" s="162"/>
      <c r="AH205" s="160"/>
      <c r="AI205" s="290" t="s">
        <v>49</v>
      </c>
      <c r="AJ205" s="286" t="s">
        <v>49</v>
      </c>
      <c r="AK205" s="27"/>
      <c r="AL205" s="286" t="s">
        <v>49</v>
      </c>
      <c r="AM205" s="286"/>
      <c r="AN205" s="242"/>
      <c r="AO205" s="158"/>
      <c r="AP205" s="304" t="s">
        <v>49</v>
      </c>
    </row>
    <row r="206" spans="1:42" ht="12.75" customHeight="1">
      <c r="A206" s="152" t="s">
        <v>18</v>
      </c>
      <c r="B206" s="255"/>
      <c r="F206" s="364"/>
      <c r="G206" s="254"/>
      <c r="H206" s="27"/>
      <c r="I206" s="27"/>
      <c r="J206" s="27"/>
      <c r="K206" s="27"/>
      <c r="L206" s="27"/>
      <c r="M206" s="365"/>
      <c r="N206" s="254"/>
      <c r="S206" s="27"/>
      <c r="U206" s="255"/>
      <c r="Y206" s="132"/>
      <c r="Z206" s="27"/>
      <c r="AA206" s="27"/>
      <c r="AB206" s="254"/>
      <c r="AC206" s="27"/>
      <c r="AE206" s="428"/>
      <c r="AF206" s="428"/>
      <c r="AG206" s="162"/>
      <c r="AH206" s="160"/>
      <c r="AI206" s="291" t="s">
        <v>419</v>
      </c>
      <c r="AJ206" s="272" t="s">
        <v>419</v>
      </c>
      <c r="AK206" s="27"/>
      <c r="AL206" s="272" t="s">
        <v>419</v>
      </c>
      <c r="AM206" s="272"/>
      <c r="AN206" s="292"/>
      <c r="AO206" s="158"/>
      <c r="AP206" s="272" t="s">
        <v>419</v>
      </c>
    </row>
    <row r="207" spans="1:42" ht="15.75">
      <c r="A207" s="146" t="s">
        <v>20</v>
      </c>
      <c r="B207" s="255"/>
      <c r="F207" s="366"/>
      <c r="G207" s="254"/>
      <c r="H207" s="27"/>
      <c r="I207" s="27"/>
      <c r="J207" s="27"/>
      <c r="K207" s="27"/>
      <c r="L207" s="27"/>
      <c r="M207" s="367"/>
      <c r="N207" s="254"/>
      <c r="S207" s="27"/>
      <c r="U207" s="255"/>
      <c r="Y207" s="132"/>
      <c r="Z207" s="27"/>
      <c r="AA207" s="27"/>
      <c r="AB207" s="254"/>
      <c r="AC207" s="27"/>
      <c r="AE207" s="428"/>
      <c r="AF207" s="428"/>
      <c r="AG207" s="162"/>
      <c r="AH207" s="160"/>
      <c r="AI207" s="287"/>
      <c r="AJ207" s="87"/>
      <c r="AK207" s="27"/>
      <c r="AL207" s="87"/>
      <c r="AM207" s="87"/>
      <c r="AN207" s="244"/>
      <c r="AO207" s="158"/>
      <c r="AP207" s="23"/>
    </row>
    <row r="208" spans="1:42" ht="15.75">
      <c r="A208" s="153" t="s">
        <v>21</v>
      </c>
      <c r="B208" s="255"/>
      <c r="F208" s="368" t="s">
        <v>427</v>
      </c>
      <c r="G208" s="254"/>
      <c r="H208" s="27"/>
      <c r="I208" s="27"/>
      <c r="J208" s="27"/>
      <c r="K208" s="27"/>
      <c r="L208" s="27"/>
      <c r="M208" s="369" t="s">
        <v>427</v>
      </c>
      <c r="N208" s="254"/>
      <c r="S208" s="27"/>
      <c r="U208" s="255"/>
      <c r="Y208" s="132"/>
      <c r="Z208" s="27"/>
      <c r="AA208" s="27"/>
      <c r="AB208" s="254"/>
      <c r="AC208" s="27"/>
      <c r="AE208" s="428"/>
      <c r="AF208" s="428"/>
      <c r="AG208" s="162"/>
      <c r="AH208" s="160"/>
      <c r="AI208" s="287"/>
      <c r="AJ208" s="87"/>
      <c r="AK208" s="27"/>
      <c r="AL208" s="87"/>
      <c r="AM208" s="87"/>
      <c r="AN208" s="244"/>
      <c r="AO208" s="158"/>
      <c r="AP208" s="182"/>
    </row>
    <row r="209" spans="1:42" ht="15.75">
      <c r="A209" s="154" t="s">
        <v>22</v>
      </c>
      <c r="B209" s="255"/>
      <c r="F209" s="370"/>
      <c r="G209" s="254"/>
      <c r="H209" s="27"/>
      <c r="I209" s="27"/>
      <c r="J209" s="27"/>
      <c r="K209" s="27"/>
      <c r="L209" s="27"/>
      <c r="M209" s="371"/>
      <c r="N209" s="254"/>
      <c r="S209" s="27"/>
      <c r="U209" s="255"/>
      <c r="Y209" s="132"/>
      <c r="Z209" s="27"/>
      <c r="AA209" s="27"/>
      <c r="AB209" s="254"/>
      <c r="AC209" s="27"/>
      <c r="AE209" s="428"/>
      <c r="AF209" s="428"/>
      <c r="AG209" s="162"/>
      <c r="AH209" s="160"/>
      <c r="AI209" s="293" t="s">
        <v>421</v>
      </c>
      <c r="AJ209" s="94" t="s">
        <v>421</v>
      </c>
      <c r="AK209" s="27"/>
      <c r="AL209" s="94" t="s">
        <v>424</v>
      </c>
      <c r="AM209" s="94"/>
      <c r="AN209" s="245"/>
      <c r="AO209" s="158"/>
      <c r="AP209" s="94" t="s">
        <v>424</v>
      </c>
    </row>
    <row r="210" spans="1:42" ht="15.75">
      <c r="A210" s="153" t="s">
        <v>23</v>
      </c>
      <c r="B210" s="255"/>
      <c r="F210" s="360">
        <v>2004</v>
      </c>
      <c r="G210" s="254"/>
      <c r="H210" s="27"/>
      <c r="I210" s="27"/>
      <c r="J210" s="27"/>
      <c r="K210" s="27"/>
      <c r="L210" s="27"/>
      <c r="M210" s="361">
        <v>10008</v>
      </c>
      <c r="N210" s="254"/>
      <c r="S210" s="27"/>
      <c r="U210" s="255"/>
      <c r="Y210" s="132"/>
      <c r="Z210" s="27"/>
      <c r="AA210" s="27"/>
      <c r="AB210" s="254"/>
      <c r="AC210" s="27"/>
      <c r="AE210" s="428"/>
      <c r="AF210" s="428"/>
      <c r="AG210" s="162"/>
      <c r="AH210" s="160"/>
      <c r="AI210" s="287"/>
      <c r="AJ210" s="87"/>
      <c r="AK210" s="27"/>
      <c r="AL210" s="27"/>
      <c r="AM210" s="27"/>
      <c r="AN210" s="246"/>
      <c r="AO210" s="158"/>
      <c r="AP210" s="27"/>
    </row>
    <row r="211" spans="1:42" ht="13.5" customHeight="1">
      <c r="A211" s="155" t="s">
        <v>24</v>
      </c>
      <c r="B211" s="255"/>
      <c r="F211" s="29" t="s">
        <v>678</v>
      </c>
      <c r="G211" s="254"/>
      <c r="H211" s="27"/>
      <c r="I211" s="27"/>
      <c r="J211" s="27"/>
      <c r="K211" s="27"/>
      <c r="L211" s="27"/>
      <c r="M211" s="29">
        <v>-6360</v>
      </c>
      <c r="N211" s="254"/>
      <c r="S211" s="27"/>
      <c r="U211" s="255"/>
      <c r="Y211" s="132"/>
      <c r="Z211" s="27"/>
      <c r="AA211" s="27"/>
      <c r="AB211" s="254"/>
      <c r="AC211" s="27"/>
      <c r="AE211" s="428"/>
      <c r="AF211" s="428"/>
      <c r="AG211" s="162"/>
      <c r="AH211" s="160"/>
      <c r="AI211" s="290">
        <v>444</v>
      </c>
      <c r="AJ211" s="286">
        <v>1860</v>
      </c>
      <c r="AK211" s="27"/>
      <c r="AL211" s="286">
        <v>1104</v>
      </c>
      <c r="AM211" s="286"/>
      <c r="AN211" s="242"/>
      <c r="AO211" s="158"/>
      <c r="AP211" s="304">
        <v>912</v>
      </c>
    </row>
    <row r="212" spans="1:42" ht="15.75">
      <c r="A212" s="128" t="s">
        <v>25</v>
      </c>
      <c r="B212" s="255"/>
      <c r="F212" s="372">
        <v>43512</v>
      </c>
      <c r="G212" s="254"/>
      <c r="H212" s="27"/>
      <c r="I212" s="27"/>
      <c r="J212" s="27"/>
      <c r="K212" s="27"/>
      <c r="L212" s="27"/>
      <c r="M212" s="373">
        <v>43512</v>
      </c>
      <c r="N212" s="254"/>
      <c r="S212" s="27"/>
      <c r="U212" s="255"/>
      <c r="Y212" s="132"/>
      <c r="Z212" s="27"/>
      <c r="AA212" s="27"/>
      <c r="AB212" s="254"/>
      <c r="AC212" s="27"/>
      <c r="AE212" s="428"/>
      <c r="AF212" s="428"/>
      <c r="AG212" s="162"/>
      <c r="AH212" s="160"/>
      <c r="AI212" s="287"/>
      <c r="AJ212" s="87"/>
      <c r="AK212" s="27"/>
      <c r="AL212" s="87"/>
      <c r="AM212" s="87"/>
      <c r="AN212" s="244"/>
      <c r="AO212" s="158"/>
      <c r="AP212" s="30"/>
    </row>
    <row r="213" spans="1:42" ht="15.75">
      <c r="A213" s="146" t="s">
        <v>27</v>
      </c>
      <c r="B213" s="255"/>
      <c r="F213" s="376" t="s">
        <v>28</v>
      </c>
      <c r="G213" s="377"/>
      <c r="H213" s="378"/>
      <c r="I213" s="378"/>
      <c r="J213" s="378"/>
      <c r="K213" s="378"/>
      <c r="L213" s="378"/>
      <c r="M213" s="379" t="s">
        <v>28</v>
      </c>
      <c r="N213" s="254"/>
      <c r="S213" s="27"/>
      <c r="U213" s="255"/>
      <c r="Y213" s="132"/>
      <c r="Z213" s="27"/>
      <c r="AA213" s="27"/>
      <c r="AB213" s="254"/>
      <c r="AC213" s="27"/>
      <c r="AE213" s="428"/>
      <c r="AF213" s="428"/>
      <c r="AG213" s="162"/>
      <c r="AH213" s="160"/>
      <c r="AI213" s="294" t="e">
        <f>VLOOKUP(AI202,#REF!,12,0)</f>
        <v>#REF!</v>
      </c>
      <c r="AJ213" s="32">
        <v>43519</v>
      </c>
      <c r="AK213" s="27"/>
      <c r="AL213" s="32">
        <v>43483</v>
      </c>
      <c r="AM213" s="32"/>
      <c r="AN213" s="247"/>
      <c r="AO213" s="158"/>
      <c r="AP213" s="32">
        <v>43519</v>
      </c>
    </row>
    <row r="214" spans="1:42">
      <c r="A214" s="146" t="s">
        <v>10</v>
      </c>
      <c r="B214" s="255"/>
      <c r="G214" s="254"/>
      <c r="M214" s="27"/>
      <c r="N214" s="254"/>
      <c r="O214" s="27"/>
      <c r="P214" s="27"/>
      <c r="T214" s="27"/>
      <c r="U214" s="255"/>
      <c r="Y214" s="132"/>
      <c r="Z214" s="27"/>
      <c r="AA214" s="27"/>
      <c r="AB214" s="254"/>
      <c r="AC214" s="27"/>
      <c r="AE214" s="428"/>
      <c r="AF214" s="428"/>
      <c r="AG214" s="162"/>
      <c r="AH214" s="160"/>
      <c r="AI214" s="295" t="e">
        <f>VLOOKUP(AI202,#REF!,13,0)</f>
        <v>#REF!</v>
      </c>
      <c r="AJ214" s="31" t="s">
        <v>73</v>
      </c>
      <c r="AK214" s="27"/>
      <c r="AL214" s="31" t="s">
        <v>29</v>
      </c>
      <c r="AM214" s="31"/>
      <c r="AN214" s="296"/>
      <c r="AO214" s="158"/>
      <c r="AP214" s="31" t="s">
        <v>29</v>
      </c>
    </row>
    <row r="215" spans="1:42" ht="15.75">
      <c r="A215" s="147" t="s">
        <v>11</v>
      </c>
      <c r="B215" s="255"/>
      <c r="G215" s="254"/>
      <c r="N215" s="255"/>
      <c r="T215" s="27"/>
      <c r="U215" s="255"/>
      <c r="Y215" s="132"/>
      <c r="Z215" s="27"/>
      <c r="AA215" s="27"/>
      <c r="AB215" s="254"/>
      <c r="AC215" s="27"/>
      <c r="AE215" s="428"/>
      <c r="AF215" s="428"/>
      <c r="AG215" s="162"/>
      <c r="AH215" s="160"/>
      <c r="AI215" s="290" t="s">
        <v>422</v>
      </c>
      <c r="AJ215" s="27"/>
      <c r="AK215" s="27"/>
      <c r="AL215" s="166"/>
      <c r="AM215" s="286"/>
      <c r="AN215" s="242"/>
    </row>
    <row r="216" spans="1:42" ht="15.75">
      <c r="A216" s="148" t="s">
        <v>12</v>
      </c>
      <c r="B216" s="255"/>
      <c r="G216" s="254"/>
      <c r="N216" s="275"/>
      <c r="T216" s="27"/>
      <c r="U216" s="255"/>
      <c r="Y216" s="132"/>
      <c r="Z216" s="27"/>
      <c r="AA216" s="27"/>
      <c r="AB216" s="254"/>
      <c r="AC216" s="27"/>
      <c r="AE216" s="428"/>
      <c r="AF216" s="428"/>
      <c r="AG216" s="162"/>
      <c r="AH216" s="160"/>
      <c r="AI216" s="287" t="s">
        <v>432</v>
      </c>
      <c r="AJ216" s="27"/>
      <c r="AK216" s="27"/>
      <c r="AL216" s="166"/>
      <c r="AM216" s="87"/>
      <c r="AN216" s="244"/>
    </row>
    <row r="217" spans="1:42" ht="15.75">
      <c r="A217" s="149" t="s">
        <v>13</v>
      </c>
      <c r="B217" s="255"/>
      <c r="G217" s="254"/>
      <c r="N217" s="255"/>
      <c r="T217" s="27"/>
      <c r="U217" s="255"/>
      <c r="Y217" s="132"/>
      <c r="Z217" s="27"/>
      <c r="AA217" s="27"/>
      <c r="AB217" s="254"/>
      <c r="AC217" s="27"/>
      <c r="AE217" s="428"/>
      <c r="AF217" s="428"/>
      <c r="AG217" s="162"/>
      <c r="AH217" s="160"/>
      <c r="AI217" s="288"/>
      <c r="AJ217" s="27"/>
      <c r="AK217" s="27"/>
      <c r="AL217" s="166"/>
      <c r="AM217" s="277"/>
      <c r="AN217" s="289"/>
    </row>
    <row r="218" spans="1:42" ht="15.75">
      <c r="A218" s="150" t="s">
        <v>15</v>
      </c>
      <c r="B218" s="255"/>
      <c r="G218" s="254"/>
      <c r="N218" s="255"/>
      <c r="T218" s="27"/>
      <c r="U218" s="255"/>
      <c r="Y218" s="132"/>
      <c r="Z218" s="27"/>
      <c r="AA218" s="27"/>
      <c r="AB218" s="254"/>
      <c r="AC218" s="27"/>
      <c r="AE218" s="428"/>
      <c r="AF218" s="428"/>
      <c r="AG218" s="162"/>
      <c r="AH218" s="160"/>
      <c r="AI218" s="290" t="s">
        <v>49</v>
      </c>
      <c r="AJ218" s="27"/>
      <c r="AK218" s="27"/>
      <c r="AL218" s="166"/>
      <c r="AM218" s="286"/>
      <c r="AN218" s="242"/>
    </row>
    <row r="219" spans="1:42" ht="15.75">
      <c r="A219" s="151" t="s">
        <v>17</v>
      </c>
      <c r="B219" s="255"/>
      <c r="G219" s="254"/>
      <c r="N219" s="255"/>
      <c r="T219" s="27"/>
      <c r="U219" s="255"/>
      <c r="Y219" s="132"/>
      <c r="Z219" s="27"/>
      <c r="AA219" s="27"/>
      <c r="AB219" s="254"/>
      <c r="AC219" s="27"/>
      <c r="AE219" s="428"/>
      <c r="AF219" s="428"/>
      <c r="AG219" s="162"/>
      <c r="AH219" s="160"/>
      <c r="AI219" s="291" t="s">
        <v>419</v>
      </c>
      <c r="AJ219" s="27"/>
      <c r="AK219" s="27"/>
      <c r="AL219" s="166"/>
      <c r="AM219" s="272"/>
      <c r="AN219" s="292"/>
    </row>
    <row r="220" spans="1:42" ht="12.75" customHeight="1">
      <c r="A220" s="152" t="s">
        <v>18</v>
      </c>
      <c r="B220" s="255"/>
      <c r="G220" s="254"/>
      <c r="N220" s="255"/>
      <c r="T220" s="27"/>
      <c r="U220" s="255"/>
      <c r="Y220" s="132"/>
      <c r="Z220" s="27"/>
      <c r="AA220" s="27"/>
      <c r="AB220" s="254"/>
      <c r="AC220" s="27"/>
      <c r="AE220" s="428"/>
      <c r="AF220" s="428"/>
      <c r="AG220" s="162"/>
      <c r="AH220" s="160"/>
      <c r="AI220" s="287"/>
      <c r="AJ220" s="27"/>
      <c r="AK220" s="27"/>
      <c r="AL220" s="166"/>
      <c r="AM220" s="87"/>
      <c r="AN220" s="244"/>
    </row>
    <row r="221" spans="1:42">
      <c r="A221" s="146" t="s">
        <v>20</v>
      </c>
      <c r="B221" s="255"/>
      <c r="G221" s="254"/>
      <c r="N221" s="255"/>
      <c r="T221" s="27"/>
      <c r="U221" s="255"/>
      <c r="Y221" s="132"/>
      <c r="Z221" s="27"/>
      <c r="AA221" s="27"/>
      <c r="AB221" s="254"/>
      <c r="AC221" s="27"/>
      <c r="AE221" s="428"/>
      <c r="AF221" s="428"/>
      <c r="AG221" s="162"/>
      <c r="AH221" s="160"/>
      <c r="AI221" s="287"/>
      <c r="AJ221" s="27"/>
      <c r="AK221" s="27"/>
      <c r="AL221" s="166"/>
      <c r="AM221" s="87"/>
      <c r="AN221" s="244"/>
    </row>
    <row r="222" spans="1:42" ht="15.75">
      <c r="A222" s="153" t="s">
        <v>21</v>
      </c>
      <c r="B222" s="255"/>
      <c r="G222" s="254"/>
      <c r="N222" s="255"/>
      <c r="T222" s="27"/>
      <c r="U222" s="255"/>
      <c r="Y222" s="132"/>
      <c r="Z222" s="27"/>
      <c r="AA222" s="27"/>
      <c r="AB222" s="254"/>
      <c r="AC222" s="27"/>
      <c r="AE222" s="428"/>
      <c r="AF222" s="428"/>
      <c r="AG222" s="162"/>
      <c r="AH222" s="160"/>
      <c r="AI222" s="293" t="s">
        <v>421</v>
      </c>
      <c r="AJ222" s="27"/>
      <c r="AK222" s="27"/>
      <c r="AL222" s="166"/>
      <c r="AM222" s="94"/>
      <c r="AN222" s="245"/>
    </row>
    <row r="223" spans="1:42">
      <c r="A223" s="154" t="s">
        <v>22</v>
      </c>
      <c r="B223" s="255"/>
      <c r="G223" s="254"/>
      <c r="N223" s="255"/>
      <c r="T223" s="27"/>
      <c r="U223" s="255"/>
      <c r="Y223" s="132"/>
      <c r="Z223" s="27"/>
      <c r="AA223" s="27"/>
      <c r="AB223" s="254"/>
      <c r="AC223" s="27"/>
      <c r="AE223" s="428"/>
      <c r="AF223" s="428"/>
      <c r="AG223" s="162"/>
      <c r="AH223" s="160"/>
      <c r="AI223" s="287"/>
      <c r="AJ223" s="27"/>
      <c r="AK223" s="27"/>
      <c r="AL223" s="166"/>
      <c r="AM223" s="27"/>
      <c r="AN223" s="246"/>
    </row>
    <row r="224" spans="1:42" ht="15.75">
      <c r="A224" s="153" t="s">
        <v>23</v>
      </c>
      <c r="B224" s="255"/>
      <c r="G224" s="254"/>
      <c r="N224" s="255"/>
      <c r="T224" s="27"/>
      <c r="U224" s="255"/>
      <c r="Y224" s="132"/>
      <c r="Z224" s="27"/>
      <c r="AA224" s="27"/>
      <c r="AB224" s="254"/>
      <c r="AC224" s="27"/>
      <c r="AE224" s="428"/>
      <c r="AF224" s="428"/>
      <c r="AG224" s="162"/>
      <c r="AH224" s="160"/>
      <c r="AI224" s="290">
        <v>636</v>
      </c>
      <c r="AJ224" s="27"/>
      <c r="AK224" s="27"/>
      <c r="AL224" s="166"/>
      <c r="AM224" s="286"/>
      <c r="AN224" s="242"/>
    </row>
    <row r="225" spans="1:40" ht="14.25" customHeight="1">
      <c r="A225" s="155" t="s">
        <v>24</v>
      </c>
      <c r="B225" s="255"/>
      <c r="G225" s="254"/>
      <c r="N225" s="255"/>
      <c r="T225" s="27"/>
      <c r="U225" s="255"/>
      <c r="Y225" s="132"/>
      <c r="Z225" s="27"/>
      <c r="AA225" s="27"/>
      <c r="AB225" s="254"/>
      <c r="AC225" s="27"/>
      <c r="AE225" s="428"/>
      <c r="AF225" s="428"/>
      <c r="AG225" s="162"/>
      <c r="AH225" s="160"/>
      <c r="AI225" s="287"/>
      <c r="AJ225" s="27"/>
      <c r="AK225" s="27"/>
      <c r="AL225" s="166"/>
      <c r="AM225" s="87"/>
      <c r="AN225" s="244"/>
    </row>
    <row r="226" spans="1:40" ht="15.75">
      <c r="A226" s="128" t="s">
        <v>25</v>
      </c>
      <c r="B226" s="255"/>
      <c r="G226" s="254"/>
      <c r="N226" s="255"/>
      <c r="T226" s="27"/>
      <c r="U226" s="255"/>
      <c r="Y226" s="132"/>
      <c r="Z226" s="27"/>
      <c r="AA226" s="27"/>
      <c r="AB226" s="254"/>
      <c r="AC226" s="27"/>
      <c r="AE226" s="428"/>
      <c r="AF226" s="428"/>
      <c r="AG226" s="162"/>
      <c r="AH226" s="160"/>
      <c r="AI226" s="294" t="e">
        <f>VLOOKUP(AI216,#REF!,12,0)</f>
        <v>#REF!</v>
      </c>
      <c r="AJ226" s="27"/>
      <c r="AK226" s="27"/>
      <c r="AL226" s="166"/>
      <c r="AM226" s="32"/>
      <c r="AN226" s="247"/>
    </row>
    <row r="227" spans="1:40">
      <c r="A227" s="146" t="s">
        <v>27</v>
      </c>
      <c r="B227" s="255"/>
      <c r="G227" s="254"/>
      <c r="J227" s="163"/>
      <c r="N227" s="255"/>
      <c r="T227" s="27"/>
      <c r="U227" s="255"/>
      <c r="Y227" s="132"/>
      <c r="Z227" s="27"/>
      <c r="AA227" s="27"/>
      <c r="AB227" s="254"/>
      <c r="AC227" s="163"/>
      <c r="AE227" s="428"/>
      <c r="AF227" s="276"/>
      <c r="AG227" s="162"/>
      <c r="AH227" s="160"/>
      <c r="AI227" s="295" t="e">
        <f>VLOOKUP(AI216,#REF!,13,0)</f>
        <v>#REF!</v>
      </c>
      <c r="AJ227" s="27"/>
      <c r="AK227" s="27"/>
      <c r="AL227" s="50"/>
      <c r="AM227" s="31"/>
      <c r="AN227" s="296"/>
    </row>
    <row r="228" spans="1:40" ht="15.75">
      <c r="A228" s="146" t="s">
        <v>10</v>
      </c>
      <c r="B228" s="255"/>
      <c r="G228" s="254"/>
      <c r="J228" s="27"/>
      <c r="M228" s="163"/>
      <c r="N228" s="255"/>
      <c r="T228" s="163"/>
      <c r="U228" s="255"/>
      <c r="V228" s="160"/>
      <c r="W228" s="160"/>
      <c r="Y228" s="132"/>
      <c r="Z228" s="27"/>
      <c r="AA228" s="27"/>
      <c r="AB228" s="254"/>
      <c r="AC228" s="163"/>
      <c r="AE228" s="428"/>
      <c r="AF228" s="276"/>
      <c r="AG228" s="162"/>
      <c r="AH228" s="160"/>
      <c r="AI228" s="290" t="s">
        <v>422</v>
      </c>
      <c r="AJ228" s="27"/>
      <c r="AK228" s="27"/>
      <c r="AL228" s="166"/>
      <c r="AM228" s="286"/>
      <c r="AN228" s="246"/>
    </row>
    <row r="229" spans="1:40">
      <c r="A229" s="147" t="s">
        <v>11</v>
      </c>
      <c r="B229" s="255"/>
      <c r="G229" s="254"/>
      <c r="J229" s="27"/>
      <c r="M229" s="163"/>
      <c r="N229" s="255"/>
      <c r="T229" s="163"/>
      <c r="U229" s="255"/>
      <c r="V229" s="160"/>
      <c r="W229" s="160"/>
      <c r="Y229" s="132"/>
      <c r="Z229" s="27"/>
      <c r="AA229" s="27"/>
      <c r="AB229" s="254"/>
      <c r="AC229" s="163"/>
      <c r="AE229" s="428"/>
      <c r="AF229" s="276"/>
      <c r="AG229" s="162"/>
      <c r="AH229" s="160"/>
      <c r="AI229" s="287" t="s">
        <v>430</v>
      </c>
      <c r="AJ229" s="27"/>
      <c r="AK229" s="163"/>
      <c r="AL229" s="166"/>
      <c r="AM229" s="87"/>
      <c r="AN229" s="246"/>
    </row>
    <row r="230" spans="1:40" ht="15.75">
      <c r="A230" s="148" t="s">
        <v>12</v>
      </c>
      <c r="B230" s="255"/>
      <c r="G230" s="254"/>
      <c r="J230" s="27"/>
      <c r="M230" s="163"/>
      <c r="N230" s="255"/>
      <c r="T230" s="163"/>
      <c r="U230" s="255"/>
      <c r="V230" s="160"/>
      <c r="W230" s="160"/>
      <c r="Y230" s="132"/>
      <c r="Z230" s="27"/>
      <c r="AA230" s="27"/>
      <c r="AB230" s="254"/>
      <c r="AC230" s="163"/>
      <c r="AE230" s="428"/>
      <c r="AF230" s="276"/>
      <c r="AG230" s="162"/>
      <c r="AH230" s="160"/>
      <c r="AI230" s="288"/>
      <c r="AJ230" s="27"/>
      <c r="AK230" s="163"/>
      <c r="AL230" s="166"/>
      <c r="AM230" s="277"/>
      <c r="AN230" s="246"/>
    </row>
    <row r="231" spans="1:40" ht="15.75">
      <c r="A231" s="149" t="s">
        <v>13</v>
      </c>
      <c r="B231" s="255"/>
      <c r="G231" s="254"/>
      <c r="J231" s="27"/>
      <c r="M231" s="163"/>
      <c r="N231" s="255"/>
      <c r="T231" s="163"/>
      <c r="U231" s="255"/>
      <c r="V231" s="160"/>
      <c r="W231" s="160"/>
      <c r="Y231" s="132"/>
      <c r="Z231" s="27"/>
      <c r="AA231" s="27"/>
      <c r="AB231" s="254"/>
      <c r="AC231" s="163"/>
      <c r="AE231" s="428"/>
      <c r="AF231" s="276"/>
      <c r="AG231" s="162"/>
      <c r="AH231" s="160"/>
      <c r="AI231" s="287"/>
      <c r="AJ231" s="27"/>
      <c r="AK231" s="163"/>
      <c r="AL231" s="166"/>
      <c r="AM231" s="87"/>
      <c r="AN231" s="246"/>
    </row>
    <row r="232" spans="1:40" ht="15.75">
      <c r="A232" s="150" t="s">
        <v>15</v>
      </c>
      <c r="B232" s="255"/>
      <c r="G232" s="254"/>
      <c r="J232" s="27"/>
      <c r="M232" s="163"/>
      <c r="N232" s="255"/>
      <c r="T232" s="163"/>
      <c r="U232" s="255"/>
      <c r="V232" s="160"/>
      <c r="W232" s="160"/>
      <c r="Y232" s="132"/>
      <c r="Z232" s="27"/>
      <c r="AA232" s="27"/>
      <c r="AB232" s="254"/>
      <c r="AC232" s="163"/>
      <c r="AE232" s="428"/>
      <c r="AF232" s="276"/>
      <c r="AG232" s="162"/>
      <c r="AH232" s="160"/>
      <c r="AI232" s="290" t="s">
        <v>49</v>
      </c>
      <c r="AJ232" s="27"/>
      <c r="AK232" s="163"/>
      <c r="AL232" s="166"/>
      <c r="AM232" s="286"/>
      <c r="AN232" s="246"/>
    </row>
    <row r="233" spans="1:40" ht="15.75">
      <c r="A233" s="151" t="s">
        <v>17</v>
      </c>
      <c r="B233" s="255"/>
      <c r="G233" s="254"/>
      <c r="J233" s="27"/>
      <c r="M233" s="163"/>
      <c r="N233" s="255"/>
      <c r="T233" s="163"/>
      <c r="U233" s="255"/>
      <c r="V233" s="160"/>
      <c r="W233" s="160"/>
      <c r="Y233" s="132"/>
      <c r="Z233" s="27"/>
      <c r="AA233" s="27"/>
      <c r="AB233" s="254"/>
      <c r="AC233" s="163"/>
      <c r="AE233" s="428"/>
      <c r="AF233" s="276"/>
      <c r="AG233" s="162"/>
      <c r="AH233" s="160"/>
      <c r="AI233" s="291" t="s">
        <v>419</v>
      </c>
      <c r="AJ233" s="27"/>
      <c r="AK233" s="163"/>
      <c r="AL233" s="166"/>
      <c r="AM233" s="272"/>
      <c r="AN233" s="246"/>
    </row>
    <row r="234" spans="1:40" ht="12.75" customHeight="1">
      <c r="A234" s="152" t="s">
        <v>18</v>
      </c>
      <c r="B234" s="255"/>
      <c r="G234" s="254"/>
      <c r="J234" s="27"/>
      <c r="M234" s="163"/>
      <c r="N234" s="255"/>
      <c r="T234" s="163"/>
      <c r="U234" s="255"/>
      <c r="V234" s="160"/>
      <c r="W234" s="160"/>
      <c r="Y234" s="132"/>
      <c r="Z234" s="27"/>
      <c r="AA234" s="27"/>
      <c r="AB234" s="254"/>
      <c r="AC234" s="163"/>
      <c r="AE234" s="428"/>
      <c r="AF234" s="276"/>
      <c r="AG234" s="162"/>
      <c r="AH234" s="160"/>
      <c r="AI234" s="287"/>
      <c r="AJ234" s="27"/>
      <c r="AK234" s="163"/>
      <c r="AL234" s="166"/>
      <c r="AM234" s="87"/>
      <c r="AN234" s="246"/>
    </row>
    <row r="235" spans="1:40">
      <c r="A235" s="146" t="s">
        <v>20</v>
      </c>
      <c r="B235" s="255"/>
      <c r="G235" s="254"/>
      <c r="J235" s="27"/>
      <c r="M235" s="163"/>
      <c r="N235" s="255"/>
      <c r="T235" s="163"/>
      <c r="U235" s="255"/>
      <c r="V235" s="160"/>
      <c r="W235" s="160"/>
      <c r="Y235" s="132"/>
      <c r="Z235" s="27"/>
      <c r="AA235" s="27"/>
      <c r="AB235" s="254"/>
      <c r="AC235" s="163"/>
      <c r="AE235" s="428"/>
      <c r="AF235" s="276"/>
      <c r="AG235" s="162"/>
      <c r="AH235" s="160"/>
      <c r="AI235" s="287"/>
      <c r="AJ235" s="27"/>
      <c r="AK235" s="163"/>
      <c r="AL235" s="166"/>
      <c r="AM235" s="87"/>
      <c r="AN235" s="246"/>
    </row>
    <row r="236" spans="1:40" ht="15.75">
      <c r="A236" s="153" t="s">
        <v>21</v>
      </c>
      <c r="B236" s="255"/>
      <c r="G236" s="254"/>
      <c r="J236" s="27"/>
      <c r="M236" s="163"/>
      <c r="N236" s="255"/>
      <c r="T236" s="163"/>
      <c r="U236" s="255"/>
      <c r="V236" s="160"/>
      <c r="W236" s="160"/>
      <c r="Y236" s="132"/>
      <c r="Z236" s="27"/>
      <c r="AA236" s="27"/>
      <c r="AB236" s="254"/>
      <c r="AC236" s="163"/>
      <c r="AE236" s="428"/>
      <c r="AF236" s="276"/>
      <c r="AG236" s="162"/>
      <c r="AH236" s="160"/>
      <c r="AI236" s="293" t="s">
        <v>421</v>
      </c>
      <c r="AJ236" s="27"/>
      <c r="AK236" s="163"/>
      <c r="AL236" s="166"/>
      <c r="AM236" s="94"/>
      <c r="AN236" s="246"/>
    </row>
    <row r="237" spans="1:40">
      <c r="A237" s="154" t="s">
        <v>22</v>
      </c>
      <c r="B237" s="255"/>
      <c r="G237" s="254"/>
      <c r="J237" s="27"/>
      <c r="M237" s="163"/>
      <c r="N237" s="255"/>
      <c r="T237" s="163"/>
      <c r="U237" s="255"/>
      <c r="V237" s="160"/>
      <c r="W237" s="160"/>
      <c r="Y237" s="132"/>
      <c r="Z237" s="27"/>
      <c r="AA237" s="27"/>
      <c r="AB237" s="254"/>
      <c r="AC237" s="163"/>
      <c r="AE237" s="428"/>
      <c r="AF237" s="276"/>
      <c r="AG237" s="162"/>
      <c r="AH237" s="160"/>
      <c r="AI237" s="287"/>
      <c r="AJ237" s="27"/>
      <c r="AK237" s="163"/>
      <c r="AL237" s="166"/>
      <c r="AM237" s="27"/>
      <c r="AN237" s="246"/>
    </row>
    <row r="238" spans="1:40" ht="15.75">
      <c r="A238" s="153" t="s">
        <v>23</v>
      </c>
      <c r="B238" s="255"/>
      <c r="G238" s="254"/>
      <c r="J238" s="27"/>
      <c r="M238" s="163"/>
      <c r="N238" s="255"/>
      <c r="T238" s="163"/>
      <c r="U238" s="255"/>
      <c r="V238" s="160"/>
      <c r="W238" s="160"/>
      <c r="Y238" s="132"/>
      <c r="Z238" s="27"/>
      <c r="AA238" s="27"/>
      <c r="AB238" s="254"/>
      <c r="AC238" s="163"/>
      <c r="AE238" s="428"/>
      <c r="AF238" s="276"/>
      <c r="AG238" s="162"/>
      <c r="AH238" s="160"/>
      <c r="AI238" s="290">
        <v>360</v>
      </c>
      <c r="AJ238" s="27"/>
      <c r="AK238" s="163"/>
      <c r="AL238" s="166"/>
      <c r="AM238" s="286"/>
      <c r="AN238" s="246"/>
    </row>
    <row r="239" spans="1:40" ht="12" customHeight="1">
      <c r="A239" s="155" t="s">
        <v>24</v>
      </c>
      <c r="B239" s="255"/>
      <c r="G239" s="254"/>
      <c r="J239" s="27"/>
      <c r="M239" s="163"/>
      <c r="N239" s="255"/>
      <c r="T239" s="163"/>
      <c r="U239" s="255"/>
      <c r="V239" s="160"/>
      <c r="W239" s="160"/>
      <c r="Y239" s="132"/>
      <c r="Z239" s="27"/>
      <c r="AA239" s="27"/>
      <c r="AB239" s="254"/>
      <c r="AC239" s="163"/>
      <c r="AE239" s="428"/>
      <c r="AF239" s="276"/>
      <c r="AG239" s="162"/>
      <c r="AH239" s="160"/>
      <c r="AI239" s="287"/>
      <c r="AJ239" s="27"/>
      <c r="AK239" s="163"/>
      <c r="AL239" s="166"/>
      <c r="AM239" s="87"/>
      <c r="AN239" s="246"/>
    </row>
    <row r="240" spans="1:40" ht="13.5" customHeight="1">
      <c r="A240" s="128" t="s">
        <v>25</v>
      </c>
      <c r="B240" s="255"/>
      <c r="G240" s="254"/>
      <c r="J240" s="27"/>
      <c r="M240" s="163"/>
      <c r="N240" s="255"/>
      <c r="T240" s="163"/>
      <c r="U240" s="255"/>
      <c r="V240" s="160"/>
      <c r="W240" s="160"/>
      <c r="Y240" s="132"/>
      <c r="Z240" s="27"/>
      <c r="AA240" s="27"/>
      <c r="AB240" s="254"/>
      <c r="AC240" s="163"/>
      <c r="AE240" s="428"/>
      <c r="AF240" s="276"/>
      <c r="AG240" s="162"/>
      <c r="AH240" s="160"/>
      <c r="AI240" s="294" t="e">
        <f>VLOOKUP(AI229,#REF!,12,0)</f>
        <v>#REF!</v>
      </c>
      <c r="AJ240" s="27"/>
      <c r="AK240" s="163"/>
      <c r="AL240" s="166"/>
      <c r="AM240" s="32"/>
      <c r="AN240" s="246"/>
    </row>
    <row r="241" spans="1:40" ht="15.75" thickBot="1">
      <c r="A241" s="146" t="s">
        <v>27</v>
      </c>
      <c r="B241" s="255"/>
      <c r="C241" s="160"/>
      <c r="G241" s="263"/>
      <c r="I241" s="164"/>
      <c r="J241" s="164"/>
      <c r="K241" s="164"/>
      <c r="M241" s="164"/>
      <c r="N241" s="255"/>
      <c r="O241" s="164"/>
      <c r="P241" s="160"/>
      <c r="Q241" s="160"/>
      <c r="S241" s="160"/>
      <c r="T241" s="164"/>
      <c r="U241" s="255"/>
      <c r="V241" s="160"/>
      <c r="W241" s="160"/>
      <c r="X241" s="164"/>
      <c r="Y241" s="420"/>
      <c r="Z241" s="167"/>
      <c r="AA241" s="167"/>
      <c r="AB241" s="263"/>
      <c r="AC241" s="164"/>
      <c r="AE241" s="428"/>
      <c r="AF241" s="276"/>
      <c r="AG241" s="165"/>
      <c r="AH241" s="160"/>
      <c r="AI241" s="297" t="e">
        <f>VLOOKUP(AI229,#REF!,13,0)</f>
        <v>#REF!</v>
      </c>
      <c r="AJ241" s="167"/>
      <c r="AK241" s="164"/>
      <c r="AL241" s="298"/>
      <c r="AM241" s="92"/>
      <c r="AN241" s="285"/>
    </row>
    <row r="242" spans="1:40" ht="14.25" customHeight="1" thickBot="1">
      <c r="A242" s="264" t="s">
        <v>36</v>
      </c>
      <c r="B242" s="218">
        <f t="shared" ref="B242:AF242" si="19">+B238+B224+B210+B196</f>
        <v>0</v>
      </c>
      <c r="C242" s="37">
        <f t="shared" si="19"/>
        <v>0</v>
      </c>
      <c r="D242" s="37">
        <f t="shared" si="19"/>
        <v>0</v>
      </c>
      <c r="E242" s="37">
        <f t="shared" si="19"/>
        <v>0</v>
      </c>
      <c r="F242" s="37">
        <f t="shared" si="19"/>
        <v>20004</v>
      </c>
      <c r="G242" s="37">
        <f t="shared" si="19"/>
        <v>0</v>
      </c>
      <c r="H242" s="37">
        <f t="shared" si="19"/>
        <v>0</v>
      </c>
      <c r="I242" s="37">
        <f t="shared" si="19"/>
        <v>0</v>
      </c>
      <c r="J242" s="37"/>
      <c r="K242" s="37"/>
      <c r="L242" s="37"/>
      <c r="M242" s="37">
        <f t="shared" si="19"/>
        <v>10404</v>
      </c>
      <c r="N242" s="37">
        <f t="shared" si="19"/>
        <v>0</v>
      </c>
      <c r="O242" s="37">
        <f t="shared" si="19"/>
        <v>0</v>
      </c>
      <c r="P242" s="37">
        <f t="shared" si="19"/>
        <v>0</v>
      </c>
      <c r="Q242" s="37">
        <f t="shared" si="19"/>
        <v>0</v>
      </c>
      <c r="R242" s="37">
        <f t="shared" si="19"/>
        <v>0</v>
      </c>
      <c r="S242" s="37">
        <f t="shared" si="19"/>
        <v>0</v>
      </c>
      <c r="T242" s="37">
        <f t="shared" si="19"/>
        <v>0</v>
      </c>
      <c r="U242" s="37">
        <f t="shared" si="19"/>
        <v>0</v>
      </c>
      <c r="V242" s="37">
        <f t="shared" si="19"/>
        <v>0</v>
      </c>
      <c r="W242" s="37">
        <f t="shared" si="19"/>
        <v>0</v>
      </c>
      <c r="X242" s="37">
        <f t="shared" si="19"/>
        <v>0</v>
      </c>
      <c r="Y242" s="37">
        <f t="shared" si="19"/>
        <v>1800</v>
      </c>
      <c r="Z242" s="37">
        <f t="shared" si="19"/>
        <v>3804</v>
      </c>
      <c r="AA242" s="37">
        <f t="shared" si="19"/>
        <v>0</v>
      </c>
      <c r="AB242" s="37">
        <f t="shared" si="19"/>
        <v>0</v>
      </c>
      <c r="AC242" s="37">
        <f t="shared" si="19"/>
        <v>1800</v>
      </c>
      <c r="AD242" s="37">
        <f t="shared" si="19"/>
        <v>5016</v>
      </c>
      <c r="AE242" s="37">
        <f t="shared" si="19"/>
        <v>0</v>
      </c>
      <c r="AF242" s="37">
        <f t="shared" si="19"/>
        <v>0</v>
      </c>
      <c r="AG242" s="38"/>
      <c r="AH242" s="160"/>
      <c r="AJ242" s="163"/>
      <c r="AK242" s="163"/>
    </row>
    <row r="243" spans="1:40" ht="14.25" customHeight="1" thickTop="1" thickBot="1">
      <c r="A243" s="264" t="s">
        <v>37</v>
      </c>
      <c r="B243" s="189">
        <f t="shared" ref="B243:AF243" si="20">+B244*B5</f>
        <v>0</v>
      </c>
      <c r="C243" s="40">
        <f t="shared" si="20"/>
        <v>2090</v>
      </c>
      <c r="D243" s="40">
        <f t="shared" si="20"/>
        <v>2090</v>
      </c>
      <c r="E243" s="40">
        <f t="shared" si="20"/>
        <v>1995</v>
      </c>
      <c r="F243" s="40">
        <f t="shared" si="20"/>
        <v>1680</v>
      </c>
      <c r="G243" s="39">
        <f t="shared" si="20"/>
        <v>0</v>
      </c>
      <c r="H243" s="40">
        <f t="shared" si="20"/>
        <v>1995</v>
      </c>
      <c r="I243" s="40">
        <f t="shared" si="20"/>
        <v>1995</v>
      </c>
      <c r="J243" s="40">
        <f t="shared" si="20"/>
        <v>1995</v>
      </c>
      <c r="K243" s="40">
        <f t="shared" si="20"/>
        <v>1995</v>
      </c>
      <c r="L243" s="40">
        <f t="shared" si="20"/>
        <v>1995</v>
      </c>
      <c r="M243" s="40">
        <f t="shared" si="20"/>
        <v>1680</v>
      </c>
      <c r="N243" s="39">
        <f t="shared" si="20"/>
        <v>0</v>
      </c>
      <c r="O243" s="40">
        <f t="shared" si="20"/>
        <v>1995</v>
      </c>
      <c r="P243" s="40">
        <f t="shared" si="20"/>
        <v>1995</v>
      </c>
      <c r="Q243" s="40">
        <f t="shared" si="20"/>
        <v>1995</v>
      </c>
      <c r="R243" s="40">
        <f t="shared" si="20"/>
        <v>1995</v>
      </c>
      <c r="S243" s="40">
        <f t="shared" si="20"/>
        <v>1995</v>
      </c>
      <c r="T243" s="40">
        <f t="shared" si="20"/>
        <v>1680</v>
      </c>
      <c r="U243" s="39">
        <f t="shared" si="20"/>
        <v>0</v>
      </c>
      <c r="V243" s="40">
        <f t="shared" si="20"/>
        <v>1995</v>
      </c>
      <c r="W243" s="40">
        <f t="shared" si="20"/>
        <v>1995</v>
      </c>
      <c r="X243" s="40">
        <f t="shared" si="20"/>
        <v>1995</v>
      </c>
      <c r="Y243" s="40">
        <f t="shared" si="20"/>
        <v>1995</v>
      </c>
      <c r="Z243" s="40">
        <f t="shared" si="20"/>
        <v>1995</v>
      </c>
      <c r="AA243" s="40">
        <f t="shared" si="20"/>
        <v>1680</v>
      </c>
      <c r="AB243" s="39">
        <f t="shared" si="20"/>
        <v>0</v>
      </c>
      <c r="AC243" s="40">
        <f t="shared" si="20"/>
        <v>1680</v>
      </c>
      <c r="AD243" s="40">
        <f t="shared" si="20"/>
        <v>1680</v>
      </c>
      <c r="AE243" s="40">
        <f t="shared" si="20"/>
        <v>1680</v>
      </c>
      <c r="AF243" s="40">
        <f t="shared" si="20"/>
        <v>1680</v>
      </c>
      <c r="AG243" s="41">
        <f>SUM(B243:AF243)</f>
        <v>49540</v>
      </c>
      <c r="AH243" s="160"/>
      <c r="AI243" s="160"/>
    </row>
    <row r="244" spans="1:40" ht="14.25" customHeight="1" thickTop="1" thickBot="1">
      <c r="A244" s="264" t="s">
        <v>38</v>
      </c>
      <c r="B244" s="219"/>
      <c r="C244" s="43">
        <v>220</v>
      </c>
      <c r="D244" s="43">
        <v>220</v>
      </c>
      <c r="E244" s="43">
        <v>210</v>
      </c>
      <c r="F244" s="43">
        <v>210</v>
      </c>
      <c r="G244" s="42"/>
      <c r="H244" s="43">
        <v>210</v>
      </c>
      <c r="I244" s="43">
        <v>210</v>
      </c>
      <c r="J244" s="43">
        <v>210</v>
      </c>
      <c r="K244" s="43">
        <v>210</v>
      </c>
      <c r="L244" s="43">
        <v>210</v>
      </c>
      <c r="M244" s="43">
        <v>210</v>
      </c>
      <c r="N244" s="42"/>
      <c r="O244" s="43">
        <v>210</v>
      </c>
      <c r="P244" s="43">
        <v>210</v>
      </c>
      <c r="Q244" s="43">
        <v>210</v>
      </c>
      <c r="R244" s="43">
        <v>210</v>
      </c>
      <c r="S244" s="43">
        <v>210</v>
      </c>
      <c r="T244" s="43">
        <v>210</v>
      </c>
      <c r="U244" s="42"/>
      <c r="V244" s="43">
        <v>210</v>
      </c>
      <c r="W244" s="43">
        <v>210</v>
      </c>
      <c r="X244" s="43">
        <v>210</v>
      </c>
      <c r="Y244" s="43">
        <v>210</v>
      </c>
      <c r="Z244" s="43">
        <v>210</v>
      </c>
      <c r="AA244" s="43">
        <v>210</v>
      </c>
      <c r="AB244" s="42"/>
      <c r="AC244" s="43">
        <v>210</v>
      </c>
      <c r="AD244" s="43">
        <v>210</v>
      </c>
      <c r="AE244" s="43">
        <v>210</v>
      </c>
      <c r="AF244" s="43">
        <v>210</v>
      </c>
      <c r="AG244" s="44"/>
      <c r="AH244" s="160"/>
      <c r="AI244" s="160"/>
    </row>
    <row r="245" spans="1:40" ht="14.25" customHeight="1" thickTop="1" thickBot="1">
      <c r="A245" s="217">
        <f>'T12'!AF245</f>
        <v>6834</v>
      </c>
      <c r="B245" s="189">
        <f t="shared" ref="B245:AA245" si="21">IF(A245+B242-B243&lt;0,0,A245+B242-B243)</f>
        <v>6834</v>
      </c>
      <c r="C245" s="40">
        <f t="shared" si="21"/>
        <v>4744</v>
      </c>
      <c r="D245" s="40">
        <f t="shared" si="21"/>
        <v>2654</v>
      </c>
      <c r="E245" s="40">
        <f t="shared" si="21"/>
        <v>659</v>
      </c>
      <c r="F245" s="40">
        <f t="shared" si="21"/>
        <v>18983</v>
      </c>
      <c r="G245" s="39">
        <f t="shared" si="21"/>
        <v>18983</v>
      </c>
      <c r="H245" s="40">
        <f t="shared" si="21"/>
        <v>16988</v>
      </c>
      <c r="I245" s="40">
        <f t="shared" si="21"/>
        <v>14993</v>
      </c>
      <c r="J245" s="39">
        <f>18000-228*21+1800-228*2</f>
        <v>14556</v>
      </c>
      <c r="K245" s="40">
        <f t="shared" si="21"/>
        <v>12561</v>
      </c>
      <c r="L245" s="40">
        <f t="shared" si="21"/>
        <v>10566</v>
      </c>
      <c r="M245" s="40">
        <f t="shared" si="21"/>
        <v>19290</v>
      </c>
      <c r="N245" s="39">
        <f t="shared" si="21"/>
        <v>19290</v>
      </c>
      <c r="O245" s="40">
        <f t="shared" si="21"/>
        <v>17295</v>
      </c>
      <c r="P245" s="40">
        <f t="shared" si="21"/>
        <v>15300</v>
      </c>
      <c r="Q245" s="40">
        <f t="shared" si="21"/>
        <v>13305</v>
      </c>
      <c r="R245" s="40">
        <f t="shared" si="21"/>
        <v>11310</v>
      </c>
      <c r="S245" s="40">
        <f t="shared" si="21"/>
        <v>9315</v>
      </c>
      <c r="T245" s="39">
        <f>18000-228*61+10008-228*34</f>
        <v>6348</v>
      </c>
      <c r="U245" s="39">
        <f t="shared" si="21"/>
        <v>6348</v>
      </c>
      <c r="V245" s="40">
        <f t="shared" si="21"/>
        <v>4353</v>
      </c>
      <c r="W245" s="39">
        <f>18000-228*70+10008-228*42</f>
        <v>2472</v>
      </c>
      <c r="X245" s="40"/>
      <c r="Y245" s="40"/>
      <c r="Z245" s="40">
        <f t="shared" si="21"/>
        <v>1809</v>
      </c>
      <c r="AA245" s="40">
        <f t="shared" si="21"/>
        <v>129</v>
      </c>
      <c r="AB245" s="40">
        <f t="shared" ref="AB245" si="22">IF(AA245+AB242-AB243&lt;0,0,AA245+AB242-AB243)</f>
        <v>129</v>
      </c>
      <c r="AC245" s="40">
        <f t="shared" ref="AC245:AD245" si="23">IF(AB245+AC242-AC243&lt;0,0,AB245+AC242-AC243)</f>
        <v>249</v>
      </c>
      <c r="AD245" s="40">
        <f t="shared" si="23"/>
        <v>3585</v>
      </c>
      <c r="AE245" s="40">
        <f t="shared" ref="AE245" si="24">IF(AD245+AE242-AE243&lt;0,0,AD245+AE242-AE243)</f>
        <v>1905</v>
      </c>
      <c r="AF245" s="40">
        <f t="shared" ref="AF245" si="25">IF(AE245+AF242-AF243&lt;0,0,AE245+AF242-AF243)</f>
        <v>225</v>
      </c>
      <c r="AG245" s="47">
        <f>IF(AE245+AG242-AG243&lt;0,0,AE245+AG242-AG243)</f>
        <v>0</v>
      </c>
      <c r="AH245" s="160"/>
      <c r="AI245" s="160"/>
    </row>
    <row r="246" spans="1:40" ht="12.75" customHeight="1" thickBo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160"/>
      <c r="AI246" s="160"/>
    </row>
    <row r="247" spans="1:40" ht="17.25" customHeight="1" thickTop="1" thickBot="1">
      <c r="A247" s="62" t="s">
        <v>56</v>
      </c>
      <c r="B247" s="43">
        <f t="shared" ref="B247:AF247" si="26">+B243+B183+B63+B123</f>
        <v>0</v>
      </c>
      <c r="C247" s="43">
        <f t="shared" si="26"/>
        <v>7600</v>
      </c>
      <c r="D247" s="43">
        <f t="shared" si="26"/>
        <v>7240</v>
      </c>
      <c r="E247" s="43">
        <f t="shared" si="26"/>
        <v>7885</v>
      </c>
      <c r="F247" s="43">
        <f t="shared" si="26"/>
        <v>6640</v>
      </c>
      <c r="G247" s="43">
        <f t="shared" si="26"/>
        <v>0</v>
      </c>
      <c r="H247" s="43">
        <f t="shared" si="26"/>
        <v>7885</v>
      </c>
      <c r="I247" s="43">
        <f t="shared" si="26"/>
        <v>7885</v>
      </c>
      <c r="J247" s="43">
        <f t="shared" si="26"/>
        <v>7790</v>
      </c>
      <c r="K247" s="43">
        <f t="shared" si="26"/>
        <v>7790</v>
      </c>
      <c r="L247" s="43">
        <f t="shared" si="26"/>
        <v>7790</v>
      </c>
      <c r="M247" s="43">
        <f t="shared" si="26"/>
        <v>6200</v>
      </c>
      <c r="N247" s="43">
        <f t="shared" si="26"/>
        <v>0</v>
      </c>
      <c r="O247" s="43">
        <f t="shared" si="26"/>
        <v>7828</v>
      </c>
      <c r="P247" s="43">
        <f t="shared" si="26"/>
        <v>6890</v>
      </c>
      <c r="Q247" s="43">
        <f t="shared" si="26"/>
        <v>6938</v>
      </c>
      <c r="R247" s="43">
        <f t="shared" si="26"/>
        <v>6938</v>
      </c>
      <c r="S247" s="43">
        <f t="shared" si="26"/>
        <v>6938</v>
      </c>
      <c r="T247" s="43">
        <f t="shared" si="26"/>
        <v>6272</v>
      </c>
      <c r="U247" s="43">
        <f t="shared" si="26"/>
        <v>0</v>
      </c>
      <c r="V247" s="43">
        <f t="shared" si="26"/>
        <v>7258</v>
      </c>
      <c r="W247" s="43">
        <f t="shared" si="26"/>
        <v>7638</v>
      </c>
      <c r="X247" s="43">
        <f t="shared" si="26"/>
        <v>7638</v>
      </c>
      <c r="Y247" s="43">
        <f t="shared" si="26"/>
        <v>7638</v>
      </c>
      <c r="Z247" s="43">
        <f t="shared" si="26"/>
        <v>7638</v>
      </c>
      <c r="AA247" s="43">
        <f t="shared" si="26"/>
        <v>6880</v>
      </c>
      <c r="AB247" s="43">
        <f t="shared" si="26"/>
        <v>0</v>
      </c>
      <c r="AC247" s="43">
        <f>+AC243+AC183+AC63+AC123</f>
        <v>6880</v>
      </c>
      <c r="AD247" s="43">
        <f t="shared" si="26"/>
        <v>6880</v>
      </c>
      <c r="AE247" s="43">
        <f t="shared" si="26"/>
        <v>6880</v>
      </c>
      <c r="AF247" s="43">
        <f t="shared" si="26"/>
        <v>6880</v>
      </c>
      <c r="AG247" s="43">
        <f>SUM(B247:AF247)</f>
        <v>188719</v>
      </c>
      <c r="AH247" s="160"/>
      <c r="AI247" s="160"/>
    </row>
    <row r="248" spans="1:40" ht="22.5" customHeight="1" thickTop="1">
      <c r="A248" s="63"/>
      <c r="B248" s="64"/>
      <c r="C248" s="265"/>
      <c r="D248" s="257" t="s">
        <v>57</v>
      </c>
      <c r="E248" s="266"/>
      <c r="F248" s="258"/>
      <c r="G248" s="258"/>
      <c r="H248" s="265"/>
      <c r="I248" s="64"/>
      <c r="J248" s="258" t="s">
        <v>58</v>
      </c>
      <c r="K248" s="258"/>
      <c r="L248" s="258"/>
      <c r="M248" s="258"/>
      <c r="N248" s="258"/>
      <c r="O248" s="265"/>
      <c r="P248" s="64"/>
      <c r="Q248" s="258"/>
      <c r="R248" s="258"/>
      <c r="S248" s="266"/>
      <c r="T248" s="265" t="s">
        <v>59</v>
      </c>
      <c r="U248" s="266"/>
      <c r="V248" s="258"/>
      <c r="W248" s="266"/>
      <c r="X248" s="64" t="s">
        <v>60</v>
      </c>
      <c r="Y248" s="259"/>
      <c r="Z248" s="258"/>
      <c r="AA248" s="265"/>
      <c r="AB248" s="258" t="s">
        <v>61</v>
      </c>
      <c r="AC248" s="258"/>
      <c r="AD248" s="64"/>
      <c r="AE248" s="258"/>
      <c r="AF248" s="265"/>
      <c r="AG248" s="259">
        <f>+[5]T01!$AG$247</f>
        <v>161085</v>
      </c>
      <c r="AH248" s="267"/>
      <c r="AI248" s="266"/>
    </row>
    <row r="249" spans="1:40">
      <c r="AG249" s="161">
        <f>+[6]T01!$AG$247</f>
        <v>177862</v>
      </c>
    </row>
    <row r="250" spans="1:40">
      <c r="AG250" s="161">
        <f>+[7]T01!$AG$261</f>
        <v>185005</v>
      </c>
    </row>
    <row r="251" spans="1:40">
      <c r="AG251" s="283">
        <f>+'[8]T1-2019'!$AG$66</f>
        <v>47600</v>
      </c>
    </row>
    <row r="252" spans="1:40">
      <c r="AG252" s="283">
        <v>206800</v>
      </c>
    </row>
    <row r="253" spans="1:40">
      <c r="AG253" s="161">
        <f>SUM(AG247:AG252)</f>
        <v>967071</v>
      </c>
    </row>
    <row r="254" spans="1:40">
      <c r="AG254" s="161">
        <v>550578</v>
      </c>
      <c r="AH254" s="161">
        <f>+AG253/235/21</f>
        <v>195.96170212765958</v>
      </c>
    </row>
  </sheetData>
  <mergeCells count="5">
    <mergeCell ref="A1:AI1"/>
    <mergeCell ref="U2:V2"/>
    <mergeCell ref="W2:Y2"/>
    <mergeCell ref="AG3:AG4"/>
    <mergeCell ref="AI186:AN186"/>
  </mergeCells>
  <conditionalFormatting sqref="A71 A85 A99 A113 A11 A25 A39 A53 A131 A145 A159 A173 A191 A205 A219 A233">
    <cfRule type="cellIs" dxfId="441" priority="245" stopIfTrue="1" operator="lessThanOrEqual">
      <formula>0</formula>
    </cfRule>
  </conditionalFormatting>
  <conditionalFormatting sqref="X7">
    <cfRule type="duplicateValues" dxfId="440" priority="224"/>
  </conditionalFormatting>
  <conditionalFormatting sqref="P7">
    <cfRule type="duplicateValues" dxfId="439" priority="219"/>
  </conditionalFormatting>
  <conditionalFormatting sqref="D35">
    <cfRule type="duplicateValues" dxfId="438" priority="218"/>
  </conditionalFormatting>
  <conditionalFormatting sqref="E7">
    <cfRule type="duplicateValues" dxfId="437" priority="217"/>
  </conditionalFormatting>
  <conditionalFormatting sqref="J21 J7">
    <cfRule type="duplicateValues" dxfId="436" priority="216"/>
  </conditionalFormatting>
  <conditionalFormatting sqref="F7">
    <cfRule type="duplicateValues" dxfId="435" priority="215"/>
  </conditionalFormatting>
  <conditionalFormatting sqref="F21">
    <cfRule type="duplicateValues" dxfId="434" priority="214"/>
  </conditionalFormatting>
  <conditionalFormatting sqref="H7">
    <cfRule type="duplicateValues" dxfId="433" priority="213"/>
  </conditionalFormatting>
  <conditionalFormatting sqref="H21">
    <cfRule type="duplicateValues" dxfId="432" priority="212"/>
  </conditionalFormatting>
  <conditionalFormatting sqref="H35">
    <cfRule type="duplicateValues" dxfId="431" priority="211"/>
  </conditionalFormatting>
  <conditionalFormatting sqref="O21 O7">
    <cfRule type="duplicateValues" dxfId="430" priority="209"/>
  </conditionalFormatting>
  <conditionalFormatting sqref="AH169">
    <cfRule type="duplicateValues" dxfId="429" priority="184"/>
  </conditionalFormatting>
  <conditionalFormatting sqref="I155 J141">
    <cfRule type="duplicateValues" dxfId="428" priority="157"/>
  </conditionalFormatting>
  <conditionalFormatting sqref="S141 S127">
    <cfRule type="duplicateValues" dxfId="427" priority="153"/>
  </conditionalFormatting>
  <conditionalFormatting sqref="Q49">
    <cfRule type="duplicateValues" dxfId="426" priority="139"/>
  </conditionalFormatting>
  <conditionalFormatting sqref="I127">
    <cfRule type="duplicateValues" dxfId="425" priority="1954"/>
  </conditionalFormatting>
  <conditionalFormatting sqref="Y127 X169 X141 X155">
    <cfRule type="duplicateValues" dxfId="424" priority="116"/>
  </conditionalFormatting>
  <conditionalFormatting sqref="Y155 Y141 Y169">
    <cfRule type="duplicateValues" dxfId="423" priority="115"/>
  </conditionalFormatting>
  <conditionalFormatting sqref="Z141 Z127 Z155">
    <cfRule type="duplicateValues" dxfId="422" priority="114"/>
  </conditionalFormatting>
  <conditionalFormatting sqref="D141">
    <cfRule type="duplicateValues" dxfId="421" priority="113"/>
  </conditionalFormatting>
  <conditionalFormatting sqref="C155 C141">
    <cfRule type="duplicateValues" dxfId="420" priority="112"/>
  </conditionalFormatting>
  <conditionalFormatting sqref="D127">
    <cfRule type="duplicateValues" dxfId="419" priority="111"/>
  </conditionalFormatting>
  <conditionalFormatting sqref="D155">
    <cfRule type="duplicateValues" dxfId="418" priority="110"/>
  </conditionalFormatting>
  <conditionalFormatting sqref="H141 H127">
    <cfRule type="duplicateValues" dxfId="417" priority="109"/>
  </conditionalFormatting>
  <conditionalFormatting sqref="H169 H155">
    <cfRule type="duplicateValues" dxfId="416" priority="108"/>
  </conditionalFormatting>
  <conditionalFormatting sqref="K127">
    <cfRule type="duplicateValues" dxfId="415" priority="107"/>
  </conditionalFormatting>
  <conditionalFormatting sqref="J155">
    <cfRule type="duplicateValues" dxfId="414" priority="106"/>
  </conditionalFormatting>
  <conditionalFormatting sqref="L127:M127 L169 L155:M155 J127 I169:J169">
    <cfRule type="duplicateValues" dxfId="413" priority="1990"/>
  </conditionalFormatting>
  <conditionalFormatting sqref="K169 K155">
    <cfRule type="duplicateValues" dxfId="412" priority="103"/>
  </conditionalFormatting>
  <conditionalFormatting sqref="K141">
    <cfRule type="duplicateValues" dxfId="411" priority="104"/>
  </conditionalFormatting>
  <conditionalFormatting sqref="I141">
    <cfRule type="duplicateValues" dxfId="410" priority="102"/>
  </conditionalFormatting>
  <conditionalFormatting sqref="M169 L141">
    <cfRule type="duplicateValues" dxfId="409" priority="99"/>
  </conditionalFormatting>
  <conditionalFormatting sqref="M141">
    <cfRule type="duplicateValues" dxfId="408" priority="98"/>
  </conditionalFormatting>
  <conditionalFormatting sqref="C169">
    <cfRule type="duplicateValues" dxfId="407" priority="97"/>
  </conditionalFormatting>
  <conditionalFormatting sqref="D169">
    <cfRule type="duplicateValues" dxfId="406" priority="96"/>
  </conditionalFormatting>
  <conditionalFormatting sqref="C7">
    <cfRule type="duplicateValues" dxfId="405" priority="93"/>
  </conditionalFormatting>
  <conditionalFormatting sqref="C21">
    <cfRule type="duplicateValues" dxfId="404" priority="92"/>
  </conditionalFormatting>
  <conditionalFormatting sqref="C35">
    <cfRule type="duplicateValues" dxfId="403" priority="91"/>
  </conditionalFormatting>
  <conditionalFormatting sqref="D7">
    <cfRule type="duplicateValues" dxfId="402" priority="90"/>
  </conditionalFormatting>
  <conditionalFormatting sqref="D21">
    <cfRule type="duplicateValues" dxfId="401" priority="89"/>
  </conditionalFormatting>
  <conditionalFormatting sqref="C127">
    <cfRule type="duplicateValues" dxfId="400" priority="88"/>
  </conditionalFormatting>
  <conditionalFormatting sqref="W7">
    <cfRule type="duplicateValues" dxfId="399" priority="72"/>
  </conditionalFormatting>
  <conditionalFormatting sqref="Y7">
    <cfRule type="duplicateValues" dxfId="398" priority="71"/>
  </conditionalFormatting>
  <conditionalFormatting sqref="Z7">
    <cfRule type="duplicateValues" dxfId="397" priority="70"/>
  </conditionalFormatting>
  <conditionalFormatting sqref="L7">
    <cfRule type="duplicateValues" dxfId="396" priority="69"/>
  </conditionalFormatting>
  <conditionalFormatting sqref="I21">
    <cfRule type="duplicateValues" dxfId="395" priority="68"/>
  </conditionalFormatting>
  <conditionalFormatting sqref="D81">
    <cfRule type="duplicateValues" dxfId="394" priority="67"/>
  </conditionalFormatting>
  <conditionalFormatting sqref="E67">
    <cfRule type="duplicateValues" dxfId="393" priority="66"/>
  </conditionalFormatting>
  <conditionalFormatting sqref="S67">
    <cfRule type="duplicateValues" dxfId="392" priority="65"/>
  </conditionalFormatting>
  <conditionalFormatting sqref="W67">
    <cfRule type="duplicateValues" dxfId="391" priority="64"/>
  </conditionalFormatting>
  <conditionalFormatting sqref="AI67">
    <cfRule type="duplicateValues" dxfId="390" priority="63"/>
  </conditionalFormatting>
  <conditionalFormatting sqref="AJ67">
    <cfRule type="duplicateValues" dxfId="389" priority="62"/>
  </conditionalFormatting>
  <conditionalFormatting sqref="AK67">
    <cfRule type="duplicateValues" dxfId="388" priority="61"/>
  </conditionalFormatting>
  <conditionalFormatting sqref="D95">
    <cfRule type="duplicateValues" dxfId="387" priority="56"/>
  </conditionalFormatting>
  <conditionalFormatting sqref="E81">
    <cfRule type="duplicateValues" dxfId="386" priority="55"/>
  </conditionalFormatting>
  <conditionalFormatting sqref="S81">
    <cfRule type="duplicateValues" dxfId="385" priority="54"/>
  </conditionalFormatting>
  <conditionalFormatting sqref="X67">
    <cfRule type="duplicateValues" dxfId="384" priority="53"/>
  </conditionalFormatting>
  <conditionalFormatting sqref="AI95">
    <cfRule type="duplicateValues" dxfId="383" priority="52"/>
  </conditionalFormatting>
  <conditionalFormatting sqref="AI81">
    <cfRule type="duplicateValues" dxfId="382" priority="51"/>
  </conditionalFormatting>
  <conditionalFormatting sqref="D109">
    <cfRule type="duplicateValues" dxfId="381" priority="49"/>
  </conditionalFormatting>
  <conditionalFormatting sqref="T67">
    <cfRule type="duplicateValues" dxfId="380" priority="48"/>
  </conditionalFormatting>
  <conditionalFormatting sqref="X81">
    <cfRule type="duplicateValues" dxfId="379" priority="47"/>
  </conditionalFormatting>
  <conditionalFormatting sqref="AI109">
    <cfRule type="duplicateValues" dxfId="378" priority="46"/>
  </conditionalFormatting>
  <conditionalFormatting sqref="T81">
    <cfRule type="duplicateValues" dxfId="377" priority="44"/>
  </conditionalFormatting>
  <conditionalFormatting sqref="AO188">
    <cfRule type="duplicateValues" dxfId="376" priority="43"/>
  </conditionalFormatting>
  <conditionalFormatting sqref="AP188">
    <cfRule type="duplicateValues" dxfId="375" priority="42"/>
  </conditionalFormatting>
  <conditionalFormatting sqref="F187">
    <cfRule type="duplicateValues" dxfId="374" priority="41"/>
  </conditionalFormatting>
  <conditionalFormatting sqref="J187">
    <cfRule type="duplicateValues" dxfId="373" priority="40"/>
  </conditionalFormatting>
  <conditionalFormatting sqref="K187">
    <cfRule type="duplicateValues" dxfId="372" priority="39"/>
  </conditionalFormatting>
  <conditionalFormatting sqref="L187">
    <cfRule type="duplicateValues" dxfId="371" priority="38"/>
  </conditionalFormatting>
  <conditionalFormatting sqref="M187">
    <cfRule type="duplicateValues" dxfId="370" priority="37"/>
  </conditionalFormatting>
  <conditionalFormatting sqref="M201">
    <cfRule type="duplicateValues" dxfId="369" priority="36"/>
  </conditionalFormatting>
  <conditionalFormatting sqref="AP202">
    <cfRule type="duplicateValues" dxfId="368" priority="33"/>
  </conditionalFormatting>
  <conditionalFormatting sqref="F201">
    <cfRule type="duplicateValues" dxfId="367" priority="32"/>
  </conditionalFormatting>
  <conditionalFormatting sqref="M7 I7">
    <cfRule type="duplicateValues" dxfId="366" priority="2020"/>
  </conditionalFormatting>
  <conditionalFormatting sqref="F67">
    <cfRule type="duplicateValues" dxfId="365" priority="28"/>
  </conditionalFormatting>
  <conditionalFormatting sqref="J67">
    <cfRule type="duplicateValues" dxfId="364" priority="26"/>
  </conditionalFormatting>
  <conditionalFormatting sqref="C95">
    <cfRule type="duplicateValues" dxfId="363" priority="22"/>
  </conditionalFormatting>
  <conditionalFormatting sqref="D67">
    <cfRule type="duplicateValues" dxfId="362" priority="21"/>
  </conditionalFormatting>
  <conditionalFormatting sqref="C67">
    <cfRule type="duplicateValues" dxfId="361" priority="20"/>
  </conditionalFormatting>
  <conditionalFormatting sqref="C81">
    <cfRule type="duplicateValues" dxfId="360" priority="19"/>
  </conditionalFormatting>
  <conditionalFormatting sqref="O127 Q141:R141 Q127:R127 O155:R155 O169:R169 O141">
    <cfRule type="duplicateValues" dxfId="359" priority="2022"/>
  </conditionalFormatting>
  <conditionalFormatting sqref="W169 W141 W155 T127 V127:X127 T141">
    <cfRule type="duplicateValues" dxfId="358" priority="2023"/>
  </conditionalFormatting>
  <conditionalFormatting sqref="E169 E155 E141:F141 F127">
    <cfRule type="duplicateValues" dxfId="357" priority="2024"/>
  </conditionalFormatting>
  <conditionalFormatting sqref="AA21 AA7">
    <cfRule type="duplicateValues" dxfId="356" priority="18"/>
  </conditionalFormatting>
  <conditionalFormatting sqref="AC7">
    <cfRule type="duplicateValues" dxfId="355" priority="17"/>
  </conditionalFormatting>
  <conditionalFormatting sqref="AD21 AD7:AE7 AD49">
    <cfRule type="duplicateValues" dxfId="354" priority="16"/>
  </conditionalFormatting>
  <conditionalFormatting sqref="AD35">
    <cfRule type="duplicateValues" dxfId="353" priority="15"/>
  </conditionalFormatting>
  <conditionalFormatting sqref="X109 Y81 X95 Y67">
    <cfRule type="duplicateValues" dxfId="352" priority="14"/>
  </conditionalFormatting>
  <conditionalFormatting sqref="Y95">
    <cfRule type="duplicateValues" dxfId="351" priority="13"/>
  </conditionalFormatting>
  <conditionalFormatting sqref="Z95">
    <cfRule type="duplicateValues" dxfId="350" priority="12"/>
  </conditionalFormatting>
  <conditionalFormatting sqref="AA95">
    <cfRule type="duplicateValues" dxfId="349" priority="11"/>
  </conditionalFormatting>
  <conditionalFormatting sqref="AA109">
    <cfRule type="duplicateValues" dxfId="348" priority="10"/>
  </conditionalFormatting>
  <conditionalFormatting sqref="AC95">
    <cfRule type="duplicateValues" dxfId="347" priority="9"/>
  </conditionalFormatting>
  <conditionalFormatting sqref="AC109">
    <cfRule type="duplicateValues" dxfId="346" priority="8"/>
  </conditionalFormatting>
  <conditionalFormatting sqref="AD67">
    <cfRule type="duplicateValues" dxfId="345" priority="7"/>
  </conditionalFormatting>
  <conditionalFormatting sqref="AA127 AA155 AA141">
    <cfRule type="duplicateValues" dxfId="344" priority="6"/>
  </conditionalFormatting>
  <conditionalFormatting sqref="AC141 AC127">
    <cfRule type="duplicateValues" dxfId="343" priority="5"/>
  </conditionalFormatting>
  <conditionalFormatting sqref="Y187:Z187 AC187">
    <cfRule type="duplicateValues" dxfId="342" priority="3"/>
  </conditionalFormatting>
  <conditionalFormatting sqref="AD187">
    <cfRule type="duplicateValues" dxfId="341" priority="2"/>
  </conditionalFormatting>
  <pageMargins left="0" right="0" top="0" bottom="0" header="0" footer="0"/>
  <pageSetup paperSize="9" scale="55" orientation="landscape" r:id="rId1"/>
  <rowBreaks count="3" manualBreakCount="3">
    <brk id="65" max="16383" man="1"/>
    <brk id="125" max="16383" man="1"/>
    <brk id="185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55"/>
  <sheetViews>
    <sheetView zoomScale="70" zoomScaleNormal="70" workbookViewId="0">
      <pane xSplit="1" ySplit="6" topLeftCell="E112" activePane="bottomRight" state="frozen"/>
      <selection activeCell="Z186" sqref="Z186"/>
      <selection pane="topRight" activeCell="Z186" sqref="Z186"/>
      <selection pane="bottomLeft" activeCell="Z186" sqref="Z186"/>
      <selection pane="bottomRight" activeCell="AC2" sqref="AC2"/>
    </sheetView>
  </sheetViews>
  <sheetFormatPr defaultColWidth="9.140625" defaultRowHeight="15"/>
  <cols>
    <col min="1" max="1" width="8.140625" style="24" customWidth="1"/>
    <col min="2" max="2" width="10.42578125" style="24" customWidth="1"/>
    <col min="3" max="3" width="8.7109375" style="24" customWidth="1"/>
    <col min="4" max="4" width="1.42578125" style="24" customWidth="1"/>
    <col min="5" max="10" width="8.7109375" style="24" customWidth="1"/>
    <col min="11" max="11" width="1.42578125" style="24" customWidth="1"/>
    <col min="12" max="17" width="10.42578125" style="24" customWidth="1"/>
    <col min="18" max="18" width="1.42578125" style="24" customWidth="1"/>
    <col min="19" max="24" width="10.42578125" style="24" customWidth="1"/>
    <col min="25" max="25" width="1.42578125" style="24" customWidth="1"/>
    <col min="26" max="29" width="10.42578125" style="24" customWidth="1"/>
    <col min="30" max="16384" width="9.140625" style="24"/>
  </cols>
  <sheetData>
    <row r="1" spans="1:33" customFormat="1" ht="42" customHeight="1" thickBot="1">
      <c r="A1" s="519" t="s">
        <v>384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</row>
    <row r="2" spans="1:33" customFormat="1" ht="18" customHeight="1" thickBot="1">
      <c r="A2" s="2"/>
      <c r="B2" s="3"/>
      <c r="C2" s="3"/>
      <c r="D2" s="4" t="s">
        <v>0</v>
      </c>
      <c r="E2" s="1"/>
      <c r="F2" s="3"/>
      <c r="G2" s="1"/>
      <c r="H2" s="2" t="s">
        <v>1</v>
      </c>
      <c r="I2" s="1"/>
      <c r="J2" s="2" t="s">
        <v>2</v>
      </c>
      <c r="K2" s="5"/>
      <c r="L2" s="5"/>
      <c r="M2" s="5"/>
      <c r="N2" s="6"/>
      <c r="O2" s="7"/>
      <c r="P2" s="7"/>
      <c r="Q2" s="7"/>
      <c r="R2" s="5"/>
      <c r="S2" s="5"/>
      <c r="T2" s="5"/>
      <c r="U2" s="531" t="s">
        <v>3</v>
      </c>
      <c r="V2" s="531"/>
      <c r="W2" s="521">
        <f>+AD248</f>
        <v>103512</v>
      </c>
      <c r="X2" s="521"/>
      <c r="Y2" s="521"/>
      <c r="Z2" s="1"/>
      <c r="AA2" s="8" t="s">
        <v>4</v>
      </c>
      <c r="AB2" s="8"/>
      <c r="AC2" s="168">
        <v>43508</v>
      </c>
      <c r="AD2" s="174"/>
      <c r="AE2" s="1"/>
      <c r="AF2" s="1"/>
    </row>
    <row r="3" spans="1:33" customFormat="1" ht="18.75" customHeight="1" thickBot="1">
      <c r="A3" s="95" t="s">
        <v>6</v>
      </c>
      <c r="B3" s="168">
        <v>43497</v>
      </c>
      <c r="C3" s="169">
        <v>43498</v>
      </c>
      <c r="D3" s="169">
        <v>43499</v>
      </c>
      <c r="E3" s="169">
        <v>43500</v>
      </c>
      <c r="F3" s="169">
        <v>43501</v>
      </c>
      <c r="G3" s="169">
        <v>43502</v>
      </c>
      <c r="H3" s="169">
        <v>43503</v>
      </c>
      <c r="I3" s="169">
        <v>43504</v>
      </c>
      <c r="J3" s="169">
        <v>43505</v>
      </c>
      <c r="K3" s="168">
        <v>43506</v>
      </c>
      <c r="L3" s="168">
        <v>43507</v>
      </c>
      <c r="M3" s="168">
        <v>43508</v>
      </c>
      <c r="N3" s="168">
        <v>43509</v>
      </c>
      <c r="O3" s="168">
        <v>43510</v>
      </c>
      <c r="P3" s="168">
        <v>43511</v>
      </c>
      <c r="Q3" s="168">
        <v>43512</v>
      </c>
      <c r="R3" s="168">
        <v>43513</v>
      </c>
      <c r="S3" s="168">
        <v>43514</v>
      </c>
      <c r="T3" s="168">
        <v>43515</v>
      </c>
      <c r="U3" s="168">
        <v>43516</v>
      </c>
      <c r="V3" s="168">
        <v>43517</v>
      </c>
      <c r="W3" s="168">
        <v>43518</v>
      </c>
      <c r="X3" s="168">
        <v>43519</v>
      </c>
      <c r="Y3" s="168">
        <v>43520</v>
      </c>
      <c r="Z3" s="168">
        <v>43521</v>
      </c>
      <c r="AA3" s="168">
        <v>43522</v>
      </c>
      <c r="AB3" s="168">
        <v>43523</v>
      </c>
      <c r="AC3" s="168">
        <v>43524</v>
      </c>
      <c r="AD3" s="522" t="s">
        <v>7</v>
      </c>
      <c r="AE3" s="1"/>
      <c r="AF3" s="1"/>
    </row>
    <row r="4" spans="1:33" customFormat="1" ht="18.75" customHeight="1" thickBot="1">
      <c r="A4" s="95" t="s">
        <v>8</v>
      </c>
      <c r="B4" s="96" t="s">
        <v>64</v>
      </c>
      <c r="C4" s="171" t="str">
        <f t="shared" ref="C4:AC4" si="0">IF(B4="日","一",IF(B4="一","二",IF(B4="二","三",IF(B4="三","四",IF(B4="四","五",IF(B4="五","六",IF(B4="六","日","")))))))</f>
        <v>六</v>
      </c>
      <c r="D4" s="175" t="str">
        <f t="shared" si="0"/>
        <v>日</v>
      </c>
      <c r="E4" s="171" t="str">
        <f t="shared" si="0"/>
        <v>一</v>
      </c>
      <c r="F4" s="171" t="str">
        <f t="shared" si="0"/>
        <v>二</v>
      </c>
      <c r="G4" s="175" t="str">
        <f t="shared" si="0"/>
        <v>三</v>
      </c>
      <c r="H4" s="171" t="str">
        <f t="shared" si="0"/>
        <v>四</v>
      </c>
      <c r="I4" s="171" t="str">
        <f t="shared" si="0"/>
        <v>五</v>
      </c>
      <c r="J4" s="171" t="str">
        <f t="shared" si="0"/>
        <v>六</v>
      </c>
      <c r="K4" s="175" t="str">
        <f t="shared" si="0"/>
        <v>日</v>
      </c>
      <c r="L4" s="170" t="str">
        <f t="shared" si="0"/>
        <v>一</v>
      </c>
      <c r="M4" s="170" t="str">
        <f t="shared" si="0"/>
        <v>二</v>
      </c>
      <c r="N4" s="96" t="str">
        <f t="shared" si="0"/>
        <v>三</v>
      </c>
      <c r="O4" s="170" t="str">
        <f t="shared" si="0"/>
        <v>四</v>
      </c>
      <c r="P4" s="170" t="str">
        <f t="shared" si="0"/>
        <v>五</v>
      </c>
      <c r="Q4" s="170" t="str">
        <f t="shared" si="0"/>
        <v>六</v>
      </c>
      <c r="R4" s="175" t="str">
        <f t="shared" si="0"/>
        <v>日</v>
      </c>
      <c r="S4" s="170" t="str">
        <f t="shared" si="0"/>
        <v>一</v>
      </c>
      <c r="T4" s="170" t="str">
        <f t="shared" si="0"/>
        <v>二</v>
      </c>
      <c r="U4" s="96" t="str">
        <f t="shared" si="0"/>
        <v>三</v>
      </c>
      <c r="V4" s="170" t="str">
        <f t="shared" si="0"/>
        <v>四</v>
      </c>
      <c r="W4" s="170" t="str">
        <f t="shared" si="0"/>
        <v>五</v>
      </c>
      <c r="X4" s="170" t="str">
        <f t="shared" si="0"/>
        <v>六</v>
      </c>
      <c r="Y4" s="175" t="str">
        <f t="shared" si="0"/>
        <v>日</v>
      </c>
      <c r="Z4" s="170" t="str">
        <f t="shared" si="0"/>
        <v>一</v>
      </c>
      <c r="AA4" s="170" t="str">
        <f t="shared" si="0"/>
        <v>二</v>
      </c>
      <c r="AB4" s="96" t="str">
        <f t="shared" si="0"/>
        <v>三</v>
      </c>
      <c r="AC4" s="170" t="str">
        <f t="shared" si="0"/>
        <v>四</v>
      </c>
      <c r="AD4" s="523"/>
      <c r="AE4" s="10">
        <f>+AE6*9.5</f>
        <v>0</v>
      </c>
      <c r="AF4" s="10">
        <f>+AF6*8</f>
        <v>112</v>
      </c>
      <c r="AG4" s="10" t="s">
        <v>9</v>
      </c>
    </row>
    <row r="5" spans="1:33" customFormat="1" ht="18.75" customHeight="1" thickBot="1">
      <c r="A5" s="95"/>
      <c r="B5" s="96">
        <v>8</v>
      </c>
      <c r="C5" s="171"/>
      <c r="D5" s="175"/>
      <c r="E5" s="171"/>
      <c r="F5" s="171"/>
      <c r="G5" s="175"/>
      <c r="H5" s="171"/>
      <c r="I5" s="171"/>
      <c r="J5" s="171"/>
      <c r="K5" s="175"/>
      <c r="L5" s="96">
        <v>8</v>
      </c>
      <c r="M5" s="96">
        <v>8</v>
      </c>
      <c r="N5" s="96">
        <v>8</v>
      </c>
      <c r="O5" s="96">
        <v>8</v>
      </c>
      <c r="P5" s="96">
        <v>8</v>
      </c>
      <c r="Q5" s="96">
        <v>8</v>
      </c>
      <c r="R5" s="175"/>
      <c r="S5" s="96">
        <v>8</v>
      </c>
      <c r="T5" s="96">
        <v>8</v>
      </c>
      <c r="U5" s="96">
        <v>8</v>
      </c>
      <c r="V5" s="96">
        <v>8</v>
      </c>
      <c r="W5" s="96">
        <v>8</v>
      </c>
      <c r="X5" s="96">
        <v>8</v>
      </c>
      <c r="Y5" s="175"/>
      <c r="Z5" s="96">
        <v>8</v>
      </c>
      <c r="AA5" s="96">
        <v>8</v>
      </c>
      <c r="AB5" s="96">
        <v>8</v>
      </c>
      <c r="AC5" s="96">
        <v>8</v>
      </c>
      <c r="AD5" s="96">
        <f>SUM(B5:AC5)</f>
        <v>136</v>
      </c>
      <c r="AE5" s="10"/>
      <c r="AF5" s="10"/>
      <c r="AG5" s="10"/>
    </row>
    <row r="6" spans="1:33" customFormat="1" ht="18.75" hidden="1" customHeight="1" thickBot="1">
      <c r="A6" s="96"/>
      <c r="B6" s="172">
        <v>4</v>
      </c>
      <c r="C6" s="173"/>
      <c r="D6" s="173"/>
      <c r="E6" s="173"/>
      <c r="F6" s="173"/>
      <c r="G6" s="173"/>
      <c r="H6" s="173"/>
      <c r="I6" s="173"/>
      <c r="J6" s="173"/>
      <c r="K6" s="173"/>
      <c r="L6" s="172">
        <v>4</v>
      </c>
      <c r="M6" s="172">
        <v>6</v>
      </c>
      <c r="N6" s="172">
        <v>8</v>
      </c>
      <c r="O6" s="172">
        <v>8</v>
      </c>
      <c r="P6" s="172">
        <v>8</v>
      </c>
      <c r="Q6" s="172">
        <v>8</v>
      </c>
      <c r="R6" s="173"/>
      <c r="S6" s="172">
        <v>8</v>
      </c>
      <c r="T6" s="172">
        <v>8</v>
      </c>
      <c r="U6" s="172">
        <v>8</v>
      </c>
      <c r="V6" s="172">
        <v>8</v>
      </c>
      <c r="W6" s="172">
        <v>8</v>
      </c>
      <c r="X6" s="172">
        <v>8</v>
      </c>
      <c r="Y6" s="173"/>
      <c r="Z6" s="172">
        <v>8</v>
      </c>
      <c r="AA6" s="172">
        <v>8</v>
      </c>
      <c r="AB6" s="172">
        <v>8</v>
      </c>
      <c r="AC6" s="172">
        <v>8</v>
      </c>
      <c r="AD6" s="96">
        <f>SUM(B6:AC6)</f>
        <v>126</v>
      </c>
      <c r="AE6" s="11">
        <f>COUNTIF(B6:AC6,9.5)</f>
        <v>0</v>
      </c>
      <c r="AF6" s="11">
        <f>COUNTIF(B6:AD6,8)</f>
        <v>14</v>
      </c>
      <c r="AG6" s="11">
        <f>COUNTA(B6:AC6)</f>
        <v>17</v>
      </c>
    </row>
    <row r="7" spans="1:33" customFormat="1" ht="15.75">
      <c r="A7" s="220" t="s">
        <v>10</v>
      </c>
      <c r="B7" s="14"/>
      <c r="C7" s="55"/>
      <c r="D7" s="55"/>
      <c r="E7" s="55"/>
      <c r="F7" s="55"/>
      <c r="G7" s="13"/>
      <c r="H7" s="55"/>
      <c r="I7" s="55"/>
      <c r="J7" s="55"/>
      <c r="K7" s="55"/>
      <c r="L7" s="24"/>
      <c r="M7" s="24"/>
      <c r="N7" s="383" t="s">
        <v>78</v>
      </c>
      <c r="O7" s="331"/>
      <c r="P7" s="24"/>
      <c r="Q7" s="383" t="s">
        <v>78</v>
      </c>
      <c r="R7" s="55"/>
      <c r="S7" s="24"/>
      <c r="T7" s="383" t="s">
        <v>78</v>
      </c>
      <c r="U7" s="383" t="s">
        <v>78</v>
      </c>
      <c r="V7" s="383" t="s">
        <v>78</v>
      </c>
      <c r="W7" s="24"/>
      <c r="X7" s="404" t="s">
        <v>78</v>
      </c>
      <c r="Y7" s="55"/>
      <c r="Z7" s="51" t="s">
        <v>697</v>
      </c>
      <c r="AA7" s="24"/>
      <c r="AB7" s="51" t="s">
        <v>697</v>
      </c>
      <c r="AC7" s="51" t="s">
        <v>697</v>
      </c>
      <c r="AD7" s="98"/>
      <c r="AE7" s="14"/>
      <c r="AF7" s="14"/>
    </row>
    <row r="8" spans="1:33" customFormat="1" ht="15.75">
      <c r="A8" s="147" t="s">
        <v>11</v>
      </c>
      <c r="B8" s="14"/>
      <c r="C8" s="55"/>
      <c r="D8" s="55"/>
      <c r="E8" s="55"/>
      <c r="F8" s="55"/>
      <c r="G8" s="13"/>
      <c r="H8" s="55"/>
      <c r="I8" s="55"/>
      <c r="J8" s="55"/>
      <c r="K8" s="55"/>
      <c r="L8" s="24"/>
      <c r="M8" s="24"/>
      <c r="N8" s="93" t="s">
        <v>605</v>
      </c>
      <c r="O8" s="24"/>
      <c r="P8" s="24"/>
      <c r="Q8" s="93" t="s">
        <v>608</v>
      </c>
      <c r="R8" s="55"/>
      <c r="S8" s="24"/>
      <c r="T8" s="93" t="s">
        <v>607</v>
      </c>
      <c r="U8" s="93" t="s">
        <v>610</v>
      </c>
      <c r="V8" s="93" t="s">
        <v>611</v>
      </c>
      <c r="W8" s="24"/>
      <c r="X8" s="93" t="s">
        <v>657</v>
      </c>
      <c r="Y8" s="55"/>
      <c r="Z8" s="52" t="s">
        <v>770</v>
      </c>
      <c r="AA8" s="24"/>
      <c r="AB8" s="52" t="s">
        <v>772</v>
      </c>
      <c r="AC8" s="52" t="s">
        <v>771</v>
      </c>
      <c r="AD8" s="98"/>
      <c r="AE8" s="14"/>
      <c r="AF8" s="14"/>
    </row>
    <row r="9" spans="1:33" customFormat="1" ht="15.75">
      <c r="A9" s="148" t="s">
        <v>12</v>
      </c>
      <c r="B9" s="14"/>
      <c r="C9" s="55"/>
      <c r="D9" s="55"/>
      <c r="E9" s="55"/>
      <c r="F9" s="55"/>
      <c r="G9" s="13"/>
      <c r="H9" s="55"/>
      <c r="I9" s="55"/>
      <c r="J9" s="55"/>
      <c r="K9" s="55"/>
      <c r="L9" s="24"/>
      <c r="M9" s="24"/>
      <c r="N9" s="383" t="str">
        <f>VLOOKUP(N15,'[3]2018-11-16'!$A:$D,4,0)</f>
        <v>基本型體</v>
      </c>
      <c r="O9" s="176"/>
      <c r="P9" s="24"/>
      <c r="Q9" s="383" t="str">
        <f>VLOOKUP(Q15,'[3]2018-11-16'!$A:$D,4,0)</f>
        <v>基本型體</v>
      </c>
      <c r="R9" s="55"/>
      <c r="S9" s="24"/>
      <c r="T9" s="383" t="str">
        <f>VLOOKUP(T15,'[3]2018-11-16'!$A:$D,4,0)</f>
        <v>基本型體</v>
      </c>
      <c r="U9" s="383" t="str">
        <f>VLOOKUP(U15,'[3]2018-11-16'!$A:$D,4,0)</f>
        <v>基本型體</v>
      </c>
      <c r="V9" s="383" t="str">
        <f>VLOOKUP(V15,'[3]2018-11-16'!$A:$D,4,0)</f>
        <v>基本型體</v>
      </c>
      <c r="W9" s="24"/>
      <c r="X9" s="49"/>
      <c r="Y9" s="55"/>
      <c r="Z9" s="51"/>
      <c r="AA9" s="24"/>
      <c r="AB9" s="51"/>
      <c r="AC9" s="51"/>
      <c r="AD9" s="98"/>
      <c r="AE9" s="14"/>
      <c r="AF9" s="14"/>
    </row>
    <row r="10" spans="1:33" customFormat="1" ht="15.75">
      <c r="A10" s="149" t="s">
        <v>13</v>
      </c>
      <c r="B10" s="14"/>
      <c r="C10" s="55"/>
      <c r="D10" s="55"/>
      <c r="E10" s="55"/>
      <c r="F10" s="55"/>
      <c r="G10" s="13"/>
      <c r="H10" s="55"/>
      <c r="I10" s="55"/>
      <c r="J10" s="55"/>
      <c r="K10" s="55"/>
      <c r="L10" s="24"/>
      <c r="M10" s="24"/>
      <c r="N10" s="19" t="str">
        <f>VLOOKUP(N8,'[4]2019-01'!$A$3:$G$2159,7,0)</f>
        <v>01/09</v>
      </c>
      <c r="O10" s="19"/>
      <c r="P10" s="24"/>
      <c r="Q10" s="19" t="str">
        <f>VLOOKUP(Q8,'[4]2019-01'!$A$3:$G$2159,7,0)</f>
        <v>01/09</v>
      </c>
      <c r="R10" s="55"/>
      <c r="S10" s="24"/>
      <c r="T10" s="19" t="str">
        <f>VLOOKUP(T8,'[4]2019-01'!$A$3:$G$2159,7,0)</f>
        <v>01/09</v>
      </c>
      <c r="U10" s="19" t="str">
        <f>VLOOKUP(U8,'[4]2019-01'!$A$3:$G$2159,7,0)</f>
        <v>01/09</v>
      </c>
      <c r="V10" s="19" t="str">
        <f>VLOOKUP(V8,'[4]2019-01'!$A$3:$G$2159,7,0)</f>
        <v>01/22</v>
      </c>
      <c r="W10" s="24"/>
      <c r="X10" s="87"/>
      <c r="Y10" s="55"/>
      <c r="Z10" s="53" t="s">
        <v>1002</v>
      </c>
      <c r="AA10" s="24"/>
      <c r="AB10" s="53" t="s">
        <v>1002</v>
      </c>
      <c r="AC10" s="53" t="s">
        <v>1002</v>
      </c>
      <c r="AD10" s="98"/>
      <c r="AE10" s="14"/>
      <c r="AF10" s="14"/>
    </row>
    <row r="11" spans="1:33" customFormat="1" ht="15.75">
      <c r="A11" s="150" t="s">
        <v>15</v>
      </c>
      <c r="B11" s="14"/>
      <c r="C11" s="55"/>
      <c r="D11" s="55"/>
      <c r="E11" s="55"/>
      <c r="F11" s="55"/>
      <c r="G11" s="13"/>
      <c r="H11" s="55"/>
      <c r="I11" s="55"/>
      <c r="J11" s="55"/>
      <c r="K11" s="55"/>
      <c r="L11" s="24"/>
      <c r="M11" s="24"/>
      <c r="N11" s="383" t="s">
        <v>53</v>
      </c>
      <c r="O11" s="331"/>
      <c r="P11" s="24"/>
      <c r="Q11" s="383" t="s">
        <v>53</v>
      </c>
      <c r="R11" s="55"/>
      <c r="S11" s="24"/>
      <c r="T11" s="383" t="s">
        <v>53</v>
      </c>
      <c r="U11" s="383" t="s">
        <v>53</v>
      </c>
      <c r="V11" s="383" t="s">
        <v>53</v>
      </c>
      <c r="W11" s="24"/>
      <c r="X11" s="404" t="s">
        <v>16</v>
      </c>
      <c r="Y11" s="55"/>
      <c r="Z11" s="51" t="s">
        <v>49</v>
      </c>
      <c r="AA11" s="24"/>
      <c r="AB11" s="51" t="s">
        <v>49</v>
      </c>
      <c r="AC11" s="51" t="s">
        <v>49</v>
      </c>
      <c r="AD11" s="98"/>
      <c r="AE11" s="14"/>
      <c r="AF11" s="14"/>
    </row>
    <row r="12" spans="1:33" customFormat="1" ht="15.75">
      <c r="A12" s="151" t="s">
        <v>17</v>
      </c>
      <c r="B12" s="14"/>
      <c r="C12" s="55"/>
      <c r="D12" s="55"/>
      <c r="E12" s="55"/>
      <c r="F12" s="55"/>
      <c r="G12" s="13"/>
      <c r="H12" s="55"/>
      <c r="I12" s="55"/>
      <c r="J12" s="55"/>
      <c r="K12" s="55"/>
      <c r="L12" s="24"/>
      <c r="M12" s="24"/>
      <c r="N12" s="391" t="s">
        <v>493</v>
      </c>
      <c r="O12" s="310"/>
      <c r="P12" s="24"/>
      <c r="Q12" s="391" t="s">
        <v>493</v>
      </c>
      <c r="R12" s="55"/>
      <c r="S12" s="24"/>
      <c r="T12" s="391" t="s">
        <v>493</v>
      </c>
      <c r="U12" s="391" t="s">
        <v>493</v>
      </c>
      <c r="V12" s="391" t="s">
        <v>493</v>
      </c>
      <c r="W12" s="24"/>
      <c r="X12" s="272" t="s">
        <v>517</v>
      </c>
      <c r="Y12" s="55"/>
      <c r="Z12" s="492" t="s">
        <v>1000</v>
      </c>
      <c r="AA12" s="24"/>
      <c r="AB12" s="492" t="s">
        <v>1000</v>
      </c>
      <c r="AC12" s="492" t="s">
        <v>1000</v>
      </c>
      <c r="AD12" s="98"/>
      <c r="AE12" s="14"/>
      <c r="AF12" s="14"/>
    </row>
    <row r="13" spans="1:33" customFormat="1" ht="15.75">
      <c r="A13" s="152" t="s">
        <v>18</v>
      </c>
      <c r="B13" s="14"/>
      <c r="C13" s="55"/>
      <c r="D13" s="55"/>
      <c r="E13" s="55"/>
      <c r="F13" s="55"/>
      <c r="G13" s="13"/>
      <c r="H13" s="55"/>
      <c r="I13" s="55"/>
      <c r="J13" s="55"/>
      <c r="K13" s="55"/>
      <c r="L13" s="24"/>
      <c r="M13" s="24"/>
      <c r="N13" s="23"/>
      <c r="O13" s="176"/>
      <c r="P13" s="24"/>
      <c r="Q13" s="23"/>
      <c r="R13" s="55"/>
      <c r="S13" s="24"/>
      <c r="T13" s="23"/>
      <c r="U13" s="23"/>
      <c r="V13" s="23"/>
      <c r="W13" s="24"/>
      <c r="X13" s="23"/>
      <c r="Y13" s="55"/>
      <c r="Z13" s="54"/>
      <c r="AA13" s="24"/>
      <c r="AB13" s="54"/>
      <c r="AC13" s="54"/>
      <c r="AD13" s="98"/>
      <c r="AE13" s="14"/>
      <c r="AF13" s="14"/>
    </row>
    <row r="14" spans="1:33" customFormat="1">
      <c r="A14" s="146" t="s">
        <v>20</v>
      </c>
      <c r="B14" s="14"/>
      <c r="C14" s="55"/>
      <c r="D14" s="55"/>
      <c r="E14" s="55"/>
      <c r="F14" s="55"/>
      <c r="G14" s="13"/>
      <c r="H14" s="55"/>
      <c r="I14" s="55"/>
      <c r="J14" s="55"/>
      <c r="K14" s="55"/>
      <c r="L14" s="24"/>
      <c r="M14" s="24"/>
      <c r="N14" s="24">
        <v>1</v>
      </c>
      <c r="O14" s="176"/>
      <c r="P14" s="24"/>
      <c r="Q14" s="24">
        <v>1</v>
      </c>
      <c r="R14" s="55"/>
      <c r="S14" s="24"/>
      <c r="T14" s="24">
        <v>1</v>
      </c>
      <c r="U14" s="24">
        <v>1</v>
      </c>
      <c r="V14" s="24">
        <v>1</v>
      </c>
      <c r="W14" s="24"/>
      <c r="X14" s="188"/>
      <c r="Y14" s="55"/>
      <c r="Z14" s="55"/>
      <c r="AA14" s="24"/>
      <c r="AB14" s="55" t="s">
        <v>107</v>
      </c>
      <c r="AC14" s="55"/>
      <c r="AD14" s="98"/>
      <c r="AE14" s="14"/>
      <c r="AF14" s="14"/>
    </row>
    <row r="15" spans="1:33" customFormat="1" ht="15.75">
      <c r="A15" s="153" t="s">
        <v>21</v>
      </c>
      <c r="B15" s="14"/>
      <c r="C15" s="55"/>
      <c r="D15" s="55"/>
      <c r="E15" s="55"/>
      <c r="F15" s="55"/>
      <c r="G15" s="13"/>
      <c r="H15" s="55"/>
      <c r="I15" s="55"/>
      <c r="J15" s="55"/>
      <c r="K15" s="55"/>
      <c r="L15" s="24"/>
      <c r="M15" s="24"/>
      <c r="N15" s="383" t="s">
        <v>83</v>
      </c>
      <c r="O15" s="94"/>
      <c r="P15" s="24"/>
      <c r="Q15" s="383" t="s">
        <v>83</v>
      </c>
      <c r="R15" s="55"/>
      <c r="S15" s="24"/>
      <c r="T15" s="383" t="s">
        <v>84</v>
      </c>
      <c r="U15" s="383" t="s">
        <v>80</v>
      </c>
      <c r="V15" s="383" t="s">
        <v>82</v>
      </c>
      <c r="W15" s="24"/>
      <c r="X15" s="94" t="s">
        <v>86</v>
      </c>
      <c r="Y15" s="55"/>
      <c r="Z15" s="51" t="s">
        <v>541</v>
      </c>
      <c r="AA15" s="24"/>
      <c r="AB15" s="51" t="s">
        <v>541</v>
      </c>
      <c r="AC15" s="51" t="s">
        <v>541</v>
      </c>
      <c r="AD15" s="98"/>
      <c r="AE15" s="14"/>
      <c r="AF15" s="14"/>
    </row>
    <row r="16" spans="1:33" customFormat="1">
      <c r="A16" s="154" t="s">
        <v>22</v>
      </c>
      <c r="B16" s="14"/>
      <c r="C16" s="55"/>
      <c r="D16" s="55"/>
      <c r="E16" s="55"/>
      <c r="F16" s="55"/>
      <c r="G16" s="13"/>
      <c r="H16" s="55"/>
      <c r="I16" s="55"/>
      <c r="J16" s="55"/>
      <c r="K16" s="55"/>
      <c r="L16" s="24"/>
      <c r="M16" s="24"/>
      <c r="N16" s="27"/>
      <c r="O16" s="176"/>
      <c r="P16" s="24"/>
      <c r="Q16" s="27"/>
      <c r="R16" s="55"/>
      <c r="S16" s="24"/>
      <c r="T16" s="27"/>
      <c r="U16" s="27"/>
      <c r="V16" s="27"/>
      <c r="W16" s="24"/>
      <c r="X16" s="27"/>
      <c r="Y16" s="55"/>
      <c r="Z16" s="57"/>
      <c r="AA16" s="24"/>
      <c r="AB16" s="57"/>
      <c r="AC16" s="57"/>
      <c r="AD16" s="98"/>
      <c r="AE16" s="14"/>
      <c r="AF16" s="14"/>
    </row>
    <row r="17" spans="1:32" customFormat="1" ht="15.75">
      <c r="A17" s="153" t="s">
        <v>23</v>
      </c>
      <c r="B17" s="14"/>
      <c r="C17" s="55"/>
      <c r="D17" s="55"/>
      <c r="E17" s="55"/>
      <c r="F17" s="55"/>
      <c r="G17" s="13"/>
      <c r="H17" s="55"/>
      <c r="I17" s="55"/>
      <c r="J17" s="55"/>
      <c r="K17" s="55"/>
      <c r="L17" s="24"/>
      <c r="M17" s="24"/>
      <c r="N17" s="383">
        <v>600</v>
      </c>
      <c r="O17" s="331"/>
      <c r="P17" s="24"/>
      <c r="Q17" s="383">
        <v>3708</v>
      </c>
      <c r="R17" s="55"/>
      <c r="S17" s="24"/>
      <c r="T17" s="383">
        <v>156</v>
      </c>
      <c r="U17" s="383">
        <v>228</v>
      </c>
      <c r="V17" s="383">
        <v>4656</v>
      </c>
      <c r="W17" s="24"/>
      <c r="X17" s="404">
        <v>192</v>
      </c>
      <c r="Y17" s="55"/>
      <c r="Z17" s="51">
        <v>610</v>
      </c>
      <c r="AA17" s="24"/>
      <c r="AB17" s="51">
        <v>1200</v>
      </c>
      <c r="AC17" s="51">
        <v>550</v>
      </c>
      <c r="AD17" s="98"/>
      <c r="AE17" s="14"/>
      <c r="AF17" s="14"/>
    </row>
    <row r="18" spans="1:32" customFormat="1" ht="12.75" customHeight="1">
      <c r="A18" s="155" t="s">
        <v>24</v>
      </c>
      <c r="B18" s="14"/>
      <c r="C18" s="55"/>
      <c r="D18" s="55"/>
      <c r="E18" s="55"/>
      <c r="F18" s="55"/>
      <c r="G18" s="13"/>
      <c r="H18" s="55"/>
      <c r="I18" s="55"/>
      <c r="J18" s="55"/>
      <c r="K18" s="55"/>
      <c r="L18" s="24"/>
      <c r="M18" s="24"/>
      <c r="N18" s="24"/>
      <c r="O18" s="176"/>
      <c r="P18" s="24"/>
      <c r="Q18" s="24"/>
      <c r="R18" s="55"/>
      <c r="S18" s="24"/>
      <c r="T18" s="24"/>
      <c r="U18" s="24" t="s">
        <v>107</v>
      </c>
      <c r="V18" s="24"/>
      <c r="W18" s="24"/>
      <c r="X18" s="30"/>
      <c r="Y18" s="55"/>
      <c r="Z18" s="55"/>
      <c r="AA18" s="24"/>
      <c r="AB18" s="55"/>
      <c r="AC18" s="55"/>
      <c r="AD18" s="98"/>
      <c r="AE18" s="14"/>
      <c r="AF18" s="14"/>
    </row>
    <row r="19" spans="1:32" customFormat="1" ht="15.75">
      <c r="A19" s="128" t="s">
        <v>25</v>
      </c>
      <c r="B19" s="14"/>
      <c r="C19" s="55"/>
      <c r="D19" s="55"/>
      <c r="E19" s="55"/>
      <c r="F19" s="55"/>
      <c r="G19" s="13"/>
      <c r="H19" s="55"/>
      <c r="I19" s="55"/>
      <c r="J19" s="55"/>
      <c r="K19" s="55"/>
      <c r="L19" s="24"/>
      <c r="M19" s="24"/>
      <c r="N19" s="32">
        <v>43541</v>
      </c>
      <c r="O19" s="32"/>
      <c r="P19" s="24"/>
      <c r="Q19" s="32">
        <v>43576</v>
      </c>
      <c r="R19" s="55"/>
      <c r="S19" s="24"/>
      <c r="T19" s="32">
        <v>43563</v>
      </c>
      <c r="U19" s="32">
        <v>43544</v>
      </c>
      <c r="V19" s="32">
        <v>43596</v>
      </c>
      <c r="W19" s="24"/>
      <c r="X19" s="32">
        <v>43169</v>
      </c>
      <c r="Y19" s="55"/>
      <c r="Z19" s="491">
        <v>43532</v>
      </c>
      <c r="AA19" s="24"/>
      <c r="AB19" s="491">
        <v>43532</v>
      </c>
      <c r="AC19" s="491">
        <v>43532</v>
      </c>
      <c r="AD19" s="98"/>
      <c r="AE19" s="14"/>
      <c r="AF19" s="14"/>
    </row>
    <row r="20" spans="1:32" customFormat="1">
      <c r="A20" s="146" t="s">
        <v>27</v>
      </c>
      <c r="B20" s="14"/>
      <c r="C20" s="55"/>
      <c r="D20" s="55"/>
      <c r="E20" s="55"/>
      <c r="F20" s="55"/>
      <c r="G20" s="183"/>
      <c r="H20" s="55"/>
      <c r="I20" s="55"/>
      <c r="J20" s="55"/>
      <c r="K20" s="55"/>
      <c r="L20" s="24"/>
      <c r="M20" s="24"/>
      <c r="N20" s="31" t="s">
        <v>29</v>
      </c>
      <c r="P20" s="24"/>
      <c r="Q20" s="31" t="s">
        <v>29</v>
      </c>
      <c r="R20" s="55"/>
      <c r="S20" s="24"/>
      <c r="T20" s="31" t="s">
        <v>30</v>
      </c>
      <c r="U20" s="31" t="s">
        <v>28</v>
      </c>
      <c r="V20" s="31" t="s">
        <v>28</v>
      </c>
      <c r="W20" s="24"/>
      <c r="X20" s="31" t="s">
        <v>87</v>
      </c>
      <c r="Y20" s="55"/>
      <c r="Z20" s="58" t="s">
        <v>28</v>
      </c>
      <c r="AA20" s="24"/>
      <c r="AB20" s="58" t="s">
        <v>28</v>
      </c>
      <c r="AC20" s="58" t="s">
        <v>28</v>
      </c>
      <c r="AD20" s="98"/>
      <c r="AE20" s="14"/>
      <c r="AF20" s="14"/>
    </row>
    <row r="21" spans="1:32" customFormat="1" ht="15.75">
      <c r="A21" s="146" t="s">
        <v>10</v>
      </c>
      <c r="B21" s="14"/>
      <c r="C21" s="55"/>
      <c r="D21" s="55"/>
      <c r="E21" s="55"/>
      <c r="F21" s="55"/>
      <c r="G21" s="13"/>
      <c r="H21" s="55"/>
      <c r="I21" s="55"/>
      <c r="J21" s="55"/>
      <c r="K21" s="55"/>
      <c r="L21" s="24"/>
      <c r="M21" s="24"/>
      <c r="N21" s="383" t="s">
        <v>78</v>
      </c>
      <c r="O21" s="331"/>
      <c r="P21" s="24"/>
      <c r="Q21" s="331"/>
      <c r="R21" s="55"/>
      <c r="S21" s="24"/>
      <c r="T21" s="383" t="s">
        <v>78</v>
      </c>
      <c r="U21" s="383" t="s">
        <v>78</v>
      </c>
      <c r="V21" s="33"/>
      <c r="W21" s="24"/>
      <c r="X21" s="24"/>
      <c r="Y21" s="55"/>
      <c r="Z21" s="51" t="s">
        <v>697</v>
      </c>
      <c r="AA21" s="24"/>
      <c r="AB21" s="418"/>
      <c r="AC21" s="51" t="s">
        <v>697</v>
      </c>
      <c r="AD21" s="98"/>
      <c r="AE21" s="14"/>
      <c r="AF21" s="14"/>
    </row>
    <row r="22" spans="1:32" customFormat="1" ht="15.75">
      <c r="A22" s="147" t="s">
        <v>11</v>
      </c>
      <c r="B22" s="14"/>
      <c r="C22" s="55"/>
      <c r="D22" s="55"/>
      <c r="E22" s="55"/>
      <c r="F22" s="55"/>
      <c r="G22" s="13"/>
      <c r="H22" s="55"/>
      <c r="I22" s="55"/>
      <c r="J22" s="55"/>
      <c r="K22" s="55"/>
      <c r="L22" s="24"/>
      <c r="M22" s="24"/>
      <c r="N22" s="93" t="s">
        <v>604</v>
      </c>
      <c r="O22" s="24"/>
      <c r="P22" s="24"/>
      <c r="Q22" s="24"/>
      <c r="R22" s="55"/>
      <c r="S22" s="24"/>
      <c r="T22" s="93" t="s">
        <v>606</v>
      </c>
      <c r="U22" s="93" t="s">
        <v>609</v>
      </c>
      <c r="V22" s="33"/>
      <c r="W22" s="24"/>
      <c r="X22" s="24"/>
      <c r="Y22" s="55"/>
      <c r="Z22" s="52" t="s">
        <v>540</v>
      </c>
      <c r="AA22" s="24"/>
      <c r="AB22" s="93"/>
      <c r="AC22" s="52" t="s">
        <v>773</v>
      </c>
      <c r="AD22" s="98"/>
      <c r="AE22" s="14"/>
      <c r="AF22" s="14"/>
    </row>
    <row r="23" spans="1:32" customFormat="1" ht="15.75">
      <c r="A23" s="148" t="s">
        <v>12</v>
      </c>
      <c r="B23" s="14"/>
      <c r="C23" s="55"/>
      <c r="D23" s="55"/>
      <c r="E23" s="55"/>
      <c r="F23" s="55"/>
      <c r="G23" s="13"/>
      <c r="H23" s="55"/>
      <c r="I23" s="55"/>
      <c r="J23" s="55"/>
      <c r="K23" s="55"/>
      <c r="L23" s="24"/>
      <c r="M23" s="24"/>
      <c r="N23" s="383" t="str">
        <f>VLOOKUP(N29,'[3]2018-11-16'!$A:$D,4,0)</f>
        <v>基本型體</v>
      </c>
      <c r="O23" s="176"/>
      <c r="P23" s="24"/>
      <c r="Q23" s="176"/>
      <c r="R23" s="55"/>
      <c r="S23" s="24"/>
      <c r="T23" s="383" t="str">
        <f>VLOOKUP(T29,'[3]2018-11-16'!$A:$D,4,0)</f>
        <v>基本型體</v>
      </c>
      <c r="U23" s="383" t="str">
        <f>VLOOKUP(U29,'[3]2018-11-16'!$A:$D,4,0)</f>
        <v>基本型體</v>
      </c>
      <c r="V23" s="33"/>
      <c r="W23" s="24"/>
      <c r="X23" s="24"/>
      <c r="Y23" s="55"/>
      <c r="Z23" s="51"/>
      <c r="AA23" s="24"/>
      <c r="AB23" s="418"/>
      <c r="AC23" s="51"/>
      <c r="AD23" s="98"/>
      <c r="AE23" s="14"/>
      <c r="AF23" s="14"/>
    </row>
    <row r="24" spans="1:32" customFormat="1" ht="15.75">
      <c r="A24" s="149" t="s">
        <v>13</v>
      </c>
      <c r="B24" s="14"/>
      <c r="C24" s="55"/>
      <c r="D24" s="55"/>
      <c r="E24" s="55"/>
      <c r="F24" s="55"/>
      <c r="G24" s="13"/>
      <c r="H24" s="55"/>
      <c r="I24" s="55"/>
      <c r="J24" s="55"/>
      <c r="K24" s="55"/>
      <c r="L24" s="24"/>
      <c r="M24" s="24"/>
      <c r="N24" s="19" t="str">
        <f>VLOOKUP(N22,'[4]2019-01'!$A$3:$G$2159,7,0)</f>
        <v>01/09</v>
      </c>
      <c r="O24" s="19"/>
      <c r="P24" s="24"/>
      <c r="Q24" s="19"/>
      <c r="R24" s="55"/>
      <c r="S24" s="24"/>
      <c r="T24" s="19" t="str">
        <f>VLOOKUP(T22,'[4]2019-01'!$A$3:$G$2159,7,0)</f>
        <v>01/22</v>
      </c>
      <c r="U24" s="19" t="str">
        <f>VLOOKUP(U22,'[4]2019-01'!$A$3:$G$2159,7,0)</f>
        <v>01/09</v>
      </c>
      <c r="V24" s="33"/>
      <c r="W24" s="24"/>
      <c r="X24" s="24"/>
      <c r="Y24" s="55"/>
      <c r="Z24" s="53" t="s">
        <v>1002</v>
      </c>
      <c r="AA24" s="24"/>
      <c r="AB24" s="19"/>
      <c r="AC24" s="53" t="s">
        <v>1002</v>
      </c>
      <c r="AD24" s="98"/>
      <c r="AE24" s="14"/>
      <c r="AF24" s="14"/>
    </row>
    <row r="25" spans="1:32" customFormat="1" ht="15.75">
      <c r="A25" s="150" t="s">
        <v>15</v>
      </c>
      <c r="B25" s="14"/>
      <c r="C25" s="55"/>
      <c r="D25" s="55"/>
      <c r="E25" s="55"/>
      <c r="F25" s="55"/>
      <c r="G25" s="13"/>
      <c r="H25" s="55"/>
      <c r="I25" s="55"/>
      <c r="J25" s="55"/>
      <c r="K25" s="55"/>
      <c r="L25" s="24"/>
      <c r="M25" s="24"/>
      <c r="N25" s="383" t="s">
        <v>53</v>
      </c>
      <c r="O25" s="331"/>
      <c r="P25" s="24"/>
      <c r="Q25" s="331"/>
      <c r="R25" s="55"/>
      <c r="S25" s="24"/>
      <c r="T25" s="383" t="s">
        <v>53</v>
      </c>
      <c r="U25" s="383" t="s">
        <v>53</v>
      </c>
      <c r="V25" s="33"/>
      <c r="W25" s="24"/>
      <c r="X25" s="24"/>
      <c r="Y25" s="55"/>
      <c r="Z25" s="51" t="s">
        <v>49</v>
      </c>
      <c r="AA25" s="24"/>
      <c r="AB25" s="418"/>
      <c r="AC25" s="51" t="s">
        <v>49</v>
      </c>
      <c r="AD25" s="98"/>
      <c r="AE25" s="14"/>
      <c r="AF25" s="14"/>
    </row>
    <row r="26" spans="1:32" customFormat="1" ht="15.75">
      <c r="A26" s="151" t="s">
        <v>17</v>
      </c>
      <c r="B26" s="14"/>
      <c r="C26" s="55"/>
      <c r="D26" s="55"/>
      <c r="E26" s="55"/>
      <c r="F26" s="55"/>
      <c r="G26" s="13"/>
      <c r="H26" s="55"/>
      <c r="I26" s="55"/>
      <c r="J26" s="55"/>
      <c r="K26" s="55"/>
      <c r="L26" s="24"/>
      <c r="M26" s="24"/>
      <c r="N26" s="391" t="s">
        <v>493</v>
      </c>
      <c r="O26" s="310"/>
      <c r="P26" s="24"/>
      <c r="Q26" s="310"/>
      <c r="R26" s="55"/>
      <c r="S26" s="24"/>
      <c r="T26" s="391" t="s">
        <v>493</v>
      </c>
      <c r="U26" s="391" t="s">
        <v>493</v>
      </c>
      <c r="V26" s="33"/>
      <c r="W26" s="24"/>
      <c r="X26" s="24"/>
      <c r="Y26" s="55"/>
      <c r="Z26" s="492" t="s">
        <v>1000</v>
      </c>
      <c r="AA26" s="24"/>
      <c r="AB26" s="391"/>
      <c r="AC26" s="492" t="s">
        <v>1000</v>
      </c>
      <c r="AD26" s="98"/>
      <c r="AE26" s="14"/>
      <c r="AF26" s="14"/>
    </row>
    <row r="27" spans="1:32" customFormat="1" ht="15.75">
      <c r="A27" s="152" t="s">
        <v>18</v>
      </c>
      <c r="B27" s="14"/>
      <c r="C27" s="55"/>
      <c r="D27" s="55"/>
      <c r="E27" s="55"/>
      <c r="F27" s="55"/>
      <c r="G27" s="13"/>
      <c r="H27" s="55"/>
      <c r="I27" s="55"/>
      <c r="J27" s="55"/>
      <c r="K27" s="55"/>
      <c r="L27" s="24"/>
      <c r="M27" s="24"/>
      <c r="N27" s="23"/>
      <c r="O27" s="176"/>
      <c r="P27" s="24"/>
      <c r="Q27" s="176"/>
      <c r="R27" s="55"/>
      <c r="S27" s="24"/>
      <c r="T27" s="23"/>
      <c r="U27" s="23"/>
      <c r="V27" s="33"/>
      <c r="W27" s="24"/>
      <c r="X27" s="24"/>
      <c r="Y27" s="55"/>
      <c r="Z27" s="54"/>
      <c r="AA27" s="24"/>
      <c r="AB27" s="23"/>
      <c r="AC27" s="54"/>
      <c r="AD27" s="98"/>
      <c r="AE27" s="14"/>
      <c r="AF27" s="14"/>
    </row>
    <row r="28" spans="1:32" customFormat="1">
      <c r="A28" s="146" t="s">
        <v>20</v>
      </c>
      <c r="B28" s="14"/>
      <c r="C28" s="55"/>
      <c r="D28" s="55"/>
      <c r="E28" s="55"/>
      <c r="F28" s="55"/>
      <c r="G28" s="13"/>
      <c r="H28" s="55"/>
      <c r="I28" s="55"/>
      <c r="J28" s="55"/>
      <c r="K28" s="55"/>
      <c r="L28" s="24"/>
      <c r="M28" s="24"/>
      <c r="N28" s="24">
        <v>1</v>
      </c>
      <c r="O28" s="176"/>
      <c r="P28" s="24"/>
      <c r="Q28" s="176"/>
      <c r="R28" s="55"/>
      <c r="S28" s="24"/>
      <c r="T28" s="24">
        <v>1</v>
      </c>
      <c r="U28" s="24">
        <v>1</v>
      </c>
      <c r="V28" s="33"/>
      <c r="W28" s="24"/>
      <c r="X28" s="24"/>
      <c r="Y28" s="55"/>
      <c r="Z28" s="55"/>
      <c r="AA28" s="24"/>
      <c r="AB28" s="24"/>
      <c r="AC28" s="55"/>
      <c r="AD28" s="98"/>
      <c r="AE28" s="14"/>
      <c r="AF28" s="14"/>
    </row>
    <row r="29" spans="1:32" customFormat="1" ht="15.75">
      <c r="A29" s="153" t="s">
        <v>21</v>
      </c>
      <c r="B29" s="14"/>
      <c r="C29" s="55"/>
      <c r="D29" s="55"/>
      <c r="E29" s="55"/>
      <c r="F29" s="55"/>
      <c r="G29" s="13"/>
      <c r="H29" s="55"/>
      <c r="I29" s="55"/>
      <c r="J29" s="55"/>
      <c r="K29" s="55"/>
      <c r="L29" s="24"/>
      <c r="M29" s="24"/>
      <c r="N29" s="383" t="s">
        <v>83</v>
      </c>
      <c r="O29" s="94"/>
      <c r="P29" s="24"/>
      <c r="Q29" s="94"/>
      <c r="R29" s="55"/>
      <c r="S29" s="24"/>
      <c r="T29" s="383" t="s">
        <v>84</v>
      </c>
      <c r="U29" s="383" t="s">
        <v>82</v>
      </c>
      <c r="V29" s="33"/>
      <c r="W29" s="24"/>
      <c r="X29" s="24"/>
      <c r="Y29" s="55"/>
      <c r="Z29" s="51" t="s">
        <v>541</v>
      </c>
      <c r="AA29" s="24"/>
      <c r="AB29" s="418"/>
      <c r="AC29" s="51" t="s">
        <v>541</v>
      </c>
      <c r="AD29" s="98"/>
      <c r="AE29" s="14"/>
      <c r="AF29" s="14"/>
    </row>
    <row r="30" spans="1:32" customFormat="1">
      <c r="A30" s="154" t="s">
        <v>22</v>
      </c>
      <c r="B30" s="14"/>
      <c r="C30" s="55"/>
      <c r="D30" s="55"/>
      <c r="E30" s="55"/>
      <c r="F30" s="55"/>
      <c r="G30" s="13"/>
      <c r="H30" s="55"/>
      <c r="I30" s="55"/>
      <c r="J30" s="55"/>
      <c r="K30" s="55"/>
      <c r="L30" s="24"/>
      <c r="M30" s="24"/>
      <c r="N30" s="27"/>
      <c r="O30" s="176"/>
      <c r="P30" s="24"/>
      <c r="Q30" s="176"/>
      <c r="R30" s="55"/>
      <c r="S30" s="24"/>
      <c r="T30" s="27"/>
      <c r="U30" s="27"/>
      <c r="V30" s="33"/>
      <c r="W30" s="24"/>
      <c r="X30" s="24"/>
      <c r="Y30" s="55"/>
      <c r="Z30" s="57"/>
      <c r="AA30" s="24"/>
      <c r="AB30" s="27"/>
      <c r="AC30" s="57"/>
      <c r="AD30" s="98"/>
      <c r="AE30" s="14"/>
      <c r="AF30" s="14"/>
    </row>
    <row r="31" spans="1:32" customFormat="1" ht="15.75">
      <c r="A31" s="153" t="s">
        <v>23</v>
      </c>
      <c r="B31" s="14"/>
      <c r="C31" s="55"/>
      <c r="D31" s="55"/>
      <c r="E31" s="55"/>
      <c r="F31" s="55"/>
      <c r="G31" s="13"/>
      <c r="H31" s="55"/>
      <c r="I31" s="55"/>
      <c r="J31" s="55"/>
      <c r="K31" s="55"/>
      <c r="L31" s="24"/>
      <c r="M31" s="24"/>
      <c r="N31" s="383">
        <v>5412</v>
      </c>
      <c r="O31" s="331"/>
      <c r="P31" s="24"/>
      <c r="Q31" s="331"/>
      <c r="R31" s="55"/>
      <c r="S31" s="24"/>
      <c r="T31" s="383">
        <v>1044</v>
      </c>
      <c r="U31" s="383">
        <v>1224</v>
      </c>
      <c r="V31" s="33"/>
      <c r="W31" s="24"/>
      <c r="X31" s="24"/>
      <c r="Y31" s="55"/>
      <c r="Z31" s="51">
        <v>2640</v>
      </c>
      <c r="AA31" s="24"/>
      <c r="AB31" s="418"/>
      <c r="AC31" s="51">
        <v>396</v>
      </c>
      <c r="AD31" s="98"/>
      <c r="AE31" s="14"/>
      <c r="AF31" s="14"/>
    </row>
    <row r="32" spans="1:32" customFormat="1" ht="15.75">
      <c r="A32" s="155" t="s">
        <v>24</v>
      </c>
      <c r="B32" s="14"/>
      <c r="C32" s="55"/>
      <c r="D32" s="55"/>
      <c r="E32" s="55"/>
      <c r="F32" s="55"/>
      <c r="G32" s="13"/>
      <c r="H32" s="55"/>
      <c r="I32" s="55"/>
      <c r="J32" s="55"/>
      <c r="K32" s="55"/>
      <c r="L32" s="24"/>
      <c r="M32" s="24"/>
      <c r="N32" s="24"/>
      <c r="O32" s="176"/>
      <c r="P32" s="24"/>
      <c r="Q32" s="176"/>
      <c r="R32" s="55"/>
      <c r="S32" s="24"/>
      <c r="T32" s="24"/>
      <c r="U32" s="24"/>
      <c r="V32" s="33"/>
      <c r="W32" s="24"/>
      <c r="X32" s="24"/>
      <c r="Y32" s="55"/>
      <c r="Z32" s="55"/>
      <c r="AA32" s="24"/>
      <c r="AB32" s="24"/>
      <c r="AC32" s="55"/>
      <c r="AD32" s="98"/>
      <c r="AE32" s="14"/>
      <c r="AF32" s="14"/>
    </row>
    <row r="33" spans="1:32" customFormat="1" ht="15.75">
      <c r="A33" s="128" t="s">
        <v>25</v>
      </c>
      <c r="B33" s="14"/>
      <c r="C33" s="55"/>
      <c r="D33" s="55"/>
      <c r="E33" s="55"/>
      <c r="F33" s="55"/>
      <c r="G33" s="13"/>
      <c r="H33" s="55"/>
      <c r="I33" s="55"/>
      <c r="J33" s="55"/>
      <c r="K33" s="55"/>
      <c r="L33" s="24"/>
      <c r="M33" s="24"/>
      <c r="N33" s="32">
        <v>43538</v>
      </c>
      <c r="O33" s="32"/>
      <c r="P33" s="24"/>
      <c r="Q33" s="32"/>
      <c r="R33" s="55"/>
      <c r="S33" s="24"/>
      <c r="T33" s="32">
        <v>43596</v>
      </c>
      <c r="U33" s="32">
        <v>43563</v>
      </c>
      <c r="V33" s="33"/>
      <c r="W33" s="24"/>
      <c r="X33" s="24"/>
      <c r="Y33" s="55"/>
      <c r="Z33" s="491">
        <v>43532</v>
      </c>
      <c r="AA33" s="24"/>
      <c r="AB33" s="32"/>
      <c r="AC33" s="491">
        <v>43532</v>
      </c>
      <c r="AD33" s="98"/>
      <c r="AE33" s="14"/>
      <c r="AF33" s="14"/>
    </row>
    <row r="34" spans="1:32" customFormat="1">
      <c r="A34" s="146" t="s">
        <v>27</v>
      </c>
      <c r="B34" s="14"/>
      <c r="C34" s="55"/>
      <c r="D34" s="55"/>
      <c r="E34" s="55"/>
      <c r="F34" s="55"/>
      <c r="G34" s="183"/>
      <c r="H34" s="55"/>
      <c r="I34" s="55"/>
      <c r="J34" s="55"/>
      <c r="K34" s="55"/>
      <c r="L34" s="24"/>
      <c r="M34" s="24"/>
      <c r="N34" s="31" t="s">
        <v>29</v>
      </c>
      <c r="P34" s="24"/>
      <c r="Q34" s="24"/>
      <c r="R34" s="55"/>
      <c r="S34" s="24"/>
      <c r="T34" s="31" t="s">
        <v>28</v>
      </c>
      <c r="U34" s="31" t="s">
        <v>30</v>
      </c>
      <c r="V34" s="33"/>
      <c r="W34" s="24"/>
      <c r="X34" s="24"/>
      <c r="Y34" s="55"/>
      <c r="Z34" s="58" t="s">
        <v>28</v>
      </c>
      <c r="AA34" s="24"/>
      <c r="AB34" s="14"/>
      <c r="AC34" s="58" t="s">
        <v>28</v>
      </c>
      <c r="AD34" s="98"/>
      <c r="AE34" s="14"/>
      <c r="AF34" s="14"/>
    </row>
    <row r="35" spans="1:32" customFormat="1" ht="15.75">
      <c r="A35" s="146" t="s">
        <v>10</v>
      </c>
      <c r="B35" s="14"/>
      <c r="C35" s="15"/>
      <c r="D35" s="55"/>
      <c r="E35" s="55"/>
      <c r="F35" s="55"/>
      <c r="G35" s="13"/>
      <c r="H35" s="55"/>
      <c r="I35" s="55"/>
      <c r="J35" s="15"/>
      <c r="K35" s="15"/>
      <c r="L35" s="24"/>
      <c r="M35" s="24"/>
      <c r="N35" s="24"/>
      <c r="O35" s="24"/>
      <c r="P35" s="24"/>
      <c r="Q35" s="24"/>
      <c r="R35" s="55"/>
      <c r="S35" s="24"/>
      <c r="T35" s="50"/>
      <c r="U35" s="33"/>
      <c r="V35" s="24"/>
      <c r="W35" s="24"/>
      <c r="X35" s="24"/>
      <c r="Y35" s="55"/>
      <c r="Z35" s="24"/>
      <c r="AA35" s="24"/>
      <c r="AB35" s="14"/>
      <c r="AC35" s="51" t="s">
        <v>697</v>
      </c>
      <c r="AD35" s="98"/>
      <c r="AE35" s="14"/>
      <c r="AF35" s="14"/>
    </row>
    <row r="36" spans="1:32" customFormat="1" ht="15.75">
      <c r="A36" s="147" t="s">
        <v>11</v>
      </c>
      <c r="B36" s="14"/>
      <c r="C36" s="15"/>
      <c r="D36" s="55"/>
      <c r="E36" s="55"/>
      <c r="F36" s="55"/>
      <c r="G36" s="13"/>
      <c r="H36" s="55"/>
      <c r="I36" s="55"/>
      <c r="J36" s="15"/>
      <c r="K36" s="15"/>
      <c r="L36" s="24"/>
      <c r="M36" s="24"/>
      <c r="N36" s="24"/>
      <c r="O36" s="24"/>
      <c r="P36" s="24"/>
      <c r="Q36" s="24"/>
      <c r="R36" s="55"/>
      <c r="S36" s="24"/>
      <c r="T36" s="50"/>
      <c r="U36" s="33"/>
      <c r="V36" s="24"/>
      <c r="W36" s="24"/>
      <c r="X36" s="24"/>
      <c r="Y36" s="55"/>
      <c r="Z36" s="24"/>
      <c r="AA36" s="24"/>
      <c r="AB36" s="14"/>
      <c r="AC36" s="52" t="s">
        <v>543</v>
      </c>
      <c r="AD36" s="98"/>
      <c r="AE36" s="14"/>
      <c r="AF36" s="14"/>
    </row>
    <row r="37" spans="1:32" customFormat="1" ht="15.75">
      <c r="A37" s="148" t="s">
        <v>12</v>
      </c>
      <c r="B37" s="14"/>
      <c r="C37" s="15"/>
      <c r="D37" s="55"/>
      <c r="E37" s="55"/>
      <c r="F37" s="55"/>
      <c r="G37" s="13"/>
      <c r="H37" s="55"/>
      <c r="I37" s="55"/>
      <c r="J37" s="15"/>
      <c r="K37" s="15"/>
      <c r="L37" s="24"/>
      <c r="M37" s="24"/>
      <c r="N37" s="176"/>
      <c r="O37" s="24"/>
      <c r="P37" s="176"/>
      <c r="Q37" s="24"/>
      <c r="R37" s="55"/>
      <c r="S37" s="24"/>
      <c r="T37" s="50"/>
      <c r="U37" s="33"/>
      <c r="V37" s="24"/>
      <c r="W37" s="24"/>
      <c r="X37" s="24"/>
      <c r="Y37" s="55"/>
      <c r="Z37" s="24"/>
      <c r="AA37" s="24"/>
      <c r="AB37" s="14"/>
      <c r="AC37" s="51"/>
      <c r="AD37" s="98"/>
      <c r="AE37" s="14"/>
      <c r="AF37" s="14"/>
    </row>
    <row r="38" spans="1:32" customFormat="1" ht="15.75">
      <c r="A38" s="149" t="s">
        <v>13</v>
      </c>
      <c r="B38" s="14"/>
      <c r="C38" s="15"/>
      <c r="D38" s="55"/>
      <c r="E38" s="55"/>
      <c r="F38" s="55"/>
      <c r="G38" s="13"/>
      <c r="H38" s="55"/>
      <c r="I38" s="55"/>
      <c r="J38" s="15"/>
      <c r="K38" s="15"/>
      <c r="L38" s="24"/>
      <c r="M38" s="24"/>
      <c r="N38" s="19"/>
      <c r="O38" s="24"/>
      <c r="P38" s="19"/>
      <c r="Q38" s="24"/>
      <c r="R38" s="55"/>
      <c r="S38" s="24"/>
      <c r="T38" s="50"/>
      <c r="U38" s="33"/>
      <c r="V38" s="24"/>
      <c r="W38" s="24"/>
      <c r="X38" s="24"/>
      <c r="Y38" s="55"/>
      <c r="Z38" s="24"/>
      <c r="AA38" s="24"/>
      <c r="AB38" s="14"/>
      <c r="AC38" s="53" t="s">
        <v>1002</v>
      </c>
      <c r="AD38" s="98"/>
      <c r="AE38" s="14"/>
      <c r="AF38" s="14"/>
    </row>
    <row r="39" spans="1:32" customFormat="1" ht="15.75">
      <c r="A39" s="150" t="s">
        <v>15</v>
      </c>
      <c r="B39" s="14"/>
      <c r="C39" s="15"/>
      <c r="D39" s="55"/>
      <c r="E39" s="55"/>
      <c r="F39" s="55"/>
      <c r="G39" s="13"/>
      <c r="H39" s="55"/>
      <c r="I39" s="55"/>
      <c r="J39" s="15"/>
      <c r="K39" s="15"/>
      <c r="L39" s="24"/>
      <c r="M39" s="24"/>
      <c r="N39" s="331"/>
      <c r="O39" s="24"/>
      <c r="P39" s="331"/>
      <c r="Q39" s="24"/>
      <c r="R39" s="55"/>
      <c r="S39" s="24"/>
      <c r="T39" s="50"/>
      <c r="U39" s="33"/>
      <c r="V39" s="24"/>
      <c r="W39" s="24"/>
      <c r="X39" s="24"/>
      <c r="Y39" s="55"/>
      <c r="Z39" s="24"/>
      <c r="AA39" s="24"/>
      <c r="AB39" s="14"/>
      <c r="AC39" s="51" t="s">
        <v>49</v>
      </c>
      <c r="AD39" s="98"/>
      <c r="AE39" s="14"/>
      <c r="AF39" s="14"/>
    </row>
    <row r="40" spans="1:32" customFormat="1" ht="15.75">
      <c r="A40" s="151" t="s">
        <v>17</v>
      </c>
      <c r="B40" s="14"/>
      <c r="C40" s="15"/>
      <c r="D40" s="55"/>
      <c r="E40" s="55"/>
      <c r="F40" s="55"/>
      <c r="G40" s="13"/>
      <c r="H40" s="55"/>
      <c r="I40" s="55"/>
      <c r="J40" s="15"/>
      <c r="K40" s="15"/>
      <c r="L40" s="24"/>
      <c r="M40" s="24"/>
      <c r="N40" s="310"/>
      <c r="O40" s="24"/>
      <c r="P40" s="310"/>
      <c r="Q40" s="24"/>
      <c r="R40" s="55"/>
      <c r="S40" s="24"/>
      <c r="T40" s="50"/>
      <c r="U40" s="33"/>
      <c r="V40" s="24"/>
      <c r="W40" s="24"/>
      <c r="X40" s="24"/>
      <c r="Y40" s="55"/>
      <c r="Z40" s="24"/>
      <c r="AA40" s="24"/>
      <c r="AB40" s="14"/>
      <c r="AC40" s="492" t="s">
        <v>1000</v>
      </c>
      <c r="AD40" s="98"/>
      <c r="AE40" s="14"/>
      <c r="AF40" s="14"/>
    </row>
    <row r="41" spans="1:32" customFormat="1" ht="15.75">
      <c r="A41" s="152" t="s">
        <v>18</v>
      </c>
      <c r="B41" s="14"/>
      <c r="C41" s="15"/>
      <c r="D41" s="55"/>
      <c r="E41" s="55"/>
      <c r="F41" s="55"/>
      <c r="G41" s="13"/>
      <c r="H41" s="55"/>
      <c r="I41" s="55"/>
      <c r="J41" s="15"/>
      <c r="K41" s="15"/>
      <c r="L41" s="24"/>
      <c r="M41" s="24"/>
      <c r="N41" s="176"/>
      <c r="O41" s="24"/>
      <c r="P41" s="176"/>
      <c r="Q41" s="24"/>
      <c r="R41" s="55"/>
      <c r="S41" s="24"/>
      <c r="T41" s="50"/>
      <c r="U41" s="33"/>
      <c r="V41" s="24"/>
      <c r="W41" s="24"/>
      <c r="X41" s="24"/>
      <c r="Y41" s="55"/>
      <c r="Z41" s="24"/>
      <c r="AA41" s="24"/>
      <c r="AB41" s="14"/>
      <c r="AC41" s="54"/>
      <c r="AD41" s="98"/>
      <c r="AE41" s="14"/>
      <c r="AF41" s="14"/>
    </row>
    <row r="42" spans="1:32" customFormat="1">
      <c r="A42" s="146" t="s">
        <v>20</v>
      </c>
      <c r="B42" s="14"/>
      <c r="C42" s="15"/>
      <c r="D42" s="55"/>
      <c r="E42" s="55"/>
      <c r="F42" s="55"/>
      <c r="G42" s="13"/>
      <c r="H42" s="55"/>
      <c r="I42" s="55"/>
      <c r="J42" s="15"/>
      <c r="K42" s="15"/>
      <c r="L42" s="24"/>
      <c r="M42" s="24"/>
      <c r="N42" s="176"/>
      <c r="O42" s="24"/>
      <c r="P42" s="176"/>
      <c r="Q42" s="24"/>
      <c r="R42" s="55"/>
      <c r="S42" s="24"/>
      <c r="T42" s="50"/>
      <c r="U42" s="33"/>
      <c r="V42" s="24"/>
      <c r="W42" s="24"/>
      <c r="X42" s="24"/>
      <c r="Y42" s="55"/>
      <c r="Z42" s="24"/>
      <c r="AA42" s="24"/>
      <c r="AB42" s="14"/>
      <c r="AC42" s="55"/>
      <c r="AD42" s="98"/>
      <c r="AE42" s="14"/>
      <c r="AF42" s="14"/>
    </row>
    <row r="43" spans="1:32" customFormat="1" ht="15.75">
      <c r="A43" s="153" t="s">
        <v>21</v>
      </c>
      <c r="B43" s="14"/>
      <c r="C43" s="15"/>
      <c r="D43" s="55"/>
      <c r="E43" s="55"/>
      <c r="F43" s="55"/>
      <c r="G43" s="13"/>
      <c r="H43" s="55"/>
      <c r="I43" s="55"/>
      <c r="J43" s="15"/>
      <c r="K43" s="15"/>
      <c r="L43" s="24"/>
      <c r="M43" s="24"/>
      <c r="N43" s="94"/>
      <c r="O43" s="24"/>
      <c r="P43" s="94"/>
      <c r="Q43" s="24"/>
      <c r="R43" s="55"/>
      <c r="S43" s="24"/>
      <c r="T43" s="50"/>
      <c r="U43" s="33"/>
      <c r="V43" s="24"/>
      <c r="W43" s="24"/>
      <c r="X43" s="24"/>
      <c r="Y43" s="55"/>
      <c r="Z43" s="24"/>
      <c r="AA43" s="24"/>
      <c r="AB43" s="14"/>
      <c r="AC43" s="51" t="s">
        <v>541</v>
      </c>
      <c r="AD43" s="98"/>
      <c r="AE43" s="14"/>
      <c r="AF43" s="14"/>
    </row>
    <row r="44" spans="1:32" customFormat="1">
      <c r="A44" s="154" t="s">
        <v>22</v>
      </c>
      <c r="B44" s="14"/>
      <c r="C44" s="15"/>
      <c r="D44" s="55"/>
      <c r="E44" s="55"/>
      <c r="F44" s="55"/>
      <c r="G44" s="13"/>
      <c r="H44" s="55"/>
      <c r="I44" s="55"/>
      <c r="J44" s="15"/>
      <c r="K44" s="15"/>
      <c r="L44" s="24"/>
      <c r="M44" s="24"/>
      <c r="N44" s="176"/>
      <c r="O44" s="24"/>
      <c r="P44" s="176"/>
      <c r="Q44" s="24"/>
      <c r="R44" s="55"/>
      <c r="S44" s="24"/>
      <c r="T44" s="50"/>
      <c r="U44" s="33"/>
      <c r="V44" s="24"/>
      <c r="W44" s="24"/>
      <c r="X44" s="24"/>
      <c r="Y44" s="55"/>
      <c r="Z44" s="24"/>
      <c r="AA44" s="24"/>
      <c r="AB44" s="14"/>
      <c r="AC44" s="57"/>
      <c r="AD44" s="98"/>
      <c r="AE44" s="14"/>
      <c r="AF44" s="14"/>
    </row>
    <row r="45" spans="1:32" customFormat="1" ht="15.75">
      <c r="A45" s="153" t="s">
        <v>23</v>
      </c>
      <c r="B45" s="14"/>
      <c r="C45" s="15"/>
      <c r="D45" s="55"/>
      <c r="E45" s="55"/>
      <c r="F45" s="55"/>
      <c r="G45" s="13"/>
      <c r="H45" s="55"/>
      <c r="I45" s="55"/>
      <c r="J45" s="15"/>
      <c r="K45" s="15"/>
      <c r="L45" s="24"/>
      <c r="M45" s="24"/>
      <c r="N45" s="331"/>
      <c r="O45" s="24"/>
      <c r="P45" s="331"/>
      <c r="Q45" s="24"/>
      <c r="R45" s="55"/>
      <c r="S45" s="24"/>
      <c r="T45" s="50"/>
      <c r="U45" s="33"/>
      <c r="V45" s="24"/>
      <c r="W45" s="24"/>
      <c r="X45" s="24"/>
      <c r="Y45" s="55"/>
      <c r="Z45" s="24"/>
      <c r="AA45" s="24"/>
      <c r="AB45" s="14"/>
      <c r="AC45" s="51">
        <v>2580</v>
      </c>
      <c r="AD45" s="98"/>
      <c r="AE45" s="14"/>
      <c r="AF45" s="14"/>
    </row>
    <row r="46" spans="1:32" customFormat="1" ht="12.75" customHeight="1">
      <c r="A46" s="155" t="s">
        <v>24</v>
      </c>
      <c r="B46" s="14"/>
      <c r="C46" s="15"/>
      <c r="D46" s="55"/>
      <c r="E46" s="55"/>
      <c r="F46" s="55"/>
      <c r="G46" s="13"/>
      <c r="H46" s="55"/>
      <c r="I46" s="55"/>
      <c r="J46" s="15"/>
      <c r="K46" s="15"/>
      <c r="L46" s="24"/>
      <c r="M46" s="24"/>
      <c r="N46" s="176"/>
      <c r="O46" s="24"/>
      <c r="P46" s="176"/>
      <c r="Q46" s="24"/>
      <c r="R46" s="55"/>
      <c r="S46" s="24"/>
      <c r="T46" s="50"/>
      <c r="U46" s="33"/>
      <c r="V46" s="24"/>
      <c r="W46" s="24"/>
      <c r="X46" s="24"/>
      <c r="Y46" s="55"/>
      <c r="Z46" s="24"/>
      <c r="AA46" s="24"/>
      <c r="AB46" s="14"/>
      <c r="AC46" s="55"/>
      <c r="AD46" s="98"/>
      <c r="AE46" s="14"/>
      <c r="AF46" s="14"/>
    </row>
    <row r="47" spans="1:32" customFormat="1" ht="15.75">
      <c r="A47" s="128" t="s">
        <v>25</v>
      </c>
      <c r="B47" s="14"/>
      <c r="C47" s="15"/>
      <c r="D47" s="55"/>
      <c r="E47" s="55"/>
      <c r="F47" s="55"/>
      <c r="G47" s="13"/>
      <c r="H47" s="55"/>
      <c r="I47" s="55"/>
      <c r="J47" s="15"/>
      <c r="K47" s="15"/>
      <c r="L47" s="24"/>
      <c r="M47" s="24"/>
      <c r="N47" s="32"/>
      <c r="O47" s="24"/>
      <c r="P47" s="32"/>
      <c r="Q47" s="24"/>
      <c r="R47" s="55"/>
      <c r="S47" s="24"/>
      <c r="T47" s="50"/>
      <c r="U47" s="33"/>
      <c r="V47" s="24"/>
      <c r="W47" s="24"/>
      <c r="X47" s="24"/>
      <c r="Y47" s="55"/>
      <c r="Z47" s="24"/>
      <c r="AA47" s="24"/>
      <c r="AB47" s="14"/>
      <c r="AC47" s="491">
        <v>43532</v>
      </c>
      <c r="AD47" s="98"/>
      <c r="AE47" s="14"/>
      <c r="AF47" s="14"/>
    </row>
    <row r="48" spans="1:32" customFormat="1">
      <c r="A48" s="146" t="s">
        <v>27</v>
      </c>
      <c r="B48" s="14"/>
      <c r="C48" s="15"/>
      <c r="D48" s="55"/>
      <c r="E48" s="55"/>
      <c r="F48" s="55"/>
      <c r="G48" s="13"/>
      <c r="H48" s="55"/>
      <c r="I48" s="55"/>
      <c r="J48" s="15"/>
      <c r="K48" s="15"/>
      <c r="L48" s="24"/>
      <c r="M48" s="24"/>
      <c r="N48" s="24"/>
      <c r="O48" s="24"/>
      <c r="P48" s="160"/>
      <c r="Q48" s="24"/>
      <c r="R48" s="55"/>
      <c r="S48" s="24"/>
      <c r="T48" s="33"/>
      <c r="U48" s="33"/>
      <c r="V48" s="24"/>
      <c r="W48" s="24"/>
      <c r="X48" s="24"/>
      <c r="Y48" s="55"/>
      <c r="Z48" s="24"/>
      <c r="AA48" s="24"/>
      <c r="AB48" s="14"/>
      <c r="AC48" s="58" t="s">
        <v>33</v>
      </c>
      <c r="AD48" s="98"/>
      <c r="AE48" s="14"/>
      <c r="AF48" s="14"/>
    </row>
    <row r="49" spans="1:32" customFormat="1">
      <c r="A49" s="146" t="s">
        <v>10</v>
      </c>
      <c r="B49" s="14"/>
      <c r="C49" s="15"/>
      <c r="D49" s="55"/>
      <c r="E49" s="15"/>
      <c r="F49" s="15"/>
      <c r="G49" s="13"/>
      <c r="H49" s="55"/>
      <c r="I49" s="55"/>
      <c r="J49" s="15"/>
      <c r="K49" s="15"/>
      <c r="L49" s="33"/>
      <c r="M49" s="33"/>
      <c r="N49" s="24"/>
      <c r="O49" s="24"/>
      <c r="P49" s="24"/>
      <c r="Q49" s="24"/>
      <c r="R49" s="55"/>
      <c r="S49" s="24"/>
      <c r="T49" s="50"/>
      <c r="U49" s="33"/>
      <c r="V49" s="14"/>
      <c r="W49" s="14"/>
      <c r="X49" s="14"/>
      <c r="Y49" s="13"/>
      <c r="Z49" s="24"/>
      <c r="AA49" s="14"/>
      <c r="AB49" s="14"/>
      <c r="AC49" s="14"/>
      <c r="AD49" s="98"/>
      <c r="AE49" s="14"/>
      <c r="AF49" s="14"/>
    </row>
    <row r="50" spans="1:32" customFormat="1">
      <c r="A50" s="147" t="s">
        <v>11</v>
      </c>
      <c r="B50" s="14"/>
      <c r="C50" s="15"/>
      <c r="D50" s="55"/>
      <c r="E50" s="15"/>
      <c r="F50" s="15"/>
      <c r="G50" s="13"/>
      <c r="H50" s="55"/>
      <c r="I50" s="55"/>
      <c r="J50" s="15"/>
      <c r="K50" s="15"/>
      <c r="L50" s="33"/>
      <c r="M50" s="33"/>
      <c r="N50" s="24"/>
      <c r="O50" s="24"/>
      <c r="P50" s="24"/>
      <c r="Q50" s="24"/>
      <c r="R50" s="55"/>
      <c r="S50" s="24"/>
      <c r="T50" s="50"/>
      <c r="U50" s="33"/>
      <c r="V50" s="14"/>
      <c r="W50" s="14"/>
      <c r="X50" s="14"/>
      <c r="Y50" s="13"/>
      <c r="Z50" s="24"/>
      <c r="AA50" s="14"/>
      <c r="AB50" s="14"/>
      <c r="AC50" s="14"/>
      <c r="AD50" s="98"/>
      <c r="AE50" s="14"/>
      <c r="AF50" s="14"/>
    </row>
    <row r="51" spans="1:32" customFormat="1" ht="15.75">
      <c r="A51" s="148" t="s">
        <v>12</v>
      </c>
      <c r="B51" s="14"/>
      <c r="C51" s="15"/>
      <c r="D51" s="55"/>
      <c r="E51" s="15"/>
      <c r="F51" s="15"/>
      <c r="G51" s="13"/>
      <c r="H51" s="55"/>
      <c r="I51" s="55"/>
      <c r="J51" s="15"/>
      <c r="K51" s="15"/>
      <c r="L51" s="33"/>
      <c r="M51" s="33"/>
      <c r="N51" s="24"/>
      <c r="O51" s="24"/>
      <c r="P51" s="24"/>
      <c r="Q51" s="24"/>
      <c r="R51" s="55"/>
      <c r="S51" s="24"/>
      <c r="T51" s="50"/>
      <c r="U51" s="33"/>
      <c r="V51" s="14"/>
      <c r="W51" s="14"/>
      <c r="X51" s="14"/>
      <c r="Y51" s="13"/>
      <c r="Z51" s="24"/>
      <c r="AA51" s="14"/>
      <c r="AB51" s="14"/>
      <c r="AC51" s="14"/>
      <c r="AD51" s="98"/>
      <c r="AE51" s="14"/>
      <c r="AF51" s="14"/>
    </row>
    <row r="52" spans="1:32" customFormat="1" ht="15.75">
      <c r="A52" s="149" t="s">
        <v>13</v>
      </c>
      <c r="B52" s="14"/>
      <c r="C52" s="15"/>
      <c r="D52" s="55"/>
      <c r="E52" s="15"/>
      <c r="F52" s="15"/>
      <c r="G52" s="13"/>
      <c r="H52" s="55"/>
      <c r="I52" s="55"/>
      <c r="J52" s="15"/>
      <c r="K52" s="15"/>
      <c r="L52" s="33"/>
      <c r="M52" s="33"/>
      <c r="N52" s="24"/>
      <c r="O52" s="24"/>
      <c r="P52" s="24"/>
      <c r="Q52" s="24"/>
      <c r="R52" s="55"/>
      <c r="S52" s="24"/>
      <c r="T52" s="50"/>
      <c r="U52" s="33"/>
      <c r="V52" s="14"/>
      <c r="W52" s="14"/>
      <c r="X52" s="14"/>
      <c r="Y52" s="13"/>
      <c r="Z52" s="24"/>
      <c r="AA52" s="14"/>
      <c r="AB52" s="14"/>
      <c r="AC52" s="14"/>
      <c r="AD52" s="98"/>
      <c r="AE52" s="14"/>
      <c r="AF52" s="14"/>
    </row>
    <row r="53" spans="1:32" customFormat="1">
      <c r="A53" s="150" t="s">
        <v>15</v>
      </c>
      <c r="B53" s="14"/>
      <c r="C53" s="15"/>
      <c r="D53" s="55"/>
      <c r="E53" s="15"/>
      <c r="F53" s="15"/>
      <c r="G53" s="13"/>
      <c r="H53" s="55"/>
      <c r="I53" s="55"/>
      <c r="J53" s="15"/>
      <c r="K53" s="15"/>
      <c r="L53" s="33"/>
      <c r="M53" s="33"/>
      <c r="N53" s="24"/>
      <c r="O53" s="24"/>
      <c r="P53" s="24"/>
      <c r="Q53" s="24"/>
      <c r="R53" s="55"/>
      <c r="S53" s="24"/>
      <c r="T53" s="50"/>
      <c r="U53" s="33"/>
      <c r="V53" s="14"/>
      <c r="W53" s="14"/>
      <c r="X53" s="14"/>
      <c r="Y53" s="13"/>
      <c r="Z53" s="24"/>
      <c r="AA53" s="14"/>
      <c r="AB53" s="14"/>
      <c r="AC53" s="14"/>
      <c r="AD53" s="98"/>
      <c r="AE53" s="14"/>
      <c r="AF53" s="14"/>
    </row>
    <row r="54" spans="1:32" customFormat="1">
      <c r="A54" s="151" t="s">
        <v>17</v>
      </c>
      <c r="B54" s="14"/>
      <c r="C54" s="15"/>
      <c r="D54" s="55"/>
      <c r="E54" s="15"/>
      <c r="F54" s="15"/>
      <c r="G54" s="13"/>
      <c r="H54" s="55"/>
      <c r="I54" s="55"/>
      <c r="J54" s="15"/>
      <c r="K54" s="15"/>
      <c r="L54" s="33"/>
      <c r="M54" s="33"/>
      <c r="N54" s="24"/>
      <c r="O54" s="24"/>
      <c r="P54" s="24"/>
      <c r="Q54" s="24"/>
      <c r="R54" s="55"/>
      <c r="S54" s="24"/>
      <c r="T54" s="50"/>
      <c r="U54" s="33"/>
      <c r="V54" s="14"/>
      <c r="W54" s="14"/>
      <c r="X54" s="14"/>
      <c r="Y54" s="13"/>
      <c r="Z54" s="24"/>
      <c r="AA54" s="14"/>
      <c r="AB54" s="14"/>
      <c r="AC54" s="14"/>
      <c r="AD54" s="98"/>
      <c r="AE54" s="14"/>
      <c r="AF54" s="14"/>
    </row>
    <row r="55" spans="1:32" customFormat="1" ht="15.75">
      <c r="A55" s="152" t="s">
        <v>18</v>
      </c>
      <c r="B55" s="14"/>
      <c r="C55" s="15"/>
      <c r="D55" s="55"/>
      <c r="E55" s="15"/>
      <c r="F55" s="15"/>
      <c r="G55" s="13"/>
      <c r="H55" s="55"/>
      <c r="I55" s="55"/>
      <c r="J55" s="15"/>
      <c r="K55" s="15"/>
      <c r="L55" s="33"/>
      <c r="M55" s="33"/>
      <c r="N55" s="24"/>
      <c r="O55" s="24"/>
      <c r="P55" s="24"/>
      <c r="Q55" s="24"/>
      <c r="R55" s="55"/>
      <c r="S55" s="24"/>
      <c r="T55" s="50"/>
      <c r="U55" s="33"/>
      <c r="V55" s="14"/>
      <c r="W55" s="14"/>
      <c r="X55" s="14"/>
      <c r="Y55" s="13"/>
      <c r="Z55" s="24"/>
      <c r="AA55" s="14"/>
      <c r="AB55" s="14"/>
      <c r="AC55" s="14"/>
      <c r="AD55" s="98"/>
      <c r="AE55" s="14"/>
      <c r="AF55" s="14"/>
    </row>
    <row r="56" spans="1:32" customFormat="1">
      <c r="A56" s="146" t="s">
        <v>20</v>
      </c>
      <c r="B56" s="14"/>
      <c r="C56" s="15"/>
      <c r="D56" s="55"/>
      <c r="E56" s="15"/>
      <c r="F56" s="15"/>
      <c r="G56" s="13"/>
      <c r="H56" s="55"/>
      <c r="I56" s="55"/>
      <c r="J56" s="15"/>
      <c r="K56" s="15"/>
      <c r="L56" s="33"/>
      <c r="M56" s="33"/>
      <c r="N56" s="24"/>
      <c r="O56" s="24"/>
      <c r="P56" s="24"/>
      <c r="Q56" s="24"/>
      <c r="R56" s="55"/>
      <c r="S56" s="24"/>
      <c r="T56" s="50"/>
      <c r="U56" s="33"/>
      <c r="V56" s="14"/>
      <c r="W56" s="14"/>
      <c r="X56" s="14"/>
      <c r="Y56" s="13"/>
      <c r="Z56" s="24"/>
      <c r="AA56" s="14"/>
      <c r="AB56" s="14"/>
      <c r="AC56" s="14"/>
      <c r="AD56" s="98"/>
      <c r="AE56" s="14"/>
      <c r="AF56" s="14"/>
    </row>
    <row r="57" spans="1:32" customFormat="1">
      <c r="A57" s="153" t="s">
        <v>21</v>
      </c>
      <c r="B57" s="14"/>
      <c r="C57" s="15"/>
      <c r="D57" s="55"/>
      <c r="E57" s="15"/>
      <c r="F57" s="15"/>
      <c r="G57" s="13"/>
      <c r="H57" s="55"/>
      <c r="I57" s="55"/>
      <c r="J57" s="15"/>
      <c r="K57" s="15"/>
      <c r="L57" s="33"/>
      <c r="M57" s="33"/>
      <c r="N57" s="24"/>
      <c r="O57" s="24"/>
      <c r="P57" s="24"/>
      <c r="Q57" s="24"/>
      <c r="R57" s="55"/>
      <c r="S57" s="24"/>
      <c r="T57" s="50"/>
      <c r="U57" s="33"/>
      <c r="V57" s="14"/>
      <c r="W57" s="14"/>
      <c r="X57" s="14"/>
      <c r="Y57" s="13"/>
      <c r="Z57" s="24"/>
      <c r="AA57" s="14"/>
      <c r="AB57" s="14"/>
      <c r="AC57" s="14"/>
      <c r="AD57" s="98"/>
      <c r="AE57" s="14"/>
      <c r="AF57" s="14"/>
    </row>
    <row r="58" spans="1:32" customFormat="1">
      <c r="A58" s="154" t="s">
        <v>22</v>
      </c>
      <c r="B58" s="14"/>
      <c r="C58" s="15"/>
      <c r="D58" s="55"/>
      <c r="E58" s="15"/>
      <c r="F58" s="15"/>
      <c r="G58" s="13"/>
      <c r="H58" s="55"/>
      <c r="I58" s="55"/>
      <c r="J58" s="15"/>
      <c r="K58" s="15"/>
      <c r="L58" s="33"/>
      <c r="M58" s="33"/>
      <c r="N58" s="24"/>
      <c r="O58" s="24"/>
      <c r="P58" s="24"/>
      <c r="Q58" s="24"/>
      <c r="R58" s="55"/>
      <c r="S58" s="24"/>
      <c r="T58" s="50"/>
      <c r="U58" s="33"/>
      <c r="V58" s="14"/>
      <c r="W58" s="14"/>
      <c r="X58" s="14"/>
      <c r="Y58" s="13"/>
      <c r="Z58" s="24"/>
      <c r="AA58" s="14"/>
      <c r="AB58" s="14"/>
      <c r="AC58" s="14"/>
      <c r="AD58" s="98"/>
      <c r="AE58" s="14"/>
      <c r="AF58" s="14"/>
    </row>
    <row r="59" spans="1:32" customFormat="1">
      <c r="A59" s="153" t="s">
        <v>23</v>
      </c>
      <c r="B59" s="14"/>
      <c r="C59" s="15"/>
      <c r="D59" s="55"/>
      <c r="E59" s="15"/>
      <c r="F59" s="15"/>
      <c r="G59" s="13"/>
      <c r="H59" s="55"/>
      <c r="I59" s="55"/>
      <c r="J59" s="15"/>
      <c r="K59" s="15"/>
      <c r="L59" s="33"/>
      <c r="M59" s="33"/>
      <c r="N59" s="24"/>
      <c r="O59" s="24"/>
      <c r="P59" s="24"/>
      <c r="Q59" s="24"/>
      <c r="R59" s="55"/>
      <c r="S59" s="24"/>
      <c r="T59" s="50"/>
      <c r="U59" s="33"/>
      <c r="V59" s="14"/>
      <c r="W59" s="14"/>
      <c r="X59" s="14"/>
      <c r="Y59" s="13"/>
      <c r="Z59" s="24"/>
      <c r="AA59" s="14"/>
      <c r="AB59" s="14"/>
      <c r="AC59" s="14"/>
      <c r="AD59" s="98"/>
      <c r="AE59" s="14"/>
      <c r="AF59" s="14"/>
    </row>
    <row r="60" spans="1:32" customFormat="1" ht="14.25" customHeight="1">
      <c r="A60" s="155" t="s">
        <v>24</v>
      </c>
      <c r="B60" s="14"/>
      <c r="C60" s="15"/>
      <c r="D60" s="55"/>
      <c r="E60" s="15"/>
      <c r="F60" s="15"/>
      <c r="G60" s="13"/>
      <c r="H60" s="55"/>
      <c r="I60" s="55"/>
      <c r="J60" s="15"/>
      <c r="K60" s="15"/>
      <c r="L60" s="33"/>
      <c r="M60" s="33"/>
      <c r="N60" s="24"/>
      <c r="O60" s="24"/>
      <c r="P60" s="24"/>
      <c r="Q60" s="24"/>
      <c r="R60" s="55"/>
      <c r="S60" s="24"/>
      <c r="T60" s="50"/>
      <c r="U60" s="33"/>
      <c r="V60" s="14"/>
      <c r="W60" s="14"/>
      <c r="X60" s="14"/>
      <c r="Y60" s="13"/>
      <c r="Z60" s="24"/>
      <c r="AA60" s="14"/>
      <c r="AB60" s="14"/>
      <c r="AC60" s="14"/>
      <c r="AD60" s="98"/>
      <c r="AE60" s="14"/>
      <c r="AF60" s="14"/>
    </row>
    <row r="61" spans="1:32" customFormat="1">
      <c r="A61" s="128" t="s">
        <v>25</v>
      </c>
      <c r="B61" s="14"/>
      <c r="C61" s="15"/>
      <c r="D61" s="55"/>
      <c r="E61" s="15"/>
      <c r="F61" s="15"/>
      <c r="G61" s="13"/>
      <c r="H61" s="55"/>
      <c r="I61" s="55"/>
      <c r="J61" s="15"/>
      <c r="K61" s="15"/>
      <c r="L61" s="33"/>
      <c r="M61" s="33"/>
      <c r="N61" s="24"/>
      <c r="O61" s="24"/>
      <c r="P61" s="24"/>
      <c r="Q61" s="24"/>
      <c r="R61" s="55"/>
      <c r="S61" s="24"/>
      <c r="T61" s="50"/>
      <c r="U61" s="33"/>
      <c r="V61" s="14"/>
      <c r="W61" s="14"/>
      <c r="X61" s="14"/>
      <c r="Y61" s="13"/>
      <c r="Z61" s="24"/>
      <c r="AA61" s="14"/>
      <c r="AB61" s="14"/>
      <c r="AC61" s="14"/>
      <c r="AD61" s="98"/>
      <c r="AE61" s="14"/>
      <c r="AF61" s="14"/>
    </row>
    <row r="62" spans="1:32" customFormat="1" ht="15.75" thickBot="1">
      <c r="A62" s="146" t="s">
        <v>27</v>
      </c>
      <c r="B62" s="14"/>
      <c r="C62" s="34"/>
      <c r="D62" s="55"/>
      <c r="E62" s="34"/>
      <c r="F62" s="34"/>
      <c r="G62" s="13"/>
      <c r="H62" s="55"/>
      <c r="I62" s="55"/>
      <c r="J62" s="34"/>
      <c r="K62" s="34"/>
      <c r="L62" s="35"/>
      <c r="M62" s="35"/>
      <c r="N62" s="14"/>
      <c r="O62" s="14"/>
      <c r="P62" s="14"/>
      <c r="Q62" s="24"/>
      <c r="R62" s="55"/>
      <c r="S62" s="24"/>
      <c r="T62" s="90"/>
      <c r="U62" s="35"/>
      <c r="V62" s="14"/>
      <c r="W62" s="14"/>
      <c r="X62" s="14"/>
      <c r="Y62" s="13"/>
      <c r="Z62" s="24"/>
      <c r="AA62" s="14"/>
      <c r="AB62" s="14"/>
      <c r="AC62" s="14"/>
      <c r="AD62" s="99"/>
      <c r="AE62" s="14"/>
      <c r="AF62" s="14"/>
    </row>
    <row r="63" spans="1:32" customFormat="1" ht="15.75" customHeight="1" thickBot="1">
      <c r="A63" s="216" t="s">
        <v>36</v>
      </c>
      <c r="B63" s="37">
        <f t="shared" ref="B63:AC63" si="1">+B59+B45+B31+B17</f>
        <v>0</v>
      </c>
      <c r="C63" s="36">
        <f t="shared" si="1"/>
        <v>0</v>
      </c>
      <c r="D63" s="36">
        <f t="shared" si="1"/>
        <v>0</v>
      </c>
      <c r="E63" s="36">
        <f t="shared" si="1"/>
        <v>0</v>
      </c>
      <c r="F63" s="36">
        <f t="shared" si="1"/>
        <v>0</v>
      </c>
      <c r="G63" s="36">
        <f t="shared" si="1"/>
        <v>0</v>
      </c>
      <c r="H63" s="36">
        <f t="shared" si="1"/>
        <v>0</v>
      </c>
      <c r="I63" s="36">
        <f t="shared" si="1"/>
        <v>0</v>
      </c>
      <c r="J63" s="36">
        <f t="shared" si="1"/>
        <v>0</v>
      </c>
      <c r="K63" s="37">
        <f t="shared" si="1"/>
        <v>0</v>
      </c>
      <c r="L63" s="37">
        <f t="shared" si="1"/>
        <v>0</v>
      </c>
      <c r="M63" s="37">
        <f t="shared" si="1"/>
        <v>0</v>
      </c>
      <c r="N63" s="37">
        <f t="shared" si="1"/>
        <v>6012</v>
      </c>
      <c r="O63" s="37">
        <f t="shared" si="1"/>
        <v>0</v>
      </c>
      <c r="P63" s="37">
        <f t="shared" si="1"/>
        <v>0</v>
      </c>
      <c r="Q63" s="37">
        <f t="shared" si="1"/>
        <v>3708</v>
      </c>
      <c r="R63" s="37">
        <f t="shared" si="1"/>
        <v>0</v>
      </c>
      <c r="S63" s="37">
        <f t="shared" si="1"/>
        <v>0</v>
      </c>
      <c r="T63" s="37">
        <f t="shared" si="1"/>
        <v>1200</v>
      </c>
      <c r="U63" s="37">
        <f t="shared" si="1"/>
        <v>1452</v>
      </c>
      <c r="V63" s="37">
        <f t="shared" si="1"/>
        <v>4656</v>
      </c>
      <c r="W63" s="37">
        <f t="shared" si="1"/>
        <v>0</v>
      </c>
      <c r="X63" s="37">
        <f t="shared" si="1"/>
        <v>192</v>
      </c>
      <c r="Y63" s="37">
        <f t="shared" si="1"/>
        <v>0</v>
      </c>
      <c r="Z63" s="37">
        <f t="shared" si="1"/>
        <v>3250</v>
      </c>
      <c r="AA63" s="37">
        <f t="shared" si="1"/>
        <v>0</v>
      </c>
      <c r="AB63" s="37">
        <f t="shared" si="1"/>
        <v>1200</v>
      </c>
      <c r="AC63" s="37">
        <f t="shared" si="1"/>
        <v>3526</v>
      </c>
      <c r="AD63" s="38"/>
      <c r="AE63" s="14"/>
      <c r="AF63" s="14"/>
    </row>
    <row r="64" spans="1:32" customFormat="1" ht="15.75" customHeight="1" thickTop="1" thickBot="1">
      <c r="A64" s="216" t="s">
        <v>37</v>
      </c>
      <c r="B64" s="144">
        <f>+B65*B6</f>
        <v>896</v>
      </c>
      <c r="C64" s="39">
        <f t="shared" ref="C64:M64" si="2">+C65*C6</f>
        <v>0</v>
      </c>
      <c r="D64" s="39">
        <f t="shared" si="2"/>
        <v>0</v>
      </c>
      <c r="E64" s="39">
        <f t="shared" si="2"/>
        <v>0</v>
      </c>
      <c r="F64" s="39">
        <f t="shared" si="2"/>
        <v>0</v>
      </c>
      <c r="G64" s="39">
        <f t="shared" si="2"/>
        <v>0</v>
      </c>
      <c r="H64" s="39">
        <f t="shared" si="2"/>
        <v>0</v>
      </c>
      <c r="I64" s="39">
        <f t="shared" si="2"/>
        <v>0</v>
      </c>
      <c r="J64" s="39">
        <f t="shared" si="2"/>
        <v>0</v>
      </c>
      <c r="K64" s="39">
        <f t="shared" si="2"/>
        <v>0</v>
      </c>
      <c r="L64" s="144">
        <f t="shared" si="2"/>
        <v>896</v>
      </c>
      <c r="M64" s="144">
        <f t="shared" si="2"/>
        <v>1344</v>
      </c>
      <c r="N64" s="40">
        <f t="shared" ref="N64:AC64" si="3">+N65*N6</f>
        <v>1792</v>
      </c>
      <c r="O64" s="40">
        <f t="shared" si="3"/>
        <v>1792</v>
      </c>
      <c r="P64" s="40">
        <f t="shared" si="3"/>
        <v>1792</v>
      </c>
      <c r="Q64" s="40">
        <f t="shared" si="3"/>
        <v>1792</v>
      </c>
      <c r="R64" s="39">
        <f t="shared" si="3"/>
        <v>0</v>
      </c>
      <c r="S64" s="40">
        <f t="shared" si="3"/>
        <v>1792</v>
      </c>
      <c r="T64" s="40">
        <f t="shared" si="3"/>
        <v>1792</v>
      </c>
      <c r="U64" s="40">
        <f t="shared" si="3"/>
        <v>1792</v>
      </c>
      <c r="V64" s="40">
        <f t="shared" si="3"/>
        <v>1792</v>
      </c>
      <c r="W64" s="40">
        <f t="shared" si="3"/>
        <v>1792</v>
      </c>
      <c r="X64" s="40">
        <f t="shared" si="3"/>
        <v>1792</v>
      </c>
      <c r="Y64" s="39">
        <f t="shared" si="3"/>
        <v>0</v>
      </c>
      <c r="Z64" s="40">
        <f t="shared" si="3"/>
        <v>1440</v>
      </c>
      <c r="AA64" s="40">
        <f t="shared" si="3"/>
        <v>1440</v>
      </c>
      <c r="AB64" s="40">
        <f t="shared" si="3"/>
        <v>1440</v>
      </c>
      <c r="AC64" s="40">
        <f t="shared" si="3"/>
        <v>1440</v>
      </c>
      <c r="AD64" s="41">
        <f>SUM(B64:AC64)</f>
        <v>26816</v>
      </c>
      <c r="AE64" s="14"/>
      <c r="AF64" s="14"/>
    </row>
    <row r="65" spans="1:33" customFormat="1" ht="15.75" customHeight="1" thickTop="1" thickBot="1">
      <c r="A65" s="216" t="s">
        <v>38</v>
      </c>
      <c r="B65" s="43">
        <v>224</v>
      </c>
      <c r="C65" s="42"/>
      <c r="D65" s="42"/>
      <c r="E65" s="42"/>
      <c r="F65" s="42"/>
      <c r="G65" s="42"/>
      <c r="H65" s="42"/>
      <c r="I65" s="42"/>
      <c r="J65" s="42"/>
      <c r="K65" s="42"/>
      <c r="L65" s="43">
        <v>224</v>
      </c>
      <c r="M65" s="43">
        <v>224</v>
      </c>
      <c r="N65" s="43">
        <v>224</v>
      </c>
      <c r="O65" s="43">
        <v>224</v>
      </c>
      <c r="P65" s="43">
        <v>224</v>
      </c>
      <c r="Q65" s="43">
        <v>224</v>
      </c>
      <c r="R65" s="42"/>
      <c r="S65" s="43">
        <v>224</v>
      </c>
      <c r="T65" s="43">
        <v>224</v>
      </c>
      <c r="U65" s="43">
        <v>224</v>
      </c>
      <c r="V65" s="43">
        <v>224</v>
      </c>
      <c r="W65" s="43">
        <v>224</v>
      </c>
      <c r="X65" s="43">
        <v>224</v>
      </c>
      <c r="Y65" s="42"/>
      <c r="Z65" s="43">
        <v>180</v>
      </c>
      <c r="AA65" s="43">
        <v>180</v>
      </c>
      <c r="AB65" s="43">
        <v>180</v>
      </c>
      <c r="AC65" s="43">
        <v>180</v>
      </c>
      <c r="AD65" s="44"/>
      <c r="AE65" s="14"/>
      <c r="AF65" s="14"/>
    </row>
    <row r="66" spans="1:33" customFormat="1" ht="15.75" customHeight="1" thickTop="1" thickBot="1">
      <c r="A66" s="217">
        <f>+'T01'!AF65</f>
        <v>3653</v>
      </c>
      <c r="B66" s="144">
        <f t="shared" ref="B66:T66" si="4">IF(A66+B63-B64&lt;0,0,A66+B63-B64)</f>
        <v>2757</v>
      </c>
      <c r="C66" s="189">
        <f t="shared" si="4"/>
        <v>2757</v>
      </c>
      <c r="D66" s="39">
        <f t="shared" si="4"/>
        <v>2757</v>
      </c>
      <c r="E66" s="39">
        <f t="shared" si="4"/>
        <v>2757</v>
      </c>
      <c r="F66" s="39">
        <f t="shared" si="4"/>
        <v>2757</v>
      </c>
      <c r="G66" s="39">
        <f t="shared" si="4"/>
        <v>2757</v>
      </c>
      <c r="H66" s="39">
        <f t="shared" si="4"/>
        <v>2757</v>
      </c>
      <c r="I66" s="39">
        <f t="shared" si="4"/>
        <v>2757</v>
      </c>
      <c r="J66" s="39">
        <f t="shared" si="4"/>
        <v>2757</v>
      </c>
      <c r="K66" s="39">
        <f t="shared" si="4"/>
        <v>2757</v>
      </c>
      <c r="L66" s="40">
        <f t="shared" si="4"/>
        <v>1861</v>
      </c>
      <c r="M66" s="40">
        <f t="shared" si="4"/>
        <v>517</v>
      </c>
      <c r="N66" s="40">
        <f t="shared" si="4"/>
        <v>4737</v>
      </c>
      <c r="O66" s="40">
        <f t="shared" si="4"/>
        <v>2945</v>
      </c>
      <c r="P66" s="40">
        <f t="shared" si="4"/>
        <v>1153</v>
      </c>
      <c r="Q66" s="40">
        <f t="shared" si="4"/>
        <v>3069</v>
      </c>
      <c r="R66" s="39">
        <f t="shared" si="4"/>
        <v>3069</v>
      </c>
      <c r="S66" s="40">
        <f t="shared" si="4"/>
        <v>1277</v>
      </c>
      <c r="T66" s="40">
        <f t="shared" si="4"/>
        <v>685</v>
      </c>
      <c r="U66" s="40">
        <f t="shared" ref="U66" si="5">IF(T66+U63-U64&lt;0,0,T66+U63-U64)</f>
        <v>345</v>
      </c>
      <c r="V66" s="40">
        <f t="shared" ref="V66" si="6">IF(U66+V63-V64&lt;0,0,U66+V63-V64)</f>
        <v>3209</v>
      </c>
      <c r="W66" s="40">
        <f t="shared" ref="W66" si="7">IF(V66+W63-W64&lt;0,0,V66+W63-W64)</f>
        <v>1417</v>
      </c>
      <c r="X66" s="40">
        <f t="shared" ref="X66:AC66" si="8">IF(W66+X63-X64&lt;0,0,W66+X63-X64)</f>
        <v>0</v>
      </c>
      <c r="Y66" s="39">
        <f t="shared" si="8"/>
        <v>0</v>
      </c>
      <c r="Z66" s="40">
        <f t="shared" si="8"/>
        <v>1810</v>
      </c>
      <c r="AA66" s="40">
        <f t="shared" si="8"/>
        <v>370</v>
      </c>
      <c r="AB66" s="40">
        <f t="shared" si="8"/>
        <v>130</v>
      </c>
      <c r="AC66" s="40">
        <f t="shared" si="8"/>
        <v>2216</v>
      </c>
      <c r="AD66" s="47"/>
      <c r="AE66" s="14"/>
      <c r="AF66" s="14"/>
    </row>
    <row r="67" spans="1:33" customFormat="1" ht="15.75">
      <c r="A67" s="146" t="s">
        <v>10</v>
      </c>
      <c r="B67" s="383" t="s">
        <v>103</v>
      </c>
      <c r="C67" s="199"/>
      <c r="D67" s="199"/>
      <c r="E67" s="199"/>
      <c r="F67" s="199"/>
      <c r="G67" s="48"/>
      <c r="H67" s="199"/>
      <c r="I67" s="199"/>
      <c r="J67" s="199"/>
      <c r="K67" s="199"/>
      <c r="L67" s="24"/>
      <c r="M67" s="331"/>
      <c r="N67" s="383" t="s">
        <v>103</v>
      </c>
      <c r="O67" s="383" t="s">
        <v>103</v>
      </c>
      <c r="P67" s="383" t="s">
        <v>103</v>
      </c>
      <c r="Q67" s="383" t="s">
        <v>103</v>
      </c>
      <c r="R67" s="199"/>
      <c r="S67" s="383" t="s">
        <v>103</v>
      </c>
      <c r="T67" s="418" t="s">
        <v>508</v>
      </c>
      <c r="U67" s="383" t="s">
        <v>103</v>
      </c>
      <c r="V67" s="116" t="s">
        <v>616</v>
      </c>
      <c r="W67" s="24"/>
      <c r="X67" s="24"/>
      <c r="Y67" s="13"/>
      <c r="Z67" s="24"/>
      <c r="AA67" s="24"/>
      <c r="AB67" s="24"/>
      <c r="AC67" s="383" t="s">
        <v>616</v>
      </c>
      <c r="AD67" s="97"/>
      <c r="AE67" s="14"/>
      <c r="AF67" s="24"/>
      <c r="AG67" s="24"/>
    </row>
    <row r="68" spans="1:33" customFormat="1" ht="15.75">
      <c r="A68" s="147" t="s">
        <v>11</v>
      </c>
      <c r="B68" s="93" t="s">
        <v>632</v>
      </c>
      <c r="C68" s="193"/>
      <c r="D68" s="193"/>
      <c r="E68" s="193"/>
      <c r="F68" s="193"/>
      <c r="G68" s="15"/>
      <c r="H68" s="193"/>
      <c r="I68" s="193"/>
      <c r="J68" s="193"/>
      <c r="K68" s="193"/>
      <c r="L68" s="24"/>
      <c r="M68" s="24"/>
      <c r="N68" s="93" t="s">
        <v>639</v>
      </c>
      <c r="O68" s="93" t="s">
        <v>640</v>
      </c>
      <c r="P68" s="93" t="s">
        <v>641</v>
      </c>
      <c r="Q68" s="93" t="s">
        <v>643</v>
      </c>
      <c r="R68" s="193"/>
      <c r="S68" s="93" t="s">
        <v>645</v>
      </c>
      <c r="T68" s="93" t="s">
        <v>509</v>
      </c>
      <c r="U68" s="93" t="s">
        <v>614</v>
      </c>
      <c r="V68" s="117" t="s">
        <v>615</v>
      </c>
      <c r="W68" s="24"/>
      <c r="X68" s="24"/>
      <c r="Y68" s="13"/>
      <c r="Z68" s="24"/>
      <c r="AA68" s="24"/>
      <c r="AB68" s="24"/>
      <c r="AC68" s="93" t="s">
        <v>617</v>
      </c>
      <c r="AD68" s="98"/>
      <c r="AE68" s="14"/>
      <c r="AF68" s="24"/>
      <c r="AG68" s="24"/>
    </row>
    <row r="69" spans="1:33" customFormat="1" ht="16.5">
      <c r="A69" s="148" t="s">
        <v>12</v>
      </c>
      <c r="B69" s="383" t="str">
        <f>VLOOKUP(B75,'[3]2018-11-16'!$A:$D,4,0)</f>
        <v>基本型體</v>
      </c>
      <c r="C69" s="200"/>
      <c r="D69" s="200"/>
      <c r="E69" s="204"/>
      <c r="F69" s="204"/>
      <c r="G69" s="15"/>
      <c r="H69" s="204"/>
      <c r="I69" s="204"/>
      <c r="J69" s="204"/>
      <c r="K69" s="204"/>
      <c r="L69" s="24"/>
      <c r="M69" s="176"/>
      <c r="N69" s="383" t="str">
        <f>VLOOKUP(N75,'[3]2018-11-16'!$A:$D,4,0)</f>
        <v>基本型體</v>
      </c>
      <c r="O69" s="383" t="str">
        <f>VLOOKUP(O75,'[3]2018-11-16'!$A:$D,4,0)</f>
        <v>基本型體</v>
      </c>
      <c r="P69" s="383" t="str">
        <f>VLOOKUP(P75,'[3]2018-11-16'!$A:$D,4,0)</f>
        <v>基本型體</v>
      </c>
      <c r="Q69" s="383" t="str">
        <f>VLOOKUP(Q75,'[3]2018-11-16'!$A:$D,4,0)</f>
        <v>基本型體</v>
      </c>
      <c r="R69" s="204"/>
      <c r="S69" s="383" t="str">
        <f>VLOOKUP(S75,'[3]2018-11-16'!$A:$D,4,0)</f>
        <v>基本型體</v>
      </c>
      <c r="T69" s="49"/>
      <c r="U69" s="383" t="e">
        <f>VLOOKUP(U75,'[3]2018-11-16'!$A:$D,4,0)</f>
        <v>#N/A</v>
      </c>
      <c r="V69" s="119" t="str">
        <f>VLOOKUP(V75,'[3]2018-11-16'!$A:$D,4,0)</f>
        <v>布</v>
      </c>
      <c r="W69" s="24"/>
      <c r="X69" s="24"/>
      <c r="Y69" s="13"/>
      <c r="Z69" s="24"/>
      <c r="AA69" s="24"/>
      <c r="AB69" s="24"/>
      <c r="AC69" s="383">
        <f>VLOOKUP(AC75,'[3]2018-11-16'!$A:$D,4,0)</f>
        <v>0</v>
      </c>
      <c r="AD69" s="98"/>
      <c r="AE69" s="14"/>
      <c r="AF69" s="24"/>
      <c r="AG69" s="24"/>
    </row>
    <row r="70" spans="1:33" customFormat="1" ht="15.75">
      <c r="A70" s="149" t="s">
        <v>13</v>
      </c>
      <c r="B70" s="19"/>
      <c r="C70" s="193"/>
      <c r="D70" s="193"/>
      <c r="E70" s="193"/>
      <c r="F70" s="193"/>
      <c r="G70" s="15"/>
      <c r="H70" s="193"/>
      <c r="I70" s="193"/>
      <c r="J70" s="193"/>
      <c r="K70" s="193"/>
      <c r="L70" s="24"/>
      <c r="M70" s="19"/>
      <c r="N70" s="19" t="str">
        <f>VLOOKUP(N68,'[4]2019-01'!$A$3:$G$2159,7,0)</f>
        <v>02/15</v>
      </c>
      <c r="O70" s="19" t="str">
        <f>VLOOKUP(O68,'[4]2019-01'!$A$3:$G$2159,7,0)</f>
        <v>02/15</v>
      </c>
      <c r="P70" s="19" t="str">
        <f>VLOOKUP(P68,'[4]2019-01'!$A$3:$G$2159,7,0)</f>
        <v>01/22</v>
      </c>
      <c r="Q70" s="19" t="str">
        <f>VLOOKUP(Q68,'[4]2019-01'!$A$3:$G$2159,7,0)</f>
        <v>01/22</v>
      </c>
      <c r="R70" s="193"/>
      <c r="S70" s="19" t="str">
        <f>VLOOKUP(S68,'[4]2019-01'!$A$3:$G$2159,7,0)</f>
        <v>01/11</v>
      </c>
      <c r="T70" s="87"/>
      <c r="U70" s="19" t="str">
        <f>VLOOKUP(U68,'[4]2019-01'!$A$3:$G$2159,7,0)</f>
        <v>01/25</v>
      </c>
      <c r="V70" s="118" t="str">
        <f>VLOOKUP(V68,'[4]2019-01'!$A$3:$G$2159,7,0)</f>
        <v>01/29</v>
      </c>
      <c r="W70" s="24"/>
      <c r="X70" s="24"/>
      <c r="Y70" s="13"/>
      <c r="Z70" s="24"/>
      <c r="AA70" s="24"/>
      <c r="AB70" s="24"/>
      <c r="AC70" s="19" t="str">
        <f>VLOOKUP(AC68,'[4]2019-01'!$A$3:$G$2159,7,0)</f>
        <v>02/12</v>
      </c>
      <c r="AD70" s="98"/>
      <c r="AE70" s="14"/>
      <c r="AF70" s="24"/>
      <c r="AG70" s="24"/>
    </row>
    <row r="71" spans="1:33" customFormat="1" ht="15.75">
      <c r="A71" s="150" t="s">
        <v>15</v>
      </c>
      <c r="B71" s="383" t="s">
        <v>16</v>
      </c>
      <c r="C71" s="51"/>
      <c r="D71" s="51"/>
      <c r="E71" s="51"/>
      <c r="F71" s="51"/>
      <c r="G71" s="15"/>
      <c r="H71" s="51"/>
      <c r="I71" s="51"/>
      <c r="J71" s="51"/>
      <c r="K71" s="51"/>
      <c r="L71" s="24"/>
      <c r="M71" s="307"/>
      <c r="N71" s="383" t="s">
        <v>16</v>
      </c>
      <c r="O71" s="383" t="s">
        <v>16</v>
      </c>
      <c r="P71" s="383" t="s">
        <v>16</v>
      </c>
      <c r="Q71" s="383" t="s">
        <v>16</v>
      </c>
      <c r="R71" s="51"/>
      <c r="S71" s="383" t="s">
        <v>16</v>
      </c>
      <c r="T71" s="418" t="s">
        <v>16</v>
      </c>
      <c r="U71" s="383" t="s">
        <v>16</v>
      </c>
      <c r="V71" s="119" t="s">
        <v>65</v>
      </c>
      <c r="W71" s="24"/>
      <c r="X71" s="24"/>
      <c r="Y71" s="13"/>
      <c r="Z71" s="24"/>
      <c r="AA71" s="24"/>
      <c r="AB71" s="24"/>
      <c r="AC71" s="383" t="s">
        <v>65</v>
      </c>
      <c r="AD71" s="98"/>
      <c r="AE71" s="14"/>
      <c r="AF71" s="24"/>
      <c r="AG71" s="24"/>
    </row>
    <row r="72" spans="1:33" customFormat="1" ht="16.5">
      <c r="A72" s="151" t="s">
        <v>17</v>
      </c>
      <c r="B72" s="391" t="s">
        <v>493</v>
      </c>
      <c r="C72" s="201"/>
      <c r="D72" s="201"/>
      <c r="E72" s="205"/>
      <c r="F72" s="205"/>
      <c r="G72" s="15"/>
      <c r="H72" s="205"/>
      <c r="I72" s="205"/>
      <c r="J72" s="205"/>
      <c r="K72" s="205"/>
      <c r="L72" s="24"/>
      <c r="M72" s="310"/>
      <c r="N72" s="391" t="s">
        <v>493</v>
      </c>
      <c r="O72" s="391" t="s">
        <v>493</v>
      </c>
      <c r="P72" s="391" t="s">
        <v>493</v>
      </c>
      <c r="Q72" s="391" t="s">
        <v>493</v>
      </c>
      <c r="R72" s="205"/>
      <c r="S72" s="391" t="s">
        <v>493</v>
      </c>
      <c r="T72" s="272" t="s">
        <v>517</v>
      </c>
      <c r="U72" s="391" t="s">
        <v>493</v>
      </c>
      <c r="V72" s="390" t="s">
        <v>493</v>
      </c>
      <c r="W72" s="24"/>
      <c r="X72" s="24"/>
      <c r="Y72" s="13"/>
      <c r="Z72" s="24"/>
      <c r="AA72" s="24"/>
      <c r="AB72" s="24"/>
      <c r="AC72" s="391" t="s">
        <v>493</v>
      </c>
      <c r="AD72" s="98"/>
      <c r="AE72" s="14"/>
      <c r="AF72" s="24"/>
      <c r="AG72" s="24"/>
    </row>
    <row r="73" spans="1:33" customFormat="1" ht="15.75">
      <c r="A73" s="152" t="s">
        <v>18</v>
      </c>
      <c r="B73" s="23"/>
      <c r="C73" s="193"/>
      <c r="D73" s="193"/>
      <c r="E73" s="193"/>
      <c r="F73" s="193"/>
      <c r="G73" s="15"/>
      <c r="H73" s="193"/>
      <c r="I73" s="193"/>
      <c r="J73" s="193"/>
      <c r="K73" s="193"/>
      <c r="L73" s="24"/>
      <c r="M73" s="176"/>
      <c r="N73" s="23"/>
      <c r="O73" s="23"/>
      <c r="P73" s="23"/>
      <c r="Q73" s="23"/>
      <c r="R73" s="193"/>
      <c r="S73" s="23"/>
      <c r="T73" s="23"/>
      <c r="U73" s="23"/>
      <c r="V73" s="121"/>
      <c r="W73" s="24"/>
      <c r="X73" s="24"/>
      <c r="Y73" s="13"/>
      <c r="Z73" s="24"/>
      <c r="AA73" s="24"/>
      <c r="AB73" s="24"/>
      <c r="AC73" s="23"/>
      <c r="AD73" s="98"/>
      <c r="AE73" s="14"/>
      <c r="AF73" s="24"/>
      <c r="AG73" s="24"/>
    </row>
    <row r="74" spans="1:33" customFormat="1">
      <c r="A74" s="146" t="s">
        <v>20</v>
      </c>
      <c r="B74" s="24">
        <v>1</v>
      </c>
      <c r="C74" s="193"/>
      <c r="D74" s="193"/>
      <c r="E74" s="193"/>
      <c r="F74" s="193"/>
      <c r="G74" s="15"/>
      <c r="H74" s="193"/>
      <c r="I74" s="193"/>
      <c r="J74" s="193"/>
      <c r="K74" s="193"/>
      <c r="L74" s="24"/>
      <c r="M74" s="176"/>
      <c r="N74" s="24">
        <v>1</v>
      </c>
      <c r="O74" s="24">
        <v>1</v>
      </c>
      <c r="P74" s="24">
        <v>1</v>
      </c>
      <c r="Q74" s="24">
        <v>1</v>
      </c>
      <c r="R74" s="193"/>
      <c r="S74" s="24">
        <v>1</v>
      </c>
      <c r="T74" s="24">
        <v>1</v>
      </c>
      <c r="U74" s="24"/>
      <c r="V74" s="221" t="s">
        <v>991</v>
      </c>
      <c r="W74" s="24"/>
      <c r="X74" s="24"/>
      <c r="Y74" s="13"/>
      <c r="Z74" s="24"/>
      <c r="AA74" s="24"/>
      <c r="AB74" s="24"/>
      <c r="AC74" s="24"/>
      <c r="AD74" s="98"/>
      <c r="AE74" s="14"/>
      <c r="AF74" s="24"/>
      <c r="AG74" s="24"/>
    </row>
    <row r="75" spans="1:33" customFormat="1" ht="15.75">
      <c r="A75" s="153" t="s">
        <v>21</v>
      </c>
      <c r="B75" s="383" t="s">
        <v>101</v>
      </c>
      <c r="C75" s="51"/>
      <c r="D75" s="51"/>
      <c r="E75" s="51"/>
      <c r="F75" s="51"/>
      <c r="G75" s="15"/>
      <c r="H75" s="51"/>
      <c r="I75" s="51"/>
      <c r="J75" s="51"/>
      <c r="K75" s="51"/>
      <c r="L75" s="24"/>
      <c r="M75" s="94"/>
      <c r="N75" s="383" t="s">
        <v>120</v>
      </c>
      <c r="O75" s="383" t="s">
        <v>121</v>
      </c>
      <c r="P75" s="383" t="s">
        <v>100</v>
      </c>
      <c r="Q75" s="383" t="s">
        <v>122</v>
      </c>
      <c r="R75" s="51"/>
      <c r="S75" s="383" t="s">
        <v>123</v>
      </c>
      <c r="T75" s="94" t="s">
        <v>510</v>
      </c>
      <c r="U75" s="383" t="s">
        <v>505</v>
      </c>
      <c r="V75" s="119" t="s">
        <v>523</v>
      </c>
      <c r="W75" s="24"/>
      <c r="X75" s="24"/>
      <c r="Y75" s="13"/>
      <c r="Z75" s="24"/>
      <c r="AA75" s="24"/>
      <c r="AB75" s="24"/>
      <c r="AC75" s="383" t="s">
        <v>522</v>
      </c>
      <c r="AD75" s="98"/>
      <c r="AE75" s="14"/>
      <c r="AF75" s="24"/>
      <c r="AG75" s="24"/>
    </row>
    <row r="76" spans="1:33" customFormat="1" ht="15.75">
      <c r="A76" s="154" t="s">
        <v>22</v>
      </c>
      <c r="B76" s="27"/>
      <c r="C76" s="51"/>
      <c r="D76" s="51"/>
      <c r="E76" s="193"/>
      <c r="F76" s="193"/>
      <c r="G76" s="15"/>
      <c r="H76" s="193"/>
      <c r="I76" s="193"/>
      <c r="J76" s="193"/>
      <c r="K76" s="193"/>
      <c r="L76" s="24"/>
      <c r="M76" s="176"/>
      <c r="N76" s="27"/>
      <c r="O76" s="27"/>
      <c r="P76" s="27"/>
      <c r="Q76" s="27"/>
      <c r="R76" s="193"/>
      <c r="S76" s="27"/>
      <c r="T76" s="27"/>
      <c r="U76" s="27" t="s">
        <v>414</v>
      </c>
      <c r="V76" s="123" t="s">
        <v>414</v>
      </c>
      <c r="W76" s="24"/>
      <c r="X76" s="24"/>
      <c r="Y76" s="13"/>
      <c r="Z76" s="24"/>
      <c r="AA76" s="24"/>
      <c r="AB76" s="24"/>
      <c r="AC76" s="27" t="s">
        <v>414</v>
      </c>
      <c r="AD76" s="98"/>
      <c r="AE76" s="14"/>
      <c r="AF76" s="24"/>
      <c r="AG76" s="24"/>
    </row>
    <row r="77" spans="1:33" customFormat="1" ht="15.75">
      <c r="A77" s="153" t="s">
        <v>23</v>
      </c>
      <c r="B77" s="383">
        <v>384</v>
      </c>
      <c r="C77" s="51"/>
      <c r="D77" s="51"/>
      <c r="E77" s="51"/>
      <c r="F77" s="51"/>
      <c r="G77" s="15"/>
      <c r="H77" s="51"/>
      <c r="I77" s="51"/>
      <c r="J77" s="51"/>
      <c r="K77" s="51"/>
      <c r="L77" s="24"/>
      <c r="M77" s="307"/>
      <c r="N77" s="383">
        <v>360</v>
      </c>
      <c r="O77" s="383">
        <v>324</v>
      </c>
      <c r="P77" s="383">
        <v>1308</v>
      </c>
      <c r="Q77" s="383">
        <v>1440</v>
      </c>
      <c r="R77" s="51"/>
      <c r="S77" s="383">
        <v>624</v>
      </c>
      <c r="T77" s="418">
        <v>168</v>
      </c>
      <c r="U77" s="383">
        <v>1884</v>
      </c>
      <c r="V77" s="119">
        <v>7116</v>
      </c>
      <c r="W77" s="24"/>
      <c r="X77" s="24"/>
      <c r="Y77" s="13"/>
      <c r="Z77" s="24"/>
      <c r="AA77" s="24"/>
      <c r="AB77" s="24"/>
      <c r="AC77" s="383">
        <v>6288</v>
      </c>
      <c r="AD77" s="98"/>
      <c r="AE77" s="14"/>
      <c r="AF77" s="24"/>
      <c r="AG77" s="24"/>
    </row>
    <row r="78" spans="1:33" customFormat="1" ht="12.75" customHeight="1">
      <c r="A78" s="155" t="s">
        <v>24</v>
      </c>
      <c r="B78" s="24"/>
      <c r="C78" s="193"/>
      <c r="D78" s="193"/>
      <c r="E78" s="193"/>
      <c r="F78" s="193"/>
      <c r="G78" s="15"/>
      <c r="H78" s="193"/>
      <c r="I78" s="193"/>
      <c r="J78" s="193"/>
      <c r="K78" s="193"/>
      <c r="L78" s="24"/>
      <c r="M78" s="176"/>
      <c r="N78" s="24"/>
      <c r="O78" s="24"/>
      <c r="P78" s="24"/>
      <c r="Q78" s="24"/>
      <c r="R78" s="193"/>
      <c r="S78" s="24"/>
      <c r="T78" s="30"/>
      <c r="U78" s="176" t="s">
        <v>769</v>
      </c>
      <c r="V78" s="221" t="s">
        <v>769</v>
      </c>
      <c r="W78" s="24"/>
      <c r="X78" s="24"/>
      <c r="Y78" s="13"/>
      <c r="Z78" s="24"/>
      <c r="AA78" s="24"/>
      <c r="AB78" s="24"/>
      <c r="AC78" s="176" t="s">
        <v>769</v>
      </c>
      <c r="AD78" s="98"/>
      <c r="AE78" s="14"/>
      <c r="AF78" s="24"/>
      <c r="AG78" s="24"/>
    </row>
    <row r="79" spans="1:33" customFormat="1" ht="15.75">
      <c r="A79" s="128" t="s">
        <v>25</v>
      </c>
      <c r="B79" s="32">
        <v>43553</v>
      </c>
      <c r="C79" s="202"/>
      <c r="D79" s="202"/>
      <c r="E79" s="202"/>
      <c r="F79" s="202"/>
      <c r="G79" s="15"/>
      <c r="H79" s="202"/>
      <c r="I79" s="202"/>
      <c r="J79" s="202"/>
      <c r="K79" s="202"/>
      <c r="L79" s="24"/>
      <c r="M79" s="32"/>
      <c r="N79" s="32">
        <v>43538</v>
      </c>
      <c r="O79" s="32">
        <v>43563</v>
      </c>
      <c r="P79" s="32">
        <v>43563</v>
      </c>
      <c r="Q79" s="32">
        <v>43538</v>
      </c>
      <c r="R79" s="202"/>
      <c r="S79" s="32">
        <v>43563</v>
      </c>
      <c r="T79" s="32">
        <v>43169</v>
      </c>
      <c r="U79" s="32">
        <v>43536</v>
      </c>
      <c r="V79" s="125">
        <v>43538</v>
      </c>
      <c r="W79" s="24"/>
      <c r="X79" s="24"/>
      <c r="Y79" s="13"/>
      <c r="Z79" s="24"/>
      <c r="AA79" s="24"/>
      <c r="AB79" s="24"/>
      <c r="AC79" s="32">
        <v>43538</v>
      </c>
      <c r="AD79" s="98"/>
      <c r="AE79" s="14"/>
      <c r="AF79" s="24"/>
      <c r="AG79" s="24"/>
    </row>
    <row r="80" spans="1:33" customFormat="1" ht="15.75" thickBot="1">
      <c r="A80" s="146" t="s">
        <v>27</v>
      </c>
      <c r="B80" s="31" t="s">
        <v>29</v>
      </c>
      <c r="C80" s="193"/>
      <c r="D80" s="193"/>
      <c r="E80" s="193"/>
      <c r="F80" s="193"/>
      <c r="G80" s="187"/>
      <c r="H80" s="193"/>
      <c r="I80" s="193"/>
      <c r="J80" s="193"/>
      <c r="K80" s="193"/>
      <c r="L80" s="24"/>
      <c r="M80" s="87"/>
      <c r="N80" s="31" t="s">
        <v>29</v>
      </c>
      <c r="O80" s="31" t="s">
        <v>30</v>
      </c>
      <c r="P80" s="31" t="s">
        <v>30</v>
      </c>
      <c r="Q80" s="31" t="s">
        <v>29</v>
      </c>
      <c r="R80" s="193"/>
      <c r="S80" s="31" t="s">
        <v>30</v>
      </c>
      <c r="T80" s="31" t="s">
        <v>87</v>
      </c>
      <c r="U80" s="31" t="s">
        <v>29</v>
      </c>
      <c r="V80" s="126" t="s">
        <v>29</v>
      </c>
      <c r="W80" s="24"/>
      <c r="X80" s="24"/>
      <c r="Y80" s="13"/>
      <c r="Z80" s="24"/>
      <c r="AA80" s="24"/>
      <c r="AB80" s="24"/>
      <c r="AC80" s="31" t="s">
        <v>29</v>
      </c>
      <c r="AD80" s="98"/>
      <c r="AE80" s="14"/>
      <c r="AF80" s="14"/>
    </row>
    <row r="81" spans="1:33" customFormat="1" ht="15.75">
      <c r="A81" s="146" t="s">
        <v>10</v>
      </c>
      <c r="B81" s="383" t="s">
        <v>103</v>
      </c>
      <c r="C81" s="51"/>
      <c r="D81" s="51"/>
      <c r="E81" s="51"/>
      <c r="F81" s="51"/>
      <c r="G81" s="15"/>
      <c r="H81" s="51"/>
      <c r="I81" s="51"/>
      <c r="J81" s="51"/>
      <c r="K81" s="88"/>
      <c r="L81" s="307"/>
      <c r="M81" s="307"/>
      <c r="N81" s="383" t="s">
        <v>103</v>
      </c>
      <c r="O81" s="383" t="s">
        <v>103</v>
      </c>
      <c r="P81" s="24"/>
      <c r="Q81" s="24"/>
      <c r="R81" s="51"/>
      <c r="S81" s="383" t="s">
        <v>103</v>
      </c>
      <c r="T81" s="418" t="s">
        <v>508</v>
      </c>
      <c r="U81" s="24"/>
      <c r="V81" s="24"/>
      <c r="W81" s="24"/>
      <c r="X81" s="24"/>
      <c r="Y81" s="13"/>
      <c r="Z81" s="24"/>
      <c r="AA81" s="24"/>
      <c r="AB81" s="24"/>
      <c r="AC81" s="24"/>
      <c r="AD81" s="98"/>
      <c r="AE81" s="14"/>
      <c r="AF81" s="14"/>
      <c r="AG81" s="24"/>
    </row>
    <row r="82" spans="1:33" customFormat="1" ht="15.75">
      <c r="A82" s="147" t="s">
        <v>11</v>
      </c>
      <c r="B82" s="93" t="s">
        <v>631</v>
      </c>
      <c r="C82" s="193"/>
      <c r="D82" s="193"/>
      <c r="E82" s="193"/>
      <c r="F82" s="193"/>
      <c r="G82" s="15"/>
      <c r="H82" s="193"/>
      <c r="I82" s="193"/>
      <c r="J82" s="193"/>
      <c r="K82" s="88"/>
      <c r="L82" s="87"/>
      <c r="M82" s="311"/>
      <c r="N82" s="93" t="s">
        <v>638</v>
      </c>
      <c r="O82" s="93" t="s">
        <v>642</v>
      </c>
      <c r="P82" s="24"/>
      <c r="Q82" s="24"/>
      <c r="R82" s="193"/>
      <c r="S82" s="93" t="s">
        <v>644</v>
      </c>
      <c r="T82" s="93" t="s">
        <v>511</v>
      </c>
      <c r="U82" s="24"/>
      <c r="V82" s="24"/>
      <c r="W82" s="24"/>
      <c r="X82" s="24"/>
      <c r="Y82" s="13"/>
      <c r="Z82" s="24"/>
      <c r="AA82" s="24"/>
      <c r="AB82" s="24"/>
      <c r="AC82" s="24"/>
      <c r="AD82" s="98"/>
      <c r="AE82" s="14"/>
      <c r="AF82" s="14"/>
      <c r="AG82" s="24"/>
    </row>
    <row r="83" spans="1:33" customFormat="1" ht="16.5">
      <c r="A83" s="148" t="s">
        <v>12</v>
      </c>
      <c r="B83" s="383" t="str">
        <f>VLOOKUP(B89,'[3]2018-11-16'!$A:$D,4,0)</f>
        <v>基本型體</v>
      </c>
      <c r="C83" s="200"/>
      <c r="D83" s="200"/>
      <c r="E83" s="204"/>
      <c r="F83" s="200"/>
      <c r="G83" s="15"/>
      <c r="H83" s="204"/>
      <c r="I83" s="204"/>
      <c r="J83" s="204"/>
      <c r="K83" s="88"/>
      <c r="L83" s="194"/>
      <c r="M83" s="194"/>
      <c r="N83" s="383" t="str">
        <f>VLOOKUP(N89,'[3]2018-11-16'!$A:$D,4,0)</f>
        <v>基本型體</v>
      </c>
      <c r="O83" s="383" t="str">
        <f>VLOOKUP(O89,'[3]2018-11-16'!$A:$D,4,0)</f>
        <v>基本型體</v>
      </c>
      <c r="P83" s="24"/>
      <c r="Q83" s="24"/>
      <c r="R83" s="204"/>
      <c r="S83" s="383" t="str">
        <f>VLOOKUP(S89,'[3]2018-11-16'!$A:$D,4,0)</f>
        <v>基本型體</v>
      </c>
      <c r="T83" s="49"/>
      <c r="U83" s="24"/>
      <c r="V83" s="24"/>
      <c r="W83" s="24"/>
      <c r="X83" s="24"/>
      <c r="Y83" s="13"/>
      <c r="Z83" s="24"/>
      <c r="AA83" s="24"/>
      <c r="AB83" s="24"/>
      <c r="AC83" s="24"/>
      <c r="AD83" s="98"/>
      <c r="AE83" s="14"/>
      <c r="AF83" s="14"/>
      <c r="AG83" s="24"/>
    </row>
    <row r="84" spans="1:33" customFormat="1" ht="15.75">
      <c r="A84" s="149" t="s">
        <v>13</v>
      </c>
      <c r="B84" s="19"/>
      <c r="C84" s="193"/>
      <c r="D84" s="193"/>
      <c r="E84" s="193"/>
      <c r="F84" s="193"/>
      <c r="G84" s="15"/>
      <c r="H84" s="193"/>
      <c r="I84" s="193"/>
      <c r="J84" s="193"/>
      <c r="K84" s="88"/>
      <c r="L84" s="87"/>
      <c r="M84" s="87"/>
      <c r="N84" s="19" t="str">
        <f>VLOOKUP(N82,'[4]2019-01'!$A$3:$G$2159,7,0)</f>
        <v>02/15</v>
      </c>
      <c r="O84" s="19" t="str">
        <f>VLOOKUP(O82,'[4]2019-01'!$A$3:$G$2159,7,0)</f>
        <v>02/15</v>
      </c>
      <c r="P84" s="24"/>
      <c r="Q84" s="24"/>
      <c r="R84" s="193"/>
      <c r="S84" s="19" t="str">
        <f>VLOOKUP(S82,'[4]2019-01'!$A$3:$G$2159,7,0)</f>
        <v>01/22</v>
      </c>
      <c r="T84" s="87"/>
      <c r="U84" s="24"/>
      <c r="V84" s="24"/>
      <c r="W84" s="24"/>
      <c r="X84" s="24"/>
      <c r="Y84" s="13"/>
      <c r="Z84" s="24"/>
      <c r="AA84" s="24"/>
      <c r="AB84" s="24"/>
      <c r="AC84" s="24"/>
      <c r="AD84" s="98"/>
      <c r="AE84" s="14"/>
      <c r="AF84" s="14"/>
      <c r="AG84" s="24"/>
    </row>
    <row r="85" spans="1:33" customFormat="1" ht="15.75">
      <c r="A85" s="150" t="s">
        <v>15</v>
      </c>
      <c r="B85" s="383" t="s">
        <v>16</v>
      </c>
      <c r="C85" s="51"/>
      <c r="D85" s="51"/>
      <c r="E85" s="51"/>
      <c r="F85" s="51"/>
      <c r="G85" s="15"/>
      <c r="H85" s="51"/>
      <c r="I85" s="51"/>
      <c r="J85" s="51"/>
      <c r="K85" s="88"/>
      <c r="L85" s="307"/>
      <c r="M85" s="307"/>
      <c r="N85" s="383" t="s">
        <v>16</v>
      </c>
      <c r="O85" s="383" t="s">
        <v>16</v>
      </c>
      <c r="P85" s="24"/>
      <c r="Q85" s="24"/>
      <c r="R85" s="51"/>
      <c r="S85" s="383" t="s">
        <v>16</v>
      </c>
      <c r="T85" s="418" t="s">
        <v>16</v>
      </c>
      <c r="U85" s="24"/>
      <c r="V85" s="24"/>
      <c r="W85" s="24"/>
      <c r="X85" s="24"/>
      <c r="Y85" s="13"/>
      <c r="Z85" s="24"/>
      <c r="AA85" s="24"/>
      <c r="AB85" s="24"/>
      <c r="AC85" s="24"/>
      <c r="AD85" s="98"/>
      <c r="AE85" s="14"/>
      <c r="AF85" s="14"/>
      <c r="AG85" s="24"/>
    </row>
    <row r="86" spans="1:33" customFormat="1" ht="16.5">
      <c r="A86" s="151" t="s">
        <v>17</v>
      </c>
      <c r="B86" s="391" t="s">
        <v>493</v>
      </c>
      <c r="C86" s="201"/>
      <c r="D86" s="201"/>
      <c r="E86" s="205"/>
      <c r="F86" s="201"/>
      <c r="G86" s="15"/>
      <c r="H86" s="205"/>
      <c r="I86" s="205"/>
      <c r="J86" s="205"/>
      <c r="K86" s="88"/>
      <c r="L86" s="190"/>
      <c r="M86" s="190"/>
      <c r="N86" s="391" t="s">
        <v>493</v>
      </c>
      <c r="O86" s="391" t="s">
        <v>493</v>
      </c>
      <c r="P86" s="24"/>
      <c r="Q86" s="24"/>
      <c r="R86" s="205"/>
      <c r="S86" s="391" t="s">
        <v>493</v>
      </c>
      <c r="T86" s="272" t="s">
        <v>517</v>
      </c>
      <c r="U86" s="24"/>
      <c r="V86" s="24"/>
      <c r="W86" s="24"/>
      <c r="X86" s="24"/>
      <c r="Y86" s="13"/>
      <c r="Z86" s="24"/>
      <c r="AA86" s="24"/>
      <c r="AB86" s="24"/>
      <c r="AC86" s="24"/>
      <c r="AD86" s="98"/>
      <c r="AE86" s="14"/>
      <c r="AF86" s="14"/>
      <c r="AG86" s="24"/>
    </row>
    <row r="87" spans="1:33" customFormat="1" ht="15.75">
      <c r="A87" s="152" t="s">
        <v>18</v>
      </c>
      <c r="B87" s="23"/>
      <c r="C87" s="193"/>
      <c r="D87" s="193"/>
      <c r="E87" s="193"/>
      <c r="F87" s="193"/>
      <c r="G87" s="15"/>
      <c r="H87" s="193"/>
      <c r="I87" s="193"/>
      <c r="J87" s="193"/>
      <c r="K87" s="88"/>
      <c r="L87" s="87"/>
      <c r="M87" s="87"/>
      <c r="N87" s="23"/>
      <c r="O87" s="23"/>
      <c r="P87" s="24"/>
      <c r="Q87" s="24"/>
      <c r="R87" s="193"/>
      <c r="S87" s="23"/>
      <c r="T87" s="23"/>
      <c r="U87" s="24"/>
      <c r="V87" s="24"/>
      <c r="W87" s="24"/>
      <c r="X87" s="24"/>
      <c r="Y87" s="13"/>
      <c r="Z87" s="24"/>
      <c r="AA87" s="24"/>
      <c r="AB87" s="24"/>
      <c r="AC87" s="24"/>
      <c r="AD87" s="98"/>
      <c r="AE87" s="14"/>
      <c r="AF87" s="14"/>
      <c r="AG87" s="24"/>
    </row>
    <row r="88" spans="1:33" customFormat="1">
      <c r="A88" s="146" t="s">
        <v>20</v>
      </c>
      <c r="B88" s="24">
        <v>1</v>
      </c>
      <c r="C88" s="193"/>
      <c r="D88" s="193"/>
      <c r="E88" s="193"/>
      <c r="F88" s="193"/>
      <c r="G88" s="15"/>
      <c r="H88" s="193"/>
      <c r="I88" s="193"/>
      <c r="J88" s="193"/>
      <c r="K88" s="88"/>
      <c r="L88" s="87"/>
      <c r="M88" s="87"/>
      <c r="N88" s="24">
        <v>1</v>
      </c>
      <c r="O88" s="24">
        <v>1</v>
      </c>
      <c r="P88" s="24"/>
      <c r="Q88" s="24"/>
      <c r="R88" s="193"/>
      <c r="S88" s="24">
        <v>1</v>
      </c>
      <c r="T88" s="188"/>
      <c r="U88" s="24"/>
      <c r="V88" s="24"/>
      <c r="W88" s="24"/>
      <c r="X88" s="24"/>
      <c r="Y88" s="13"/>
      <c r="Z88" s="24"/>
      <c r="AA88" s="24"/>
      <c r="AB88" s="24"/>
      <c r="AC88" s="24"/>
      <c r="AD88" s="98"/>
      <c r="AE88" s="14"/>
      <c r="AF88" s="14"/>
      <c r="AG88" s="24"/>
    </row>
    <row r="89" spans="1:33" customFormat="1" ht="15.75">
      <c r="A89" s="153" t="s">
        <v>21</v>
      </c>
      <c r="B89" s="383" t="s">
        <v>101</v>
      </c>
      <c r="C89" s="51"/>
      <c r="D89" s="51"/>
      <c r="E89" s="51"/>
      <c r="F89" s="51"/>
      <c r="G89" s="15"/>
      <c r="H89" s="51"/>
      <c r="I89" s="51"/>
      <c r="J89" s="51"/>
      <c r="K89" s="88"/>
      <c r="L89" s="307"/>
      <c r="M89" s="307"/>
      <c r="N89" s="383" t="s">
        <v>120</v>
      </c>
      <c r="O89" s="383" t="s">
        <v>121</v>
      </c>
      <c r="P89" s="24"/>
      <c r="Q89" s="24"/>
      <c r="R89" s="51"/>
      <c r="S89" s="383" t="s">
        <v>123</v>
      </c>
      <c r="T89" s="94" t="s">
        <v>512</v>
      </c>
      <c r="U89" s="24"/>
      <c r="V89" s="24"/>
      <c r="W89" s="24"/>
      <c r="X89" s="24"/>
      <c r="Y89" s="13"/>
      <c r="Z89" s="24"/>
      <c r="AA89" s="24"/>
      <c r="AB89" s="24"/>
      <c r="AC89" s="24"/>
      <c r="AD89" s="98"/>
      <c r="AE89" s="14"/>
      <c r="AF89" s="14"/>
      <c r="AG89" s="24"/>
    </row>
    <row r="90" spans="1:33" customFormat="1" ht="15.75">
      <c r="A90" s="154" t="s">
        <v>22</v>
      </c>
      <c r="B90" s="27"/>
      <c r="C90" s="51"/>
      <c r="D90" s="51"/>
      <c r="E90" s="193"/>
      <c r="F90" s="51"/>
      <c r="G90" s="15"/>
      <c r="H90" s="193"/>
      <c r="I90" s="193"/>
      <c r="J90" s="193"/>
      <c r="K90" s="88"/>
      <c r="L90" s="87"/>
      <c r="M90" s="87"/>
      <c r="N90" s="27"/>
      <c r="O90" s="27"/>
      <c r="P90" s="24"/>
      <c r="Q90" s="24"/>
      <c r="R90" s="193"/>
      <c r="S90" s="27"/>
      <c r="T90" s="27"/>
      <c r="U90" s="24"/>
      <c r="V90" s="24"/>
      <c r="W90" s="24"/>
      <c r="X90" s="24"/>
      <c r="Y90" s="13"/>
      <c r="Z90" s="24"/>
      <c r="AA90" s="24"/>
      <c r="AB90" s="24"/>
      <c r="AC90" s="24"/>
      <c r="AD90" s="98"/>
      <c r="AE90" s="14"/>
      <c r="AF90" s="14"/>
      <c r="AG90" s="24"/>
    </row>
    <row r="91" spans="1:33" customFormat="1" ht="15.75">
      <c r="A91" s="153" t="s">
        <v>23</v>
      </c>
      <c r="B91" s="383">
        <v>6012</v>
      </c>
      <c r="C91" s="51"/>
      <c r="D91" s="51"/>
      <c r="E91" s="51"/>
      <c r="F91" s="51"/>
      <c r="G91" s="15"/>
      <c r="H91" s="51"/>
      <c r="I91" s="51"/>
      <c r="J91" s="51"/>
      <c r="K91" s="88"/>
      <c r="L91" s="307"/>
      <c r="M91" s="307"/>
      <c r="N91" s="383">
        <v>1080</v>
      </c>
      <c r="O91" s="383">
        <v>1572</v>
      </c>
      <c r="P91" s="24"/>
      <c r="Q91" s="24"/>
      <c r="R91" s="51"/>
      <c r="S91" s="383">
        <v>1224</v>
      </c>
      <c r="T91" s="418">
        <v>240</v>
      </c>
      <c r="U91" s="24"/>
      <c r="V91" s="24"/>
      <c r="W91" s="24"/>
      <c r="X91" s="24"/>
      <c r="Y91" s="13"/>
      <c r="Z91" s="24"/>
      <c r="AA91" s="24"/>
      <c r="AB91" s="24"/>
      <c r="AC91" s="24"/>
      <c r="AD91" s="98"/>
      <c r="AE91" s="14"/>
      <c r="AF91" s="14"/>
      <c r="AG91" s="24"/>
    </row>
    <row r="92" spans="1:33" customFormat="1" ht="12.75" customHeight="1">
      <c r="A92" s="155" t="s">
        <v>24</v>
      </c>
      <c r="B92" s="24" t="s">
        <v>630</v>
      </c>
      <c r="C92" s="193"/>
      <c r="D92" s="193"/>
      <c r="E92" s="193"/>
      <c r="F92" s="193"/>
      <c r="G92" s="15"/>
      <c r="H92" s="193"/>
      <c r="I92" s="193"/>
      <c r="J92" s="193"/>
      <c r="K92" s="88"/>
      <c r="L92" s="87"/>
      <c r="M92" s="87"/>
      <c r="N92" s="24"/>
      <c r="O92" s="24"/>
      <c r="P92" s="24"/>
      <c r="Q92" s="24"/>
      <c r="R92" s="193"/>
      <c r="S92" s="24"/>
      <c r="T92" s="30"/>
      <c r="U92" s="24"/>
      <c r="V92" s="24"/>
      <c r="W92" s="24"/>
      <c r="X92" s="24"/>
      <c r="Y92" s="13"/>
      <c r="Z92" s="24"/>
      <c r="AA92" s="24"/>
      <c r="AB92" s="24"/>
      <c r="AC92" s="24"/>
      <c r="AD92" s="98"/>
      <c r="AE92" s="14"/>
      <c r="AF92" s="14"/>
      <c r="AG92" s="24"/>
    </row>
    <row r="93" spans="1:33" customFormat="1" ht="15.75">
      <c r="A93" s="128" t="s">
        <v>25</v>
      </c>
      <c r="B93" s="32">
        <v>43546</v>
      </c>
      <c r="C93" s="202"/>
      <c r="D93" s="202"/>
      <c r="E93" s="202"/>
      <c r="F93" s="202"/>
      <c r="G93" s="15"/>
      <c r="H93" s="202"/>
      <c r="I93" s="202"/>
      <c r="J93" s="202"/>
      <c r="K93" s="88"/>
      <c r="L93" s="196"/>
      <c r="M93" s="196"/>
      <c r="N93" s="32">
        <v>43538</v>
      </c>
      <c r="O93" s="32">
        <v>43596</v>
      </c>
      <c r="P93" s="24"/>
      <c r="Q93" s="24"/>
      <c r="R93" s="202"/>
      <c r="S93" s="32">
        <v>43596</v>
      </c>
      <c r="T93" s="32">
        <v>43169</v>
      </c>
      <c r="U93" s="24"/>
      <c r="V93" s="24"/>
      <c r="W93" s="24"/>
      <c r="X93" s="24"/>
      <c r="Y93" s="13"/>
      <c r="Z93" s="24"/>
      <c r="AA93" s="24"/>
      <c r="AB93" s="24"/>
      <c r="AC93" s="24"/>
      <c r="AD93" s="98"/>
      <c r="AE93" s="14"/>
      <c r="AF93" s="14"/>
      <c r="AG93" s="24"/>
    </row>
    <row r="94" spans="1:33" customFormat="1">
      <c r="A94" s="146" t="s">
        <v>27</v>
      </c>
      <c r="B94" s="31" t="s">
        <v>29</v>
      </c>
      <c r="C94" s="193"/>
      <c r="D94" s="193"/>
      <c r="E94" s="193"/>
      <c r="F94" s="193"/>
      <c r="G94" s="187"/>
      <c r="H94" s="193"/>
      <c r="I94" s="193"/>
      <c r="J94" s="193"/>
      <c r="K94" s="88"/>
      <c r="L94" s="87"/>
      <c r="M94" s="87"/>
      <c r="N94" s="31" t="s">
        <v>29</v>
      </c>
      <c r="O94" s="31" t="s">
        <v>28</v>
      </c>
      <c r="P94" s="24"/>
      <c r="Q94" s="24"/>
      <c r="R94" s="193"/>
      <c r="S94" s="31" t="s">
        <v>28</v>
      </c>
      <c r="T94" s="31" t="s">
        <v>87</v>
      </c>
      <c r="U94" s="24"/>
      <c r="V94" s="24"/>
      <c r="W94" s="24"/>
      <c r="X94" s="24"/>
      <c r="Y94" s="13"/>
      <c r="Z94" s="24"/>
      <c r="AA94" s="24"/>
      <c r="AB94" s="24"/>
      <c r="AC94" s="24"/>
      <c r="AD94" s="98"/>
      <c r="AE94" s="14"/>
      <c r="AF94" s="14"/>
      <c r="AG94" s="24"/>
    </row>
    <row r="95" spans="1:33" customFormat="1" ht="15.75">
      <c r="A95" s="146" t="s">
        <v>10</v>
      </c>
      <c r="B95" s="14"/>
      <c r="C95" s="51"/>
      <c r="D95" s="51"/>
      <c r="E95" s="51"/>
      <c r="F95" s="51"/>
      <c r="G95" s="15"/>
      <c r="H95" s="51"/>
      <c r="I95" s="88"/>
      <c r="J95" s="88"/>
      <c r="K95" s="15"/>
      <c r="L95" s="33"/>
      <c r="M95" s="33"/>
      <c r="N95" s="383" t="s">
        <v>103</v>
      </c>
      <c r="O95" s="24"/>
      <c r="P95" s="24"/>
      <c r="Q95" s="24"/>
      <c r="R95" s="88"/>
      <c r="S95" s="307"/>
      <c r="T95" s="418" t="s">
        <v>508</v>
      </c>
      <c r="U95" s="24"/>
      <c r="V95" s="24"/>
      <c r="W95" s="24"/>
      <c r="X95" s="24"/>
      <c r="Y95" s="13"/>
      <c r="Z95" s="24"/>
      <c r="AA95" s="24"/>
      <c r="AB95" s="24"/>
      <c r="AC95" s="24"/>
      <c r="AD95" s="98"/>
      <c r="AE95" s="14"/>
      <c r="AF95" s="14"/>
      <c r="AG95" s="24"/>
    </row>
    <row r="96" spans="1:33" customFormat="1" ht="15.75">
      <c r="A96" s="147" t="s">
        <v>11</v>
      </c>
      <c r="B96" s="14"/>
      <c r="C96" s="193"/>
      <c r="D96" s="193"/>
      <c r="E96" s="399"/>
      <c r="F96" s="193"/>
      <c r="G96" s="15"/>
      <c r="H96" s="193"/>
      <c r="I96" s="88"/>
      <c r="J96" s="88"/>
      <c r="K96" s="15"/>
      <c r="L96" s="33"/>
      <c r="M96" s="33"/>
      <c r="N96" s="93" t="s">
        <v>637</v>
      </c>
      <c r="O96" s="24"/>
      <c r="P96" s="24"/>
      <c r="Q96" s="24"/>
      <c r="R96" s="88"/>
      <c r="S96" s="24"/>
      <c r="T96" s="93" t="s">
        <v>513</v>
      </c>
      <c r="U96" s="24"/>
      <c r="V96" s="24"/>
      <c r="W96" s="24"/>
      <c r="X96" s="24"/>
      <c r="Y96" s="13"/>
      <c r="Z96" s="24"/>
      <c r="AA96" s="24"/>
      <c r="AB96" s="24"/>
      <c r="AC96" s="24"/>
      <c r="AD96" s="98"/>
      <c r="AE96" s="14"/>
      <c r="AF96" s="14"/>
      <c r="AG96" s="24"/>
    </row>
    <row r="97" spans="1:33" customFormat="1" ht="16.5">
      <c r="A97" s="148" t="s">
        <v>12</v>
      </c>
      <c r="B97" s="14"/>
      <c r="C97" s="200"/>
      <c r="D97" s="200"/>
      <c r="E97" s="204"/>
      <c r="F97" s="200"/>
      <c r="G97" s="15"/>
      <c r="H97" s="204"/>
      <c r="I97" s="88"/>
      <c r="J97" s="88"/>
      <c r="K97" s="15"/>
      <c r="L97" s="33"/>
      <c r="M97" s="33"/>
      <c r="N97" s="383" t="str">
        <f>VLOOKUP(N103,'[3]2018-11-16'!$A:$D,4,0)</f>
        <v>基本型體</v>
      </c>
      <c r="O97" s="24"/>
      <c r="P97" s="24"/>
      <c r="Q97" s="24"/>
      <c r="R97" s="88"/>
      <c r="S97" s="176"/>
      <c r="T97" s="49"/>
      <c r="U97" s="24"/>
      <c r="V97" s="24"/>
      <c r="W97" s="24"/>
      <c r="X97" s="24"/>
      <c r="Y97" s="13"/>
      <c r="Z97" s="24"/>
      <c r="AA97" s="24"/>
      <c r="AB97" s="24"/>
      <c r="AC97" s="24"/>
      <c r="AD97" s="98"/>
      <c r="AE97" s="14"/>
      <c r="AF97" s="14"/>
      <c r="AG97" s="24"/>
    </row>
    <row r="98" spans="1:33" customFormat="1" ht="15.75">
      <c r="A98" s="149" t="s">
        <v>13</v>
      </c>
      <c r="B98" s="14"/>
      <c r="C98" s="193"/>
      <c r="D98" s="193"/>
      <c r="E98" s="193"/>
      <c r="F98" s="193"/>
      <c r="G98" s="15"/>
      <c r="H98" s="193"/>
      <c r="I98" s="88"/>
      <c r="J98" s="88"/>
      <c r="K98" s="15"/>
      <c r="L98" s="33"/>
      <c r="M98" s="33"/>
      <c r="N98" s="19" t="str">
        <f>VLOOKUP(N96,'[4]2019-01'!$A$3:$G$2159,7,0)</f>
        <v>02/15</v>
      </c>
      <c r="O98" s="24"/>
      <c r="P98" s="24"/>
      <c r="Q98" s="24"/>
      <c r="R98" s="88"/>
      <c r="S98" s="19"/>
      <c r="T98" s="87"/>
      <c r="U98" s="24"/>
      <c r="V98" s="24"/>
      <c r="W98" s="24"/>
      <c r="X98" s="24"/>
      <c r="Y98" s="13"/>
      <c r="Z98" s="24"/>
      <c r="AA98" s="24"/>
      <c r="AB98" s="24"/>
      <c r="AC98" s="24"/>
      <c r="AD98" s="98"/>
      <c r="AE98" s="14"/>
      <c r="AF98" s="14"/>
      <c r="AG98" s="24"/>
    </row>
    <row r="99" spans="1:33" customFormat="1" ht="15.75">
      <c r="A99" s="150" t="s">
        <v>15</v>
      </c>
      <c r="B99" s="14"/>
      <c r="C99" s="51"/>
      <c r="D99" s="51"/>
      <c r="E99" s="51"/>
      <c r="F99" s="51"/>
      <c r="G99" s="15"/>
      <c r="H99" s="51"/>
      <c r="I99" s="88"/>
      <c r="J99" s="88"/>
      <c r="K99" s="15"/>
      <c r="L99" s="33"/>
      <c r="M99" s="33"/>
      <c r="N99" s="383" t="s">
        <v>16</v>
      </c>
      <c r="O99" s="24"/>
      <c r="P99" s="24"/>
      <c r="Q99" s="24"/>
      <c r="R99" s="88"/>
      <c r="S99" s="307"/>
      <c r="T99" s="418" t="s">
        <v>16</v>
      </c>
      <c r="U99" s="24"/>
      <c r="V99" s="24"/>
      <c r="W99" s="24"/>
      <c r="X99" s="24"/>
      <c r="Y99" s="13"/>
      <c r="Z99" s="24"/>
      <c r="AA99" s="24"/>
      <c r="AB99" s="24"/>
      <c r="AC99" s="24"/>
      <c r="AD99" s="98"/>
      <c r="AE99" s="14"/>
      <c r="AF99" s="14"/>
      <c r="AG99" s="24"/>
    </row>
    <row r="100" spans="1:33" customFormat="1" ht="16.5">
      <c r="A100" s="151" t="s">
        <v>17</v>
      </c>
      <c r="B100" s="14"/>
      <c r="C100" s="201"/>
      <c r="D100" s="201"/>
      <c r="E100" s="205"/>
      <c r="F100" s="201"/>
      <c r="G100" s="15"/>
      <c r="H100" s="205"/>
      <c r="I100" s="88"/>
      <c r="J100" s="88"/>
      <c r="K100" s="15"/>
      <c r="L100" s="33"/>
      <c r="M100" s="33"/>
      <c r="N100" s="391" t="s">
        <v>493</v>
      </c>
      <c r="O100" s="24"/>
      <c r="P100" s="24"/>
      <c r="Q100" s="24"/>
      <c r="R100" s="88"/>
      <c r="S100" s="310"/>
      <c r="T100" s="272" t="s">
        <v>517</v>
      </c>
      <c r="U100" s="24"/>
      <c r="V100" s="24"/>
      <c r="W100" s="24"/>
      <c r="X100" s="24"/>
      <c r="Y100" s="13"/>
      <c r="Z100" s="24"/>
      <c r="AA100" s="24"/>
      <c r="AB100" s="24"/>
      <c r="AC100" s="24"/>
      <c r="AD100" s="98"/>
      <c r="AE100" s="14"/>
      <c r="AF100" s="14"/>
      <c r="AG100" s="24"/>
    </row>
    <row r="101" spans="1:33" customFormat="1" ht="15.75">
      <c r="A101" s="152" t="s">
        <v>18</v>
      </c>
      <c r="B101" s="14"/>
      <c r="C101" s="193"/>
      <c r="D101" s="193"/>
      <c r="E101" s="193"/>
      <c r="F101" s="193"/>
      <c r="G101" s="15"/>
      <c r="H101" s="193"/>
      <c r="I101" s="88"/>
      <c r="J101" s="88"/>
      <c r="K101" s="15"/>
      <c r="L101" s="33"/>
      <c r="M101" s="33"/>
      <c r="N101" s="23"/>
      <c r="O101" s="24"/>
      <c r="P101" s="24"/>
      <c r="Q101" s="24"/>
      <c r="R101" s="88"/>
      <c r="S101" s="176"/>
      <c r="T101" s="23"/>
      <c r="U101" s="24"/>
      <c r="V101" s="24"/>
      <c r="W101" s="24"/>
      <c r="X101" s="24"/>
      <c r="Y101" s="13"/>
      <c r="Z101" s="24"/>
      <c r="AA101" s="24"/>
      <c r="AB101" s="24"/>
      <c r="AC101" s="24"/>
      <c r="AD101" s="98"/>
      <c r="AE101" s="14"/>
      <c r="AF101" s="14"/>
      <c r="AG101" s="24"/>
    </row>
    <row r="102" spans="1:33" customFormat="1">
      <c r="A102" s="146" t="s">
        <v>20</v>
      </c>
      <c r="B102" s="14"/>
      <c r="C102" s="193"/>
      <c r="D102" s="193"/>
      <c r="E102" s="193"/>
      <c r="F102" s="193"/>
      <c r="G102" s="15"/>
      <c r="H102" s="193"/>
      <c r="I102" s="88"/>
      <c r="J102" s="88"/>
      <c r="K102" s="15"/>
      <c r="L102" s="33"/>
      <c r="M102" s="33"/>
      <c r="N102" s="24">
        <v>1</v>
      </c>
      <c r="O102" s="24"/>
      <c r="P102" s="24"/>
      <c r="Q102" s="24"/>
      <c r="R102" s="88"/>
      <c r="S102" s="176"/>
      <c r="T102" s="24">
        <v>1</v>
      </c>
      <c r="U102" s="24"/>
      <c r="V102" s="24"/>
      <c r="W102" s="24"/>
      <c r="X102" s="24"/>
      <c r="Y102" s="13"/>
      <c r="Z102" s="24"/>
      <c r="AA102" s="24"/>
      <c r="AB102" s="24"/>
      <c r="AC102" s="24"/>
      <c r="AD102" s="98"/>
      <c r="AE102" s="14"/>
      <c r="AF102" s="14"/>
      <c r="AG102" s="24"/>
    </row>
    <row r="103" spans="1:33" customFormat="1" ht="15.75">
      <c r="A103" s="153" t="s">
        <v>21</v>
      </c>
      <c r="B103" s="14"/>
      <c r="C103" s="51"/>
      <c r="D103" s="51"/>
      <c r="E103" s="51"/>
      <c r="F103" s="51"/>
      <c r="G103" s="15"/>
      <c r="H103" s="51"/>
      <c r="I103" s="88"/>
      <c r="J103" s="88"/>
      <c r="K103" s="15"/>
      <c r="L103" s="33"/>
      <c r="M103" s="33"/>
      <c r="N103" s="383" t="s">
        <v>121</v>
      </c>
      <c r="O103" s="24"/>
      <c r="P103" s="24"/>
      <c r="Q103" s="24"/>
      <c r="R103" s="88"/>
      <c r="S103" s="94"/>
      <c r="T103" s="94" t="s">
        <v>514</v>
      </c>
      <c r="U103" s="24"/>
      <c r="V103" s="24"/>
      <c r="W103" s="24"/>
      <c r="X103" s="24"/>
      <c r="Y103" s="13"/>
      <c r="Z103" s="24"/>
      <c r="AA103" s="24"/>
      <c r="AB103" s="24"/>
      <c r="AC103" s="24"/>
      <c r="AD103" s="98"/>
      <c r="AE103" s="14"/>
      <c r="AF103" s="14"/>
      <c r="AG103" s="24"/>
    </row>
    <row r="104" spans="1:33" customFormat="1" ht="15.75">
      <c r="A104" s="154" t="s">
        <v>22</v>
      </c>
      <c r="B104" s="14"/>
      <c r="C104" s="51"/>
      <c r="D104" s="51"/>
      <c r="E104" s="193"/>
      <c r="F104" s="51"/>
      <c r="G104" s="15"/>
      <c r="H104" s="193"/>
      <c r="I104" s="88"/>
      <c r="J104" s="88"/>
      <c r="K104" s="15"/>
      <c r="L104" s="33"/>
      <c r="M104" s="33"/>
      <c r="N104" s="27"/>
      <c r="O104" s="24"/>
      <c r="P104" s="24"/>
      <c r="Q104" s="24"/>
      <c r="R104" s="88"/>
      <c r="S104" s="176"/>
      <c r="T104" s="27"/>
      <c r="U104" s="24"/>
      <c r="V104" s="24"/>
      <c r="W104" s="24"/>
      <c r="X104" s="24"/>
      <c r="Y104" s="13"/>
      <c r="Z104" s="24"/>
      <c r="AA104" s="24"/>
      <c r="AB104" s="24"/>
      <c r="AC104" s="24"/>
      <c r="AD104" s="98"/>
      <c r="AE104" s="14"/>
      <c r="AF104" s="14"/>
      <c r="AG104" s="24"/>
    </row>
    <row r="105" spans="1:33" customFormat="1" ht="15.75">
      <c r="A105" s="153" t="s">
        <v>23</v>
      </c>
      <c r="B105" s="14"/>
      <c r="C105" s="51"/>
      <c r="D105" s="51"/>
      <c r="E105" s="51"/>
      <c r="F105" s="51"/>
      <c r="G105" s="15"/>
      <c r="H105" s="51"/>
      <c r="I105" s="88"/>
      <c r="J105" s="88"/>
      <c r="K105" s="15"/>
      <c r="L105" s="33"/>
      <c r="M105" s="33"/>
      <c r="N105" s="383">
        <v>132</v>
      </c>
      <c r="O105" s="24"/>
      <c r="P105" s="24"/>
      <c r="Q105" s="24"/>
      <c r="R105" s="88"/>
      <c r="S105" s="307"/>
      <c r="T105" s="418">
        <v>228</v>
      </c>
      <c r="U105" s="24"/>
      <c r="V105" s="24"/>
      <c r="W105" s="24"/>
      <c r="X105" s="24"/>
      <c r="Y105" s="13"/>
      <c r="Z105" s="24"/>
      <c r="AA105" s="24"/>
      <c r="AB105" s="24"/>
      <c r="AC105" s="24"/>
      <c r="AD105" s="98"/>
      <c r="AE105" s="14"/>
      <c r="AF105" s="14"/>
      <c r="AG105" s="24"/>
    </row>
    <row r="106" spans="1:33" customFormat="1" ht="14.25" customHeight="1">
      <c r="A106" s="155" t="s">
        <v>24</v>
      </c>
      <c r="B106" s="14"/>
      <c r="C106" s="193"/>
      <c r="D106" s="193"/>
      <c r="E106" s="193"/>
      <c r="F106" s="193"/>
      <c r="G106" s="15"/>
      <c r="H106" s="193"/>
      <c r="I106" s="88"/>
      <c r="J106" s="88"/>
      <c r="K106" s="15"/>
      <c r="L106" s="33"/>
      <c r="M106" s="33"/>
      <c r="N106" s="24" t="s">
        <v>602</v>
      </c>
      <c r="O106" s="24"/>
      <c r="P106" s="24"/>
      <c r="Q106" s="24"/>
      <c r="R106" s="88"/>
      <c r="S106" s="176"/>
      <c r="T106" s="30"/>
      <c r="U106" s="24"/>
      <c r="V106" s="24"/>
      <c r="W106" s="24"/>
      <c r="X106" s="24"/>
      <c r="Y106" s="13"/>
      <c r="Z106" s="24"/>
      <c r="AA106" s="24"/>
      <c r="AB106" s="24"/>
      <c r="AC106" s="24"/>
      <c r="AD106" s="98"/>
      <c r="AE106" s="14"/>
      <c r="AF106" s="14"/>
      <c r="AG106" s="24"/>
    </row>
    <row r="107" spans="1:33" customFormat="1" ht="15.75">
      <c r="A107" s="128" t="s">
        <v>25</v>
      </c>
      <c r="B107" s="14"/>
      <c r="C107" s="202"/>
      <c r="D107" s="202"/>
      <c r="E107" s="202"/>
      <c r="F107" s="202"/>
      <c r="G107" s="15"/>
      <c r="H107" s="202"/>
      <c r="I107" s="88"/>
      <c r="J107" s="88"/>
      <c r="K107" s="15"/>
      <c r="L107" s="33"/>
      <c r="M107" s="33"/>
      <c r="N107" s="32">
        <v>43544</v>
      </c>
      <c r="O107" s="24"/>
      <c r="P107" s="24"/>
      <c r="Q107" s="24"/>
      <c r="R107" s="88"/>
      <c r="S107" s="32"/>
      <c r="T107" s="32">
        <v>43169</v>
      </c>
      <c r="U107" s="24"/>
      <c r="V107" s="24"/>
      <c r="W107" s="24"/>
      <c r="X107" s="24"/>
      <c r="Y107" s="13"/>
      <c r="Z107" s="24"/>
      <c r="AA107" s="24"/>
      <c r="AB107" s="24"/>
      <c r="AC107" s="24"/>
      <c r="AD107" s="98"/>
      <c r="AE107" s="14"/>
      <c r="AF107" s="14"/>
      <c r="AG107" s="24"/>
    </row>
    <row r="108" spans="1:33" customFormat="1">
      <c r="A108" s="146" t="s">
        <v>27</v>
      </c>
      <c r="B108" s="14"/>
      <c r="C108" s="193"/>
      <c r="D108" s="193"/>
      <c r="E108" s="193"/>
      <c r="F108" s="193"/>
      <c r="G108" s="187"/>
      <c r="H108" s="193"/>
      <c r="I108" s="88"/>
      <c r="J108" s="88"/>
      <c r="K108" s="88"/>
      <c r="L108" s="50"/>
      <c r="M108" s="33"/>
      <c r="N108" s="31" t="s">
        <v>28</v>
      </c>
      <c r="O108" s="24"/>
      <c r="P108" s="24"/>
      <c r="Q108" s="24"/>
      <c r="R108" s="88"/>
      <c r="S108" s="24"/>
      <c r="T108" s="31" t="s">
        <v>87</v>
      </c>
      <c r="U108" s="24"/>
      <c r="V108" s="24"/>
      <c r="W108" s="24"/>
      <c r="X108" s="24"/>
      <c r="Y108" s="13"/>
      <c r="Z108" s="24"/>
      <c r="AA108" s="24"/>
      <c r="AB108" s="14"/>
      <c r="AC108" s="24"/>
      <c r="AD108" s="98"/>
      <c r="AE108" s="14"/>
      <c r="AF108" s="14"/>
      <c r="AG108" s="50"/>
    </row>
    <row r="109" spans="1:33" customFormat="1" ht="15.75">
      <c r="A109" s="146" t="s">
        <v>10</v>
      </c>
      <c r="B109" s="14"/>
      <c r="C109" s="88"/>
      <c r="D109" s="51"/>
      <c r="E109" s="51"/>
      <c r="F109" s="51"/>
      <c r="G109" s="15"/>
      <c r="H109" s="88"/>
      <c r="I109" s="88"/>
      <c r="J109" s="88"/>
      <c r="K109" s="88"/>
      <c r="L109" s="50"/>
      <c r="M109" s="33"/>
      <c r="N109" s="33"/>
      <c r="O109" s="50"/>
      <c r="P109" s="33"/>
      <c r="Q109" s="307"/>
      <c r="R109" s="15"/>
      <c r="S109" s="24"/>
      <c r="T109" s="418" t="s">
        <v>508</v>
      </c>
      <c r="U109" s="24"/>
      <c r="V109" s="24"/>
      <c r="W109" s="24"/>
      <c r="X109" s="24"/>
      <c r="Y109" s="13"/>
      <c r="Z109" s="24"/>
      <c r="AA109" s="24"/>
      <c r="AB109" s="14"/>
      <c r="AC109" s="24"/>
      <c r="AD109" s="98"/>
      <c r="AE109" s="14"/>
      <c r="AF109" s="14"/>
      <c r="AG109" s="24"/>
    </row>
    <row r="110" spans="1:33" customFormat="1" ht="15.75">
      <c r="A110" s="147" t="s">
        <v>11</v>
      </c>
      <c r="B110" s="14"/>
      <c r="C110" s="88"/>
      <c r="D110" s="193"/>
      <c r="E110" s="193"/>
      <c r="F110" s="193"/>
      <c r="G110" s="15"/>
      <c r="H110" s="88"/>
      <c r="I110" s="88"/>
      <c r="J110" s="88"/>
      <c r="K110" s="88"/>
      <c r="L110" s="50"/>
      <c r="M110" s="33"/>
      <c r="N110" s="33"/>
      <c r="O110" s="50"/>
      <c r="P110" s="33"/>
      <c r="Q110" s="24"/>
      <c r="R110" s="15"/>
      <c r="S110" s="24"/>
      <c r="T110" s="93" t="s">
        <v>515</v>
      </c>
      <c r="U110" s="24"/>
      <c r="V110" s="24"/>
      <c r="W110" s="24"/>
      <c r="X110" s="24"/>
      <c r="Y110" s="13"/>
      <c r="Z110" s="24"/>
      <c r="AA110" s="24"/>
      <c r="AB110" s="14"/>
      <c r="AC110" s="24"/>
      <c r="AD110" s="98"/>
      <c r="AE110" s="14"/>
      <c r="AF110" s="14"/>
      <c r="AG110" s="24"/>
    </row>
    <row r="111" spans="1:33" customFormat="1" ht="16.5">
      <c r="A111" s="148" t="s">
        <v>12</v>
      </c>
      <c r="B111" s="14"/>
      <c r="C111" s="88"/>
      <c r="D111" s="200"/>
      <c r="E111" s="200"/>
      <c r="F111" s="200"/>
      <c r="G111" s="15"/>
      <c r="H111" s="88"/>
      <c r="I111" s="88"/>
      <c r="J111" s="88"/>
      <c r="K111" s="88"/>
      <c r="L111" s="50"/>
      <c r="M111" s="33"/>
      <c r="N111" s="33"/>
      <c r="O111" s="50"/>
      <c r="P111" s="33"/>
      <c r="Q111" s="176"/>
      <c r="R111" s="15"/>
      <c r="S111" s="24"/>
      <c r="T111" s="49"/>
      <c r="U111" s="24"/>
      <c r="V111" s="24"/>
      <c r="W111" s="24"/>
      <c r="X111" s="24"/>
      <c r="Y111" s="13"/>
      <c r="Z111" s="24"/>
      <c r="AA111" s="24"/>
      <c r="AB111" s="14"/>
      <c r="AC111" s="24"/>
      <c r="AD111" s="98"/>
      <c r="AE111" s="14"/>
      <c r="AF111" s="14"/>
      <c r="AG111" s="24"/>
    </row>
    <row r="112" spans="1:33" customFormat="1" ht="15.75">
      <c r="A112" s="149" t="s">
        <v>13</v>
      </c>
      <c r="B112" s="14"/>
      <c r="C112" s="88"/>
      <c r="D112" s="193"/>
      <c r="E112" s="193"/>
      <c r="F112" s="193"/>
      <c r="G112" s="15"/>
      <c r="H112" s="88"/>
      <c r="I112" s="88"/>
      <c r="J112" s="88"/>
      <c r="K112" s="88"/>
      <c r="L112" s="50"/>
      <c r="M112" s="33"/>
      <c r="N112" s="33"/>
      <c r="O112" s="50"/>
      <c r="P112" s="33"/>
      <c r="Q112" s="19"/>
      <c r="R112" s="15"/>
      <c r="S112" s="24"/>
      <c r="T112" s="87"/>
      <c r="U112" s="24"/>
      <c r="V112" s="24"/>
      <c r="W112" s="24"/>
      <c r="X112" s="24"/>
      <c r="Y112" s="13"/>
      <c r="Z112" s="24"/>
      <c r="AA112" s="24"/>
      <c r="AB112" s="14"/>
      <c r="AC112" s="24"/>
      <c r="AD112" s="98"/>
      <c r="AE112" s="14"/>
      <c r="AF112" s="14"/>
      <c r="AG112" s="24"/>
    </row>
    <row r="113" spans="1:33" customFormat="1" ht="15.75">
      <c r="A113" s="150" t="s">
        <v>15</v>
      </c>
      <c r="B113" s="14"/>
      <c r="C113" s="88"/>
      <c r="D113" s="51"/>
      <c r="E113" s="51"/>
      <c r="F113" s="51"/>
      <c r="G113" s="15"/>
      <c r="H113" s="88"/>
      <c r="I113" s="88"/>
      <c r="J113" s="88"/>
      <c r="K113" s="88"/>
      <c r="L113" s="50"/>
      <c r="M113" s="33"/>
      <c r="N113" s="33"/>
      <c r="O113" s="50"/>
      <c r="P113" s="33"/>
      <c r="Q113" s="307"/>
      <c r="R113" s="15"/>
      <c r="S113" s="24"/>
      <c r="T113" s="418" t="s">
        <v>16</v>
      </c>
      <c r="U113" s="24"/>
      <c r="V113" s="24"/>
      <c r="W113" s="24"/>
      <c r="X113" s="24"/>
      <c r="Y113" s="13"/>
      <c r="Z113" s="24"/>
      <c r="AA113" s="24"/>
      <c r="AB113" s="14"/>
      <c r="AC113" s="24"/>
      <c r="AD113" s="98"/>
      <c r="AE113" s="14"/>
      <c r="AF113" s="14"/>
      <c r="AG113" s="24"/>
    </row>
    <row r="114" spans="1:33" customFormat="1" ht="16.5">
      <c r="A114" s="151" t="s">
        <v>17</v>
      </c>
      <c r="B114" s="14"/>
      <c r="C114" s="88"/>
      <c r="D114" s="201"/>
      <c r="E114" s="201"/>
      <c r="F114" s="201"/>
      <c r="G114" s="15"/>
      <c r="H114" s="88"/>
      <c r="I114" s="88"/>
      <c r="J114" s="88"/>
      <c r="K114" s="88"/>
      <c r="L114" s="50"/>
      <c r="M114" s="33"/>
      <c r="N114" s="33"/>
      <c r="O114" s="50"/>
      <c r="P114" s="33"/>
      <c r="Q114" s="310"/>
      <c r="R114" s="15"/>
      <c r="S114" s="24"/>
      <c r="T114" s="272" t="s">
        <v>517</v>
      </c>
      <c r="U114" s="24"/>
      <c r="V114" s="24"/>
      <c r="W114" s="24"/>
      <c r="X114" s="24"/>
      <c r="Y114" s="13"/>
      <c r="Z114" s="24"/>
      <c r="AA114" s="24"/>
      <c r="AB114" s="14"/>
      <c r="AC114" s="24"/>
      <c r="AD114" s="98"/>
      <c r="AE114" s="14"/>
      <c r="AF114" s="14"/>
      <c r="AG114" s="24"/>
    </row>
    <row r="115" spans="1:33" customFormat="1" ht="15.75">
      <c r="A115" s="152" t="s">
        <v>18</v>
      </c>
      <c r="B115" s="14"/>
      <c r="C115" s="88"/>
      <c r="D115" s="193"/>
      <c r="E115" s="193"/>
      <c r="F115" s="193"/>
      <c r="G115" s="15"/>
      <c r="H115" s="88"/>
      <c r="I115" s="88"/>
      <c r="J115" s="88"/>
      <c r="K115" s="88"/>
      <c r="L115" s="50"/>
      <c r="M115" s="33"/>
      <c r="N115" s="33"/>
      <c r="O115" s="50"/>
      <c r="P115" s="33"/>
      <c r="Q115" s="176"/>
      <c r="R115" s="15"/>
      <c r="S115" s="24"/>
      <c r="T115" s="23"/>
      <c r="U115" s="24"/>
      <c r="V115" s="24"/>
      <c r="W115" s="24"/>
      <c r="X115" s="24"/>
      <c r="Y115" s="13"/>
      <c r="Z115" s="24"/>
      <c r="AA115" s="24"/>
      <c r="AB115" s="14"/>
      <c r="AC115" s="24"/>
      <c r="AD115" s="98"/>
      <c r="AE115" s="14"/>
      <c r="AF115" s="14"/>
      <c r="AG115" s="24"/>
    </row>
    <row r="116" spans="1:33" customFormat="1">
      <c r="A116" s="146" t="s">
        <v>20</v>
      </c>
      <c r="B116" s="14"/>
      <c r="C116" s="88"/>
      <c r="D116" s="193"/>
      <c r="E116" s="193"/>
      <c r="F116" s="193"/>
      <c r="G116" s="15"/>
      <c r="H116" s="88"/>
      <c r="I116" s="88"/>
      <c r="J116" s="88"/>
      <c r="K116" s="88"/>
      <c r="L116" s="50"/>
      <c r="M116" s="33"/>
      <c r="N116" s="33"/>
      <c r="O116" s="50"/>
      <c r="P116" s="33"/>
      <c r="Q116" s="176"/>
      <c r="R116" s="15"/>
      <c r="S116" s="24"/>
      <c r="T116" s="24">
        <v>1</v>
      </c>
      <c r="U116" s="24"/>
      <c r="V116" s="24"/>
      <c r="W116" s="24"/>
      <c r="X116" s="24"/>
      <c r="Y116" s="13"/>
      <c r="Z116" s="24"/>
      <c r="AA116" s="24"/>
      <c r="AB116" s="14"/>
      <c r="AC116" s="24"/>
      <c r="AD116" s="98"/>
      <c r="AE116" s="14"/>
      <c r="AF116" s="14"/>
      <c r="AG116" s="24"/>
    </row>
    <row r="117" spans="1:33" customFormat="1" ht="15.75">
      <c r="A117" s="153" t="s">
        <v>21</v>
      </c>
      <c r="B117" s="14"/>
      <c r="C117" s="88"/>
      <c r="D117" s="51"/>
      <c r="E117" s="51"/>
      <c r="F117" s="51"/>
      <c r="G117" s="15"/>
      <c r="H117" s="88"/>
      <c r="I117" s="88"/>
      <c r="J117" s="88"/>
      <c r="K117" s="88"/>
      <c r="L117" s="50"/>
      <c r="M117" s="33"/>
      <c r="N117" s="33"/>
      <c r="O117" s="50"/>
      <c r="P117" s="33"/>
      <c r="Q117" s="94"/>
      <c r="R117" s="15"/>
      <c r="S117" s="24"/>
      <c r="T117" s="94" t="s">
        <v>516</v>
      </c>
      <c r="U117" s="24"/>
      <c r="V117" s="24"/>
      <c r="W117" s="24"/>
      <c r="X117" s="24"/>
      <c r="Y117" s="13"/>
      <c r="Z117" s="24"/>
      <c r="AA117" s="24"/>
      <c r="AB117" s="14"/>
      <c r="AC117" s="24"/>
      <c r="AD117" s="98"/>
      <c r="AE117" s="14"/>
      <c r="AF117" s="14"/>
      <c r="AG117" s="24"/>
    </row>
    <row r="118" spans="1:33" customFormat="1" ht="15.75">
      <c r="A118" s="154" t="s">
        <v>22</v>
      </c>
      <c r="B118" s="14"/>
      <c r="C118" s="88"/>
      <c r="D118" s="51"/>
      <c r="E118" s="51"/>
      <c r="F118" s="51"/>
      <c r="G118" s="15"/>
      <c r="H118" s="88"/>
      <c r="I118" s="88"/>
      <c r="J118" s="88"/>
      <c r="K118" s="88"/>
      <c r="L118" s="50"/>
      <c r="M118" s="33"/>
      <c r="N118" s="33"/>
      <c r="O118" s="50"/>
      <c r="P118" s="33"/>
      <c r="Q118" s="176"/>
      <c r="R118" s="15"/>
      <c r="S118" s="24"/>
      <c r="T118" s="27"/>
      <c r="U118" s="24"/>
      <c r="V118" s="24"/>
      <c r="W118" s="24"/>
      <c r="X118" s="24"/>
      <c r="Y118" s="13"/>
      <c r="Z118" s="24"/>
      <c r="AA118" s="24"/>
      <c r="AB118" s="14"/>
      <c r="AC118" s="24"/>
      <c r="AD118" s="98"/>
      <c r="AE118" s="14"/>
      <c r="AF118" s="14"/>
      <c r="AG118" s="24"/>
    </row>
    <row r="119" spans="1:33" customFormat="1" ht="15.75">
      <c r="A119" s="153" t="s">
        <v>23</v>
      </c>
      <c r="B119" s="14"/>
      <c r="C119" s="88"/>
      <c r="D119" s="51"/>
      <c r="E119" s="51"/>
      <c r="F119" s="51"/>
      <c r="G119" s="15"/>
      <c r="H119" s="51"/>
      <c r="I119" s="51"/>
      <c r="J119" s="88"/>
      <c r="K119" s="88"/>
      <c r="L119" s="50"/>
      <c r="M119" s="33"/>
      <c r="N119" s="33"/>
      <c r="O119" s="50"/>
      <c r="P119" s="33"/>
      <c r="Q119" s="307"/>
      <c r="R119" s="15"/>
      <c r="S119" s="24"/>
      <c r="T119" s="418">
        <v>204</v>
      </c>
      <c r="U119" s="24"/>
      <c r="V119" s="24"/>
      <c r="W119" s="24"/>
      <c r="X119" s="24"/>
      <c r="Y119" s="13"/>
      <c r="Z119" s="24"/>
      <c r="AA119" s="24"/>
      <c r="AB119" s="14"/>
      <c r="AC119" s="24"/>
      <c r="AD119" s="98"/>
      <c r="AE119" s="14"/>
      <c r="AF119" s="14"/>
      <c r="AG119" s="24"/>
    </row>
    <row r="120" spans="1:33" customFormat="1" ht="12.75" customHeight="1">
      <c r="A120" s="155" t="s">
        <v>24</v>
      </c>
      <c r="B120" s="14"/>
      <c r="C120" s="88"/>
      <c r="D120" s="193"/>
      <c r="E120" s="193"/>
      <c r="F120" s="193"/>
      <c r="G120" s="15"/>
      <c r="H120" s="193"/>
      <c r="I120" s="193"/>
      <c r="J120" s="88"/>
      <c r="K120" s="88"/>
      <c r="L120" s="50"/>
      <c r="M120" s="33"/>
      <c r="N120" s="33"/>
      <c r="O120" s="50"/>
      <c r="P120" s="33"/>
      <c r="Q120" s="176"/>
      <c r="R120" s="15"/>
      <c r="S120" s="24"/>
      <c r="T120" s="30"/>
      <c r="U120" s="24"/>
      <c r="V120" s="24"/>
      <c r="W120" s="24"/>
      <c r="X120" s="24"/>
      <c r="Y120" s="13"/>
      <c r="Z120" s="24"/>
      <c r="AA120" s="24"/>
      <c r="AB120" s="14"/>
      <c r="AC120" s="24"/>
      <c r="AD120" s="98"/>
      <c r="AE120" s="14"/>
      <c r="AF120" s="14"/>
      <c r="AG120" s="24"/>
    </row>
    <row r="121" spans="1:33" customFormat="1" ht="15.75">
      <c r="A121" s="128" t="s">
        <v>25</v>
      </c>
      <c r="B121" s="14"/>
      <c r="C121" s="88"/>
      <c r="D121" s="202"/>
      <c r="E121" s="202"/>
      <c r="F121" s="202"/>
      <c r="G121" s="15"/>
      <c r="H121" s="202"/>
      <c r="I121" s="202"/>
      <c r="J121" s="88"/>
      <c r="K121" s="88"/>
      <c r="L121" s="50"/>
      <c r="M121" s="33"/>
      <c r="N121" s="33"/>
      <c r="O121" s="50"/>
      <c r="P121" s="33"/>
      <c r="Q121" s="32"/>
      <c r="R121" s="15"/>
      <c r="S121" s="24"/>
      <c r="T121" s="32">
        <v>43169</v>
      </c>
      <c r="U121" s="24"/>
      <c r="V121" s="24"/>
      <c r="W121" s="24"/>
      <c r="X121" s="24"/>
      <c r="Y121" s="13"/>
      <c r="Z121" s="24"/>
      <c r="AA121" s="24"/>
      <c r="AB121" s="14"/>
      <c r="AC121" s="24"/>
      <c r="AD121" s="98"/>
      <c r="AE121" s="14"/>
      <c r="AF121" s="14"/>
      <c r="AG121" s="24"/>
    </row>
    <row r="122" spans="1:33" customFormat="1" ht="15.75" thickBot="1">
      <c r="A122" s="146" t="s">
        <v>27</v>
      </c>
      <c r="B122" s="14"/>
      <c r="C122" s="209"/>
      <c r="D122" s="203"/>
      <c r="E122" s="203"/>
      <c r="F122" s="203"/>
      <c r="G122" s="400"/>
      <c r="H122" s="203"/>
      <c r="I122" s="203"/>
      <c r="J122" s="34"/>
      <c r="K122" s="34"/>
      <c r="L122" s="35"/>
      <c r="M122" s="35"/>
      <c r="N122" s="35"/>
      <c r="O122" s="35"/>
      <c r="P122" s="35"/>
      <c r="Q122" s="35"/>
      <c r="R122" s="34"/>
      <c r="S122" s="35"/>
      <c r="T122" s="31" t="s">
        <v>87</v>
      </c>
      <c r="U122" s="35"/>
      <c r="V122" s="14"/>
      <c r="W122" s="14"/>
      <c r="X122" s="14"/>
      <c r="Y122" s="13"/>
      <c r="Z122" s="14"/>
      <c r="AA122" s="35"/>
      <c r="AB122" s="14"/>
      <c r="AC122" s="24"/>
      <c r="AD122" s="99"/>
      <c r="AE122" s="14"/>
      <c r="AF122" s="14"/>
    </row>
    <row r="123" spans="1:33" customFormat="1" ht="15.75" customHeight="1" thickBot="1">
      <c r="A123" s="216" t="s">
        <v>36</v>
      </c>
      <c r="B123" s="37">
        <f t="shared" ref="B123:AC123" si="9">+B119+B105+B91+B77</f>
        <v>6396</v>
      </c>
      <c r="C123" s="36">
        <f t="shared" si="9"/>
        <v>0</v>
      </c>
      <c r="D123" s="36">
        <f t="shared" si="9"/>
        <v>0</v>
      </c>
      <c r="E123" s="36">
        <f t="shared" si="9"/>
        <v>0</v>
      </c>
      <c r="F123" s="36">
        <f t="shared" si="9"/>
        <v>0</v>
      </c>
      <c r="G123" s="36">
        <f t="shared" si="9"/>
        <v>0</v>
      </c>
      <c r="H123" s="36">
        <f t="shared" si="9"/>
        <v>0</v>
      </c>
      <c r="I123" s="36">
        <f t="shared" si="9"/>
        <v>0</v>
      </c>
      <c r="J123" s="36">
        <f t="shared" si="9"/>
        <v>0</v>
      </c>
      <c r="K123" s="37">
        <f t="shared" si="9"/>
        <v>0</v>
      </c>
      <c r="L123" s="37">
        <f t="shared" si="9"/>
        <v>0</v>
      </c>
      <c r="M123" s="37">
        <f t="shared" si="9"/>
        <v>0</v>
      </c>
      <c r="N123" s="37">
        <f t="shared" si="9"/>
        <v>1572</v>
      </c>
      <c r="O123" s="37">
        <f t="shared" si="9"/>
        <v>1896</v>
      </c>
      <c r="P123" s="37">
        <f t="shared" si="9"/>
        <v>1308</v>
      </c>
      <c r="Q123" s="37">
        <f t="shared" si="9"/>
        <v>1440</v>
      </c>
      <c r="R123" s="37">
        <f t="shared" si="9"/>
        <v>0</v>
      </c>
      <c r="S123" s="37">
        <f t="shared" si="9"/>
        <v>1848</v>
      </c>
      <c r="T123" s="37">
        <f t="shared" si="9"/>
        <v>840</v>
      </c>
      <c r="U123" s="37">
        <f t="shared" si="9"/>
        <v>1884</v>
      </c>
      <c r="V123" s="37">
        <f t="shared" si="9"/>
        <v>7116</v>
      </c>
      <c r="W123" s="37">
        <f t="shared" si="9"/>
        <v>0</v>
      </c>
      <c r="X123" s="37">
        <f t="shared" si="9"/>
        <v>0</v>
      </c>
      <c r="Y123" s="37">
        <f t="shared" si="9"/>
        <v>0</v>
      </c>
      <c r="Z123" s="37">
        <f t="shared" si="9"/>
        <v>0</v>
      </c>
      <c r="AA123" s="37">
        <f t="shared" si="9"/>
        <v>0</v>
      </c>
      <c r="AB123" s="37">
        <f t="shared" si="9"/>
        <v>0</v>
      </c>
      <c r="AC123" s="37">
        <f t="shared" si="9"/>
        <v>6288</v>
      </c>
      <c r="AD123" s="38"/>
      <c r="AE123" s="14"/>
      <c r="AF123" s="14"/>
    </row>
    <row r="124" spans="1:33" customFormat="1" ht="15.75" customHeight="1" thickTop="1" thickBot="1">
      <c r="A124" s="216" t="s">
        <v>37</v>
      </c>
      <c r="B124" s="40">
        <f t="shared" ref="B124" si="10">+B125*B6</f>
        <v>896</v>
      </c>
      <c r="C124" s="39">
        <f t="shared" ref="C124:K124" si="11">+C125*C6</f>
        <v>0</v>
      </c>
      <c r="D124" s="39">
        <f t="shared" si="11"/>
        <v>0</v>
      </c>
      <c r="E124" s="39">
        <f t="shared" si="11"/>
        <v>0</v>
      </c>
      <c r="F124" s="39">
        <f t="shared" si="11"/>
        <v>0</v>
      </c>
      <c r="G124" s="39">
        <f t="shared" si="11"/>
        <v>0</v>
      </c>
      <c r="H124" s="39">
        <f t="shared" si="11"/>
        <v>0</v>
      </c>
      <c r="I124" s="39">
        <f t="shared" si="11"/>
        <v>0</v>
      </c>
      <c r="J124" s="39">
        <f t="shared" si="11"/>
        <v>0</v>
      </c>
      <c r="K124" s="39">
        <f t="shared" si="11"/>
        <v>0</v>
      </c>
      <c r="L124" s="40">
        <f t="shared" ref="L124:AC124" si="12">+L125*L6</f>
        <v>896</v>
      </c>
      <c r="M124" s="40">
        <f t="shared" si="12"/>
        <v>1344</v>
      </c>
      <c r="N124" s="40">
        <f t="shared" si="12"/>
        <v>1792</v>
      </c>
      <c r="O124" s="40">
        <f t="shared" si="12"/>
        <v>1792</v>
      </c>
      <c r="P124" s="40">
        <f t="shared" si="12"/>
        <v>1792</v>
      </c>
      <c r="Q124" s="40">
        <f t="shared" si="12"/>
        <v>1792</v>
      </c>
      <c r="R124" s="39">
        <f t="shared" si="12"/>
        <v>0</v>
      </c>
      <c r="S124" s="40">
        <f t="shared" si="12"/>
        <v>1792</v>
      </c>
      <c r="T124" s="40">
        <f t="shared" si="12"/>
        <v>1440</v>
      </c>
      <c r="U124" s="40">
        <f t="shared" si="12"/>
        <v>1280</v>
      </c>
      <c r="V124" s="40">
        <f t="shared" si="12"/>
        <v>1280</v>
      </c>
      <c r="W124" s="40">
        <f t="shared" si="12"/>
        <v>1280</v>
      </c>
      <c r="X124" s="40">
        <f t="shared" si="12"/>
        <v>1280</v>
      </c>
      <c r="Y124" s="39">
        <f t="shared" si="12"/>
        <v>0</v>
      </c>
      <c r="Z124" s="40">
        <f t="shared" si="12"/>
        <v>1280</v>
      </c>
      <c r="AA124" s="40">
        <f t="shared" si="12"/>
        <v>1280</v>
      </c>
      <c r="AB124" s="40">
        <f t="shared" si="12"/>
        <v>1280</v>
      </c>
      <c r="AC124" s="40">
        <f t="shared" si="12"/>
        <v>1280</v>
      </c>
      <c r="AD124" s="41">
        <f>SUM(B124:AC124)</f>
        <v>23776</v>
      </c>
      <c r="AE124" s="14"/>
      <c r="AF124" s="14"/>
    </row>
    <row r="125" spans="1:33" customFormat="1" ht="15.75" customHeight="1" thickTop="1" thickBot="1">
      <c r="A125" s="216" t="s">
        <v>38</v>
      </c>
      <c r="B125" s="145">
        <v>224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145">
        <v>224</v>
      </c>
      <c r="M125" s="145">
        <v>224</v>
      </c>
      <c r="N125" s="145">
        <v>224</v>
      </c>
      <c r="O125" s="145">
        <v>224</v>
      </c>
      <c r="P125" s="145">
        <v>224</v>
      </c>
      <c r="Q125" s="145">
        <v>224</v>
      </c>
      <c r="R125" s="42"/>
      <c r="S125" s="145">
        <v>224</v>
      </c>
      <c r="T125" s="145">
        <v>180</v>
      </c>
      <c r="U125" s="145">
        <v>160</v>
      </c>
      <c r="V125" s="145">
        <v>160</v>
      </c>
      <c r="W125" s="145">
        <v>160</v>
      </c>
      <c r="X125" s="145">
        <v>160</v>
      </c>
      <c r="Y125" s="42"/>
      <c r="Z125" s="145">
        <v>160</v>
      </c>
      <c r="AA125" s="145">
        <v>160</v>
      </c>
      <c r="AB125" s="145">
        <v>160</v>
      </c>
      <c r="AC125" s="145">
        <v>160</v>
      </c>
      <c r="AD125" s="44"/>
      <c r="AE125" s="14"/>
      <c r="AF125" s="14"/>
    </row>
    <row r="126" spans="1:33" customFormat="1" ht="15.75" customHeight="1" thickTop="1" thickBot="1">
      <c r="A126" s="217">
        <f>+'T01'!AF125</f>
        <v>0</v>
      </c>
      <c r="B126" s="462">
        <f>IF(A126+B123-B124&lt;0,0,A126+B123-B124)-2000</f>
        <v>3500</v>
      </c>
      <c r="C126" s="39">
        <f t="shared" ref="C126:AC126" si="13">IF(B126+C123-C124&lt;0,0,B126+C123-C124)</f>
        <v>3500</v>
      </c>
      <c r="D126" s="39">
        <f t="shared" si="13"/>
        <v>3500</v>
      </c>
      <c r="E126" s="39">
        <f t="shared" si="13"/>
        <v>3500</v>
      </c>
      <c r="F126" s="39">
        <f t="shared" si="13"/>
        <v>3500</v>
      </c>
      <c r="G126" s="39">
        <f t="shared" si="13"/>
        <v>3500</v>
      </c>
      <c r="H126" s="39">
        <f t="shared" si="13"/>
        <v>3500</v>
      </c>
      <c r="I126" s="39">
        <f t="shared" si="13"/>
        <v>3500</v>
      </c>
      <c r="J126" s="39">
        <f t="shared" si="13"/>
        <v>3500</v>
      </c>
      <c r="K126" s="39">
        <f t="shared" si="13"/>
        <v>3500</v>
      </c>
      <c r="L126" s="40">
        <f t="shared" si="13"/>
        <v>2604</v>
      </c>
      <c r="M126" s="40">
        <f t="shared" si="13"/>
        <v>1260</v>
      </c>
      <c r="N126" s="40">
        <f t="shared" si="13"/>
        <v>1040</v>
      </c>
      <c r="O126" s="40">
        <f t="shared" si="13"/>
        <v>1144</v>
      </c>
      <c r="P126" s="40">
        <f t="shared" si="13"/>
        <v>660</v>
      </c>
      <c r="Q126" s="40">
        <f t="shared" si="13"/>
        <v>308</v>
      </c>
      <c r="R126" s="39">
        <f t="shared" si="13"/>
        <v>308</v>
      </c>
      <c r="S126" s="40">
        <f t="shared" si="13"/>
        <v>364</v>
      </c>
      <c r="T126" s="40">
        <f t="shared" si="13"/>
        <v>0</v>
      </c>
      <c r="U126" s="40">
        <f t="shared" si="13"/>
        <v>604</v>
      </c>
      <c r="V126" s="40">
        <f t="shared" si="13"/>
        <v>6440</v>
      </c>
      <c r="W126" s="40">
        <f t="shared" si="13"/>
        <v>5160</v>
      </c>
      <c r="X126" s="40">
        <f t="shared" si="13"/>
        <v>3880</v>
      </c>
      <c r="Y126" s="39">
        <f t="shared" si="13"/>
        <v>3880</v>
      </c>
      <c r="Z126" s="40">
        <f t="shared" si="13"/>
        <v>2600</v>
      </c>
      <c r="AA126" s="40">
        <f t="shared" si="13"/>
        <v>1320</v>
      </c>
      <c r="AB126" s="40">
        <f t="shared" si="13"/>
        <v>40</v>
      </c>
      <c r="AC126" s="40">
        <f t="shared" si="13"/>
        <v>5048</v>
      </c>
      <c r="AD126" s="47" t="e">
        <f>IF(#REF!+AD123-AD124&lt;0,0,#REF!+AD123-AD124)</f>
        <v>#REF!</v>
      </c>
      <c r="AE126" s="14"/>
      <c r="AF126" s="14"/>
    </row>
    <row r="127" spans="1:33" customFormat="1" ht="15.75">
      <c r="A127" s="146" t="s">
        <v>10</v>
      </c>
      <c r="B127" s="24"/>
      <c r="C127" s="55"/>
      <c r="D127" s="199"/>
      <c r="E127" s="55"/>
      <c r="F127" s="55"/>
      <c r="G127" s="55"/>
      <c r="H127" s="55"/>
      <c r="I127" s="206"/>
      <c r="J127" s="206"/>
      <c r="K127" s="206"/>
      <c r="L127" s="24"/>
      <c r="M127" s="24"/>
      <c r="N127" s="383" t="s">
        <v>473</v>
      </c>
      <c r="O127" s="24"/>
      <c r="P127" s="24"/>
      <c r="Q127" s="24"/>
      <c r="R127" s="199"/>
      <c r="S127" s="24"/>
      <c r="T127" s="24"/>
      <c r="U127" s="24"/>
      <c r="V127" s="113"/>
      <c r="W127" s="418"/>
      <c r="X127" s="51" t="s">
        <v>700</v>
      </c>
      <c r="Y127" s="199"/>
      <c r="Z127" s="51" t="s">
        <v>700</v>
      </c>
      <c r="AA127" s="418"/>
      <c r="AB127" s="51" t="s">
        <v>700</v>
      </c>
      <c r="AC127" s="24"/>
      <c r="AD127" s="97"/>
      <c r="AE127" s="14"/>
      <c r="AF127" s="14"/>
    </row>
    <row r="128" spans="1:33" customFormat="1" ht="15.75">
      <c r="A128" s="147" t="s">
        <v>11</v>
      </c>
      <c r="B128" s="24"/>
      <c r="C128" s="55"/>
      <c r="D128" s="52"/>
      <c r="E128" s="55"/>
      <c r="F128" s="55"/>
      <c r="G128" s="55"/>
      <c r="H128" s="55"/>
      <c r="I128" s="88"/>
      <c r="J128" s="88"/>
      <c r="K128" s="88"/>
      <c r="L128" s="24"/>
      <c r="M128" s="24"/>
      <c r="N128" s="93" t="s">
        <v>656</v>
      </c>
      <c r="O128" s="24"/>
      <c r="P128" s="24"/>
      <c r="Q128" s="24"/>
      <c r="R128" s="52"/>
      <c r="S128" s="24"/>
      <c r="T128" s="24"/>
      <c r="U128" s="24"/>
      <c r="V128" s="50"/>
      <c r="W128" s="93"/>
      <c r="X128" s="52" t="s">
        <v>778</v>
      </c>
      <c r="Y128" s="52"/>
      <c r="Z128" s="52" t="s">
        <v>779</v>
      </c>
      <c r="AA128" s="24"/>
      <c r="AB128" s="52" t="s">
        <v>780</v>
      </c>
      <c r="AC128" s="24"/>
      <c r="AD128" s="98"/>
      <c r="AE128" s="14"/>
      <c r="AF128" s="14"/>
    </row>
    <row r="129" spans="1:32" customFormat="1" ht="15.75">
      <c r="A129" s="148" t="s">
        <v>12</v>
      </c>
      <c r="B129" s="24"/>
      <c r="C129" s="55"/>
      <c r="D129" s="127"/>
      <c r="E129" s="55"/>
      <c r="F129" s="55"/>
      <c r="G129" s="55"/>
      <c r="H129" s="55"/>
      <c r="I129" s="88"/>
      <c r="J129" s="88"/>
      <c r="K129" s="88"/>
      <c r="L129" s="24"/>
      <c r="M129" s="24"/>
      <c r="N129" s="383" t="str">
        <f>VLOOKUP(N135,'[3]2018-11-16'!$A:$D,4,0)</f>
        <v>基本型體</v>
      </c>
      <c r="O129" s="24"/>
      <c r="P129" s="24"/>
      <c r="Q129" s="24"/>
      <c r="R129" s="127"/>
      <c r="S129" s="24"/>
      <c r="T129" s="24"/>
      <c r="U129" s="24"/>
      <c r="V129" s="50"/>
      <c r="W129" s="418"/>
      <c r="X129" s="51"/>
      <c r="Y129" s="127"/>
      <c r="Z129" s="51"/>
      <c r="AA129" s="24"/>
      <c r="AB129" s="51"/>
      <c r="AC129" s="24"/>
      <c r="AD129" s="98"/>
      <c r="AE129" s="14"/>
      <c r="AF129" s="14"/>
    </row>
    <row r="130" spans="1:32" customFormat="1" ht="15.75">
      <c r="A130" s="149" t="s">
        <v>13</v>
      </c>
      <c r="B130" s="24"/>
      <c r="C130" s="55"/>
      <c r="D130" s="53"/>
      <c r="E130" s="55"/>
      <c r="F130" s="55"/>
      <c r="G130" s="55"/>
      <c r="H130" s="55"/>
      <c r="I130" s="88"/>
      <c r="J130" s="88"/>
      <c r="K130" s="88"/>
      <c r="L130" s="24"/>
      <c r="M130" s="24"/>
      <c r="N130" s="19" t="str">
        <f>VLOOKUP(N128,'[4]2019-01'!$A$3:$G$2159,7,0)</f>
        <v>01/11</v>
      </c>
      <c r="O130" s="24"/>
      <c r="P130" s="24"/>
      <c r="Q130" s="24"/>
      <c r="R130" s="53"/>
      <c r="S130" s="24"/>
      <c r="T130" s="24"/>
      <c r="U130" s="24"/>
      <c r="V130" s="50"/>
      <c r="W130" s="19"/>
      <c r="X130" s="53" t="s">
        <v>1001</v>
      </c>
      <c r="Y130" s="53"/>
      <c r="Z130" s="53" t="s">
        <v>1001</v>
      </c>
      <c r="AA130" s="24"/>
      <c r="AB130" s="53" t="s">
        <v>1001</v>
      </c>
      <c r="AC130" s="24"/>
      <c r="AD130" s="98"/>
      <c r="AE130" s="14"/>
      <c r="AF130" s="14"/>
    </row>
    <row r="131" spans="1:32" customFormat="1" ht="15.75">
      <c r="A131" s="150" t="s">
        <v>15</v>
      </c>
      <c r="B131" s="24"/>
      <c r="C131" s="55"/>
      <c r="D131" s="51"/>
      <c r="E131" s="55"/>
      <c r="F131" s="55"/>
      <c r="G131" s="55"/>
      <c r="H131" s="55"/>
      <c r="I131" s="88"/>
      <c r="J131" s="88"/>
      <c r="K131" s="88"/>
      <c r="L131" s="24"/>
      <c r="M131" s="24"/>
      <c r="N131" s="383" t="s">
        <v>49</v>
      </c>
      <c r="O131" s="24"/>
      <c r="P131" s="24"/>
      <c r="Q131" s="24"/>
      <c r="R131" s="51"/>
      <c r="S131" s="24"/>
      <c r="T131" s="24"/>
      <c r="U131" s="24"/>
      <c r="V131" s="50"/>
      <c r="W131" s="418"/>
      <c r="X131" s="51" t="s">
        <v>65</v>
      </c>
      <c r="Y131" s="51"/>
      <c r="Z131" s="51" t="s">
        <v>65</v>
      </c>
      <c r="AA131" s="24"/>
      <c r="AB131" s="51" t="s">
        <v>65</v>
      </c>
      <c r="AC131" s="24"/>
      <c r="AD131" s="98"/>
      <c r="AE131" s="14"/>
      <c r="AF131" s="14"/>
    </row>
    <row r="132" spans="1:32" customFormat="1" ht="15.75">
      <c r="A132" s="151" t="s">
        <v>17</v>
      </c>
      <c r="B132" s="24"/>
      <c r="C132" s="55"/>
      <c r="D132" s="110"/>
      <c r="E132" s="55"/>
      <c r="F132" s="55"/>
      <c r="G132" s="55"/>
      <c r="H132" s="55"/>
      <c r="I132" s="88"/>
      <c r="J132" s="88"/>
      <c r="K132" s="88"/>
      <c r="L132" s="24"/>
      <c r="M132" s="24"/>
      <c r="N132" s="391" t="s">
        <v>493</v>
      </c>
      <c r="O132" s="24"/>
      <c r="P132" s="24"/>
      <c r="Q132" s="24"/>
      <c r="R132" s="110"/>
      <c r="S132" s="24"/>
      <c r="T132" s="24"/>
      <c r="U132" s="24"/>
      <c r="V132" s="50"/>
      <c r="W132" s="391"/>
      <c r="X132" s="492" t="s">
        <v>1000</v>
      </c>
      <c r="Y132" s="110"/>
      <c r="Z132" s="492" t="s">
        <v>1000</v>
      </c>
      <c r="AA132" s="24"/>
      <c r="AB132" s="492" t="s">
        <v>1000</v>
      </c>
      <c r="AC132" s="24"/>
      <c r="AD132" s="98"/>
      <c r="AE132" s="14"/>
      <c r="AF132" s="14"/>
    </row>
    <row r="133" spans="1:32" customFormat="1" ht="15.75">
      <c r="A133" s="152" t="s">
        <v>18</v>
      </c>
      <c r="B133" s="24"/>
      <c r="C133" s="55"/>
      <c r="D133" s="54"/>
      <c r="E133" s="55"/>
      <c r="F133" s="55"/>
      <c r="G133" s="55"/>
      <c r="H133" s="55"/>
      <c r="I133" s="88"/>
      <c r="J133" s="88"/>
      <c r="K133" s="88"/>
      <c r="L133" s="24"/>
      <c r="M133" s="24"/>
      <c r="N133" s="23"/>
      <c r="O133" s="24"/>
      <c r="P133" s="24"/>
      <c r="Q133" s="24"/>
      <c r="R133" s="54"/>
      <c r="S133" s="24"/>
      <c r="T133" s="24"/>
      <c r="U133" s="24"/>
      <c r="V133" s="50"/>
      <c r="W133" s="23"/>
      <c r="X133" s="54"/>
      <c r="Y133" s="54"/>
      <c r="Z133" s="54"/>
      <c r="AA133" s="24"/>
      <c r="AB133" s="54"/>
      <c r="AC133" s="24"/>
      <c r="AD133" s="98"/>
      <c r="AE133" s="14"/>
      <c r="AF133" s="14"/>
    </row>
    <row r="134" spans="1:32" customFormat="1">
      <c r="A134" s="146" t="s">
        <v>20</v>
      </c>
      <c r="B134" s="24"/>
      <c r="C134" s="55"/>
      <c r="D134" s="193"/>
      <c r="E134" s="55"/>
      <c r="F134" s="55"/>
      <c r="G134" s="55"/>
      <c r="H134" s="55"/>
      <c r="I134" s="88"/>
      <c r="J134" s="88"/>
      <c r="K134" s="88"/>
      <c r="L134" s="24"/>
      <c r="M134" s="24"/>
      <c r="N134" s="24">
        <v>1</v>
      </c>
      <c r="O134" s="24"/>
      <c r="P134" s="24"/>
      <c r="Q134" s="24"/>
      <c r="R134" s="193"/>
      <c r="S134" s="24"/>
      <c r="T134" s="24"/>
      <c r="U134" s="24"/>
      <c r="V134" s="50"/>
      <c r="W134" s="24"/>
      <c r="X134" s="55"/>
      <c r="Y134" s="193"/>
      <c r="Z134" s="55"/>
      <c r="AA134" s="24"/>
      <c r="AB134" s="55"/>
      <c r="AC134" s="24"/>
      <c r="AD134" s="98"/>
      <c r="AE134" s="14"/>
      <c r="AF134" s="14"/>
    </row>
    <row r="135" spans="1:32" customFormat="1" ht="15.75">
      <c r="A135" s="153" t="s">
        <v>21</v>
      </c>
      <c r="B135" s="24"/>
      <c r="C135" s="55"/>
      <c r="D135" s="56"/>
      <c r="E135" s="55"/>
      <c r="F135" s="55"/>
      <c r="G135" s="55"/>
      <c r="H135" s="55"/>
      <c r="I135" s="88"/>
      <c r="J135" s="88"/>
      <c r="K135" s="88"/>
      <c r="L135" s="24"/>
      <c r="M135" s="24"/>
      <c r="N135" s="383" t="s">
        <v>506</v>
      </c>
      <c r="O135" s="24"/>
      <c r="P135" s="24"/>
      <c r="Q135" s="24"/>
      <c r="R135" s="56"/>
      <c r="S135" s="24"/>
      <c r="T135" s="24"/>
      <c r="U135" s="24"/>
      <c r="V135" s="50"/>
      <c r="W135" s="418"/>
      <c r="X135" s="51" t="s">
        <v>533</v>
      </c>
      <c r="Y135" s="56"/>
      <c r="Z135" s="51" t="s">
        <v>533</v>
      </c>
      <c r="AA135" s="24"/>
      <c r="AB135" s="51" t="s">
        <v>533</v>
      </c>
      <c r="AC135" s="24"/>
      <c r="AD135" s="98"/>
      <c r="AE135" s="14"/>
      <c r="AF135" s="14"/>
    </row>
    <row r="136" spans="1:32" customFormat="1">
      <c r="A136" s="154" t="s">
        <v>22</v>
      </c>
      <c r="B136" s="24"/>
      <c r="C136" s="55"/>
      <c r="D136" s="57"/>
      <c r="E136" s="55"/>
      <c r="F136" s="55"/>
      <c r="G136" s="55"/>
      <c r="H136" s="55"/>
      <c r="I136" s="88"/>
      <c r="J136" s="88"/>
      <c r="K136" s="88"/>
      <c r="L136" s="24"/>
      <c r="M136" s="24"/>
      <c r="N136" s="27"/>
      <c r="O136" s="24"/>
      <c r="P136" s="24"/>
      <c r="Q136" s="24"/>
      <c r="R136" s="57"/>
      <c r="S136" s="24"/>
      <c r="T136" s="24"/>
      <c r="U136" s="24"/>
      <c r="V136" s="50"/>
      <c r="W136" s="27"/>
      <c r="X136" s="57"/>
      <c r="Y136" s="57"/>
      <c r="Z136" s="57"/>
      <c r="AA136" s="24"/>
      <c r="AB136" s="57"/>
      <c r="AC136" s="24"/>
      <c r="AD136" s="98"/>
      <c r="AE136" s="14"/>
      <c r="AF136" s="14"/>
    </row>
    <row r="137" spans="1:32" customFormat="1" ht="15.75">
      <c r="A137" s="153" t="s">
        <v>23</v>
      </c>
      <c r="B137" s="24"/>
      <c r="C137" s="55"/>
      <c r="D137" s="51"/>
      <c r="E137" s="55"/>
      <c r="F137" s="55"/>
      <c r="G137" s="55"/>
      <c r="H137" s="55"/>
      <c r="I137" s="88"/>
      <c r="J137" s="88"/>
      <c r="K137" s="88"/>
      <c r="L137" s="24"/>
      <c r="M137" s="24"/>
      <c r="N137" s="383">
        <v>15480</v>
      </c>
      <c r="O137" s="24"/>
      <c r="P137" s="24"/>
      <c r="Q137" s="24"/>
      <c r="R137" s="51"/>
      <c r="S137" s="24"/>
      <c r="T137" s="24"/>
      <c r="U137" s="24"/>
      <c r="V137" s="50"/>
      <c r="W137" s="418"/>
      <c r="X137" s="51">
        <v>550</v>
      </c>
      <c r="Y137" s="51"/>
      <c r="Z137" s="51">
        <v>610</v>
      </c>
      <c r="AA137" s="24"/>
      <c r="AB137" s="51">
        <v>250</v>
      </c>
      <c r="AC137" s="24"/>
      <c r="AD137" s="98"/>
      <c r="AE137" s="14"/>
      <c r="AF137" s="14"/>
    </row>
    <row r="138" spans="1:32" customFormat="1" ht="12.75" customHeight="1">
      <c r="A138" s="155" t="s">
        <v>24</v>
      </c>
      <c r="B138" s="24"/>
      <c r="C138" s="55"/>
      <c r="D138" s="111"/>
      <c r="E138" s="55"/>
      <c r="F138" s="55"/>
      <c r="G138" s="55"/>
      <c r="H138" s="55"/>
      <c r="I138" s="88"/>
      <c r="J138" s="88"/>
      <c r="K138" s="88"/>
      <c r="L138" s="24"/>
      <c r="M138" s="24"/>
      <c r="N138" s="24"/>
      <c r="O138" s="24"/>
      <c r="P138" s="24"/>
      <c r="Q138" s="24"/>
      <c r="R138" s="111"/>
      <c r="S138" s="24"/>
      <c r="T138" s="24"/>
      <c r="U138" s="24"/>
      <c r="V138" s="50"/>
      <c r="W138" s="24"/>
      <c r="X138" s="55"/>
      <c r="Y138" s="111"/>
      <c r="Z138" s="55"/>
      <c r="AA138" s="24"/>
      <c r="AB138" s="55"/>
      <c r="AC138" s="24"/>
      <c r="AD138" s="98"/>
      <c r="AE138" s="14"/>
      <c r="AF138" s="14">
        <f>396+2736</f>
        <v>3132</v>
      </c>
    </row>
    <row r="139" spans="1:32" customFormat="1" ht="15.75">
      <c r="A139" s="128" t="s">
        <v>25</v>
      </c>
      <c r="B139" s="24"/>
      <c r="C139" s="55"/>
      <c r="D139" s="202"/>
      <c r="E139" s="55"/>
      <c r="F139" s="55"/>
      <c r="G139" s="55"/>
      <c r="H139" s="55"/>
      <c r="I139" s="88"/>
      <c r="J139" s="88"/>
      <c r="K139" s="88"/>
      <c r="L139" s="24"/>
      <c r="M139" s="24"/>
      <c r="N139" s="32">
        <v>43596</v>
      </c>
      <c r="O139" s="24"/>
      <c r="P139" s="24"/>
      <c r="Q139" s="24"/>
      <c r="R139" s="202"/>
      <c r="S139" s="24"/>
      <c r="T139" s="24"/>
      <c r="U139" s="24"/>
      <c r="V139" s="50"/>
      <c r="W139" s="32"/>
      <c r="X139" s="491">
        <v>43532</v>
      </c>
      <c r="Y139" s="202"/>
      <c r="Z139" s="491">
        <v>43532</v>
      </c>
      <c r="AA139" s="24"/>
      <c r="AB139" s="491">
        <v>43532</v>
      </c>
      <c r="AC139" s="24"/>
      <c r="AD139" s="98"/>
      <c r="AE139" s="14"/>
      <c r="AF139" s="14"/>
    </row>
    <row r="140" spans="1:32" customFormat="1" ht="15.75">
      <c r="A140" s="146" t="s">
        <v>27</v>
      </c>
      <c r="C140" s="55"/>
      <c r="D140" s="193"/>
      <c r="E140" s="55"/>
      <c r="F140" s="55"/>
      <c r="G140" s="55"/>
      <c r="H140" s="55"/>
      <c r="I140" s="88"/>
      <c r="J140" s="88"/>
      <c r="K140" s="88"/>
      <c r="L140" s="24"/>
      <c r="M140" s="24"/>
      <c r="N140" s="31" t="s">
        <v>28</v>
      </c>
      <c r="O140" s="24"/>
      <c r="P140" s="24"/>
      <c r="Q140" s="91"/>
      <c r="R140" s="193"/>
      <c r="S140" s="24"/>
      <c r="T140" s="24"/>
      <c r="U140" s="24"/>
      <c r="V140" s="50"/>
      <c r="W140" s="31"/>
      <c r="X140" s="58" t="s">
        <v>28</v>
      </c>
      <c r="Y140" s="193"/>
      <c r="Z140" s="58" t="s">
        <v>28</v>
      </c>
      <c r="AA140" s="24"/>
      <c r="AB140" s="58" t="s">
        <v>28</v>
      </c>
      <c r="AC140" s="24"/>
      <c r="AD140" s="98"/>
      <c r="AE140" s="14"/>
      <c r="AF140" s="14"/>
    </row>
    <row r="141" spans="1:32" customFormat="1" ht="15.75">
      <c r="A141" s="146" t="s">
        <v>10</v>
      </c>
      <c r="B141" s="24"/>
      <c r="C141" s="55"/>
      <c r="D141" s="51"/>
      <c r="E141" s="55"/>
      <c r="F141" s="55"/>
      <c r="G141" s="55"/>
      <c r="H141" s="57"/>
      <c r="I141" s="88"/>
      <c r="J141" s="88"/>
      <c r="K141" s="88"/>
      <c r="L141" s="24"/>
      <c r="M141" s="24"/>
      <c r="N141" s="24"/>
      <c r="O141" s="24"/>
      <c r="P141" s="24"/>
      <c r="Q141" s="317"/>
      <c r="R141" s="51"/>
      <c r="S141" s="307"/>
      <c r="T141" s="50"/>
      <c r="U141" s="24"/>
      <c r="V141" s="50"/>
      <c r="W141" s="24"/>
      <c r="X141" s="51" t="s">
        <v>700</v>
      </c>
      <c r="Y141" s="88"/>
      <c r="Z141" s="51" t="s">
        <v>700</v>
      </c>
      <c r="AA141" s="33"/>
      <c r="AB141" s="51" t="s">
        <v>700</v>
      </c>
      <c r="AC141" s="24"/>
      <c r="AD141" s="98"/>
      <c r="AE141" s="14"/>
      <c r="AF141" s="14"/>
    </row>
    <row r="142" spans="1:32" customFormat="1" ht="15.75">
      <c r="A142" s="147" t="s">
        <v>11</v>
      </c>
      <c r="B142" s="24"/>
      <c r="C142" s="55"/>
      <c r="D142" s="52"/>
      <c r="E142" s="55"/>
      <c r="F142" s="55"/>
      <c r="G142" s="55"/>
      <c r="H142" s="57"/>
      <c r="I142" s="88"/>
      <c r="J142" s="88"/>
      <c r="K142" s="88"/>
      <c r="L142" s="24"/>
      <c r="M142" s="24"/>
      <c r="N142" s="24"/>
      <c r="O142" s="24"/>
      <c r="P142" s="24"/>
      <c r="Q142" s="24"/>
      <c r="R142" s="52"/>
      <c r="S142" s="93"/>
      <c r="T142" s="50"/>
      <c r="U142" s="24"/>
      <c r="V142" s="50"/>
      <c r="W142" s="24"/>
      <c r="X142" s="52" t="s">
        <v>777</v>
      </c>
      <c r="Y142" s="88"/>
      <c r="Z142" s="52" t="s">
        <v>532</v>
      </c>
      <c r="AA142" s="33"/>
      <c r="AB142" s="52" t="s">
        <v>539</v>
      </c>
      <c r="AC142" s="24"/>
      <c r="AD142" s="98"/>
      <c r="AE142" s="14"/>
      <c r="AF142" s="14"/>
    </row>
    <row r="143" spans="1:32" customFormat="1" ht="15.75">
      <c r="A143" s="148" t="s">
        <v>12</v>
      </c>
      <c r="B143" s="24"/>
      <c r="C143" s="55"/>
      <c r="D143" s="127"/>
      <c r="E143" s="55"/>
      <c r="F143" s="55"/>
      <c r="G143" s="55"/>
      <c r="H143" s="57"/>
      <c r="I143" s="88"/>
      <c r="J143" s="88"/>
      <c r="K143" s="88"/>
      <c r="L143" s="24"/>
      <c r="M143" s="24"/>
      <c r="N143" s="24"/>
      <c r="O143" s="24"/>
      <c r="P143" s="24"/>
      <c r="Q143" s="24"/>
      <c r="R143" s="127"/>
      <c r="S143" s="49"/>
      <c r="T143" s="50"/>
      <c r="U143" s="24"/>
      <c r="V143" s="50"/>
      <c r="W143" s="24"/>
      <c r="X143" s="51"/>
      <c r="Y143" s="88"/>
      <c r="Z143" s="51"/>
      <c r="AA143" s="33"/>
      <c r="AB143" s="51"/>
      <c r="AC143" s="24"/>
      <c r="AD143" s="98"/>
      <c r="AE143" s="14"/>
      <c r="AF143" s="14"/>
    </row>
    <row r="144" spans="1:32" customFormat="1" ht="15.75">
      <c r="A144" s="149" t="s">
        <v>13</v>
      </c>
      <c r="B144" s="24"/>
      <c r="C144" s="55"/>
      <c r="D144" s="53"/>
      <c r="E144" s="55"/>
      <c r="F144" s="55"/>
      <c r="G144" s="55"/>
      <c r="H144" s="57"/>
      <c r="I144" s="88"/>
      <c r="J144" s="88"/>
      <c r="K144" s="88"/>
      <c r="L144" s="24"/>
      <c r="M144" s="24"/>
      <c r="N144" s="24"/>
      <c r="O144" s="24"/>
      <c r="P144" s="24"/>
      <c r="Q144" s="24"/>
      <c r="R144" s="53"/>
      <c r="S144" s="19"/>
      <c r="T144" s="50"/>
      <c r="U144" s="24"/>
      <c r="V144" s="50"/>
      <c r="W144" s="24"/>
      <c r="X144" s="53" t="s">
        <v>1001</v>
      </c>
      <c r="Y144" s="88"/>
      <c r="Z144" s="53" t="s">
        <v>1001</v>
      </c>
      <c r="AA144" s="33"/>
      <c r="AB144" s="53" t="s">
        <v>1001</v>
      </c>
      <c r="AC144" s="24"/>
      <c r="AD144" s="98"/>
      <c r="AE144" s="14"/>
      <c r="AF144" s="14"/>
    </row>
    <row r="145" spans="1:32" customFormat="1" ht="15.75">
      <c r="A145" s="150" t="s">
        <v>15</v>
      </c>
      <c r="B145" s="24"/>
      <c r="C145" s="55"/>
      <c r="D145" s="51"/>
      <c r="E145" s="55"/>
      <c r="F145" s="55"/>
      <c r="G145" s="55"/>
      <c r="H145" s="57"/>
      <c r="I145" s="88"/>
      <c r="J145" s="88"/>
      <c r="K145" s="88"/>
      <c r="L145" s="24"/>
      <c r="M145" s="24"/>
      <c r="N145" s="24"/>
      <c r="O145" s="24"/>
      <c r="P145" s="24"/>
      <c r="Q145" s="24"/>
      <c r="R145" s="51"/>
      <c r="S145" s="307"/>
      <c r="T145" s="50"/>
      <c r="U145" s="24"/>
      <c r="V145" s="50"/>
      <c r="W145" s="24"/>
      <c r="X145" s="51" t="s">
        <v>65</v>
      </c>
      <c r="Y145" s="88"/>
      <c r="Z145" s="51" t="s">
        <v>65</v>
      </c>
      <c r="AA145" s="33"/>
      <c r="AB145" s="51" t="s">
        <v>65</v>
      </c>
      <c r="AC145" s="24"/>
      <c r="AD145" s="98"/>
      <c r="AE145" s="14"/>
      <c r="AF145" s="14"/>
    </row>
    <row r="146" spans="1:32" customFormat="1" ht="15.75">
      <c r="A146" s="151" t="s">
        <v>17</v>
      </c>
      <c r="B146" s="24"/>
      <c r="C146" s="55"/>
      <c r="D146" s="110"/>
      <c r="E146" s="55"/>
      <c r="F146" s="55"/>
      <c r="G146" s="55"/>
      <c r="H146" s="57"/>
      <c r="I146" s="88"/>
      <c r="J146" s="88"/>
      <c r="K146" s="88"/>
      <c r="L146" s="24"/>
      <c r="M146" s="24"/>
      <c r="N146" s="24"/>
      <c r="O146" s="24"/>
      <c r="P146" s="24"/>
      <c r="Q146" s="24"/>
      <c r="R146" s="110"/>
      <c r="S146" s="100"/>
      <c r="T146" s="50"/>
      <c r="U146" s="24"/>
      <c r="V146" s="50"/>
      <c r="W146" s="24"/>
      <c r="X146" s="492" t="s">
        <v>1000</v>
      </c>
      <c r="Y146" s="88"/>
      <c r="Z146" s="492" t="s">
        <v>1000</v>
      </c>
      <c r="AA146" s="33"/>
      <c r="AB146" s="492" t="s">
        <v>1000</v>
      </c>
      <c r="AC146" s="24"/>
      <c r="AD146" s="98"/>
      <c r="AE146" s="14"/>
      <c r="AF146" s="14"/>
    </row>
    <row r="147" spans="1:32" customFormat="1" ht="15.75">
      <c r="A147" s="152" t="s">
        <v>18</v>
      </c>
      <c r="B147" s="24"/>
      <c r="C147" s="55"/>
      <c r="D147" s="54"/>
      <c r="E147" s="55"/>
      <c r="F147" s="55"/>
      <c r="G147" s="55"/>
      <c r="H147" s="57"/>
      <c r="I147" s="88"/>
      <c r="J147" s="88"/>
      <c r="K147" s="88"/>
      <c r="L147" s="24"/>
      <c r="M147" s="24"/>
      <c r="N147" s="24"/>
      <c r="O147" s="24"/>
      <c r="P147" s="24"/>
      <c r="Q147" s="24"/>
      <c r="R147" s="54"/>
      <c r="S147" s="23"/>
      <c r="T147" s="50"/>
      <c r="U147" s="24"/>
      <c r="V147" s="50"/>
      <c r="W147" s="24"/>
      <c r="X147" s="54"/>
      <c r="Y147" s="88"/>
      <c r="Z147" s="54"/>
      <c r="AA147" s="33"/>
      <c r="AB147" s="54"/>
      <c r="AC147" s="24"/>
      <c r="AD147" s="98"/>
      <c r="AE147" s="14"/>
      <c r="AF147" s="14"/>
    </row>
    <row r="148" spans="1:32" customFormat="1">
      <c r="A148" s="146" t="s">
        <v>20</v>
      </c>
      <c r="B148" s="24"/>
      <c r="C148" s="55"/>
      <c r="D148" s="193"/>
      <c r="E148" s="55"/>
      <c r="F148" s="55"/>
      <c r="G148" s="55"/>
      <c r="H148" s="57"/>
      <c r="I148" s="88"/>
      <c r="J148" s="88"/>
      <c r="K148" s="88"/>
      <c r="L148" s="24"/>
      <c r="M148" s="24"/>
      <c r="N148" s="24"/>
      <c r="O148" s="24"/>
      <c r="P148" s="24"/>
      <c r="Q148" s="24"/>
      <c r="R148" s="193"/>
      <c r="S148" s="87"/>
      <c r="T148" s="50"/>
      <c r="U148" s="24"/>
      <c r="V148" s="50"/>
      <c r="W148" s="24"/>
      <c r="X148" s="55" t="s">
        <v>107</v>
      </c>
      <c r="Y148" s="88"/>
      <c r="Z148" s="55"/>
      <c r="AA148" s="33"/>
      <c r="AB148" s="55"/>
      <c r="AC148" s="24"/>
      <c r="AD148" s="98"/>
      <c r="AE148" s="14"/>
      <c r="AF148" s="14"/>
    </row>
    <row r="149" spans="1:32" customFormat="1" ht="15.75">
      <c r="A149" s="153" t="s">
        <v>21</v>
      </c>
      <c r="B149" s="24"/>
      <c r="C149" s="55"/>
      <c r="D149" s="56"/>
      <c r="E149" s="55"/>
      <c r="F149" s="55"/>
      <c r="G149" s="55"/>
      <c r="H149" s="57"/>
      <c r="I149" s="88"/>
      <c r="J149" s="88"/>
      <c r="K149" s="88"/>
      <c r="L149" s="24"/>
      <c r="M149" s="24"/>
      <c r="N149" s="24"/>
      <c r="O149" s="24"/>
      <c r="P149" s="24"/>
      <c r="Q149" s="24"/>
      <c r="R149" s="56"/>
      <c r="S149" s="94"/>
      <c r="T149" s="50"/>
      <c r="U149" s="24"/>
      <c r="V149" s="50"/>
      <c r="W149" s="24"/>
      <c r="X149" s="51" t="s">
        <v>533</v>
      </c>
      <c r="Y149" s="88"/>
      <c r="Z149" s="51" t="s">
        <v>533</v>
      </c>
      <c r="AA149" s="33"/>
      <c r="AB149" s="51" t="s">
        <v>533</v>
      </c>
      <c r="AC149" s="24"/>
      <c r="AD149" s="98"/>
      <c r="AE149" s="14"/>
      <c r="AF149" s="14"/>
    </row>
    <row r="150" spans="1:32" customFormat="1">
      <c r="A150" s="154" t="s">
        <v>22</v>
      </c>
      <c r="B150" s="24"/>
      <c r="C150" s="55"/>
      <c r="D150" s="57"/>
      <c r="E150" s="55"/>
      <c r="F150" s="55"/>
      <c r="G150" s="55"/>
      <c r="H150" s="57"/>
      <c r="I150" s="88"/>
      <c r="J150" s="88"/>
      <c r="K150" s="88"/>
      <c r="L150" s="24"/>
      <c r="M150" s="24"/>
      <c r="N150" s="24"/>
      <c r="O150" s="24"/>
      <c r="P150" s="24"/>
      <c r="Q150" s="24"/>
      <c r="R150" s="57"/>
      <c r="S150" s="27"/>
      <c r="T150" s="50"/>
      <c r="U150" s="24"/>
      <c r="V150" s="50"/>
      <c r="W150" s="24"/>
      <c r="X150" s="57"/>
      <c r="Y150" s="88"/>
      <c r="Z150" s="57"/>
      <c r="AA150" s="33"/>
      <c r="AB150" s="57"/>
      <c r="AC150" s="24"/>
      <c r="AD150" s="98"/>
      <c r="AE150" s="14"/>
      <c r="AF150" s="14"/>
    </row>
    <row r="151" spans="1:32" customFormat="1" ht="15.75">
      <c r="A151" s="153" t="s">
        <v>23</v>
      </c>
      <c r="B151" s="24"/>
      <c r="C151" s="55"/>
      <c r="D151" s="51"/>
      <c r="E151" s="55"/>
      <c r="F151" s="55"/>
      <c r="G151" s="55"/>
      <c r="H151" s="57"/>
      <c r="I151" s="88"/>
      <c r="J151" s="88"/>
      <c r="K151" s="88"/>
      <c r="L151" s="24"/>
      <c r="M151" s="24"/>
      <c r="N151" s="24"/>
      <c r="O151" s="24"/>
      <c r="P151" s="24"/>
      <c r="Q151" s="24"/>
      <c r="R151" s="51"/>
      <c r="S151" s="307"/>
      <c r="T151" s="50"/>
      <c r="U151" s="24"/>
      <c r="V151" s="50"/>
      <c r="W151" s="24"/>
      <c r="X151" s="51">
        <v>1200</v>
      </c>
      <c r="Y151" s="88"/>
      <c r="Z151" s="51">
        <v>2640</v>
      </c>
      <c r="AA151" s="33"/>
      <c r="AB151" s="51">
        <v>3310</v>
      </c>
      <c r="AC151" s="24"/>
      <c r="AD151" s="98"/>
      <c r="AE151" s="14"/>
      <c r="AF151" s="14"/>
    </row>
    <row r="152" spans="1:32" customFormat="1" ht="14.25" customHeight="1">
      <c r="A152" s="155" t="s">
        <v>24</v>
      </c>
      <c r="B152" s="24"/>
      <c r="C152" s="55"/>
      <c r="D152" s="111"/>
      <c r="E152" s="55"/>
      <c r="F152" s="55"/>
      <c r="G152" s="55"/>
      <c r="H152" s="57"/>
      <c r="I152" s="88"/>
      <c r="J152" s="88"/>
      <c r="K152" s="88"/>
      <c r="L152" s="24"/>
      <c r="M152" s="24"/>
      <c r="N152" s="24"/>
      <c r="O152" s="24"/>
      <c r="P152" s="24"/>
      <c r="Q152" s="24"/>
      <c r="R152" s="111"/>
      <c r="S152" s="30"/>
      <c r="T152" s="50"/>
      <c r="U152" s="24"/>
      <c r="V152" s="50"/>
      <c r="W152" s="24"/>
      <c r="X152" s="55"/>
      <c r="Y152" s="88"/>
      <c r="Z152" s="55"/>
      <c r="AA152" s="33"/>
      <c r="AB152" s="55"/>
      <c r="AC152" s="24"/>
      <c r="AD152" s="98"/>
      <c r="AE152" s="14"/>
      <c r="AF152" s="14"/>
    </row>
    <row r="153" spans="1:32" customFormat="1" ht="15.75">
      <c r="A153" s="128" t="s">
        <v>25</v>
      </c>
      <c r="B153" s="24"/>
      <c r="C153" s="55"/>
      <c r="D153" s="202"/>
      <c r="E153" s="55"/>
      <c r="F153" s="55"/>
      <c r="G153" s="55"/>
      <c r="H153" s="57"/>
      <c r="I153" s="88"/>
      <c r="J153" s="88"/>
      <c r="K153" s="88"/>
      <c r="L153" s="24"/>
      <c r="M153" s="24"/>
      <c r="N153" s="24"/>
      <c r="O153" s="24"/>
      <c r="P153" s="24"/>
      <c r="Q153" s="24"/>
      <c r="R153" s="202"/>
      <c r="S153" s="196"/>
      <c r="T153" s="50"/>
      <c r="U153" s="24"/>
      <c r="V153" s="50"/>
      <c r="W153" s="24"/>
      <c r="X153" s="491">
        <v>43532</v>
      </c>
      <c r="Y153" s="88"/>
      <c r="Z153" s="491">
        <v>43532</v>
      </c>
      <c r="AA153" s="33"/>
      <c r="AB153" s="491">
        <v>43534</v>
      </c>
      <c r="AC153" s="24"/>
      <c r="AD153" s="98"/>
      <c r="AE153" s="14"/>
      <c r="AF153" s="14"/>
    </row>
    <row r="154" spans="1:32" customFormat="1">
      <c r="A154" s="146" t="s">
        <v>27</v>
      </c>
      <c r="B154" s="24"/>
      <c r="C154" s="55"/>
      <c r="D154" s="193"/>
      <c r="E154" s="55"/>
      <c r="F154" s="55"/>
      <c r="G154" s="55"/>
      <c r="H154" s="57"/>
      <c r="I154" s="88"/>
      <c r="J154" s="88"/>
      <c r="K154" s="88"/>
      <c r="L154" s="24"/>
      <c r="M154" s="24"/>
      <c r="N154" s="24"/>
      <c r="O154" s="24"/>
      <c r="P154" s="24"/>
      <c r="Q154" s="24"/>
      <c r="R154" s="193"/>
      <c r="S154" s="87"/>
      <c r="T154" s="50"/>
      <c r="U154" s="24"/>
      <c r="V154" s="50"/>
      <c r="W154" s="24"/>
      <c r="X154" s="58" t="s">
        <v>28</v>
      </c>
      <c r="Y154" s="88"/>
      <c r="Z154" s="58" t="s">
        <v>28</v>
      </c>
      <c r="AA154" s="33"/>
      <c r="AB154" s="58" t="s">
        <v>29</v>
      </c>
      <c r="AC154" s="24"/>
      <c r="AD154" s="98"/>
      <c r="AE154" s="14"/>
      <c r="AF154" s="14"/>
    </row>
    <row r="155" spans="1:32" customFormat="1" ht="15.75">
      <c r="A155" s="146" t="s">
        <v>10</v>
      </c>
      <c r="B155" s="24"/>
      <c r="C155" s="55"/>
      <c r="D155" s="51"/>
      <c r="E155" s="55"/>
      <c r="F155" s="401"/>
      <c r="G155" s="55"/>
      <c r="H155" s="57"/>
      <c r="I155" s="88"/>
      <c r="J155" s="88"/>
      <c r="K155" s="88"/>
      <c r="L155" s="24"/>
      <c r="M155" s="24"/>
      <c r="N155" s="24"/>
      <c r="O155" s="24"/>
      <c r="P155" s="24"/>
      <c r="Q155" s="307"/>
      <c r="R155" s="51"/>
      <c r="S155" s="50"/>
      <c r="T155" s="50"/>
      <c r="U155" s="33"/>
      <c r="V155" s="307"/>
      <c r="W155" s="192"/>
      <c r="X155" s="192"/>
      <c r="Y155" s="88"/>
      <c r="Z155" s="418"/>
      <c r="AA155" s="418"/>
      <c r="AC155" s="33"/>
      <c r="AD155" s="98"/>
      <c r="AE155" s="14"/>
      <c r="AF155" s="14"/>
    </row>
    <row r="156" spans="1:32" customFormat="1" ht="15.75">
      <c r="A156" s="147" t="s">
        <v>11</v>
      </c>
      <c r="B156" s="24"/>
      <c r="C156" s="55"/>
      <c r="D156" s="52"/>
      <c r="E156" s="55"/>
      <c r="F156" s="401"/>
      <c r="G156" s="55"/>
      <c r="H156" s="57"/>
      <c r="I156" s="88"/>
      <c r="J156" s="88"/>
      <c r="K156" s="88"/>
      <c r="L156" s="24"/>
      <c r="M156" s="24"/>
      <c r="N156" s="24"/>
      <c r="O156" s="24"/>
      <c r="P156" s="24"/>
      <c r="Q156" s="93"/>
      <c r="R156" s="52"/>
      <c r="S156" s="50"/>
      <c r="T156" s="50"/>
      <c r="U156" s="33"/>
      <c r="V156" s="93"/>
      <c r="W156" s="93"/>
      <c r="X156" s="93"/>
      <c r="Y156" s="88"/>
      <c r="Z156" s="93"/>
      <c r="AA156" s="93"/>
      <c r="AB156" s="33"/>
      <c r="AC156" s="33"/>
      <c r="AD156" s="98"/>
      <c r="AE156" s="14"/>
      <c r="AF156" s="14"/>
    </row>
    <row r="157" spans="1:32" customFormat="1" ht="15.75">
      <c r="A157" s="148" t="s">
        <v>12</v>
      </c>
      <c r="B157" s="24"/>
      <c r="C157" s="55"/>
      <c r="D157" s="127"/>
      <c r="E157" s="55"/>
      <c r="F157" s="401"/>
      <c r="G157" s="55"/>
      <c r="H157" s="57"/>
      <c r="I157" s="88"/>
      <c r="J157" s="88"/>
      <c r="K157" s="88"/>
      <c r="L157" s="24"/>
      <c r="M157" s="24"/>
      <c r="N157" s="24"/>
      <c r="O157" s="24"/>
      <c r="P157" s="24"/>
      <c r="Q157" s="49"/>
      <c r="R157" s="127"/>
      <c r="S157" s="50"/>
      <c r="T157" s="50"/>
      <c r="U157" s="33"/>
      <c r="V157" s="49"/>
      <c r="W157" s="49"/>
      <c r="X157" s="49"/>
      <c r="Y157" s="88"/>
      <c r="Z157" s="49"/>
      <c r="AA157" s="49"/>
      <c r="AB157" s="33"/>
      <c r="AC157" s="33"/>
      <c r="AD157" s="98"/>
      <c r="AE157" s="14"/>
      <c r="AF157" s="14"/>
    </row>
    <row r="158" spans="1:32" customFormat="1" ht="15.75">
      <c r="A158" s="149" t="s">
        <v>13</v>
      </c>
      <c r="B158" s="24"/>
      <c r="C158" s="55"/>
      <c r="D158" s="53"/>
      <c r="E158" s="55"/>
      <c r="F158" s="401"/>
      <c r="G158" s="55"/>
      <c r="H158" s="57"/>
      <c r="I158" s="88"/>
      <c r="J158" s="88"/>
      <c r="K158" s="88"/>
      <c r="L158" s="24"/>
      <c r="M158" s="24"/>
      <c r="N158" s="24"/>
      <c r="O158" s="24"/>
      <c r="P158" s="24"/>
      <c r="Q158" s="19"/>
      <c r="R158" s="53"/>
      <c r="S158" s="50"/>
      <c r="T158" s="50"/>
      <c r="U158" s="33"/>
      <c r="V158" s="19"/>
      <c r="W158" s="19"/>
      <c r="X158" s="19"/>
      <c r="Y158" s="88"/>
      <c r="Z158" s="19"/>
      <c r="AA158" s="19"/>
      <c r="AB158" s="33"/>
      <c r="AC158" s="33"/>
      <c r="AD158" s="98"/>
      <c r="AE158" s="14"/>
      <c r="AF158" s="14"/>
    </row>
    <row r="159" spans="1:32" customFormat="1" ht="15.75">
      <c r="A159" s="150" t="s">
        <v>15</v>
      </c>
      <c r="B159" s="24"/>
      <c r="C159" s="55"/>
      <c r="D159" s="51"/>
      <c r="E159" s="55"/>
      <c r="F159" s="401"/>
      <c r="G159" s="55"/>
      <c r="H159" s="57"/>
      <c r="I159" s="88"/>
      <c r="J159" s="88"/>
      <c r="K159" s="88"/>
      <c r="L159" s="24"/>
      <c r="M159" s="24"/>
      <c r="N159" s="24"/>
      <c r="O159" s="24"/>
      <c r="P159" s="24"/>
      <c r="Q159" s="307"/>
      <c r="R159" s="51"/>
      <c r="S159" s="50"/>
      <c r="T159" s="50"/>
      <c r="U159" s="33"/>
      <c r="V159" s="307"/>
      <c r="W159" s="192"/>
      <c r="X159" s="192"/>
      <c r="Y159" s="88"/>
      <c r="Z159" s="418"/>
      <c r="AA159" s="418"/>
      <c r="AB159" s="33"/>
      <c r="AC159" s="33"/>
      <c r="AD159" s="98"/>
      <c r="AE159" s="14"/>
      <c r="AF159" s="14"/>
    </row>
    <row r="160" spans="1:32" customFormat="1" ht="15.75">
      <c r="A160" s="151" t="s">
        <v>17</v>
      </c>
      <c r="B160" s="24"/>
      <c r="C160" s="55"/>
      <c r="D160" s="110"/>
      <c r="E160" s="55"/>
      <c r="F160" s="401"/>
      <c r="G160" s="55"/>
      <c r="H160" s="57"/>
      <c r="I160" s="88"/>
      <c r="J160" s="88"/>
      <c r="K160" s="88"/>
      <c r="L160" s="24"/>
      <c r="M160" s="24"/>
      <c r="N160" s="24"/>
      <c r="O160" s="24"/>
      <c r="P160" s="24"/>
      <c r="Q160" s="100"/>
      <c r="R160" s="110"/>
      <c r="S160" s="50"/>
      <c r="T160" s="50"/>
      <c r="U160" s="33"/>
      <c r="V160" s="100"/>
      <c r="W160" s="100"/>
      <c r="X160" s="100"/>
      <c r="Y160" s="88"/>
      <c r="Z160" s="100"/>
      <c r="AA160" s="100"/>
      <c r="AB160" s="33"/>
      <c r="AC160" s="33"/>
      <c r="AD160" s="98"/>
      <c r="AE160" s="14"/>
      <c r="AF160" s="14"/>
    </row>
    <row r="161" spans="1:32" customFormat="1" ht="15.75">
      <c r="A161" s="152" t="s">
        <v>18</v>
      </c>
      <c r="B161" s="24"/>
      <c r="C161" s="55"/>
      <c r="D161" s="54"/>
      <c r="E161" s="55"/>
      <c r="F161" s="401"/>
      <c r="G161" s="55"/>
      <c r="H161" s="57"/>
      <c r="I161" s="88"/>
      <c r="J161" s="88"/>
      <c r="K161" s="88"/>
      <c r="L161" s="24"/>
      <c r="M161" s="24"/>
      <c r="N161" s="24"/>
      <c r="O161" s="24"/>
      <c r="P161" s="24"/>
      <c r="Q161" s="23"/>
      <c r="R161" s="54"/>
      <c r="S161" s="50"/>
      <c r="T161" s="50"/>
      <c r="U161" s="33"/>
      <c r="V161" s="23"/>
      <c r="W161" s="23"/>
      <c r="X161" s="23"/>
      <c r="Y161" s="88"/>
      <c r="Z161" s="23"/>
      <c r="AA161" s="23"/>
      <c r="AB161" s="33"/>
      <c r="AC161" s="33"/>
      <c r="AD161" s="98"/>
      <c r="AE161" s="14"/>
      <c r="AF161" s="14"/>
    </row>
    <row r="162" spans="1:32" customFormat="1">
      <c r="A162" s="146" t="s">
        <v>20</v>
      </c>
      <c r="B162" s="24"/>
      <c r="C162" s="55"/>
      <c r="D162" s="193"/>
      <c r="E162" s="55"/>
      <c r="F162" s="401"/>
      <c r="G162" s="55"/>
      <c r="H162" s="57"/>
      <c r="I162" s="88"/>
      <c r="J162" s="88"/>
      <c r="K162" s="88"/>
      <c r="L162" s="24"/>
      <c r="M162" s="24"/>
      <c r="N162" s="24"/>
      <c r="O162" s="24"/>
      <c r="P162" s="24"/>
      <c r="Q162" s="87"/>
      <c r="R162" s="193"/>
      <c r="S162" s="50"/>
      <c r="T162" s="50"/>
      <c r="U162" s="33"/>
      <c r="V162" s="87"/>
      <c r="W162" s="188"/>
      <c r="X162" s="188"/>
      <c r="Y162" s="88"/>
      <c r="Z162" s="87"/>
      <c r="AA162" s="87"/>
      <c r="AB162" s="33"/>
      <c r="AC162" s="33"/>
      <c r="AD162" s="98"/>
      <c r="AE162" s="14"/>
      <c r="AF162" s="14"/>
    </row>
    <row r="163" spans="1:32" customFormat="1" ht="15.75">
      <c r="A163" s="153" t="s">
        <v>21</v>
      </c>
      <c r="B163" s="24"/>
      <c r="C163" s="55"/>
      <c r="D163" s="56"/>
      <c r="E163" s="55"/>
      <c r="F163" s="401"/>
      <c r="G163" s="55"/>
      <c r="H163" s="57"/>
      <c r="I163" s="88"/>
      <c r="J163" s="88"/>
      <c r="K163" s="88"/>
      <c r="L163" s="24"/>
      <c r="M163" s="24"/>
      <c r="N163" s="24"/>
      <c r="O163" s="24"/>
      <c r="P163" s="24"/>
      <c r="Q163" s="94"/>
      <c r="R163" s="56"/>
      <c r="S163" s="50"/>
      <c r="T163" s="50"/>
      <c r="U163" s="33"/>
      <c r="V163" s="94"/>
      <c r="W163" s="94"/>
      <c r="X163" s="94"/>
      <c r="Y163" s="88"/>
      <c r="Z163" s="94"/>
      <c r="AA163" s="94"/>
      <c r="AB163" s="33"/>
      <c r="AC163" s="33"/>
      <c r="AD163" s="98"/>
      <c r="AE163" s="14"/>
      <c r="AF163" s="14"/>
    </row>
    <row r="164" spans="1:32" customFormat="1">
      <c r="A164" s="154" t="s">
        <v>22</v>
      </c>
      <c r="B164" s="24"/>
      <c r="C164" s="55"/>
      <c r="D164" s="57"/>
      <c r="E164" s="55"/>
      <c r="F164" s="401"/>
      <c r="G164" s="55"/>
      <c r="H164" s="57"/>
      <c r="I164" s="88"/>
      <c r="J164" s="88"/>
      <c r="K164" s="88"/>
      <c r="L164" s="24"/>
      <c r="M164" s="24"/>
      <c r="N164" s="24"/>
      <c r="O164" s="24"/>
      <c r="P164" s="24"/>
      <c r="Q164" s="27"/>
      <c r="R164" s="57"/>
      <c r="S164" s="50"/>
      <c r="T164" s="50"/>
      <c r="U164" s="33"/>
      <c r="V164" s="27"/>
      <c r="W164" s="27"/>
      <c r="X164" s="27"/>
      <c r="Y164" s="88"/>
      <c r="Z164" s="27"/>
      <c r="AA164" s="27"/>
      <c r="AB164" s="33"/>
      <c r="AC164" s="33"/>
      <c r="AD164" s="98"/>
      <c r="AE164" s="14"/>
      <c r="AF164" s="14"/>
    </row>
    <row r="165" spans="1:32" customFormat="1" ht="15.75">
      <c r="A165" s="153" t="s">
        <v>23</v>
      </c>
      <c r="B165" s="24"/>
      <c r="C165" s="55"/>
      <c r="D165" s="51"/>
      <c r="E165" s="55"/>
      <c r="F165" s="401"/>
      <c r="G165" s="55"/>
      <c r="H165" s="57"/>
      <c r="I165" s="88"/>
      <c r="J165" s="88"/>
      <c r="K165" s="88"/>
      <c r="L165" s="24"/>
      <c r="M165" s="24"/>
      <c r="N165" s="24"/>
      <c r="O165" s="24"/>
      <c r="P165" s="24"/>
      <c r="Q165" s="307"/>
      <c r="R165" s="51"/>
      <c r="S165" s="50"/>
      <c r="T165" s="50"/>
      <c r="U165" s="33"/>
      <c r="V165" s="307"/>
      <c r="W165" s="192"/>
      <c r="X165" s="192"/>
      <c r="Y165" s="88"/>
      <c r="Z165" s="192"/>
      <c r="AA165" s="192"/>
      <c r="AB165" s="33"/>
      <c r="AC165" s="33"/>
      <c r="AD165" s="98"/>
      <c r="AE165" s="14"/>
      <c r="AF165" s="14"/>
    </row>
    <row r="166" spans="1:32" customFormat="1" ht="14.25" customHeight="1">
      <c r="A166" s="155" t="s">
        <v>24</v>
      </c>
      <c r="B166" s="24"/>
      <c r="C166" s="55"/>
      <c r="D166" s="111"/>
      <c r="E166" s="55"/>
      <c r="F166" s="401"/>
      <c r="G166" s="55"/>
      <c r="H166" s="57"/>
      <c r="I166" s="88"/>
      <c r="J166" s="88"/>
      <c r="K166" s="88"/>
      <c r="L166" s="24"/>
      <c r="M166" s="24"/>
      <c r="N166" s="24"/>
      <c r="O166" s="24"/>
      <c r="P166" s="24"/>
      <c r="Q166" s="30"/>
      <c r="R166" s="111"/>
      <c r="S166" s="50"/>
      <c r="T166" s="50"/>
      <c r="U166" s="33"/>
      <c r="V166" s="30"/>
      <c r="W166" s="30"/>
      <c r="X166" s="30"/>
      <c r="Y166" s="88"/>
      <c r="Z166" s="30"/>
      <c r="AA166" s="30"/>
      <c r="AB166" s="33"/>
      <c r="AC166" s="33"/>
      <c r="AD166" s="98"/>
      <c r="AE166" s="14"/>
      <c r="AF166" s="14"/>
    </row>
    <row r="167" spans="1:32" customFormat="1">
      <c r="A167" s="128" t="s">
        <v>25</v>
      </c>
      <c r="B167" s="24"/>
      <c r="C167" s="55"/>
      <c r="D167" s="202"/>
      <c r="E167" s="55"/>
      <c r="F167" s="401"/>
      <c r="G167" s="55"/>
      <c r="H167" s="57"/>
      <c r="I167" s="88"/>
      <c r="J167" s="88"/>
      <c r="K167" s="88"/>
      <c r="L167" s="24"/>
      <c r="M167" s="24"/>
      <c r="N167" s="24"/>
      <c r="O167" s="24"/>
      <c r="P167" s="24"/>
      <c r="Q167" s="196"/>
      <c r="R167" s="202"/>
      <c r="S167" s="50"/>
      <c r="T167" s="50"/>
      <c r="U167" s="33"/>
      <c r="V167" s="196"/>
      <c r="W167" s="191"/>
      <c r="X167" s="191"/>
      <c r="Y167" s="88"/>
      <c r="Z167" s="191"/>
      <c r="AA167" s="191"/>
      <c r="AB167" s="33"/>
      <c r="AC167" s="33"/>
      <c r="AD167" s="98"/>
      <c r="AE167" s="14"/>
      <c r="AF167" s="14"/>
    </row>
    <row r="168" spans="1:32" customFormat="1">
      <c r="A168" s="146" t="s">
        <v>27</v>
      </c>
      <c r="B168" s="24"/>
      <c r="C168" s="55"/>
      <c r="D168" s="193"/>
      <c r="E168" s="55"/>
      <c r="F168" s="401"/>
      <c r="G168" s="55"/>
      <c r="H168" s="57"/>
      <c r="I168" s="193"/>
      <c r="J168" s="193"/>
      <c r="K168" s="193"/>
      <c r="L168" s="87"/>
      <c r="M168" s="24"/>
      <c r="N168" s="24"/>
      <c r="O168" s="24"/>
      <c r="P168" s="24"/>
      <c r="Q168" s="87"/>
      <c r="R168" s="193"/>
      <c r="S168" s="50"/>
      <c r="T168" s="50"/>
      <c r="U168" s="33"/>
      <c r="V168" s="87"/>
      <c r="W168" s="188"/>
      <c r="X168" s="188"/>
      <c r="Y168" s="88"/>
      <c r="Z168" s="188"/>
      <c r="AA168" s="188"/>
      <c r="AB168" s="33"/>
      <c r="AC168" s="33"/>
      <c r="AD168" s="98"/>
      <c r="AE168" s="14"/>
      <c r="AF168" s="14"/>
    </row>
    <row r="169" spans="1:32" customFormat="1" ht="15.75">
      <c r="A169" s="146" t="s">
        <v>10</v>
      </c>
      <c r="B169" s="14"/>
      <c r="C169" s="15"/>
      <c r="D169" s="15"/>
      <c r="E169" s="55"/>
      <c r="F169" s="401"/>
      <c r="G169" s="57"/>
      <c r="H169" s="57"/>
      <c r="I169" s="88"/>
      <c r="J169" s="51"/>
      <c r="K169" s="51"/>
      <c r="L169" s="307"/>
      <c r="M169" s="24"/>
      <c r="N169" s="24"/>
      <c r="O169" s="24"/>
      <c r="P169" s="50"/>
      <c r="Q169" s="307"/>
      <c r="R169" s="51"/>
      <c r="S169" s="50"/>
      <c r="T169" s="33"/>
      <c r="U169" s="33"/>
      <c r="V169" s="307"/>
      <c r="W169" s="192"/>
      <c r="X169" s="50"/>
      <c r="Y169" s="88"/>
      <c r="Z169" s="192"/>
      <c r="AA169" s="192"/>
      <c r="AB169" s="33"/>
      <c r="AC169" s="33"/>
      <c r="AD169" s="98"/>
      <c r="AE169" s="14"/>
      <c r="AF169" s="14"/>
    </row>
    <row r="170" spans="1:32" customFormat="1" ht="15.75">
      <c r="A170" s="147" t="s">
        <v>11</v>
      </c>
      <c r="B170" s="14"/>
      <c r="C170" s="15"/>
      <c r="D170" s="15"/>
      <c r="E170" s="55"/>
      <c r="F170" s="401"/>
      <c r="G170" s="57"/>
      <c r="H170" s="57"/>
      <c r="I170" s="88"/>
      <c r="J170" s="193"/>
      <c r="K170" s="193"/>
      <c r="L170" s="87"/>
      <c r="M170" s="24"/>
      <c r="N170" s="24"/>
      <c r="O170" s="24"/>
      <c r="P170" s="50"/>
      <c r="Q170" s="93"/>
      <c r="R170" s="52"/>
      <c r="S170" s="50"/>
      <c r="T170" s="33"/>
      <c r="U170" s="33"/>
      <c r="V170" s="93"/>
      <c r="W170" s="93"/>
      <c r="X170" s="50"/>
      <c r="Y170" s="88"/>
      <c r="Z170" s="93"/>
      <c r="AA170" s="93"/>
      <c r="AB170" s="33"/>
      <c r="AC170" s="33"/>
      <c r="AD170" s="98"/>
      <c r="AE170" s="14"/>
      <c r="AF170" s="14"/>
    </row>
    <row r="171" spans="1:32" customFormat="1" ht="16.5">
      <c r="A171" s="148" t="s">
        <v>12</v>
      </c>
      <c r="B171" s="14"/>
      <c r="C171" s="15"/>
      <c r="D171" s="15"/>
      <c r="E171" s="55"/>
      <c r="F171" s="401"/>
      <c r="G171" s="57"/>
      <c r="H171" s="57"/>
      <c r="I171" s="88"/>
      <c r="J171" s="207"/>
      <c r="K171" s="207"/>
      <c r="L171" s="312"/>
      <c r="M171" s="24"/>
      <c r="N171" s="24"/>
      <c r="O171" s="24"/>
      <c r="P171" s="50"/>
      <c r="Q171" s="49"/>
      <c r="R171" s="127"/>
      <c r="S171" s="50"/>
      <c r="T171" s="33"/>
      <c r="U171" s="33"/>
      <c r="V171" s="49"/>
      <c r="W171" s="49"/>
      <c r="X171" s="50"/>
      <c r="Y171" s="88"/>
      <c r="Z171" s="49"/>
      <c r="AA171" s="49"/>
      <c r="AB171" s="33"/>
      <c r="AC171" s="33"/>
      <c r="AD171" s="98"/>
      <c r="AE171" s="14"/>
      <c r="AF171" s="14"/>
    </row>
    <row r="172" spans="1:32" customFormat="1" ht="16.5">
      <c r="A172" s="149" t="s">
        <v>13</v>
      </c>
      <c r="B172" s="14"/>
      <c r="C172" s="15"/>
      <c r="D172" s="15"/>
      <c r="E172" s="55"/>
      <c r="F172" s="401"/>
      <c r="G172" s="57"/>
      <c r="H172" s="57"/>
      <c r="I172" s="88"/>
      <c r="J172" s="208"/>
      <c r="K172" s="208"/>
      <c r="L172" s="198"/>
      <c r="M172" s="24"/>
      <c r="N172" s="24"/>
      <c r="O172" s="24"/>
      <c r="P172" s="50"/>
      <c r="Q172" s="19"/>
      <c r="R172" s="53"/>
      <c r="S172" s="50"/>
      <c r="T172" s="33"/>
      <c r="U172" s="33"/>
      <c r="V172" s="19"/>
      <c r="W172" s="19"/>
      <c r="X172" s="50"/>
      <c r="Y172" s="88"/>
      <c r="Z172" s="19"/>
      <c r="AA172" s="19"/>
      <c r="AB172" s="33"/>
      <c r="AC172" s="33"/>
      <c r="AD172" s="98"/>
      <c r="AE172" s="14"/>
      <c r="AF172" s="14"/>
    </row>
    <row r="173" spans="1:32" customFormat="1" ht="15.75">
      <c r="A173" s="150" t="s">
        <v>15</v>
      </c>
      <c r="B173" s="14"/>
      <c r="C173" s="15"/>
      <c r="D173" s="15"/>
      <c r="E173" s="55"/>
      <c r="F173" s="401"/>
      <c r="G173" s="57"/>
      <c r="H173" s="57"/>
      <c r="I173" s="88"/>
      <c r="J173" s="51"/>
      <c r="K173" s="51"/>
      <c r="L173" s="307"/>
      <c r="M173" s="24"/>
      <c r="N173" s="24"/>
      <c r="O173" s="24"/>
      <c r="P173" s="50"/>
      <c r="Q173" s="307"/>
      <c r="R173" s="51"/>
      <c r="S173" s="50"/>
      <c r="T173" s="33"/>
      <c r="U173" s="33"/>
      <c r="V173" s="307"/>
      <c r="W173" s="192"/>
      <c r="X173" s="50"/>
      <c r="Y173" s="88"/>
      <c r="Z173" s="192"/>
      <c r="AA173" s="192"/>
      <c r="AB173" s="33"/>
      <c r="AC173" s="33"/>
      <c r="AD173" s="98"/>
      <c r="AE173" s="14"/>
      <c r="AF173" s="14"/>
    </row>
    <row r="174" spans="1:32" customFormat="1" ht="16.5">
      <c r="A174" s="151" t="s">
        <v>17</v>
      </c>
      <c r="B174" s="14"/>
      <c r="C174" s="15"/>
      <c r="D174" s="15"/>
      <c r="E174" s="55"/>
      <c r="F174" s="401"/>
      <c r="G174" s="57"/>
      <c r="H174" s="57"/>
      <c r="I174" s="88"/>
      <c r="J174" s="201"/>
      <c r="K174" s="201"/>
      <c r="L174" s="195"/>
      <c r="M174" s="24"/>
      <c r="N174" s="24"/>
      <c r="O174" s="24"/>
      <c r="P174" s="50"/>
      <c r="Q174" s="100"/>
      <c r="R174" s="110"/>
      <c r="S174" s="50"/>
      <c r="T174" s="33"/>
      <c r="U174" s="33"/>
      <c r="V174" s="100"/>
      <c r="W174" s="100"/>
      <c r="X174" s="50"/>
      <c r="Y174" s="88"/>
      <c r="Z174" s="100"/>
      <c r="AA174" s="100"/>
      <c r="AB174" s="33"/>
      <c r="AC174" s="33"/>
      <c r="AD174" s="98"/>
      <c r="AE174" s="14"/>
      <c r="AF174" s="14"/>
    </row>
    <row r="175" spans="1:32" customFormat="1" ht="16.5">
      <c r="A175" s="152" t="s">
        <v>18</v>
      </c>
      <c r="B175" s="14"/>
      <c r="C175" s="15"/>
      <c r="D175" s="15"/>
      <c r="E175" s="55"/>
      <c r="F175" s="401"/>
      <c r="G175" s="57"/>
      <c r="H175" s="57"/>
      <c r="I175" s="88"/>
      <c r="J175" s="208"/>
      <c r="K175" s="208"/>
      <c r="L175" s="198"/>
      <c r="M175" s="24"/>
      <c r="N175" s="24"/>
      <c r="O175" s="24"/>
      <c r="P175" s="50"/>
      <c r="Q175" s="23"/>
      <c r="R175" s="54"/>
      <c r="S175" s="50"/>
      <c r="T175" s="33"/>
      <c r="U175" s="33"/>
      <c r="V175" s="23"/>
      <c r="W175" s="23"/>
      <c r="X175" s="50"/>
      <c r="Y175" s="88"/>
      <c r="Z175" s="23"/>
      <c r="AA175" s="23"/>
      <c r="AB175" s="33"/>
      <c r="AC175" s="33"/>
      <c r="AD175" s="98"/>
      <c r="AE175" s="14"/>
      <c r="AF175" s="14"/>
    </row>
    <row r="176" spans="1:32" customFormat="1" ht="16.5">
      <c r="A176" s="146" t="s">
        <v>20</v>
      </c>
      <c r="B176" s="14"/>
      <c r="C176" s="15"/>
      <c r="D176" s="15"/>
      <c r="E176" s="55"/>
      <c r="F176" s="401"/>
      <c r="G176" s="57"/>
      <c r="H176" s="57"/>
      <c r="I176" s="88"/>
      <c r="J176" s="208"/>
      <c r="K176" s="208"/>
      <c r="L176" s="198"/>
      <c r="M176" s="24"/>
      <c r="N176" s="24"/>
      <c r="O176" s="24"/>
      <c r="P176" s="50"/>
      <c r="Q176" s="87"/>
      <c r="R176" s="193"/>
      <c r="S176" s="50"/>
      <c r="T176" s="33"/>
      <c r="U176" s="33"/>
      <c r="V176" s="87"/>
      <c r="W176" s="188"/>
      <c r="X176" s="50"/>
      <c r="Y176" s="88"/>
      <c r="Z176" s="188"/>
      <c r="AA176" s="188"/>
      <c r="AB176" s="33"/>
      <c r="AC176" s="33"/>
      <c r="AD176" s="98"/>
      <c r="AE176" s="14"/>
      <c r="AF176" s="14"/>
    </row>
    <row r="177" spans="1:32" customFormat="1" ht="15.75">
      <c r="A177" s="153" t="s">
        <v>21</v>
      </c>
      <c r="B177" s="14"/>
      <c r="C177" s="15"/>
      <c r="D177" s="15"/>
      <c r="E177" s="55"/>
      <c r="F177" s="401"/>
      <c r="G177" s="57"/>
      <c r="H177" s="57"/>
      <c r="I177" s="88"/>
      <c r="J177" s="51"/>
      <c r="K177" s="51"/>
      <c r="L177" s="307"/>
      <c r="M177" s="24"/>
      <c r="N177" s="24"/>
      <c r="O177" s="24"/>
      <c r="P177" s="50"/>
      <c r="Q177" s="94"/>
      <c r="R177" s="56"/>
      <c r="S177" s="50"/>
      <c r="T177" s="33"/>
      <c r="U177" s="33"/>
      <c r="V177" s="94"/>
      <c r="W177" s="94"/>
      <c r="X177" s="50"/>
      <c r="Y177" s="88"/>
      <c r="Z177" s="94"/>
      <c r="AA177" s="94"/>
      <c r="AB177" s="33"/>
      <c r="AC177" s="33"/>
      <c r="AD177" s="98"/>
      <c r="AE177" s="14"/>
      <c r="AF177" s="14"/>
    </row>
    <row r="178" spans="1:32" customFormat="1" ht="16.5">
      <c r="A178" s="154" t="s">
        <v>22</v>
      </c>
      <c r="B178" s="14"/>
      <c r="C178" s="15"/>
      <c r="D178" s="15"/>
      <c r="E178" s="55"/>
      <c r="F178" s="401"/>
      <c r="G178" s="57"/>
      <c r="H178" s="57"/>
      <c r="I178" s="88"/>
      <c r="J178" s="208"/>
      <c r="K178" s="208"/>
      <c r="L178" s="198"/>
      <c r="M178" s="24"/>
      <c r="N178" s="24"/>
      <c r="O178" s="24"/>
      <c r="P178" s="50"/>
      <c r="Q178" s="27"/>
      <c r="R178" s="57"/>
      <c r="S178" s="50"/>
      <c r="T178" s="33"/>
      <c r="U178" s="33"/>
      <c r="V178" s="27"/>
      <c r="W178" s="27"/>
      <c r="X178" s="50"/>
      <c r="Y178" s="88"/>
      <c r="Z178" s="27"/>
      <c r="AA178" s="27"/>
      <c r="AB178" s="33"/>
      <c r="AC178" s="33"/>
      <c r="AD178" s="98"/>
      <c r="AE178" s="14"/>
      <c r="AF178" s="14"/>
    </row>
    <row r="179" spans="1:32" customFormat="1" ht="15.75">
      <c r="A179" s="153" t="s">
        <v>23</v>
      </c>
      <c r="B179" s="14"/>
      <c r="C179" s="15"/>
      <c r="D179" s="15"/>
      <c r="E179" s="55"/>
      <c r="F179" s="401"/>
      <c r="G179" s="57"/>
      <c r="H179" s="57"/>
      <c r="I179" s="88"/>
      <c r="J179" s="51"/>
      <c r="K179" s="51"/>
      <c r="L179" s="307"/>
      <c r="M179" s="24"/>
      <c r="N179" s="24"/>
      <c r="O179" s="24"/>
      <c r="P179" s="50"/>
      <c r="Q179" s="307"/>
      <c r="R179" s="51"/>
      <c r="S179" s="50"/>
      <c r="T179" s="33"/>
      <c r="U179" s="33"/>
      <c r="V179" s="307"/>
      <c r="W179" s="192"/>
      <c r="X179" s="50"/>
      <c r="Y179" s="88"/>
      <c r="Z179" s="192"/>
      <c r="AA179" s="192"/>
      <c r="AB179" s="33"/>
      <c r="AC179" s="33"/>
      <c r="AD179" s="98"/>
      <c r="AE179" s="14"/>
      <c r="AF179" s="14"/>
    </row>
    <row r="180" spans="1:32" customFormat="1" ht="13.5" customHeight="1">
      <c r="A180" s="155" t="s">
        <v>24</v>
      </c>
      <c r="B180" s="14"/>
      <c r="C180" s="15"/>
      <c r="D180" s="15"/>
      <c r="E180" s="55"/>
      <c r="F180" s="401"/>
      <c r="G180" s="57"/>
      <c r="H180" s="57"/>
      <c r="I180" s="88"/>
      <c r="J180" s="208"/>
      <c r="K180" s="208"/>
      <c r="L180" s="198"/>
      <c r="M180" s="24"/>
      <c r="N180" s="24"/>
      <c r="O180" s="24"/>
      <c r="P180" s="50"/>
      <c r="Q180" s="30"/>
      <c r="R180" s="111"/>
      <c r="S180" s="50"/>
      <c r="T180" s="33"/>
      <c r="U180" s="33"/>
      <c r="V180" s="30"/>
      <c r="W180" s="30"/>
      <c r="X180" s="50"/>
      <c r="Y180" s="88"/>
      <c r="Z180" s="30"/>
      <c r="AA180" s="30"/>
      <c r="AB180" s="33"/>
      <c r="AC180" s="33"/>
      <c r="AD180" s="98"/>
      <c r="AE180" s="14"/>
      <c r="AF180" s="14"/>
    </row>
    <row r="181" spans="1:32" customFormat="1">
      <c r="A181" s="128" t="s">
        <v>25</v>
      </c>
      <c r="B181" s="14"/>
      <c r="C181" s="15"/>
      <c r="D181" s="15"/>
      <c r="E181" s="55"/>
      <c r="F181" s="401"/>
      <c r="G181" s="57"/>
      <c r="H181" s="57"/>
      <c r="I181" s="88"/>
      <c r="J181" s="202"/>
      <c r="K181" s="202"/>
      <c r="L181" s="196"/>
      <c r="M181" s="24"/>
      <c r="N181" s="24"/>
      <c r="O181" s="24"/>
      <c r="P181" s="50"/>
      <c r="Q181" s="196"/>
      <c r="R181" s="202"/>
      <c r="S181" s="50"/>
      <c r="T181" s="33"/>
      <c r="U181" s="33"/>
      <c r="V181" s="196"/>
      <c r="W181" s="191"/>
      <c r="X181" s="50"/>
      <c r="Y181" s="88"/>
      <c r="Z181" s="191"/>
      <c r="AA181" s="191"/>
      <c r="AB181" s="33"/>
      <c r="AC181" s="33"/>
      <c r="AD181" s="98"/>
      <c r="AE181" s="14"/>
      <c r="AF181" s="14"/>
    </row>
    <row r="182" spans="1:32" customFormat="1" ht="15.75" thickBot="1">
      <c r="A182" s="146" t="s">
        <v>27</v>
      </c>
      <c r="B182" s="14"/>
      <c r="C182" s="34"/>
      <c r="D182" s="34"/>
      <c r="E182" s="55"/>
      <c r="F182" s="401"/>
      <c r="G182" s="402"/>
      <c r="H182" s="402"/>
      <c r="I182" s="209"/>
      <c r="J182" s="203"/>
      <c r="K182" s="203"/>
      <c r="L182" s="313"/>
      <c r="M182" s="24"/>
      <c r="N182" s="24"/>
      <c r="O182" s="24"/>
      <c r="P182" s="90"/>
      <c r="Q182" s="313"/>
      <c r="R182" s="203"/>
      <c r="S182" s="35"/>
      <c r="T182" s="35"/>
      <c r="U182" s="35"/>
      <c r="V182" s="313"/>
      <c r="W182" s="197"/>
      <c r="X182" s="35"/>
      <c r="Y182" s="209"/>
      <c r="Z182" s="197"/>
      <c r="AA182" s="197"/>
      <c r="AB182" s="35"/>
      <c r="AC182" s="35"/>
      <c r="AD182" s="99"/>
      <c r="AE182" s="14"/>
      <c r="AF182" s="14"/>
    </row>
    <row r="183" spans="1:32" customFormat="1" ht="15.75" customHeight="1" thickBot="1">
      <c r="A183" s="216" t="s">
        <v>36</v>
      </c>
      <c r="B183" s="143">
        <f t="shared" ref="B183:S183" si="14">+B179+B165+B151+B137</f>
        <v>0</v>
      </c>
      <c r="C183" s="218">
        <f t="shared" si="14"/>
        <v>0</v>
      </c>
      <c r="D183" s="218">
        <f t="shared" si="14"/>
        <v>0</v>
      </c>
      <c r="E183" s="218">
        <f t="shared" si="14"/>
        <v>0</v>
      </c>
      <c r="F183" s="218">
        <f t="shared" si="14"/>
        <v>0</v>
      </c>
      <c r="G183" s="218">
        <f t="shared" si="14"/>
        <v>0</v>
      </c>
      <c r="H183" s="218">
        <f t="shared" si="14"/>
        <v>0</v>
      </c>
      <c r="I183" s="218">
        <f t="shared" si="14"/>
        <v>0</v>
      </c>
      <c r="J183" s="218">
        <f t="shared" si="14"/>
        <v>0</v>
      </c>
      <c r="K183" s="143">
        <f t="shared" si="14"/>
        <v>0</v>
      </c>
      <c r="L183" s="143">
        <f t="shared" si="14"/>
        <v>0</v>
      </c>
      <c r="M183" s="143">
        <f t="shared" si="14"/>
        <v>0</v>
      </c>
      <c r="N183" s="143">
        <f t="shared" si="14"/>
        <v>15480</v>
      </c>
      <c r="O183" s="143">
        <f t="shared" si="14"/>
        <v>0</v>
      </c>
      <c r="P183" s="143">
        <f t="shared" si="14"/>
        <v>0</v>
      </c>
      <c r="Q183" s="143">
        <f t="shared" si="14"/>
        <v>0</v>
      </c>
      <c r="R183" s="143">
        <f t="shared" si="14"/>
        <v>0</v>
      </c>
      <c r="S183" s="143">
        <f t="shared" si="14"/>
        <v>0</v>
      </c>
      <c r="T183" s="143">
        <f t="shared" ref="T183:AC183" si="15">+T179+T165+T151+T137</f>
        <v>0</v>
      </c>
      <c r="U183" s="143">
        <f t="shared" si="15"/>
        <v>0</v>
      </c>
      <c r="V183" s="143">
        <f t="shared" si="15"/>
        <v>0</v>
      </c>
      <c r="W183" s="143">
        <f t="shared" si="15"/>
        <v>0</v>
      </c>
      <c r="X183" s="143">
        <f t="shared" si="15"/>
        <v>1750</v>
      </c>
      <c r="Y183" s="143">
        <f t="shared" si="15"/>
        <v>0</v>
      </c>
      <c r="Z183" s="143">
        <f t="shared" si="15"/>
        <v>3250</v>
      </c>
      <c r="AA183" s="143">
        <f t="shared" si="15"/>
        <v>0</v>
      </c>
      <c r="AB183" s="143">
        <f t="shared" si="15"/>
        <v>3560</v>
      </c>
      <c r="AC183" s="143">
        <f t="shared" si="15"/>
        <v>0</v>
      </c>
      <c r="AD183" s="38"/>
      <c r="AE183" s="14"/>
      <c r="AF183" s="14"/>
    </row>
    <row r="184" spans="1:32" customFormat="1" ht="15.75" customHeight="1" thickTop="1" thickBot="1">
      <c r="A184" s="216" t="s">
        <v>37</v>
      </c>
      <c r="B184" s="144">
        <f>+B185*4</f>
        <v>840</v>
      </c>
      <c r="C184" s="39">
        <f t="shared" ref="C184:K184" si="16">+C185*C6</f>
        <v>0</v>
      </c>
      <c r="D184" s="39">
        <f t="shared" si="16"/>
        <v>0</v>
      </c>
      <c r="E184" s="39">
        <f t="shared" si="16"/>
        <v>0</v>
      </c>
      <c r="F184" s="39">
        <f t="shared" si="16"/>
        <v>0</v>
      </c>
      <c r="G184" s="39">
        <f t="shared" si="16"/>
        <v>0</v>
      </c>
      <c r="H184" s="39">
        <f t="shared" si="16"/>
        <v>0</v>
      </c>
      <c r="I184" s="39">
        <f t="shared" si="16"/>
        <v>0</v>
      </c>
      <c r="J184" s="39">
        <f t="shared" si="16"/>
        <v>0</v>
      </c>
      <c r="K184" s="39">
        <f t="shared" si="16"/>
        <v>0</v>
      </c>
      <c r="L184" s="40">
        <f>+L185*4</f>
        <v>840</v>
      </c>
      <c r="M184" s="40">
        <f>+M185*6</f>
        <v>1260</v>
      </c>
      <c r="N184" s="40">
        <f t="shared" ref="N184:AC184" si="17">+N185*N6</f>
        <v>1680</v>
      </c>
      <c r="O184" s="40">
        <f t="shared" si="17"/>
        <v>1680</v>
      </c>
      <c r="P184" s="40">
        <f t="shared" si="17"/>
        <v>1680</v>
      </c>
      <c r="Q184" s="40">
        <f t="shared" si="17"/>
        <v>1680</v>
      </c>
      <c r="R184" s="39">
        <f t="shared" si="17"/>
        <v>0</v>
      </c>
      <c r="S184" s="40">
        <f t="shared" si="17"/>
        <v>1680</v>
      </c>
      <c r="T184" s="40">
        <f t="shared" si="17"/>
        <v>1680</v>
      </c>
      <c r="U184" s="40">
        <f t="shared" si="17"/>
        <v>1680</v>
      </c>
      <c r="V184" s="40">
        <f t="shared" si="17"/>
        <v>1680</v>
      </c>
      <c r="W184" s="40">
        <f t="shared" si="17"/>
        <v>1680</v>
      </c>
      <c r="X184" s="40">
        <f t="shared" si="17"/>
        <v>1680</v>
      </c>
      <c r="Y184" s="39">
        <f t="shared" si="17"/>
        <v>0</v>
      </c>
      <c r="Z184" s="40">
        <f t="shared" si="17"/>
        <v>1680</v>
      </c>
      <c r="AA184" s="40">
        <f t="shared" si="17"/>
        <v>1680</v>
      </c>
      <c r="AB184" s="40">
        <f t="shared" si="17"/>
        <v>1680</v>
      </c>
      <c r="AC184" s="40">
        <f t="shared" si="17"/>
        <v>1680</v>
      </c>
      <c r="AD184" s="41">
        <f>SUM(B184:AC184)</f>
        <v>26460</v>
      </c>
      <c r="AE184" s="14"/>
      <c r="AF184" s="14"/>
    </row>
    <row r="185" spans="1:32" customFormat="1" ht="15.75" customHeight="1" thickTop="1" thickBot="1">
      <c r="A185" s="216" t="s">
        <v>38</v>
      </c>
      <c r="B185" s="43">
        <v>210</v>
      </c>
      <c r="C185" s="219"/>
      <c r="D185" s="42"/>
      <c r="E185" s="219"/>
      <c r="F185" s="219"/>
      <c r="G185" s="219"/>
      <c r="H185" s="219"/>
      <c r="I185" s="42"/>
      <c r="J185" s="42"/>
      <c r="K185" s="42"/>
      <c r="L185" s="43">
        <v>210</v>
      </c>
      <c r="M185" s="43">
        <v>210</v>
      </c>
      <c r="N185" s="43">
        <v>210</v>
      </c>
      <c r="O185" s="43">
        <v>210</v>
      </c>
      <c r="P185" s="43">
        <v>210</v>
      </c>
      <c r="Q185" s="43">
        <v>210</v>
      </c>
      <c r="R185" s="42"/>
      <c r="S185" s="43">
        <v>210</v>
      </c>
      <c r="T185" s="43">
        <v>210</v>
      </c>
      <c r="U185" s="43">
        <v>210</v>
      </c>
      <c r="V185" s="43">
        <v>210</v>
      </c>
      <c r="W185" s="43">
        <v>210</v>
      </c>
      <c r="X185" s="43">
        <v>210</v>
      </c>
      <c r="Y185" s="42"/>
      <c r="Z185" s="43">
        <v>210</v>
      </c>
      <c r="AA185" s="43">
        <v>210</v>
      </c>
      <c r="AB185" s="43">
        <v>210</v>
      </c>
      <c r="AC185" s="43">
        <v>210</v>
      </c>
      <c r="AD185" s="44"/>
      <c r="AE185" s="14"/>
      <c r="AF185" s="14"/>
    </row>
    <row r="186" spans="1:32" customFormat="1" ht="15.75" customHeight="1" thickTop="1" thickBot="1">
      <c r="A186" s="217">
        <f>+'T01'!AF185</f>
        <v>3720</v>
      </c>
      <c r="B186" s="144">
        <f t="shared" ref="B186:AC186" si="18">IF(A186+B183-B184&lt;0,0,A186+B183-B184)</f>
        <v>2880</v>
      </c>
      <c r="C186" s="39">
        <f t="shared" si="18"/>
        <v>2880</v>
      </c>
      <c r="D186" s="39">
        <f t="shared" si="18"/>
        <v>2880</v>
      </c>
      <c r="E186" s="39">
        <f t="shared" si="18"/>
        <v>2880</v>
      </c>
      <c r="F186" s="39">
        <f t="shared" si="18"/>
        <v>2880</v>
      </c>
      <c r="G186" s="39">
        <f t="shared" si="18"/>
        <v>2880</v>
      </c>
      <c r="H186" s="39">
        <f t="shared" si="18"/>
        <v>2880</v>
      </c>
      <c r="I186" s="39">
        <f t="shared" si="18"/>
        <v>2880</v>
      </c>
      <c r="J186" s="39">
        <f t="shared" si="18"/>
        <v>2880</v>
      </c>
      <c r="K186" s="39">
        <f t="shared" si="18"/>
        <v>2880</v>
      </c>
      <c r="L186" s="40">
        <f t="shared" si="18"/>
        <v>2040</v>
      </c>
      <c r="M186" s="40">
        <f t="shared" si="18"/>
        <v>780</v>
      </c>
      <c r="N186" s="40">
        <f t="shared" si="18"/>
        <v>14580</v>
      </c>
      <c r="O186" s="40">
        <f t="shared" si="18"/>
        <v>12900</v>
      </c>
      <c r="P186" s="40">
        <f t="shared" si="18"/>
        <v>11220</v>
      </c>
      <c r="Q186" s="40">
        <f t="shared" si="18"/>
        <v>9540</v>
      </c>
      <c r="R186" s="39">
        <f t="shared" si="18"/>
        <v>9540</v>
      </c>
      <c r="S186" s="40">
        <f t="shared" si="18"/>
        <v>7860</v>
      </c>
      <c r="T186" s="40">
        <f t="shared" si="18"/>
        <v>6180</v>
      </c>
      <c r="U186" s="40">
        <f t="shared" si="18"/>
        <v>4500</v>
      </c>
      <c r="V186" s="40">
        <f t="shared" si="18"/>
        <v>2820</v>
      </c>
      <c r="W186" s="40">
        <f t="shared" si="18"/>
        <v>1140</v>
      </c>
      <c r="X186" s="40">
        <f t="shared" si="18"/>
        <v>1210</v>
      </c>
      <c r="Y186" s="39">
        <f t="shared" si="18"/>
        <v>1210</v>
      </c>
      <c r="Z186" s="40">
        <f t="shared" si="18"/>
        <v>2780</v>
      </c>
      <c r="AA186" s="40">
        <f t="shared" si="18"/>
        <v>1100</v>
      </c>
      <c r="AB186" s="40">
        <f t="shared" si="18"/>
        <v>2980</v>
      </c>
      <c r="AC186" s="40">
        <f t="shared" si="18"/>
        <v>1300</v>
      </c>
      <c r="AD186" s="47" t="e">
        <f>IF(#REF!+AD183-AD184&lt;0,0,#REF!+AD183-AD184)</f>
        <v>#REF!</v>
      </c>
      <c r="AE186" s="14"/>
      <c r="AF186" s="14"/>
    </row>
    <row r="187" spans="1:32" customFormat="1" ht="15.75">
      <c r="A187" s="146" t="s">
        <v>10</v>
      </c>
      <c r="B187" s="418" t="s">
        <v>494</v>
      </c>
      <c r="C187" s="13"/>
      <c r="D187" s="71"/>
      <c r="E187" s="55"/>
      <c r="F187" s="83"/>
      <c r="G187" s="48"/>
      <c r="H187" s="48"/>
      <c r="I187" s="48"/>
      <c r="J187" s="55"/>
      <c r="K187" s="13"/>
      <c r="L187" s="116" t="s">
        <v>994</v>
      </c>
      <c r="M187" s="446"/>
      <c r="N187" s="14"/>
      <c r="O187" s="82"/>
      <c r="P187" s="113"/>
      <c r="Q187" s="113"/>
      <c r="R187" s="55"/>
      <c r="S187" s="14"/>
      <c r="T187" s="24"/>
      <c r="U187" s="24"/>
      <c r="V187" s="24"/>
      <c r="W187" s="418" t="s">
        <v>494</v>
      </c>
      <c r="X187" s="55"/>
      <c r="Y187" s="13"/>
      <c r="Z187" s="55"/>
      <c r="AA187" s="55"/>
      <c r="AB187" s="55"/>
      <c r="AC187" s="13"/>
      <c r="AD187" s="97"/>
      <c r="AE187" s="14"/>
      <c r="AF187" s="14"/>
    </row>
    <row r="188" spans="1:32" customFormat="1" ht="15.75">
      <c r="A188" s="147" t="s">
        <v>11</v>
      </c>
      <c r="B188" s="489" t="s">
        <v>997</v>
      </c>
      <c r="C188" s="13"/>
      <c r="D188" s="72"/>
      <c r="E188" s="55"/>
      <c r="F188" s="72"/>
      <c r="G188" s="15"/>
      <c r="H188" s="15"/>
      <c r="I188" s="15"/>
      <c r="J188" s="55"/>
      <c r="K188" s="13"/>
      <c r="L188" s="489" t="s">
        <v>998</v>
      </c>
      <c r="M188" s="85"/>
      <c r="N188" s="14"/>
      <c r="O188" s="33"/>
      <c r="P188" s="50"/>
      <c r="Q188" s="50"/>
      <c r="R188" s="55"/>
      <c r="S188" s="14"/>
      <c r="T188" s="24"/>
      <c r="U188" s="24"/>
      <c r="V188" s="24"/>
      <c r="W188" s="93" t="s">
        <v>684</v>
      </c>
      <c r="X188" s="55"/>
      <c r="Y188" s="13"/>
      <c r="Z188" s="55"/>
      <c r="AA188" s="55"/>
      <c r="AB188" s="55"/>
      <c r="AC188" s="13"/>
      <c r="AD188" s="98"/>
      <c r="AE188" s="14"/>
      <c r="AF188" s="14"/>
    </row>
    <row r="189" spans="1:32" customFormat="1" ht="15.75">
      <c r="A189" s="148" t="s">
        <v>12</v>
      </c>
      <c r="B189" s="49"/>
      <c r="C189" s="13"/>
      <c r="D189" s="84"/>
      <c r="E189" s="55"/>
      <c r="F189" s="84"/>
      <c r="G189" s="15"/>
      <c r="H189" s="15"/>
      <c r="I189" s="15"/>
      <c r="J189" s="55"/>
      <c r="K189" s="13"/>
      <c r="L189" s="486"/>
      <c r="M189" s="16"/>
      <c r="N189" s="14"/>
      <c r="O189" s="33"/>
      <c r="P189" s="50"/>
      <c r="Q189" s="50"/>
      <c r="R189" s="55"/>
      <c r="S189" s="14"/>
      <c r="T189" s="24"/>
      <c r="U189" s="24"/>
      <c r="V189" s="24"/>
      <c r="W189" s="418" t="str">
        <f>VLOOKUP(W195,'[3]2018-11-16'!$A:$D,4,0)</f>
        <v>基本型體</v>
      </c>
      <c r="X189" s="55"/>
      <c r="Y189" s="13"/>
      <c r="Z189" s="55"/>
      <c r="AA189" s="55"/>
      <c r="AB189" s="55"/>
      <c r="AC189" s="13"/>
      <c r="AD189" s="98"/>
      <c r="AE189" s="14"/>
      <c r="AF189" s="14"/>
    </row>
    <row r="190" spans="1:32" customFormat="1" ht="15.75">
      <c r="A190" s="149" t="s">
        <v>13</v>
      </c>
      <c r="B190" s="317" t="s">
        <v>990</v>
      </c>
      <c r="C190" s="13"/>
      <c r="D190" s="74"/>
      <c r="E190" s="55"/>
      <c r="F190" s="74"/>
      <c r="G190" s="15"/>
      <c r="H190" s="15"/>
      <c r="I190" s="15"/>
      <c r="J190" s="55"/>
      <c r="K190" s="13"/>
      <c r="L190" s="487" t="s">
        <v>990</v>
      </c>
      <c r="M190" s="18"/>
      <c r="N190" s="14"/>
      <c r="O190" s="33"/>
      <c r="P190" s="50"/>
      <c r="Q190" s="50"/>
      <c r="R190" s="55"/>
      <c r="S190" s="14"/>
      <c r="T190" s="24"/>
      <c r="U190" s="24"/>
      <c r="V190" s="24"/>
      <c r="W190" s="19" t="e">
        <f>VLOOKUP(W188,'[4]2019-01'!$A$3:$G$2159,7,0)</f>
        <v>#N/A</v>
      </c>
      <c r="X190" s="55"/>
      <c r="Y190" s="13"/>
      <c r="Z190" s="55"/>
      <c r="AA190" s="55"/>
      <c r="AB190" s="55"/>
      <c r="AC190" s="13"/>
      <c r="AD190" s="98"/>
      <c r="AE190" s="14"/>
      <c r="AF190" s="14"/>
    </row>
    <row r="191" spans="1:32" customFormat="1" ht="15.75">
      <c r="A191" s="150" t="s">
        <v>15</v>
      </c>
      <c r="B191" s="418" t="s">
        <v>65</v>
      </c>
      <c r="C191" s="13"/>
      <c r="D191" s="75"/>
      <c r="E191" s="55"/>
      <c r="F191" s="75"/>
      <c r="G191" s="15"/>
      <c r="H191" s="15"/>
      <c r="I191" s="15"/>
      <c r="J191" s="55"/>
      <c r="K191" s="13"/>
      <c r="L191" s="119" t="s">
        <v>65</v>
      </c>
      <c r="M191" s="20"/>
      <c r="N191" s="14"/>
      <c r="O191" s="33"/>
      <c r="P191" s="50"/>
      <c r="Q191" s="50"/>
      <c r="R191" s="55"/>
      <c r="S191" s="14"/>
      <c r="T191" s="24"/>
      <c r="U191" s="24"/>
      <c r="V191" s="24"/>
      <c r="W191" s="418" t="s">
        <v>65</v>
      </c>
      <c r="X191" s="55"/>
      <c r="Y191" s="13"/>
      <c r="Z191" s="55"/>
      <c r="AA191" s="55"/>
      <c r="AB191" s="55"/>
      <c r="AC191" s="13"/>
      <c r="AD191" s="98"/>
      <c r="AE191" s="14"/>
      <c r="AF191" s="14"/>
    </row>
    <row r="192" spans="1:32" customFormat="1" ht="15.75">
      <c r="A192" s="151" t="s">
        <v>17</v>
      </c>
      <c r="B192" s="480"/>
      <c r="C192" s="13"/>
      <c r="D192" s="76"/>
      <c r="E192" s="55"/>
      <c r="F192" s="76"/>
      <c r="G192" s="15"/>
      <c r="H192" s="15"/>
      <c r="I192" s="15"/>
      <c r="J192" s="55"/>
      <c r="K192" s="13"/>
      <c r="L192" s="485" t="s">
        <v>993</v>
      </c>
      <c r="M192" s="86"/>
      <c r="N192" s="14"/>
      <c r="O192" s="33"/>
      <c r="P192" s="50"/>
      <c r="Q192" s="50"/>
      <c r="R192" s="55"/>
      <c r="S192" s="14"/>
      <c r="T192" s="24"/>
      <c r="U192" s="24"/>
      <c r="V192" s="24"/>
      <c r="W192" s="391" t="s">
        <v>493</v>
      </c>
      <c r="X192" s="55"/>
      <c r="Y192" s="13"/>
      <c r="Z192" s="55"/>
      <c r="AA192" s="55"/>
      <c r="AB192" s="55"/>
      <c r="AC192" s="13"/>
      <c r="AD192" s="98"/>
      <c r="AE192" s="14"/>
      <c r="AF192" s="14"/>
    </row>
    <row r="193" spans="1:32" customFormat="1" ht="15.75">
      <c r="A193" s="152" t="s">
        <v>18</v>
      </c>
      <c r="B193" s="479"/>
      <c r="C193" s="13"/>
      <c r="D193" s="77"/>
      <c r="E193" s="55"/>
      <c r="F193" s="77"/>
      <c r="G193" s="15"/>
      <c r="H193" s="15"/>
      <c r="I193" s="15"/>
      <c r="J193" s="55"/>
      <c r="K193" s="13"/>
      <c r="L193" s="484"/>
      <c r="M193" s="22"/>
      <c r="N193" s="14"/>
      <c r="O193" s="33"/>
      <c r="P193" s="50"/>
      <c r="Q193" s="50"/>
      <c r="R193" s="55"/>
      <c r="S193" s="14"/>
      <c r="T193" s="24"/>
      <c r="U193" s="24"/>
      <c r="V193" s="24"/>
      <c r="W193" s="23"/>
      <c r="X193" s="55"/>
      <c r="Y193" s="13"/>
      <c r="Z193" s="55"/>
      <c r="AA193" s="55"/>
      <c r="AB193" s="55"/>
      <c r="AC193" s="13"/>
      <c r="AD193" s="98"/>
      <c r="AE193" s="14"/>
      <c r="AF193" s="14"/>
    </row>
    <row r="194" spans="1:32" customFormat="1">
      <c r="A194" s="146" t="s">
        <v>20</v>
      </c>
      <c r="B194" s="24"/>
      <c r="C194" s="13"/>
      <c r="D194" s="71"/>
      <c r="E194" s="55"/>
      <c r="F194" s="71"/>
      <c r="G194" s="15"/>
      <c r="H194" s="15"/>
      <c r="I194" s="15"/>
      <c r="J194" s="55"/>
      <c r="K194" s="13"/>
      <c r="L194" s="389"/>
      <c r="M194" s="12"/>
      <c r="N194" s="14"/>
      <c r="O194" s="33"/>
      <c r="P194" s="50"/>
      <c r="Q194" s="50"/>
      <c r="R194" s="55"/>
      <c r="S194" s="14"/>
      <c r="T194" s="24"/>
      <c r="U194" s="24"/>
      <c r="V194" s="24"/>
      <c r="W194" s="24">
        <v>1</v>
      </c>
      <c r="X194" s="55"/>
      <c r="Y194" s="13"/>
      <c r="Z194" s="55"/>
      <c r="AA194" s="55"/>
      <c r="AB194" s="55"/>
      <c r="AC194" s="13"/>
      <c r="AD194" s="98"/>
      <c r="AE194" s="14"/>
      <c r="AF194" s="14"/>
    </row>
    <row r="195" spans="1:32" customFormat="1" ht="18.75">
      <c r="A195" s="153" t="s">
        <v>21</v>
      </c>
      <c r="B195" s="418" t="s">
        <v>426</v>
      </c>
      <c r="C195" s="13"/>
      <c r="D195" s="73"/>
      <c r="E195" s="55"/>
      <c r="F195" s="73"/>
      <c r="G195" s="15"/>
      <c r="H195" s="15"/>
      <c r="I195" s="15"/>
      <c r="J195" s="55"/>
      <c r="K195" s="13"/>
      <c r="L195" s="119" t="s">
        <v>426</v>
      </c>
      <c r="M195" s="25"/>
      <c r="N195" s="14"/>
      <c r="O195" s="33"/>
      <c r="P195" s="50"/>
      <c r="Q195" s="50"/>
      <c r="R195" s="55"/>
      <c r="S195" s="14"/>
      <c r="T195" s="24"/>
      <c r="U195" s="24"/>
      <c r="V195" s="24"/>
      <c r="W195" s="418" t="s">
        <v>507</v>
      </c>
      <c r="X195" s="490" t="s">
        <v>518</v>
      </c>
      <c r="Y195" s="13"/>
      <c r="Z195" s="55"/>
      <c r="AA195" s="55"/>
      <c r="AB195" s="55"/>
      <c r="AC195" s="13"/>
      <c r="AD195" s="98"/>
      <c r="AE195" s="14"/>
      <c r="AF195" s="14"/>
    </row>
    <row r="196" spans="1:32" customFormat="1">
      <c r="A196" s="154" t="s">
        <v>22</v>
      </c>
      <c r="B196" s="24"/>
      <c r="C196" s="13"/>
      <c r="D196" s="78"/>
      <c r="E196" s="55"/>
      <c r="F196" s="78"/>
      <c r="G196" s="15"/>
      <c r="H196" s="15"/>
      <c r="I196" s="15"/>
      <c r="J196" s="55"/>
      <c r="K196" s="13"/>
      <c r="L196" s="483"/>
      <c r="M196" s="26"/>
      <c r="N196" s="14"/>
      <c r="O196" s="33"/>
      <c r="P196" s="50"/>
      <c r="Q196" s="50"/>
      <c r="R196" s="55"/>
      <c r="S196" s="14"/>
      <c r="T196" s="24"/>
      <c r="U196" s="24"/>
      <c r="V196" s="24"/>
      <c r="W196" s="27" t="s">
        <v>996</v>
      </c>
      <c r="X196" s="55"/>
      <c r="Y196" s="13"/>
      <c r="Z196" s="55"/>
      <c r="AA196" s="55"/>
      <c r="AB196" s="55"/>
      <c r="AC196" s="13"/>
      <c r="AD196" s="98"/>
      <c r="AE196" s="14"/>
      <c r="AF196" s="14"/>
    </row>
    <row r="197" spans="1:32" customFormat="1" ht="15.75">
      <c r="A197" s="153" t="s">
        <v>23</v>
      </c>
      <c r="B197" s="418">
        <v>1452</v>
      </c>
      <c r="C197" s="13"/>
      <c r="D197" s="73"/>
      <c r="E197" s="55"/>
      <c r="F197" s="73"/>
      <c r="G197" s="15"/>
      <c r="H197" s="15"/>
      <c r="I197" s="15"/>
      <c r="J197" s="55"/>
      <c r="K197" s="13"/>
      <c r="L197" s="119">
        <v>9600</v>
      </c>
      <c r="M197" s="25"/>
      <c r="N197" s="14"/>
      <c r="O197" s="33"/>
      <c r="P197" s="50"/>
      <c r="Q197" s="50"/>
      <c r="R197" s="55"/>
      <c r="S197" s="14"/>
      <c r="T197" s="24"/>
      <c r="U197" s="24"/>
      <c r="V197" s="24"/>
      <c r="W197" s="418">
        <f>7572-'T01'!AD196</f>
        <v>2556</v>
      </c>
      <c r="X197" s="55"/>
      <c r="Y197" s="13"/>
      <c r="Z197" s="55"/>
      <c r="AA197" s="55"/>
      <c r="AB197" s="55"/>
      <c r="AC197" s="13"/>
      <c r="AD197" s="98"/>
      <c r="AE197" s="14"/>
      <c r="AF197" s="14"/>
    </row>
    <row r="198" spans="1:32" customFormat="1" ht="12.75" customHeight="1">
      <c r="A198" s="155" t="s">
        <v>24</v>
      </c>
      <c r="B198" s="87"/>
      <c r="C198" s="13"/>
      <c r="D198" s="79"/>
      <c r="E198" s="55"/>
      <c r="F198" s="79"/>
      <c r="G198" s="15"/>
      <c r="H198" s="15"/>
      <c r="I198" s="15"/>
      <c r="J198" s="55"/>
      <c r="K198" s="13"/>
      <c r="L198" s="221"/>
      <c r="M198" s="28"/>
      <c r="N198" s="14"/>
      <c r="O198" s="33"/>
      <c r="P198" s="50"/>
      <c r="Q198" s="50"/>
      <c r="R198" s="55"/>
      <c r="S198" s="14"/>
      <c r="T198" s="24"/>
      <c r="U198" s="24"/>
      <c r="V198" s="24"/>
      <c r="W198" s="427" t="s">
        <v>107</v>
      </c>
      <c r="X198" s="55"/>
      <c r="Y198" s="13"/>
      <c r="Z198" s="55"/>
      <c r="AA198" s="55"/>
      <c r="AB198" s="55"/>
      <c r="AC198" s="13"/>
      <c r="AD198" s="98"/>
      <c r="AE198" s="14"/>
      <c r="AF198" s="14"/>
    </row>
    <row r="199" spans="1:32" customFormat="1" ht="15.75">
      <c r="A199" s="128" t="s">
        <v>25</v>
      </c>
      <c r="B199" s="21">
        <v>43521</v>
      </c>
      <c r="C199" s="13"/>
      <c r="D199" s="58"/>
      <c r="E199" s="55"/>
      <c r="F199" s="318"/>
      <c r="G199" s="15"/>
      <c r="H199" s="318"/>
      <c r="I199" s="318"/>
      <c r="J199" s="55"/>
      <c r="K199" s="13"/>
      <c r="L199" s="482">
        <v>43521</v>
      </c>
      <c r="M199" s="31"/>
      <c r="N199" s="14"/>
      <c r="O199" s="33"/>
      <c r="P199" s="50"/>
      <c r="Q199" s="50"/>
      <c r="R199" s="55"/>
      <c r="S199" s="14"/>
      <c r="T199" s="24"/>
      <c r="U199" s="24"/>
      <c r="V199" s="24"/>
      <c r="W199" s="32">
        <v>43551</v>
      </c>
      <c r="X199" s="55"/>
      <c r="Y199" s="13"/>
      <c r="Z199" s="55"/>
      <c r="AA199" s="55"/>
      <c r="AB199" s="55"/>
      <c r="AC199" s="13"/>
      <c r="AD199" s="98"/>
      <c r="AE199" s="14"/>
      <c r="AF199" s="14"/>
    </row>
    <row r="200" spans="1:32" customFormat="1" ht="15.75">
      <c r="A200" s="146" t="s">
        <v>27</v>
      </c>
      <c r="B200" s="91" t="s">
        <v>29</v>
      </c>
      <c r="C200" s="13"/>
      <c r="D200" s="71"/>
      <c r="E200" s="55"/>
      <c r="F200" s="71"/>
      <c r="G200" s="15"/>
      <c r="H200" s="15"/>
      <c r="I200" s="15"/>
      <c r="J200" s="55"/>
      <c r="K200" s="13"/>
      <c r="L200" s="481" t="s">
        <v>29</v>
      </c>
      <c r="M200" s="12"/>
      <c r="N200" s="14"/>
      <c r="O200" s="33"/>
      <c r="P200" s="50"/>
      <c r="Q200" s="50"/>
      <c r="R200" s="55"/>
      <c r="S200" s="14"/>
      <c r="T200" s="24"/>
      <c r="U200" s="24"/>
      <c r="V200" s="24"/>
      <c r="W200" s="31" t="s">
        <v>28</v>
      </c>
      <c r="X200" s="55"/>
      <c r="Y200" s="13"/>
      <c r="Z200" s="55"/>
      <c r="AA200" s="55"/>
      <c r="AB200" s="55"/>
      <c r="AC200" s="13"/>
      <c r="AD200" s="98"/>
      <c r="AE200" s="14"/>
      <c r="AF200" s="14"/>
    </row>
    <row r="201" spans="1:32" customFormat="1" ht="14.25" customHeight="1">
      <c r="A201" s="146" t="s">
        <v>10</v>
      </c>
      <c r="B201" s="14"/>
      <c r="C201" s="13"/>
      <c r="D201" s="71"/>
      <c r="E201" s="88"/>
      <c r="F201" s="71"/>
      <c r="G201" s="15"/>
      <c r="H201" s="15"/>
      <c r="I201" s="15"/>
      <c r="J201" s="13"/>
      <c r="K201" s="13"/>
      <c r="L201" s="119" t="s">
        <v>994</v>
      </c>
      <c r="M201" s="12"/>
      <c r="N201" s="14"/>
      <c r="O201" s="33"/>
      <c r="P201" s="50"/>
      <c r="Q201" s="50"/>
      <c r="R201" s="55"/>
      <c r="S201" s="14"/>
      <c r="T201" s="427"/>
      <c r="U201" s="24"/>
      <c r="V201" s="24"/>
      <c r="W201" s="24"/>
      <c r="X201" s="55"/>
      <c r="Y201" s="13"/>
      <c r="Z201" s="55"/>
      <c r="AA201" s="71"/>
      <c r="AB201" s="13"/>
      <c r="AC201" s="13"/>
      <c r="AD201" s="98"/>
      <c r="AE201" s="14"/>
      <c r="AF201" s="14"/>
    </row>
    <row r="202" spans="1:32" customFormat="1">
      <c r="A202" s="147" t="s">
        <v>11</v>
      </c>
      <c r="B202" s="14"/>
      <c r="C202" s="13"/>
      <c r="D202" s="72"/>
      <c r="E202" s="88"/>
      <c r="F202" s="72"/>
      <c r="G202" s="15"/>
      <c r="H202" s="15"/>
      <c r="I202" s="15"/>
      <c r="J202" s="13"/>
      <c r="K202" s="13"/>
      <c r="L202" s="489" t="s">
        <v>999</v>
      </c>
      <c r="M202" s="85"/>
      <c r="N202" s="14"/>
      <c r="O202" s="33"/>
      <c r="P202" s="50"/>
      <c r="Q202" s="50"/>
      <c r="R202" s="55"/>
      <c r="S202" s="14"/>
      <c r="T202" s="427"/>
      <c r="U202" s="24"/>
      <c r="V202" s="24"/>
      <c r="W202" s="24"/>
      <c r="X202" s="55"/>
      <c r="Y202" s="13"/>
      <c r="Z202" s="55"/>
      <c r="AA202" s="72"/>
      <c r="AB202" s="13"/>
      <c r="AC202" s="13"/>
      <c r="AD202" s="98"/>
      <c r="AE202" s="14"/>
      <c r="AF202" s="14"/>
    </row>
    <row r="203" spans="1:32" customFormat="1" ht="15.75">
      <c r="A203" s="148" t="s">
        <v>12</v>
      </c>
      <c r="B203" s="14"/>
      <c r="C203" s="13"/>
      <c r="D203" s="84"/>
      <c r="E203" s="88"/>
      <c r="F203" s="84"/>
      <c r="G203" s="15"/>
      <c r="H203" s="15"/>
      <c r="I203" s="15"/>
      <c r="J203" s="13"/>
      <c r="K203" s="13"/>
      <c r="L203" s="486"/>
      <c r="M203" s="16"/>
      <c r="N203" s="14"/>
      <c r="O203" s="33"/>
      <c r="P203" s="50"/>
      <c r="Q203" s="50"/>
      <c r="R203" s="55"/>
      <c r="S203" s="14"/>
      <c r="T203" s="427"/>
      <c r="U203" s="24"/>
      <c r="V203" s="24"/>
      <c r="W203" s="24"/>
      <c r="X203" s="55"/>
      <c r="Y203" s="13"/>
      <c r="Z203" s="55"/>
      <c r="AA203" s="84"/>
      <c r="AB203" s="13"/>
      <c r="AC203" s="13"/>
      <c r="AD203" s="98"/>
      <c r="AE203" s="14"/>
      <c r="AF203" s="14"/>
    </row>
    <row r="204" spans="1:32" customFormat="1" ht="15.75">
      <c r="A204" s="149" t="s">
        <v>13</v>
      </c>
      <c r="B204" s="14"/>
      <c r="C204" s="13"/>
      <c r="D204" s="74"/>
      <c r="E204" s="88"/>
      <c r="F204" s="74"/>
      <c r="G204" s="15"/>
      <c r="H204" s="15"/>
      <c r="I204" s="15"/>
      <c r="J204" s="13"/>
      <c r="K204" s="13"/>
      <c r="L204" s="487" t="s">
        <v>990</v>
      </c>
      <c r="M204" s="18"/>
      <c r="N204" s="14"/>
      <c r="O204" s="33"/>
      <c r="P204" s="50"/>
      <c r="Q204" s="50"/>
      <c r="R204" s="55"/>
      <c r="S204" s="14"/>
      <c r="T204" s="427"/>
      <c r="U204" s="24"/>
      <c r="V204" s="24"/>
      <c r="W204" s="24"/>
      <c r="X204" s="55"/>
      <c r="Y204" s="13"/>
      <c r="Z204" s="55"/>
      <c r="AA204" s="74"/>
      <c r="AB204" s="13"/>
      <c r="AC204" s="13"/>
      <c r="AD204" s="98"/>
      <c r="AE204" s="14"/>
      <c r="AF204" s="14"/>
    </row>
    <row r="205" spans="1:32" customFormat="1" ht="15.75">
      <c r="A205" s="150" t="s">
        <v>15</v>
      </c>
      <c r="B205" s="14"/>
      <c r="C205" s="13"/>
      <c r="D205" s="75"/>
      <c r="E205" s="88"/>
      <c r="F205" s="75"/>
      <c r="G205" s="15"/>
      <c r="H205" s="15"/>
      <c r="I205" s="15"/>
      <c r="J205" s="13"/>
      <c r="K205" s="13"/>
      <c r="L205" s="119" t="s">
        <v>65</v>
      </c>
      <c r="M205" s="20"/>
      <c r="N205" s="14"/>
      <c r="O205" s="33"/>
      <c r="P205" s="50"/>
      <c r="Q205" s="50"/>
      <c r="R205" s="55"/>
      <c r="S205" s="14"/>
      <c r="T205" s="427"/>
      <c r="U205" s="24"/>
      <c r="V205" s="24"/>
      <c r="W205" s="24"/>
      <c r="X205" s="55"/>
      <c r="Y205" s="13"/>
      <c r="Z205" s="55"/>
      <c r="AA205" s="75"/>
      <c r="AB205" s="13"/>
      <c r="AC205" s="13"/>
      <c r="AD205" s="98"/>
      <c r="AE205" s="14"/>
      <c r="AF205" s="14"/>
    </row>
    <row r="206" spans="1:32" customFormat="1">
      <c r="A206" s="151" t="s">
        <v>17</v>
      </c>
      <c r="B206" s="14"/>
      <c r="C206" s="13"/>
      <c r="D206" s="76"/>
      <c r="E206" s="88"/>
      <c r="F206" s="76"/>
      <c r="G206" s="15"/>
      <c r="H206" s="15"/>
      <c r="I206" s="15"/>
      <c r="J206" s="13"/>
      <c r="K206" s="13"/>
      <c r="L206" s="485" t="s">
        <v>993</v>
      </c>
      <c r="M206" s="86"/>
      <c r="N206" s="14"/>
      <c r="O206" s="33"/>
      <c r="P206" s="50"/>
      <c r="Q206" s="50"/>
      <c r="R206" s="55"/>
      <c r="S206" s="14"/>
      <c r="T206" s="427"/>
      <c r="U206" s="24"/>
      <c r="V206" s="24"/>
      <c r="W206" s="24"/>
      <c r="X206" s="55"/>
      <c r="Y206" s="13"/>
      <c r="Z206" s="55"/>
      <c r="AA206" s="76"/>
      <c r="AB206" s="13"/>
      <c r="AC206" s="13"/>
      <c r="AD206" s="98"/>
      <c r="AE206" s="14"/>
      <c r="AF206" s="14"/>
    </row>
    <row r="207" spans="1:32" customFormat="1" ht="15.75">
      <c r="A207" s="152" t="s">
        <v>18</v>
      </c>
      <c r="B207" s="14"/>
      <c r="C207" s="13"/>
      <c r="D207" s="77"/>
      <c r="E207" s="88"/>
      <c r="F207" s="77"/>
      <c r="G207" s="15"/>
      <c r="H207" s="15"/>
      <c r="I207" s="15"/>
      <c r="J207" s="13"/>
      <c r="K207" s="13"/>
      <c r="L207" s="484" t="s">
        <v>992</v>
      </c>
      <c r="M207" s="22"/>
      <c r="N207" s="14"/>
      <c r="O207" s="33"/>
      <c r="P207" s="50"/>
      <c r="Q207" s="50"/>
      <c r="R207" s="55"/>
      <c r="S207" s="14"/>
      <c r="T207" s="427"/>
      <c r="U207" s="24"/>
      <c r="V207" s="24"/>
      <c r="W207" s="24"/>
      <c r="X207" s="55"/>
      <c r="Y207" s="13"/>
      <c r="Z207" s="55"/>
      <c r="AA207" s="77"/>
      <c r="AB207" s="13"/>
      <c r="AC207" s="13"/>
      <c r="AD207" s="98"/>
      <c r="AE207" s="14"/>
      <c r="AF207" s="14"/>
    </row>
    <row r="208" spans="1:32" customFormat="1">
      <c r="A208" s="146" t="s">
        <v>20</v>
      </c>
      <c r="B208" s="14"/>
      <c r="C208" s="13"/>
      <c r="D208" s="71"/>
      <c r="E208" s="88"/>
      <c r="F208" s="71"/>
      <c r="G208" s="15"/>
      <c r="H208" s="15"/>
      <c r="I208" s="15"/>
      <c r="J208" s="13"/>
      <c r="K208" s="13"/>
      <c r="L208" s="389"/>
      <c r="M208" s="12"/>
      <c r="N208" s="14"/>
      <c r="O208" s="33"/>
      <c r="P208" s="50"/>
      <c r="Q208" s="50"/>
      <c r="R208" s="55"/>
      <c r="S208" s="14"/>
      <c r="T208" s="427"/>
      <c r="U208" s="24"/>
      <c r="V208" s="24"/>
      <c r="W208" s="24"/>
      <c r="X208" s="55"/>
      <c r="Y208" s="13"/>
      <c r="Z208" s="55"/>
      <c r="AA208" s="71"/>
      <c r="AB208" s="13"/>
      <c r="AC208" s="13"/>
      <c r="AD208" s="98"/>
      <c r="AE208" s="14"/>
      <c r="AF208" s="14"/>
    </row>
    <row r="209" spans="1:32" customFormat="1" ht="15.75">
      <c r="A209" s="153" t="s">
        <v>21</v>
      </c>
      <c r="B209" s="14"/>
      <c r="C209" s="13"/>
      <c r="D209" s="73"/>
      <c r="E209" s="88"/>
      <c r="F209" s="73"/>
      <c r="G209" s="15"/>
      <c r="H209" s="15"/>
      <c r="I209" s="15"/>
      <c r="J209" s="13"/>
      <c r="K209" s="13"/>
      <c r="L209" s="119" t="s">
        <v>426</v>
      </c>
      <c r="M209" s="25"/>
      <c r="N209" s="14"/>
      <c r="O209" s="33"/>
      <c r="P209" s="50"/>
      <c r="Q209" s="50"/>
      <c r="R209" s="55"/>
      <c r="S209" s="14"/>
      <c r="T209" s="427"/>
      <c r="U209" s="24"/>
      <c r="V209" s="24"/>
      <c r="W209" s="24"/>
      <c r="X209" s="55"/>
      <c r="Y209" s="13"/>
      <c r="Z209" s="55"/>
      <c r="AA209" s="73"/>
      <c r="AB209" s="13"/>
      <c r="AC209" s="13"/>
      <c r="AD209" s="98"/>
      <c r="AE209" s="14"/>
      <c r="AF209" s="14"/>
    </row>
    <row r="210" spans="1:32" customFormat="1">
      <c r="A210" s="154" t="s">
        <v>22</v>
      </c>
      <c r="B210" s="14"/>
      <c r="C210" s="13"/>
      <c r="D210" s="78"/>
      <c r="E210" s="88"/>
      <c r="F210" s="78"/>
      <c r="G210" s="15"/>
      <c r="H210" s="15"/>
      <c r="I210" s="15"/>
      <c r="J210" s="13"/>
      <c r="K210" s="13"/>
      <c r="L210" s="483"/>
      <c r="M210" s="26"/>
      <c r="N210" s="14"/>
      <c r="O210" s="33"/>
      <c r="P210" s="50"/>
      <c r="Q210" s="50"/>
      <c r="R210" s="55"/>
      <c r="S210" s="14"/>
      <c r="T210" s="427"/>
      <c r="U210" s="24"/>
      <c r="V210" s="24"/>
      <c r="W210" s="24"/>
      <c r="X210" s="55"/>
      <c r="Y210" s="13"/>
      <c r="Z210" s="55"/>
      <c r="AA210" s="78"/>
      <c r="AB210" s="13"/>
      <c r="AC210" s="13"/>
      <c r="AD210" s="98"/>
      <c r="AE210" s="14"/>
      <c r="AF210" s="14"/>
    </row>
    <row r="211" spans="1:32" customFormat="1" ht="15.75">
      <c r="A211" s="153" t="s">
        <v>23</v>
      </c>
      <c r="B211" s="14"/>
      <c r="C211" s="13"/>
      <c r="D211" s="73"/>
      <c r="E211" s="88"/>
      <c r="F211" s="73"/>
      <c r="G211" s="15"/>
      <c r="H211" s="15"/>
      <c r="I211" s="15"/>
      <c r="J211" s="13"/>
      <c r="K211" s="13"/>
      <c r="L211" s="119">
        <v>5400</v>
      </c>
      <c r="M211" s="25"/>
      <c r="N211" s="14"/>
      <c r="O211" s="33"/>
      <c r="P211" s="50"/>
      <c r="Q211" s="50"/>
      <c r="R211" s="55"/>
      <c r="S211" s="14"/>
      <c r="T211" s="427"/>
      <c r="U211" s="24"/>
      <c r="V211" s="24"/>
      <c r="W211" s="24"/>
      <c r="X211" s="55"/>
      <c r="Y211" s="13"/>
      <c r="Z211" s="55"/>
      <c r="AA211" s="73"/>
      <c r="AB211" s="13"/>
      <c r="AC211" s="13"/>
      <c r="AD211" s="98"/>
      <c r="AE211" s="14"/>
      <c r="AF211" s="14"/>
    </row>
    <row r="212" spans="1:32" customFormat="1" ht="13.5" customHeight="1">
      <c r="A212" s="155" t="s">
        <v>24</v>
      </c>
      <c r="B212" s="14"/>
      <c r="C212" s="13"/>
      <c r="D212" s="79"/>
      <c r="E212" s="88"/>
      <c r="F212" s="79"/>
      <c r="G212" s="15"/>
      <c r="H212" s="15"/>
      <c r="I212" s="15"/>
      <c r="J212" s="13"/>
      <c r="K212" s="13"/>
      <c r="L212" s="221"/>
      <c r="M212" s="28"/>
      <c r="N212" s="14"/>
      <c r="O212" s="33"/>
      <c r="P212" s="50"/>
      <c r="Q212" s="50"/>
      <c r="R212" s="55"/>
      <c r="S212" s="14"/>
      <c r="T212" s="427"/>
      <c r="U212" s="24"/>
      <c r="V212" s="24"/>
      <c r="W212" s="24"/>
      <c r="X212" s="55"/>
      <c r="Y212" s="13"/>
      <c r="Z212" s="55"/>
      <c r="AA212" s="79"/>
      <c r="AB212" s="13"/>
      <c r="AC212" s="13"/>
      <c r="AD212" s="98"/>
      <c r="AE212" s="14"/>
      <c r="AF212" s="14"/>
    </row>
    <row r="213" spans="1:32" customFormat="1" ht="15.75">
      <c r="A213" s="128" t="s">
        <v>25</v>
      </c>
      <c r="B213" s="14"/>
      <c r="C213" s="13"/>
      <c r="D213" s="58"/>
      <c r="E213" s="88"/>
      <c r="F213" s="58"/>
      <c r="G213" s="15"/>
      <c r="H213" s="15"/>
      <c r="I213" s="15"/>
      <c r="J213" s="13"/>
      <c r="K213" s="13"/>
      <c r="L213" s="482">
        <v>43521</v>
      </c>
      <c r="M213" s="31"/>
      <c r="N213" s="14"/>
      <c r="O213" s="33"/>
      <c r="P213" s="50"/>
      <c r="Q213" s="50"/>
      <c r="R213" s="55"/>
      <c r="S213" s="14"/>
      <c r="T213" s="427"/>
      <c r="U213" s="24"/>
      <c r="V213" s="24"/>
      <c r="W213" s="24"/>
      <c r="X213" s="55"/>
      <c r="Y213" s="13"/>
      <c r="Z213" s="55"/>
      <c r="AA213" s="58"/>
      <c r="AB213" s="13"/>
      <c r="AC213" s="13"/>
      <c r="AD213" s="98"/>
      <c r="AE213" s="14"/>
      <c r="AF213" s="14"/>
    </row>
    <row r="214" spans="1:32" customFormat="1" ht="16.5" thickBot="1">
      <c r="A214" s="146" t="s">
        <v>27</v>
      </c>
      <c r="B214" s="14"/>
      <c r="C214" s="13"/>
      <c r="D214" s="71"/>
      <c r="E214" s="88"/>
      <c r="F214" s="71"/>
      <c r="G214" s="15"/>
      <c r="H214" s="15"/>
      <c r="I214" s="15"/>
      <c r="J214" s="13"/>
      <c r="K214" s="13"/>
      <c r="L214" s="488" t="s">
        <v>29</v>
      </c>
      <c r="M214" s="12"/>
      <c r="N214" s="14"/>
      <c r="O214" s="33"/>
      <c r="P214" s="33"/>
      <c r="Q214" s="33"/>
      <c r="R214" s="13"/>
      <c r="S214" s="14"/>
      <c r="T214" s="427"/>
      <c r="U214" s="24"/>
      <c r="V214" s="24"/>
      <c r="W214" s="24"/>
      <c r="X214" s="55"/>
      <c r="Y214" s="13"/>
      <c r="Z214" s="13"/>
      <c r="AA214" s="71"/>
      <c r="AB214" s="13"/>
      <c r="AC214" s="13"/>
      <c r="AD214" s="98"/>
      <c r="AE214" s="14"/>
      <c r="AF214" s="14"/>
    </row>
    <row r="215" spans="1:32" customFormat="1">
      <c r="A215" s="146" t="s">
        <v>10</v>
      </c>
      <c r="B215" s="14"/>
      <c r="C215" s="13"/>
      <c r="D215" s="71"/>
      <c r="E215" s="88"/>
      <c r="F215" s="88"/>
      <c r="G215" s="15"/>
      <c r="H215" s="15"/>
      <c r="I215" s="15"/>
      <c r="J215" s="13"/>
      <c r="K215" s="13"/>
      <c r="L215" s="14"/>
      <c r="M215" s="50"/>
      <c r="N215" s="14"/>
      <c r="O215" s="33"/>
      <c r="P215" s="33"/>
      <c r="Q215" s="33"/>
      <c r="R215" s="13"/>
      <c r="S215" s="14"/>
      <c r="T215" s="24"/>
      <c r="U215" s="24"/>
      <c r="V215" s="24"/>
      <c r="W215" s="24"/>
      <c r="X215" s="24"/>
      <c r="Y215" s="13"/>
      <c r="Z215" s="14"/>
      <c r="AA215" s="50"/>
      <c r="AB215" s="14"/>
      <c r="AC215" s="14"/>
      <c r="AD215" s="98"/>
      <c r="AE215" s="14"/>
      <c r="AF215" s="14"/>
    </row>
    <row r="216" spans="1:32" customFormat="1">
      <c r="A216" s="147" t="s">
        <v>11</v>
      </c>
      <c r="B216" s="14"/>
      <c r="C216" s="13"/>
      <c r="D216" s="72"/>
      <c r="E216" s="88"/>
      <c r="F216" s="88"/>
      <c r="G216" s="15"/>
      <c r="H216" s="15"/>
      <c r="I216" s="15"/>
      <c r="J216" s="13"/>
      <c r="K216" s="13"/>
      <c r="L216" s="14"/>
      <c r="M216" s="50"/>
      <c r="N216" s="14"/>
      <c r="O216" s="33"/>
      <c r="P216" s="33"/>
      <c r="Q216" s="33"/>
      <c r="R216" s="13"/>
      <c r="S216" s="14"/>
      <c r="T216" s="24"/>
      <c r="U216" s="24"/>
      <c r="V216" s="24"/>
      <c r="W216" s="24"/>
      <c r="X216" s="24"/>
      <c r="Y216" s="13"/>
      <c r="Z216" s="14"/>
      <c r="AA216" s="50"/>
      <c r="AB216" s="14"/>
      <c r="AC216" s="14"/>
      <c r="AD216" s="98"/>
      <c r="AE216" s="14"/>
      <c r="AF216" s="14"/>
    </row>
    <row r="217" spans="1:32" customFormat="1" ht="15.75">
      <c r="A217" s="148" t="s">
        <v>12</v>
      </c>
      <c r="B217" s="14"/>
      <c r="C217" s="13"/>
      <c r="D217" s="84"/>
      <c r="E217" s="88"/>
      <c r="F217" s="88"/>
      <c r="G217" s="15"/>
      <c r="H217" s="15"/>
      <c r="I217" s="15"/>
      <c r="J217" s="13"/>
      <c r="K217" s="13"/>
      <c r="L217" s="14"/>
      <c r="M217" s="50"/>
      <c r="N217" s="14"/>
      <c r="O217" s="33"/>
      <c r="P217" s="33"/>
      <c r="Q217" s="33"/>
      <c r="R217" s="13"/>
      <c r="S217" s="14"/>
      <c r="T217" s="24"/>
      <c r="U217" s="24"/>
      <c r="V217" s="24"/>
      <c r="W217" s="24"/>
      <c r="X217" s="24"/>
      <c r="Y217" s="13"/>
      <c r="Z217" s="14"/>
      <c r="AA217" s="50"/>
      <c r="AB217" s="14"/>
      <c r="AC217" s="14"/>
      <c r="AD217" s="98"/>
      <c r="AE217" s="14"/>
      <c r="AF217" s="14"/>
    </row>
    <row r="218" spans="1:32" customFormat="1" ht="15.75">
      <c r="A218" s="149" t="s">
        <v>13</v>
      </c>
      <c r="B218" s="14"/>
      <c r="C218" s="13"/>
      <c r="D218" s="74"/>
      <c r="E218" s="88"/>
      <c r="F218" s="88"/>
      <c r="G218" s="15"/>
      <c r="H218" s="15"/>
      <c r="I218" s="15"/>
      <c r="J218" s="13"/>
      <c r="K218" s="13"/>
      <c r="L218" s="14"/>
      <c r="M218" s="50"/>
      <c r="N218" s="14"/>
      <c r="O218" s="33"/>
      <c r="P218" s="33"/>
      <c r="Q218" s="33"/>
      <c r="R218" s="13"/>
      <c r="S218" s="14"/>
      <c r="T218" s="24"/>
      <c r="U218" s="24"/>
      <c r="V218" s="24"/>
      <c r="W218" s="24"/>
      <c r="X218" s="24"/>
      <c r="Y218" s="13"/>
      <c r="Z218" s="14"/>
      <c r="AA218" s="50"/>
      <c r="AB218" s="14"/>
      <c r="AC218" s="14"/>
      <c r="AD218" s="98"/>
      <c r="AE218" s="14"/>
      <c r="AF218" s="14"/>
    </row>
    <row r="219" spans="1:32" customFormat="1">
      <c r="A219" s="150" t="s">
        <v>15</v>
      </c>
      <c r="B219" s="14"/>
      <c r="C219" s="13"/>
      <c r="D219" s="75"/>
      <c r="E219" s="88"/>
      <c r="F219" s="88"/>
      <c r="G219" s="15"/>
      <c r="H219" s="15"/>
      <c r="I219" s="15"/>
      <c r="J219" s="13"/>
      <c r="K219" s="13"/>
      <c r="L219" s="14"/>
      <c r="M219" s="50"/>
      <c r="N219" s="14"/>
      <c r="O219" s="33"/>
      <c r="P219" s="33"/>
      <c r="Q219" s="33"/>
      <c r="R219" s="13"/>
      <c r="S219" s="14"/>
      <c r="T219" s="24"/>
      <c r="U219" s="24"/>
      <c r="V219" s="24"/>
      <c r="W219" s="24"/>
      <c r="X219" s="24"/>
      <c r="Y219" s="13"/>
      <c r="Z219" s="14"/>
      <c r="AA219" s="50"/>
      <c r="AB219" s="14"/>
      <c r="AC219" s="14"/>
      <c r="AD219" s="98"/>
      <c r="AE219" s="14"/>
      <c r="AF219" s="14"/>
    </row>
    <row r="220" spans="1:32" customFormat="1">
      <c r="A220" s="151" t="s">
        <v>17</v>
      </c>
      <c r="B220" s="14"/>
      <c r="C220" s="13"/>
      <c r="D220" s="76"/>
      <c r="E220" s="88"/>
      <c r="F220" s="88"/>
      <c r="G220" s="15"/>
      <c r="H220" s="15"/>
      <c r="I220" s="15"/>
      <c r="J220" s="13"/>
      <c r="K220" s="13"/>
      <c r="L220" s="14"/>
      <c r="M220" s="50"/>
      <c r="N220" s="14"/>
      <c r="O220" s="33"/>
      <c r="P220" s="33"/>
      <c r="Q220" s="33"/>
      <c r="R220" s="13"/>
      <c r="S220" s="14"/>
      <c r="T220" s="24"/>
      <c r="U220" s="24"/>
      <c r="V220" s="24"/>
      <c r="W220" s="24"/>
      <c r="X220" s="24"/>
      <c r="Y220" s="13"/>
      <c r="Z220" s="14"/>
      <c r="AA220" s="50"/>
      <c r="AB220" s="14"/>
      <c r="AC220" s="14"/>
      <c r="AD220" s="98"/>
      <c r="AE220" s="14"/>
      <c r="AF220" s="14"/>
    </row>
    <row r="221" spans="1:32" customFormat="1" ht="15.75">
      <c r="A221" s="152" t="s">
        <v>18</v>
      </c>
      <c r="B221" s="14"/>
      <c r="C221" s="13"/>
      <c r="D221" s="77"/>
      <c r="E221" s="88"/>
      <c r="F221" s="88"/>
      <c r="G221" s="15"/>
      <c r="H221" s="15"/>
      <c r="I221" s="15"/>
      <c r="J221" s="13"/>
      <c r="K221" s="13"/>
      <c r="L221" s="14"/>
      <c r="M221" s="50"/>
      <c r="N221" s="14"/>
      <c r="O221" s="33"/>
      <c r="P221" s="33"/>
      <c r="Q221" s="33"/>
      <c r="R221" s="13"/>
      <c r="S221" s="14"/>
      <c r="T221" s="24"/>
      <c r="U221" s="24"/>
      <c r="V221" s="24"/>
      <c r="W221" s="24"/>
      <c r="X221" s="24"/>
      <c r="Y221" s="13"/>
      <c r="Z221" s="14"/>
      <c r="AA221" s="50"/>
      <c r="AB221" s="14"/>
      <c r="AC221" s="14"/>
      <c r="AD221" s="98"/>
      <c r="AE221" s="14"/>
      <c r="AF221" s="14"/>
    </row>
    <row r="222" spans="1:32" customFormat="1">
      <c r="A222" s="146" t="s">
        <v>20</v>
      </c>
      <c r="B222" s="14"/>
      <c r="C222" s="13"/>
      <c r="D222" s="71"/>
      <c r="E222" s="88"/>
      <c r="F222" s="88"/>
      <c r="G222" s="15"/>
      <c r="H222" s="15"/>
      <c r="I222" s="15"/>
      <c r="J222" s="13"/>
      <c r="K222" s="13"/>
      <c r="L222" s="14"/>
      <c r="M222" s="50"/>
      <c r="N222" s="14"/>
      <c r="O222" s="33"/>
      <c r="P222" s="33"/>
      <c r="Q222" s="33"/>
      <c r="R222" s="13"/>
      <c r="S222" s="14"/>
      <c r="T222" s="24"/>
      <c r="U222" s="24"/>
      <c r="V222" s="24"/>
      <c r="W222" s="24"/>
      <c r="X222" s="24"/>
      <c r="Y222" s="13"/>
      <c r="Z222" s="14"/>
      <c r="AA222" s="50"/>
      <c r="AB222" s="14"/>
      <c r="AC222" s="14"/>
      <c r="AD222" s="98"/>
      <c r="AE222" s="14"/>
      <c r="AF222" s="14"/>
    </row>
    <row r="223" spans="1:32" customFormat="1">
      <c r="A223" s="153" t="s">
        <v>21</v>
      </c>
      <c r="B223" s="14"/>
      <c r="C223" s="13"/>
      <c r="D223" s="73"/>
      <c r="E223" s="88"/>
      <c r="F223" s="88"/>
      <c r="G223" s="15"/>
      <c r="H223" s="15"/>
      <c r="I223" s="15"/>
      <c r="J223" s="13"/>
      <c r="K223" s="13"/>
      <c r="L223" s="14"/>
      <c r="M223" s="50"/>
      <c r="N223" s="14"/>
      <c r="O223" s="33"/>
      <c r="P223" s="33"/>
      <c r="Q223" s="33"/>
      <c r="R223" s="13"/>
      <c r="S223" s="14"/>
      <c r="T223" s="24"/>
      <c r="U223" s="24"/>
      <c r="V223" s="24"/>
      <c r="W223" s="24"/>
      <c r="X223" s="24"/>
      <c r="Y223" s="13"/>
      <c r="Z223" s="14"/>
      <c r="AA223" s="50"/>
      <c r="AB223" s="14"/>
      <c r="AC223" s="14"/>
      <c r="AD223" s="98"/>
      <c r="AE223" s="14"/>
      <c r="AF223" s="14"/>
    </row>
    <row r="224" spans="1:32" customFormat="1">
      <c r="A224" s="154" t="s">
        <v>22</v>
      </c>
      <c r="B224" s="14"/>
      <c r="C224" s="13"/>
      <c r="D224" s="78"/>
      <c r="E224" s="88"/>
      <c r="F224" s="88"/>
      <c r="G224" s="15"/>
      <c r="H224" s="15"/>
      <c r="I224" s="15"/>
      <c r="J224" s="13"/>
      <c r="K224" s="13"/>
      <c r="L224" s="14"/>
      <c r="M224" s="50"/>
      <c r="N224" s="14"/>
      <c r="O224" s="33"/>
      <c r="P224" s="33"/>
      <c r="Q224" s="33"/>
      <c r="R224" s="13"/>
      <c r="S224" s="14"/>
      <c r="T224" s="24"/>
      <c r="U224" s="24"/>
      <c r="V224" s="24"/>
      <c r="W224" s="24"/>
      <c r="X224" s="24"/>
      <c r="Y224" s="13"/>
      <c r="Z224" s="14"/>
      <c r="AA224" s="50"/>
      <c r="AB224" s="14"/>
      <c r="AC224" s="14"/>
      <c r="AD224" s="98"/>
      <c r="AE224" s="14"/>
      <c r="AF224" s="14"/>
    </row>
    <row r="225" spans="1:32" customFormat="1">
      <c r="A225" s="153" t="s">
        <v>23</v>
      </c>
      <c r="B225" s="14"/>
      <c r="C225" s="13"/>
      <c r="D225" s="73"/>
      <c r="E225" s="88"/>
      <c r="F225" s="88"/>
      <c r="G225" s="15"/>
      <c r="H225" s="15"/>
      <c r="I225" s="15"/>
      <c r="J225" s="13"/>
      <c r="K225" s="13"/>
      <c r="L225" s="14"/>
      <c r="M225" s="50"/>
      <c r="N225" s="14"/>
      <c r="O225" s="33"/>
      <c r="P225" s="33"/>
      <c r="Q225" s="33"/>
      <c r="R225" s="13"/>
      <c r="S225" s="14"/>
      <c r="T225" s="24"/>
      <c r="U225" s="24"/>
      <c r="V225" s="24"/>
      <c r="W225" s="24"/>
      <c r="X225" s="24"/>
      <c r="Y225" s="13"/>
      <c r="Z225" s="14"/>
      <c r="AA225" s="50"/>
      <c r="AB225" s="14"/>
      <c r="AC225" s="14"/>
      <c r="AD225" s="98"/>
      <c r="AE225" s="14"/>
      <c r="AF225" s="14"/>
    </row>
    <row r="226" spans="1:32" customFormat="1" ht="14.25" customHeight="1">
      <c r="A226" s="155" t="s">
        <v>24</v>
      </c>
      <c r="B226" s="14"/>
      <c r="C226" s="13"/>
      <c r="D226" s="79"/>
      <c r="E226" s="88"/>
      <c r="F226" s="88"/>
      <c r="G226" s="15"/>
      <c r="H226" s="15"/>
      <c r="I226" s="15"/>
      <c r="J226" s="13"/>
      <c r="K226" s="13"/>
      <c r="L226" s="14"/>
      <c r="M226" s="50"/>
      <c r="N226" s="14"/>
      <c r="O226" s="33"/>
      <c r="P226" s="33"/>
      <c r="Q226" s="33"/>
      <c r="R226" s="13"/>
      <c r="S226" s="14"/>
      <c r="T226" s="24"/>
      <c r="U226" s="24"/>
      <c r="V226" s="24"/>
      <c r="W226" s="24"/>
      <c r="X226" s="24"/>
      <c r="Y226" s="13"/>
      <c r="Z226" s="14"/>
      <c r="AA226" s="50"/>
      <c r="AB226" s="14"/>
      <c r="AC226" s="14"/>
      <c r="AD226" s="98"/>
      <c r="AE226" s="14"/>
      <c r="AF226" s="14"/>
    </row>
    <row r="227" spans="1:32" customFormat="1">
      <c r="A227" s="128" t="s">
        <v>25</v>
      </c>
      <c r="B227" s="14"/>
      <c r="C227" s="13"/>
      <c r="D227" s="58"/>
      <c r="E227" s="88"/>
      <c r="F227" s="88"/>
      <c r="G227" s="15"/>
      <c r="H227" s="15"/>
      <c r="I227" s="15"/>
      <c r="J227" s="13"/>
      <c r="K227" s="13"/>
      <c r="L227" s="14"/>
      <c r="M227" s="50"/>
      <c r="N227" s="14"/>
      <c r="O227" s="33"/>
      <c r="P227" s="33"/>
      <c r="Q227" s="33"/>
      <c r="R227" s="13"/>
      <c r="S227" s="14"/>
      <c r="T227" s="24"/>
      <c r="U227" s="24"/>
      <c r="V227" s="24"/>
      <c r="W227" s="24"/>
      <c r="X227" s="24"/>
      <c r="Y227" s="13"/>
      <c r="Z227" s="14"/>
      <c r="AA227" s="50"/>
      <c r="AB227" s="14"/>
      <c r="AC227" s="14"/>
      <c r="AD227" s="98"/>
      <c r="AE227" s="14"/>
      <c r="AF227" s="14"/>
    </row>
    <row r="228" spans="1:32" customFormat="1">
      <c r="A228" s="146" t="s">
        <v>27</v>
      </c>
      <c r="B228" s="14"/>
      <c r="C228" s="13"/>
      <c r="D228" s="71"/>
      <c r="E228" s="88"/>
      <c r="F228" s="88"/>
      <c r="G228" s="15"/>
      <c r="H228" s="15"/>
      <c r="I228" s="15"/>
      <c r="J228" s="13"/>
      <c r="K228" s="13"/>
      <c r="L228" s="14"/>
      <c r="M228" s="50"/>
      <c r="N228" s="14"/>
      <c r="O228" s="33"/>
      <c r="P228" s="33"/>
      <c r="Q228" s="33"/>
      <c r="R228" s="13"/>
      <c r="S228" s="14"/>
      <c r="T228" s="24"/>
      <c r="U228" s="14"/>
      <c r="V228" s="33"/>
      <c r="W228" s="14"/>
      <c r="X228" s="14"/>
      <c r="Y228" s="13"/>
      <c r="Z228" s="14"/>
      <c r="AA228" s="50"/>
      <c r="AB228" s="14"/>
      <c r="AC228" s="14"/>
      <c r="AD228" s="98"/>
      <c r="AE228" s="14"/>
      <c r="AF228" s="14"/>
    </row>
    <row r="229" spans="1:32" customFormat="1">
      <c r="A229" s="146" t="s">
        <v>10</v>
      </c>
      <c r="B229" s="14"/>
      <c r="C229" s="13"/>
      <c r="D229" s="15"/>
      <c r="E229" s="15"/>
      <c r="F229" s="15"/>
      <c r="G229" s="15"/>
      <c r="H229" s="15"/>
      <c r="I229" s="15"/>
      <c r="J229" s="13"/>
      <c r="K229" s="13"/>
      <c r="L229" s="14"/>
      <c r="M229" s="33"/>
      <c r="N229" s="14"/>
      <c r="O229" s="33"/>
      <c r="P229" s="33"/>
      <c r="Q229" s="33"/>
      <c r="R229" s="13"/>
      <c r="S229" s="14"/>
      <c r="T229" s="33"/>
      <c r="U229" s="14"/>
      <c r="V229" s="33"/>
      <c r="W229" s="14"/>
      <c r="X229" s="14"/>
      <c r="Y229" s="13"/>
      <c r="Z229" s="14"/>
      <c r="AA229" s="33"/>
      <c r="AB229" s="14"/>
      <c r="AC229" s="14"/>
      <c r="AD229" s="98"/>
      <c r="AE229" s="14"/>
      <c r="AF229" s="14"/>
    </row>
    <row r="230" spans="1:32" customFormat="1">
      <c r="A230" s="147" t="s">
        <v>11</v>
      </c>
      <c r="B230" s="14"/>
      <c r="C230" s="13"/>
      <c r="D230" s="15"/>
      <c r="E230" s="15"/>
      <c r="F230" s="15"/>
      <c r="G230" s="15"/>
      <c r="H230" s="15"/>
      <c r="I230" s="15"/>
      <c r="J230" s="13"/>
      <c r="K230" s="13"/>
      <c r="L230" s="14"/>
      <c r="M230" s="33"/>
      <c r="N230" s="14"/>
      <c r="O230" s="33"/>
      <c r="P230" s="33"/>
      <c r="Q230" s="33"/>
      <c r="R230" s="13"/>
      <c r="S230" s="14"/>
      <c r="T230" s="33"/>
      <c r="U230" s="14"/>
      <c r="V230" s="33"/>
      <c r="W230" s="14"/>
      <c r="X230" s="14"/>
      <c r="Y230" s="13"/>
      <c r="Z230" s="14"/>
      <c r="AA230" s="33"/>
      <c r="AB230" s="14"/>
      <c r="AC230" s="14"/>
      <c r="AD230" s="98"/>
      <c r="AE230" s="14"/>
      <c r="AF230" s="14"/>
    </row>
    <row r="231" spans="1:32" customFormat="1" ht="15.75">
      <c r="A231" s="148" t="s">
        <v>12</v>
      </c>
      <c r="B231" s="14"/>
      <c r="C231" s="13"/>
      <c r="D231" s="15"/>
      <c r="E231" s="15"/>
      <c r="F231" s="15"/>
      <c r="G231" s="15"/>
      <c r="H231" s="15"/>
      <c r="I231" s="15"/>
      <c r="J231" s="13"/>
      <c r="K231" s="13"/>
      <c r="L231" s="14"/>
      <c r="M231" s="33"/>
      <c r="N231" s="14"/>
      <c r="O231" s="33"/>
      <c r="P231" s="33"/>
      <c r="Q231" s="33"/>
      <c r="R231" s="13"/>
      <c r="S231" s="14"/>
      <c r="T231" s="33"/>
      <c r="U231" s="14"/>
      <c r="V231" s="33"/>
      <c r="W231" s="14"/>
      <c r="X231" s="14"/>
      <c r="Y231" s="13"/>
      <c r="Z231" s="14"/>
      <c r="AA231" s="33"/>
      <c r="AB231" s="14"/>
      <c r="AC231" s="14"/>
      <c r="AD231" s="98"/>
      <c r="AE231" s="14"/>
      <c r="AF231" s="14"/>
    </row>
    <row r="232" spans="1:32" customFormat="1" ht="15.75">
      <c r="A232" s="149" t="s">
        <v>13</v>
      </c>
      <c r="B232" s="14"/>
      <c r="C232" s="13"/>
      <c r="D232" s="15"/>
      <c r="E232" s="15"/>
      <c r="F232" s="15"/>
      <c r="G232" s="15"/>
      <c r="H232" s="15"/>
      <c r="I232" s="15"/>
      <c r="J232" s="13"/>
      <c r="K232" s="13"/>
      <c r="L232" s="14"/>
      <c r="M232" s="33"/>
      <c r="N232" s="14"/>
      <c r="O232" s="33"/>
      <c r="P232" s="33"/>
      <c r="Q232" s="33"/>
      <c r="R232" s="13"/>
      <c r="S232" s="14"/>
      <c r="T232" s="33"/>
      <c r="U232" s="14"/>
      <c r="V232" s="33"/>
      <c r="W232" s="14"/>
      <c r="X232" s="14"/>
      <c r="Y232" s="13"/>
      <c r="Z232" s="14"/>
      <c r="AA232" s="33"/>
      <c r="AB232" s="14"/>
      <c r="AC232" s="14"/>
      <c r="AD232" s="98"/>
      <c r="AE232" s="14"/>
      <c r="AF232" s="14"/>
    </row>
    <row r="233" spans="1:32" customFormat="1">
      <c r="A233" s="150" t="s">
        <v>15</v>
      </c>
      <c r="B233" s="14"/>
      <c r="C233" s="13"/>
      <c r="D233" s="15"/>
      <c r="E233" s="15"/>
      <c r="F233" s="15"/>
      <c r="G233" s="15"/>
      <c r="H233" s="15"/>
      <c r="I233" s="15"/>
      <c r="J233" s="13"/>
      <c r="K233" s="13"/>
      <c r="L233" s="14"/>
      <c r="M233" s="33"/>
      <c r="N233" s="14"/>
      <c r="O233" s="33"/>
      <c r="P233" s="33"/>
      <c r="Q233" s="33"/>
      <c r="R233" s="13"/>
      <c r="S233" s="14"/>
      <c r="T233" s="33"/>
      <c r="U233" s="14"/>
      <c r="V233" s="33"/>
      <c r="W233" s="14"/>
      <c r="X233" s="14"/>
      <c r="Y233" s="13"/>
      <c r="Z233" s="14"/>
      <c r="AA233" s="33"/>
      <c r="AB233" s="14"/>
      <c r="AC233" s="14"/>
      <c r="AD233" s="98"/>
      <c r="AE233" s="14"/>
      <c r="AF233" s="14"/>
    </row>
    <row r="234" spans="1:32" customFormat="1">
      <c r="A234" s="151" t="s">
        <v>17</v>
      </c>
      <c r="B234" s="14"/>
      <c r="C234" s="13"/>
      <c r="D234" s="15"/>
      <c r="E234" s="15"/>
      <c r="F234" s="15"/>
      <c r="G234" s="15"/>
      <c r="H234" s="15"/>
      <c r="I234" s="15"/>
      <c r="J234" s="13"/>
      <c r="K234" s="13"/>
      <c r="L234" s="14"/>
      <c r="M234" s="33"/>
      <c r="N234" s="14"/>
      <c r="O234" s="33"/>
      <c r="P234" s="33"/>
      <c r="Q234" s="33"/>
      <c r="R234" s="13"/>
      <c r="S234" s="14"/>
      <c r="T234" s="33"/>
      <c r="U234" s="14"/>
      <c r="V234" s="33"/>
      <c r="W234" s="14"/>
      <c r="X234" s="14"/>
      <c r="Y234" s="13"/>
      <c r="Z234" s="14"/>
      <c r="AA234" s="33"/>
      <c r="AB234" s="14"/>
      <c r="AC234" s="14"/>
      <c r="AD234" s="98"/>
      <c r="AE234" s="14"/>
      <c r="AF234" s="14"/>
    </row>
    <row r="235" spans="1:32" customFormat="1" ht="15.75">
      <c r="A235" s="152" t="s">
        <v>18</v>
      </c>
      <c r="B235" s="14"/>
      <c r="C235" s="13"/>
      <c r="D235" s="15"/>
      <c r="E235" s="15"/>
      <c r="F235" s="15"/>
      <c r="G235" s="15"/>
      <c r="H235" s="15"/>
      <c r="I235" s="15"/>
      <c r="J235" s="13"/>
      <c r="K235" s="13"/>
      <c r="L235" s="14"/>
      <c r="M235" s="33"/>
      <c r="N235" s="14"/>
      <c r="O235" s="33"/>
      <c r="P235" s="33"/>
      <c r="Q235" s="33"/>
      <c r="R235" s="13"/>
      <c r="S235" s="14"/>
      <c r="T235" s="33"/>
      <c r="U235" s="14"/>
      <c r="V235" s="33"/>
      <c r="W235" s="14"/>
      <c r="X235" s="14"/>
      <c r="Y235" s="13"/>
      <c r="Z235" s="14"/>
      <c r="AA235" s="33"/>
      <c r="AB235" s="14"/>
      <c r="AC235" s="14"/>
      <c r="AD235" s="98"/>
      <c r="AE235" s="14"/>
      <c r="AF235" s="14"/>
    </row>
    <row r="236" spans="1:32" customFormat="1">
      <c r="A236" s="146" t="s">
        <v>20</v>
      </c>
      <c r="B236" s="14"/>
      <c r="C236" s="13"/>
      <c r="D236" s="15"/>
      <c r="E236" s="15"/>
      <c r="F236" s="15"/>
      <c r="G236" s="15"/>
      <c r="H236" s="15"/>
      <c r="I236" s="15"/>
      <c r="J236" s="13"/>
      <c r="K236" s="13"/>
      <c r="L236" s="14"/>
      <c r="M236" s="33"/>
      <c r="N236" s="14"/>
      <c r="O236" s="33"/>
      <c r="P236" s="33"/>
      <c r="Q236" s="33"/>
      <c r="R236" s="13"/>
      <c r="S236" s="14"/>
      <c r="T236" s="33"/>
      <c r="U236" s="14"/>
      <c r="V236" s="33"/>
      <c r="W236" s="14"/>
      <c r="X236" s="14"/>
      <c r="Y236" s="13"/>
      <c r="Z236" s="14"/>
      <c r="AA236" s="33"/>
      <c r="AB236" s="14"/>
      <c r="AC236" s="14"/>
      <c r="AD236" s="98"/>
      <c r="AE236" s="14"/>
      <c r="AF236" s="14"/>
    </row>
    <row r="237" spans="1:32" customFormat="1">
      <c r="A237" s="153" t="s">
        <v>21</v>
      </c>
      <c r="B237" s="14"/>
      <c r="C237" s="13"/>
      <c r="D237" s="15"/>
      <c r="E237" s="15"/>
      <c r="F237" s="15"/>
      <c r="G237" s="15"/>
      <c r="H237" s="15"/>
      <c r="I237" s="15"/>
      <c r="J237" s="13"/>
      <c r="K237" s="13"/>
      <c r="L237" s="14"/>
      <c r="M237" s="33"/>
      <c r="N237" s="14"/>
      <c r="O237" s="33"/>
      <c r="P237" s="33"/>
      <c r="Q237" s="33"/>
      <c r="R237" s="13"/>
      <c r="S237" s="14"/>
      <c r="T237" s="33"/>
      <c r="U237" s="14"/>
      <c r="V237" s="33"/>
      <c r="W237" s="14"/>
      <c r="X237" s="14"/>
      <c r="Y237" s="13"/>
      <c r="Z237" s="14"/>
      <c r="AA237" s="33"/>
      <c r="AB237" s="14"/>
      <c r="AC237" s="14"/>
      <c r="AD237" s="98"/>
      <c r="AE237" s="14"/>
      <c r="AF237" s="14"/>
    </row>
    <row r="238" spans="1:32" customFormat="1">
      <c r="A238" s="154" t="s">
        <v>22</v>
      </c>
      <c r="B238" s="14"/>
      <c r="C238" s="13"/>
      <c r="D238" s="15"/>
      <c r="E238" s="15"/>
      <c r="F238" s="15"/>
      <c r="G238" s="15"/>
      <c r="H238" s="15"/>
      <c r="I238" s="15"/>
      <c r="J238" s="13"/>
      <c r="K238" s="13"/>
      <c r="L238" s="14"/>
      <c r="M238" s="33"/>
      <c r="N238" s="14"/>
      <c r="O238" s="33"/>
      <c r="P238" s="33"/>
      <c r="Q238" s="33"/>
      <c r="R238" s="13"/>
      <c r="S238" s="14"/>
      <c r="T238" s="33"/>
      <c r="U238" s="14"/>
      <c r="V238" s="33"/>
      <c r="W238" s="14"/>
      <c r="X238" s="14"/>
      <c r="Y238" s="13"/>
      <c r="Z238" s="14"/>
      <c r="AA238" s="33"/>
      <c r="AB238" s="14"/>
      <c r="AC238" s="14"/>
      <c r="AD238" s="98"/>
      <c r="AE238" s="14"/>
      <c r="AF238" s="14"/>
    </row>
    <row r="239" spans="1:32" customFormat="1">
      <c r="A239" s="153" t="s">
        <v>23</v>
      </c>
      <c r="B239" s="14"/>
      <c r="C239" s="13"/>
      <c r="D239" s="15"/>
      <c r="E239" s="15"/>
      <c r="F239" s="15"/>
      <c r="G239" s="15"/>
      <c r="H239" s="15"/>
      <c r="I239" s="15"/>
      <c r="J239" s="13"/>
      <c r="K239" s="13"/>
      <c r="L239" s="14"/>
      <c r="M239" s="33"/>
      <c r="N239" s="14"/>
      <c r="O239" s="33"/>
      <c r="P239" s="33"/>
      <c r="Q239" s="33"/>
      <c r="R239" s="13"/>
      <c r="S239" s="14"/>
      <c r="T239" s="33"/>
      <c r="U239" s="14"/>
      <c r="V239" s="33"/>
      <c r="W239" s="14"/>
      <c r="X239" s="14"/>
      <c r="Y239" s="13"/>
      <c r="Z239" s="14"/>
      <c r="AA239" s="33"/>
      <c r="AB239" s="14"/>
      <c r="AC239" s="14"/>
      <c r="AD239" s="98"/>
      <c r="AE239" s="14"/>
      <c r="AF239" s="14"/>
    </row>
    <row r="240" spans="1:32" customFormat="1" ht="12" customHeight="1">
      <c r="A240" s="155" t="s">
        <v>24</v>
      </c>
      <c r="B240" s="14"/>
      <c r="C240" s="13"/>
      <c r="D240" s="15"/>
      <c r="E240" s="15"/>
      <c r="F240" s="15"/>
      <c r="G240" s="15"/>
      <c r="H240" s="15"/>
      <c r="I240" s="15"/>
      <c r="J240" s="13"/>
      <c r="K240" s="13"/>
      <c r="L240" s="14"/>
      <c r="M240" s="33"/>
      <c r="N240" s="14"/>
      <c r="O240" s="33"/>
      <c r="P240" s="33"/>
      <c r="Q240" s="33"/>
      <c r="R240" s="13"/>
      <c r="S240" s="14"/>
      <c r="T240" s="33"/>
      <c r="U240" s="14"/>
      <c r="V240" s="33"/>
      <c r="W240" s="14"/>
      <c r="X240" s="14"/>
      <c r="Y240" s="13"/>
      <c r="Z240" s="14"/>
      <c r="AA240" s="33"/>
      <c r="AB240" s="14"/>
      <c r="AC240" s="14"/>
      <c r="AD240" s="98"/>
      <c r="AE240" s="14"/>
      <c r="AF240" s="14"/>
    </row>
    <row r="241" spans="1:32" customFormat="1" ht="13.5" customHeight="1">
      <c r="A241" s="128" t="s">
        <v>25</v>
      </c>
      <c r="B241" s="14"/>
      <c r="C241" s="13"/>
      <c r="D241" s="15"/>
      <c r="E241" s="15"/>
      <c r="F241" s="15"/>
      <c r="G241" s="15"/>
      <c r="H241" s="15"/>
      <c r="I241" s="15"/>
      <c r="J241" s="13"/>
      <c r="K241" s="13"/>
      <c r="L241" s="14"/>
      <c r="M241" s="33"/>
      <c r="N241" s="14"/>
      <c r="O241" s="33"/>
      <c r="P241" s="33"/>
      <c r="Q241" s="33"/>
      <c r="R241" s="13"/>
      <c r="S241" s="14"/>
      <c r="T241" s="33"/>
      <c r="U241" s="14"/>
      <c r="V241" s="33"/>
      <c r="W241" s="14"/>
      <c r="X241" s="14"/>
      <c r="Y241" s="13"/>
      <c r="Z241" s="14"/>
      <c r="AA241" s="33"/>
      <c r="AB241" s="14"/>
      <c r="AC241" s="14"/>
      <c r="AD241" s="98"/>
      <c r="AE241" s="14"/>
      <c r="AF241" s="14"/>
    </row>
    <row r="242" spans="1:32" customFormat="1" ht="15.75" thickBot="1">
      <c r="A242" s="146" t="s">
        <v>27</v>
      </c>
      <c r="B242" s="14"/>
      <c r="C242" s="13"/>
      <c r="D242" s="34"/>
      <c r="E242" s="34"/>
      <c r="F242" s="34"/>
      <c r="G242" s="34"/>
      <c r="H242" s="34"/>
      <c r="I242" s="34"/>
      <c r="J242" s="13"/>
      <c r="K242" s="13"/>
      <c r="L242" s="14"/>
      <c r="M242" s="35"/>
      <c r="N242" s="14"/>
      <c r="O242" s="35"/>
      <c r="P242" s="35"/>
      <c r="Q242" s="35"/>
      <c r="R242" s="13"/>
      <c r="S242" s="14"/>
      <c r="T242" s="35"/>
      <c r="U242" s="14"/>
      <c r="V242" s="35"/>
      <c r="W242" s="14"/>
      <c r="X242" s="14"/>
      <c r="Y242" s="13"/>
      <c r="Z242" s="14"/>
      <c r="AA242" s="35"/>
      <c r="AB242" s="14"/>
      <c r="AC242" s="14"/>
      <c r="AD242" s="99"/>
      <c r="AE242" s="14"/>
      <c r="AF242" s="14"/>
    </row>
    <row r="243" spans="1:32" customFormat="1" ht="15.75" customHeight="1" thickBot="1">
      <c r="A243" s="216" t="s">
        <v>36</v>
      </c>
      <c r="B243" s="37">
        <f t="shared" ref="B243:Y243" si="19">+B239+B225+B211+B197</f>
        <v>1452</v>
      </c>
      <c r="C243" s="37">
        <f t="shared" si="19"/>
        <v>0</v>
      </c>
      <c r="D243" s="37">
        <f t="shared" si="19"/>
        <v>0</v>
      </c>
      <c r="E243" s="37">
        <f t="shared" si="19"/>
        <v>0</v>
      </c>
      <c r="F243" s="37">
        <f t="shared" si="19"/>
        <v>0</v>
      </c>
      <c r="G243" s="37">
        <f t="shared" si="19"/>
        <v>0</v>
      </c>
      <c r="H243" s="37">
        <f t="shared" si="19"/>
        <v>0</v>
      </c>
      <c r="I243" s="37">
        <f t="shared" si="19"/>
        <v>0</v>
      </c>
      <c r="J243" s="37">
        <f t="shared" si="19"/>
        <v>0</v>
      </c>
      <c r="K243" s="37">
        <f t="shared" si="19"/>
        <v>0</v>
      </c>
      <c r="L243" s="37">
        <f t="shared" si="19"/>
        <v>15000</v>
      </c>
      <c r="M243" s="37">
        <f t="shared" si="19"/>
        <v>0</v>
      </c>
      <c r="N243" s="37">
        <f t="shared" si="19"/>
        <v>0</v>
      </c>
      <c r="O243" s="37">
        <f t="shared" si="19"/>
        <v>0</v>
      </c>
      <c r="P243" s="37">
        <f t="shared" si="19"/>
        <v>0</v>
      </c>
      <c r="Q243" s="37">
        <f t="shared" si="19"/>
        <v>0</v>
      </c>
      <c r="R243" s="37">
        <f t="shared" si="19"/>
        <v>0</v>
      </c>
      <c r="S243" s="37">
        <f t="shared" si="19"/>
        <v>0</v>
      </c>
      <c r="T243" s="37">
        <f t="shared" si="19"/>
        <v>0</v>
      </c>
      <c r="U243" s="37">
        <f t="shared" si="19"/>
        <v>0</v>
      </c>
      <c r="V243" s="37">
        <f t="shared" si="19"/>
        <v>0</v>
      </c>
      <c r="W243" s="37">
        <f t="shared" si="19"/>
        <v>2556</v>
      </c>
      <c r="X243" s="37">
        <v>30000</v>
      </c>
      <c r="Y243" s="37">
        <f t="shared" si="19"/>
        <v>0</v>
      </c>
      <c r="Z243" s="37">
        <f t="shared" ref="Z243:AA243" si="20">+Z239+Z225+Z211+Z197</f>
        <v>0</v>
      </c>
      <c r="AA243" s="37">
        <f t="shared" si="20"/>
        <v>0</v>
      </c>
      <c r="AB243" s="37">
        <f>+AB239+AB225+AB211+AB197</f>
        <v>0</v>
      </c>
      <c r="AC243" s="37">
        <f>+AC239+AC225+AC211+AC197</f>
        <v>0</v>
      </c>
      <c r="AD243" s="38"/>
      <c r="AE243" s="14"/>
      <c r="AF243" s="14"/>
    </row>
    <row r="244" spans="1:32" customFormat="1" ht="15.75" customHeight="1" thickTop="1" thickBot="1">
      <c r="A244" s="216" t="s">
        <v>37</v>
      </c>
      <c r="B244" s="144">
        <f>+B245*4</f>
        <v>840</v>
      </c>
      <c r="C244" s="39">
        <f t="shared" ref="C244:K244" si="21">+C245*C6</f>
        <v>0</v>
      </c>
      <c r="D244" s="39">
        <f t="shared" si="21"/>
        <v>0</v>
      </c>
      <c r="E244" s="39">
        <f t="shared" si="21"/>
        <v>0</v>
      </c>
      <c r="F244" s="39">
        <f t="shared" si="21"/>
        <v>0</v>
      </c>
      <c r="G244" s="39">
        <f t="shared" si="21"/>
        <v>0</v>
      </c>
      <c r="H244" s="39">
        <f t="shared" si="21"/>
        <v>0</v>
      </c>
      <c r="I244" s="39">
        <f t="shared" si="21"/>
        <v>0</v>
      </c>
      <c r="J244" s="39">
        <f t="shared" si="21"/>
        <v>0</v>
      </c>
      <c r="K244" s="39">
        <f t="shared" si="21"/>
        <v>0</v>
      </c>
      <c r="L244" s="40">
        <f>+L245*4</f>
        <v>840</v>
      </c>
      <c r="M244" s="40">
        <f>+M245*6</f>
        <v>1260</v>
      </c>
      <c r="N244" s="40">
        <f t="shared" ref="N244:AC244" si="22">+N245*N6</f>
        <v>1680</v>
      </c>
      <c r="O244" s="40">
        <f t="shared" si="22"/>
        <v>1680</v>
      </c>
      <c r="P244" s="40">
        <f t="shared" si="22"/>
        <v>1680</v>
      </c>
      <c r="Q244" s="40">
        <f t="shared" si="22"/>
        <v>1680</v>
      </c>
      <c r="R244" s="39">
        <f t="shared" si="22"/>
        <v>0</v>
      </c>
      <c r="S244" s="40">
        <f t="shared" si="22"/>
        <v>1680</v>
      </c>
      <c r="T244" s="40">
        <f t="shared" si="22"/>
        <v>1680</v>
      </c>
      <c r="U244" s="40">
        <f t="shared" si="22"/>
        <v>1680</v>
      </c>
      <c r="V244" s="40">
        <f t="shared" si="22"/>
        <v>1680</v>
      </c>
      <c r="W244" s="40">
        <f t="shared" si="22"/>
        <v>1680</v>
      </c>
      <c r="X244" s="40">
        <f t="shared" si="22"/>
        <v>1680</v>
      </c>
      <c r="Y244" s="39">
        <f t="shared" si="22"/>
        <v>0</v>
      </c>
      <c r="Z244" s="40">
        <f t="shared" si="22"/>
        <v>1680</v>
      </c>
      <c r="AA244" s="40">
        <f t="shared" si="22"/>
        <v>1680</v>
      </c>
      <c r="AB244" s="40">
        <f t="shared" si="22"/>
        <v>1680</v>
      </c>
      <c r="AC244" s="40">
        <f t="shared" si="22"/>
        <v>1680</v>
      </c>
      <c r="AD244" s="41">
        <f>SUM(B244:AC244)</f>
        <v>26460</v>
      </c>
      <c r="AE244" s="14"/>
      <c r="AF244" s="14"/>
    </row>
    <row r="245" spans="1:32" customFormat="1" ht="15.75" customHeight="1" thickTop="1" thickBot="1">
      <c r="A245" s="216" t="s">
        <v>38</v>
      </c>
      <c r="B245" s="43">
        <v>210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3">
        <v>210</v>
      </c>
      <c r="M245" s="43">
        <v>210</v>
      </c>
      <c r="N245" s="43">
        <v>210</v>
      </c>
      <c r="O245" s="43">
        <v>210</v>
      </c>
      <c r="P245" s="43">
        <v>210</v>
      </c>
      <c r="Q245" s="43">
        <v>210</v>
      </c>
      <c r="R245" s="42"/>
      <c r="S245" s="43">
        <v>210</v>
      </c>
      <c r="T245" s="43">
        <v>210</v>
      </c>
      <c r="U245" s="43">
        <v>210</v>
      </c>
      <c r="V245" s="43">
        <v>210</v>
      </c>
      <c r="W245" s="43">
        <v>210</v>
      </c>
      <c r="X245" s="43">
        <v>210</v>
      </c>
      <c r="Y245" s="42"/>
      <c r="Z245" s="43">
        <v>210</v>
      </c>
      <c r="AA245" s="43">
        <v>210</v>
      </c>
      <c r="AB245" s="43">
        <v>210</v>
      </c>
      <c r="AC245" s="43">
        <v>210</v>
      </c>
      <c r="AD245" s="44"/>
      <c r="AE245" s="14"/>
      <c r="AF245" s="14"/>
    </row>
    <row r="246" spans="1:32" customFormat="1" ht="15.75" customHeight="1" thickTop="1" thickBot="1">
      <c r="A246" s="217">
        <f>+'T01'!AF245</f>
        <v>225</v>
      </c>
      <c r="B246" s="40">
        <f t="shared" ref="B246:AC246" si="23">IF(A246+B243-B244&lt;0,0,A246+B243-B244)</f>
        <v>837</v>
      </c>
      <c r="C246" s="39">
        <f t="shared" si="23"/>
        <v>837</v>
      </c>
      <c r="D246" s="39">
        <f t="shared" si="23"/>
        <v>837</v>
      </c>
      <c r="E246" s="39">
        <f t="shared" si="23"/>
        <v>837</v>
      </c>
      <c r="F246" s="39">
        <f t="shared" si="23"/>
        <v>837</v>
      </c>
      <c r="G246" s="39">
        <f t="shared" si="23"/>
        <v>837</v>
      </c>
      <c r="H246" s="39">
        <f t="shared" si="23"/>
        <v>837</v>
      </c>
      <c r="I246" s="39">
        <f t="shared" si="23"/>
        <v>837</v>
      </c>
      <c r="J246" s="39">
        <f t="shared" si="23"/>
        <v>837</v>
      </c>
      <c r="K246" s="39">
        <f t="shared" si="23"/>
        <v>837</v>
      </c>
      <c r="L246" s="40">
        <f t="shared" si="23"/>
        <v>14997</v>
      </c>
      <c r="M246" s="40">
        <f t="shared" si="23"/>
        <v>13737</v>
      </c>
      <c r="N246" s="40">
        <f t="shared" si="23"/>
        <v>12057</v>
      </c>
      <c r="O246" s="40">
        <f t="shared" si="23"/>
        <v>10377</v>
      </c>
      <c r="P246" s="40">
        <f t="shared" si="23"/>
        <v>8697</v>
      </c>
      <c r="Q246" s="40">
        <f t="shared" si="23"/>
        <v>7017</v>
      </c>
      <c r="R246" s="39">
        <f t="shared" si="23"/>
        <v>7017</v>
      </c>
      <c r="S246" s="40">
        <f t="shared" si="23"/>
        <v>5337</v>
      </c>
      <c r="T246" s="40">
        <f t="shared" si="23"/>
        <v>3657</v>
      </c>
      <c r="U246" s="40">
        <f t="shared" si="23"/>
        <v>1977</v>
      </c>
      <c r="V246" s="40">
        <f t="shared" si="23"/>
        <v>297</v>
      </c>
      <c r="W246" s="40">
        <f t="shared" si="23"/>
        <v>1173</v>
      </c>
      <c r="X246" s="40">
        <f t="shared" si="23"/>
        <v>29493</v>
      </c>
      <c r="Y246" s="39">
        <f t="shared" si="23"/>
        <v>29493</v>
      </c>
      <c r="Z246" s="40">
        <f t="shared" si="23"/>
        <v>27813</v>
      </c>
      <c r="AA246" s="40">
        <f t="shared" si="23"/>
        <v>26133</v>
      </c>
      <c r="AB246" s="40">
        <f t="shared" si="23"/>
        <v>24453</v>
      </c>
      <c r="AC246" s="40">
        <f t="shared" si="23"/>
        <v>22773</v>
      </c>
      <c r="AD246" s="47"/>
      <c r="AE246" s="14"/>
      <c r="AF246" s="14"/>
    </row>
    <row r="247" spans="1:32" customFormat="1" ht="17.25" customHeight="1" thickBot="1">
      <c r="A247" s="60"/>
      <c r="B247" s="60"/>
      <c r="C247" s="271"/>
      <c r="D247" s="61"/>
      <c r="E247" s="271"/>
      <c r="F247" s="271"/>
      <c r="G247" s="271"/>
      <c r="H247" s="271"/>
      <c r="I247" s="271"/>
      <c r="J247" s="271"/>
      <c r="K247" s="61"/>
      <c r="L247" s="60"/>
      <c r="M247" s="60"/>
      <c r="N247" s="60"/>
      <c r="O247" s="60"/>
      <c r="P247" s="60"/>
      <c r="Q247" s="60"/>
      <c r="R247" s="61"/>
      <c r="S247" s="60"/>
      <c r="T247" s="60"/>
      <c r="U247" s="60"/>
      <c r="V247" s="60"/>
      <c r="W247" s="60"/>
      <c r="X247" s="60"/>
      <c r="Y247" s="61"/>
      <c r="Z247" s="60"/>
      <c r="AA247" s="60"/>
      <c r="AB247" s="60"/>
      <c r="AC247" s="60"/>
      <c r="AD247" s="60"/>
      <c r="AE247" s="14"/>
      <c r="AF247" s="14"/>
    </row>
    <row r="248" spans="1:32" customFormat="1" ht="17.25" customHeight="1" thickTop="1" thickBot="1">
      <c r="A248" s="62" t="s">
        <v>56</v>
      </c>
      <c r="B248" s="43">
        <f t="shared" ref="B248:AD248" si="24">+B244+B184+B124+B64</f>
        <v>3472</v>
      </c>
      <c r="C248" s="270">
        <f t="shared" si="24"/>
        <v>0</v>
      </c>
      <c r="D248" s="42">
        <f t="shared" si="24"/>
        <v>0</v>
      </c>
      <c r="E248" s="270">
        <f t="shared" si="24"/>
        <v>0</v>
      </c>
      <c r="F248" s="270">
        <f t="shared" si="24"/>
        <v>0</v>
      </c>
      <c r="G248" s="270">
        <f t="shared" si="24"/>
        <v>0</v>
      </c>
      <c r="H248" s="270">
        <f t="shared" si="24"/>
        <v>0</v>
      </c>
      <c r="I248" s="270">
        <f t="shared" si="24"/>
        <v>0</v>
      </c>
      <c r="J248" s="270">
        <f t="shared" si="24"/>
        <v>0</v>
      </c>
      <c r="K248" s="42">
        <f t="shared" si="24"/>
        <v>0</v>
      </c>
      <c r="L248" s="43">
        <f t="shared" si="24"/>
        <v>3472</v>
      </c>
      <c r="M248" s="43">
        <f t="shared" si="24"/>
        <v>5208</v>
      </c>
      <c r="N248" s="43">
        <f t="shared" si="24"/>
        <v>6944</v>
      </c>
      <c r="O248" s="43">
        <f t="shared" si="24"/>
        <v>6944</v>
      </c>
      <c r="P248" s="43">
        <f t="shared" si="24"/>
        <v>6944</v>
      </c>
      <c r="Q248" s="43">
        <f t="shared" si="24"/>
        <v>6944</v>
      </c>
      <c r="R248" s="42">
        <f t="shared" si="24"/>
        <v>0</v>
      </c>
      <c r="S248" s="43">
        <f t="shared" si="24"/>
        <v>6944</v>
      </c>
      <c r="T248" s="43">
        <f t="shared" si="24"/>
        <v>6592</v>
      </c>
      <c r="U248" s="43">
        <f t="shared" si="24"/>
        <v>6432</v>
      </c>
      <c r="V248" s="43">
        <f t="shared" si="24"/>
        <v>6432</v>
      </c>
      <c r="W248" s="43">
        <f t="shared" si="24"/>
        <v>6432</v>
      </c>
      <c r="X248" s="43">
        <f t="shared" si="24"/>
        <v>6432</v>
      </c>
      <c r="Y248" s="42">
        <f t="shared" si="24"/>
        <v>0</v>
      </c>
      <c r="Z248" s="43">
        <f t="shared" si="24"/>
        <v>6080</v>
      </c>
      <c r="AA248" s="43">
        <f t="shared" si="24"/>
        <v>6080</v>
      </c>
      <c r="AB248" s="43">
        <f t="shared" si="24"/>
        <v>6080</v>
      </c>
      <c r="AC248" s="43">
        <f t="shared" si="24"/>
        <v>6080</v>
      </c>
      <c r="AD248" s="43">
        <f t="shared" si="24"/>
        <v>103512</v>
      </c>
      <c r="AE248" s="14"/>
      <c r="AF248" s="14"/>
    </row>
    <row r="249" spans="1:32" ht="25.5" customHeight="1" thickTop="1">
      <c r="A249" s="63"/>
      <c r="B249" s="64"/>
      <c r="C249" s="65"/>
      <c r="D249" s="66" t="s">
        <v>57</v>
      </c>
      <c r="E249" s="67"/>
      <c r="F249" s="68"/>
      <c r="G249" s="68"/>
      <c r="H249" s="65"/>
      <c r="I249" s="64"/>
      <c r="J249" s="68" t="s">
        <v>58</v>
      </c>
      <c r="K249" s="68"/>
      <c r="L249" s="68"/>
      <c r="M249" s="68"/>
      <c r="N249" s="68"/>
      <c r="O249" s="65"/>
      <c r="P249" s="64"/>
      <c r="Q249" s="68"/>
      <c r="R249" s="68"/>
      <c r="S249" s="67"/>
      <c r="T249" s="65" t="s">
        <v>59</v>
      </c>
      <c r="U249" s="67"/>
      <c r="V249" s="68"/>
      <c r="W249" s="67"/>
      <c r="X249" s="64" t="s">
        <v>60</v>
      </c>
      <c r="Y249" s="69"/>
      <c r="Z249" s="68"/>
      <c r="AA249" s="65"/>
      <c r="AB249" s="68" t="s">
        <v>61</v>
      </c>
      <c r="AC249" s="68"/>
      <c r="AD249" s="69">
        <f>+[9]T02!$AD$248</f>
        <v>102320</v>
      </c>
      <c r="AE249" s="210"/>
      <c r="AF249" s="67"/>
    </row>
    <row r="250" spans="1:32">
      <c r="AD250" s="24">
        <f>+[10]T02!$AD$248</f>
        <v>104940</v>
      </c>
    </row>
    <row r="251" spans="1:32">
      <c r="AD251" s="24">
        <f>+[11]T2.2019!$AD$263</f>
        <v>110880</v>
      </c>
    </row>
    <row r="252" spans="1:32">
      <c r="AD252" s="24">
        <f>+[12]T02!$AD$248</f>
        <v>100900</v>
      </c>
    </row>
    <row r="253" spans="1:32">
      <c r="AD253" s="415">
        <f>+[13]T02!$AD$67</f>
        <v>25200</v>
      </c>
    </row>
    <row r="254" spans="1:32">
      <c r="AD254" s="24">
        <f>SUM(AD248:AD253)</f>
        <v>547752</v>
      </c>
    </row>
    <row r="255" spans="1:32">
      <c r="AD255" s="24">
        <f>+AD254/126/21</f>
        <v>207.01133786848072</v>
      </c>
    </row>
  </sheetData>
  <mergeCells count="4">
    <mergeCell ref="A1:AF1"/>
    <mergeCell ref="U2:V2"/>
    <mergeCell ref="W2:Y2"/>
    <mergeCell ref="AD3:AD4"/>
  </mergeCells>
  <conditionalFormatting sqref="J86 K72">
    <cfRule type="cellIs" dxfId="340" priority="92" stopIfTrue="1" operator="lessThanOrEqual">
      <formula>0</formula>
    </cfRule>
  </conditionalFormatting>
  <conditionalFormatting sqref="D220 A12 A26 A40 A54 A72 A86 A100 A114 A132 A146 A160 A174 A192 A206 A220 A234 D206 D192 F206 F192">
    <cfRule type="cellIs" dxfId="339" priority="93" stopIfTrue="1" operator="lessThanOrEqual">
      <formula>0</formula>
    </cfRule>
  </conditionalFormatting>
  <conditionalFormatting sqref="M192 M206">
    <cfRule type="cellIs" dxfId="338" priority="91" stopIfTrue="1" operator="lessThanOrEqual">
      <formula>0</formula>
    </cfRule>
  </conditionalFormatting>
  <conditionalFormatting sqref="AA206">
    <cfRule type="cellIs" dxfId="337" priority="89" stopIfTrue="1" operator="lessThanOrEqual">
      <formula>0</formula>
    </cfRule>
  </conditionalFormatting>
  <conditionalFormatting sqref="D128 D156 D142">
    <cfRule type="duplicateValues" dxfId="336" priority="88"/>
  </conditionalFormatting>
  <conditionalFormatting sqref="Q170:R170 R128 Q156:R156 R142:S142">
    <cfRule type="duplicateValues" dxfId="335" priority="95"/>
  </conditionalFormatting>
  <conditionalFormatting sqref="Z170">
    <cfRule type="duplicateValues" dxfId="334" priority="82"/>
  </conditionalFormatting>
  <conditionalFormatting sqref="AA156 AA170">
    <cfRule type="duplicateValues" dxfId="333" priority="81"/>
  </conditionalFormatting>
  <conditionalFormatting sqref="J72">
    <cfRule type="cellIs" dxfId="332" priority="79" stopIfTrue="1" operator="lessThanOrEqual">
      <formula>0</formula>
    </cfRule>
  </conditionalFormatting>
  <conditionalFormatting sqref="V170:W170 Y128 V156:X156 Z156">
    <cfRule type="duplicateValues" dxfId="331" priority="1919"/>
  </conditionalFormatting>
  <conditionalFormatting sqref="N8 N22">
    <cfRule type="duplicateValues" dxfId="330" priority="56"/>
  </conditionalFormatting>
  <conditionalFormatting sqref="Q8 T22 T8">
    <cfRule type="duplicateValues" dxfId="329" priority="2066"/>
  </conditionalFormatting>
  <conditionalFormatting sqref="U8">
    <cfRule type="duplicateValues" dxfId="328" priority="54"/>
  </conditionalFormatting>
  <conditionalFormatting sqref="U22">
    <cfRule type="duplicateValues" dxfId="327" priority="53"/>
  </conditionalFormatting>
  <conditionalFormatting sqref="V8">
    <cfRule type="duplicateValues" dxfId="326" priority="52"/>
  </conditionalFormatting>
  <conditionalFormatting sqref="U68">
    <cfRule type="duplicateValues" dxfId="325" priority="51"/>
  </conditionalFormatting>
  <conditionalFormatting sqref="V68">
    <cfRule type="duplicateValues" dxfId="324" priority="50"/>
  </conditionalFormatting>
  <conditionalFormatting sqref="B68 B82">
    <cfRule type="duplicateValues" dxfId="323" priority="49"/>
  </conditionalFormatting>
  <conditionalFormatting sqref="N96 N68 N82">
    <cfRule type="duplicateValues" dxfId="322" priority="45"/>
  </conditionalFormatting>
  <conditionalFormatting sqref="O68:P68">
    <cfRule type="duplicateValues" dxfId="321" priority="44"/>
  </conditionalFormatting>
  <conditionalFormatting sqref="O82">
    <cfRule type="duplicateValues" dxfId="320" priority="43"/>
  </conditionalFormatting>
  <conditionalFormatting sqref="Q68">
    <cfRule type="duplicateValues" dxfId="319" priority="42"/>
  </conditionalFormatting>
  <conditionalFormatting sqref="S82 S68">
    <cfRule type="duplicateValues" dxfId="318" priority="41"/>
  </conditionalFormatting>
  <conditionalFormatting sqref="N128">
    <cfRule type="duplicateValues" dxfId="317" priority="40"/>
  </conditionalFormatting>
  <conditionalFormatting sqref="AC68">
    <cfRule type="duplicateValues" dxfId="316" priority="37"/>
  </conditionalFormatting>
  <conditionalFormatting sqref="W188">
    <cfRule type="duplicateValues" dxfId="315" priority="33"/>
  </conditionalFormatting>
  <conditionalFormatting sqref="W128">
    <cfRule type="duplicateValues" dxfId="314" priority="30"/>
  </conditionalFormatting>
  <conditionalFormatting sqref="AB22">
    <cfRule type="duplicateValues" dxfId="313" priority="26"/>
  </conditionalFormatting>
  <conditionalFormatting sqref="T68">
    <cfRule type="duplicateValues" dxfId="312" priority="25"/>
  </conditionalFormatting>
  <conditionalFormatting sqref="X8">
    <cfRule type="duplicateValues" dxfId="311" priority="24"/>
  </conditionalFormatting>
  <conditionalFormatting sqref="T82">
    <cfRule type="duplicateValues" dxfId="310" priority="23"/>
  </conditionalFormatting>
  <conditionalFormatting sqref="T96">
    <cfRule type="duplicateValues" dxfId="309" priority="22"/>
  </conditionalFormatting>
  <conditionalFormatting sqref="T110">
    <cfRule type="duplicateValues" dxfId="308" priority="21"/>
  </conditionalFormatting>
  <conditionalFormatting sqref="X142">
    <cfRule type="duplicateValues" dxfId="307" priority="10"/>
  </conditionalFormatting>
  <conditionalFormatting sqref="AB128">
    <cfRule type="duplicateValues" dxfId="306" priority="12"/>
  </conditionalFormatting>
  <conditionalFormatting sqref="X128">
    <cfRule type="duplicateValues" dxfId="305" priority="11"/>
  </conditionalFormatting>
  <conditionalFormatting sqref="Z128">
    <cfRule type="duplicateValues" dxfId="304" priority="9"/>
  </conditionalFormatting>
  <conditionalFormatting sqref="Z142">
    <cfRule type="duplicateValues" dxfId="303" priority="8"/>
  </conditionalFormatting>
  <conditionalFormatting sqref="AB142">
    <cfRule type="duplicateValues" dxfId="302" priority="7"/>
  </conditionalFormatting>
  <conditionalFormatting sqref="Z8">
    <cfRule type="duplicateValues" dxfId="301" priority="6"/>
  </conditionalFormatting>
  <conditionalFormatting sqref="Z22">
    <cfRule type="duplicateValues" dxfId="300" priority="5"/>
  </conditionalFormatting>
  <conditionalFormatting sqref="AB8">
    <cfRule type="duplicateValues" dxfId="299" priority="4"/>
  </conditionalFormatting>
  <conditionalFormatting sqref="AC8">
    <cfRule type="duplicateValues" dxfId="298" priority="3"/>
  </conditionalFormatting>
  <conditionalFormatting sqref="AC22">
    <cfRule type="duplicateValues" dxfId="297" priority="2"/>
  </conditionalFormatting>
  <conditionalFormatting sqref="AC36">
    <cfRule type="duplicateValues" dxfId="296" priority="1"/>
  </conditionalFormatting>
  <pageMargins left="0" right="0" top="0" bottom="0" header="0.31496062992125984" footer="0.31496062992125984"/>
  <pageSetup paperSize="9" scale="55" orientation="landscape" r:id="rId1"/>
  <rowBreaks count="3" manualBreakCount="3">
    <brk id="66" max="16383" man="1"/>
    <brk id="126" max="16383" man="1"/>
    <brk id="18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54"/>
  <sheetViews>
    <sheetView zoomScale="70" zoomScaleNormal="70" workbookViewId="0">
      <pane xSplit="1" ySplit="5" topLeftCell="B231" activePane="bottomRight" state="frozen"/>
      <selection activeCell="P237" sqref="P237"/>
      <selection pane="topRight" activeCell="P237" sqref="P237"/>
      <selection pane="bottomLeft" activeCell="P237" sqref="P237"/>
      <selection pane="bottomRight" activeCell="AE2" sqref="AE2"/>
    </sheetView>
  </sheetViews>
  <sheetFormatPr defaultColWidth="9.140625" defaultRowHeight="15"/>
  <cols>
    <col min="1" max="1" width="8.140625" style="24" customWidth="1"/>
    <col min="2" max="3" width="9" style="24" customWidth="1"/>
    <col min="4" max="4" width="1.42578125" style="24" customWidth="1"/>
    <col min="5" max="10" width="9" style="24" customWidth="1"/>
    <col min="11" max="11" width="1.42578125" style="24" customWidth="1"/>
    <col min="12" max="17" width="9" style="24" customWidth="1"/>
    <col min="18" max="18" width="1.42578125" style="24" customWidth="1"/>
    <col min="19" max="24" width="9" style="24" customWidth="1"/>
    <col min="25" max="25" width="1.42578125" style="24" customWidth="1"/>
    <col min="26" max="31" width="9" style="24" customWidth="1"/>
    <col min="32" max="32" width="1.42578125" style="24" customWidth="1"/>
    <col min="33" max="16384" width="9.140625" style="24"/>
  </cols>
  <sheetData>
    <row r="1" spans="1:36" customFormat="1" ht="42" customHeight="1" thickBot="1">
      <c r="A1" s="519" t="s">
        <v>418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</row>
    <row r="2" spans="1:36" customFormat="1" ht="18" customHeight="1" thickBot="1">
      <c r="A2" s="2"/>
      <c r="B2" s="3"/>
      <c r="C2" s="3"/>
      <c r="D2" s="4" t="s">
        <v>0</v>
      </c>
      <c r="E2" s="1"/>
      <c r="F2" s="3"/>
      <c r="G2" s="1"/>
      <c r="H2" s="2" t="s">
        <v>1</v>
      </c>
      <c r="I2" s="1"/>
      <c r="J2" s="2" t="s">
        <v>2</v>
      </c>
      <c r="K2" s="5"/>
      <c r="L2" s="5"/>
      <c r="M2" s="5"/>
      <c r="N2" s="6"/>
      <c r="O2" s="7"/>
      <c r="P2" s="7"/>
      <c r="Q2" s="7"/>
      <c r="R2" s="5"/>
      <c r="S2" s="5"/>
      <c r="T2" s="5"/>
      <c r="U2" s="525" t="s">
        <v>3</v>
      </c>
      <c r="V2" s="525"/>
      <c r="W2" s="526">
        <f>+AG247</f>
        <v>176888</v>
      </c>
      <c r="X2" s="526"/>
      <c r="Y2" s="526"/>
      <c r="Z2" s="1"/>
      <c r="AA2" s="8" t="s">
        <v>4</v>
      </c>
      <c r="AB2" s="8"/>
      <c r="AC2" s="8"/>
      <c r="AD2" s="7" t="s">
        <v>5</v>
      </c>
      <c r="AE2" s="168">
        <v>43508</v>
      </c>
      <c r="AF2" s="1"/>
      <c r="AG2" s="174"/>
      <c r="AH2" s="1"/>
      <c r="AI2" s="1"/>
    </row>
    <row r="3" spans="1:36" customFormat="1" ht="12" customHeight="1" thickBot="1">
      <c r="A3" s="95" t="s">
        <v>6</v>
      </c>
      <c r="B3" s="168">
        <v>43525</v>
      </c>
      <c r="C3" s="168">
        <v>43526</v>
      </c>
      <c r="D3" s="168">
        <v>43527</v>
      </c>
      <c r="E3" s="168">
        <v>43528</v>
      </c>
      <c r="F3" s="168">
        <v>43529</v>
      </c>
      <c r="G3" s="168">
        <v>43530</v>
      </c>
      <c r="H3" s="168">
        <v>43531</v>
      </c>
      <c r="I3" s="168">
        <v>43532</v>
      </c>
      <c r="J3" s="168">
        <v>43533</v>
      </c>
      <c r="K3" s="168">
        <v>43534</v>
      </c>
      <c r="L3" s="168">
        <v>43535</v>
      </c>
      <c r="M3" s="168">
        <v>43536</v>
      </c>
      <c r="N3" s="168">
        <v>43537</v>
      </c>
      <c r="O3" s="168">
        <v>43538</v>
      </c>
      <c r="P3" s="168">
        <v>43539</v>
      </c>
      <c r="Q3" s="168">
        <v>43540</v>
      </c>
      <c r="R3" s="168">
        <v>43541</v>
      </c>
      <c r="S3" s="168">
        <v>43542</v>
      </c>
      <c r="T3" s="168">
        <v>43543</v>
      </c>
      <c r="U3" s="168">
        <v>43544</v>
      </c>
      <c r="V3" s="168">
        <v>43545</v>
      </c>
      <c r="W3" s="168">
        <v>43546</v>
      </c>
      <c r="X3" s="168">
        <v>43547</v>
      </c>
      <c r="Y3" s="168">
        <v>43548</v>
      </c>
      <c r="Z3" s="168">
        <v>43549</v>
      </c>
      <c r="AA3" s="168">
        <v>43550</v>
      </c>
      <c r="AB3" s="168">
        <v>43551</v>
      </c>
      <c r="AC3" s="168">
        <v>43552</v>
      </c>
      <c r="AD3" s="168">
        <v>43553</v>
      </c>
      <c r="AE3" s="168">
        <v>43554</v>
      </c>
      <c r="AF3" s="169">
        <v>43555</v>
      </c>
      <c r="AG3" s="527" t="s">
        <v>7</v>
      </c>
      <c r="AH3" s="1"/>
      <c r="AI3" s="1"/>
    </row>
    <row r="4" spans="1:36" customFormat="1" ht="14.25" customHeight="1" thickBot="1">
      <c r="A4" s="95" t="s">
        <v>8</v>
      </c>
      <c r="B4" s="96" t="s">
        <v>64</v>
      </c>
      <c r="C4" s="170" t="str">
        <f t="shared" ref="C4:AF4" si="0">IF(B4="日","一",IF(B4="一","二",IF(B4="二","三",IF(B4="三","四",IF(B4="四","五",IF(B4="五","六",IF(B4="六","日","")))))))</f>
        <v>六</v>
      </c>
      <c r="D4" s="175" t="str">
        <f t="shared" si="0"/>
        <v>日</v>
      </c>
      <c r="E4" s="170" t="str">
        <f t="shared" si="0"/>
        <v>一</v>
      </c>
      <c r="F4" s="170" t="str">
        <f t="shared" si="0"/>
        <v>二</v>
      </c>
      <c r="G4" s="96" t="str">
        <f t="shared" si="0"/>
        <v>三</v>
      </c>
      <c r="H4" s="170" t="str">
        <f t="shared" si="0"/>
        <v>四</v>
      </c>
      <c r="I4" s="170" t="str">
        <f t="shared" si="0"/>
        <v>五</v>
      </c>
      <c r="J4" s="170" t="str">
        <f t="shared" si="0"/>
        <v>六</v>
      </c>
      <c r="K4" s="175" t="str">
        <f t="shared" si="0"/>
        <v>日</v>
      </c>
      <c r="L4" s="170" t="str">
        <f t="shared" si="0"/>
        <v>一</v>
      </c>
      <c r="M4" s="170" t="str">
        <f t="shared" si="0"/>
        <v>二</v>
      </c>
      <c r="N4" s="96" t="str">
        <f t="shared" si="0"/>
        <v>三</v>
      </c>
      <c r="O4" s="170" t="str">
        <f t="shared" si="0"/>
        <v>四</v>
      </c>
      <c r="P4" s="170" t="str">
        <f t="shared" si="0"/>
        <v>五</v>
      </c>
      <c r="Q4" s="170" t="str">
        <f t="shared" si="0"/>
        <v>六</v>
      </c>
      <c r="R4" s="175" t="str">
        <f t="shared" si="0"/>
        <v>日</v>
      </c>
      <c r="S4" s="170" t="str">
        <f t="shared" si="0"/>
        <v>一</v>
      </c>
      <c r="T4" s="170" t="str">
        <f t="shared" si="0"/>
        <v>二</v>
      </c>
      <c r="U4" s="96" t="str">
        <f t="shared" si="0"/>
        <v>三</v>
      </c>
      <c r="V4" s="170" t="str">
        <f t="shared" si="0"/>
        <v>四</v>
      </c>
      <c r="W4" s="170" t="str">
        <f t="shared" si="0"/>
        <v>五</v>
      </c>
      <c r="X4" s="170" t="str">
        <f t="shared" si="0"/>
        <v>六</v>
      </c>
      <c r="Y4" s="175" t="str">
        <f t="shared" si="0"/>
        <v>日</v>
      </c>
      <c r="Z4" s="170" t="str">
        <f t="shared" si="0"/>
        <v>一</v>
      </c>
      <c r="AA4" s="170" t="str">
        <f t="shared" si="0"/>
        <v>二</v>
      </c>
      <c r="AB4" s="96" t="str">
        <f t="shared" si="0"/>
        <v>三</v>
      </c>
      <c r="AC4" s="170" t="str">
        <f t="shared" si="0"/>
        <v>四</v>
      </c>
      <c r="AD4" s="170" t="str">
        <f t="shared" si="0"/>
        <v>五</v>
      </c>
      <c r="AE4" s="170" t="str">
        <f t="shared" si="0"/>
        <v>六</v>
      </c>
      <c r="AF4" s="175" t="str">
        <f t="shared" si="0"/>
        <v>日</v>
      </c>
      <c r="AG4" s="527"/>
      <c r="AH4" s="10">
        <f>+AH5*9.5</f>
        <v>190</v>
      </c>
      <c r="AI4" s="10">
        <f>+AI5*8</f>
        <v>48</v>
      </c>
      <c r="AJ4" s="10" t="s">
        <v>9</v>
      </c>
    </row>
    <row r="5" spans="1:36" customFormat="1" ht="14.25" customHeight="1" thickBot="1">
      <c r="A5" s="96"/>
      <c r="B5" s="172">
        <v>8</v>
      </c>
      <c r="C5" s="172">
        <v>8</v>
      </c>
      <c r="D5" s="173"/>
      <c r="E5" s="172">
        <v>9.5</v>
      </c>
      <c r="F5" s="172">
        <v>9.5</v>
      </c>
      <c r="G5" s="172">
        <v>9.5</v>
      </c>
      <c r="H5" s="172">
        <v>9.5</v>
      </c>
      <c r="I5" s="172">
        <v>9.5</v>
      </c>
      <c r="J5" s="172">
        <v>8</v>
      </c>
      <c r="K5" s="173"/>
      <c r="L5" s="172">
        <v>9.5</v>
      </c>
      <c r="M5" s="172">
        <v>9.5</v>
      </c>
      <c r="N5" s="172">
        <v>9.5</v>
      </c>
      <c r="O5" s="172">
        <v>9.5</v>
      </c>
      <c r="P5" s="172">
        <v>9.5</v>
      </c>
      <c r="Q5" s="172">
        <v>8</v>
      </c>
      <c r="R5" s="173"/>
      <c r="S5" s="406">
        <v>9.5</v>
      </c>
      <c r="T5" s="172">
        <v>9.5</v>
      </c>
      <c r="U5" s="172">
        <v>9.5</v>
      </c>
      <c r="V5" s="172">
        <v>9.5</v>
      </c>
      <c r="W5" s="172">
        <v>9.5</v>
      </c>
      <c r="X5" s="172">
        <v>8</v>
      </c>
      <c r="Y5" s="173"/>
      <c r="Z5" s="172">
        <v>9.5</v>
      </c>
      <c r="AA5" s="172">
        <v>9.5</v>
      </c>
      <c r="AB5" s="172">
        <v>9.5</v>
      </c>
      <c r="AC5" s="172">
        <v>9.5</v>
      </c>
      <c r="AD5" s="172">
        <v>9.5</v>
      </c>
      <c r="AE5" s="172">
        <v>8</v>
      </c>
      <c r="AF5" s="173"/>
      <c r="AG5" s="96">
        <f>SUM(B5:AF5)</f>
        <v>238</v>
      </c>
      <c r="AH5" s="11">
        <f>COUNTIF(B5:AF5,9.5)</f>
        <v>20</v>
      </c>
      <c r="AI5" s="11">
        <f>COUNTIF(B5:AG5,8)</f>
        <v>6</v>
      </c>
      <c r="AJ5" s="11">
        <f>COUNTA(B5:AF5)</f>
        <v>26</v>
      </c>
    </row>
    <row r="6" spans="1:36" customFormat="1" ht="14.25" customHeight="1">
      <c r="A6" s="220" t="s">
        <v>10</v>
      </c>
      <c r="B6" s="24"/>
      <c r="C6" s="51" t="s">
        <v>697</v>
      </c>
      <c r="D6" s="206"/>
      <c r="E6" s="418" t="s">
        <v>697</v>
      </c>
      <c r="F6" s="418" t="s">
        <v>697</v>
      </c>
      <c r="G6" s="418" t="s">
        <v>718</v>
      </c>
      <c r="H6" s="418"/>
      <c r="I6" s="418"/>
      <c r="J6" s="24"/>
      <c r="K6" s="206"/>
      <c r="L6" s="418"/>
      <c r="M6" s="418" t="s">
        <v>718</v>
      </c>
      <c r="N6" s="24"/>
      <c r="O6" s="418" t="s">
        <v>718</v>
      </c>
      <c r="P6" s="418"/>
      <c r="Q6" s="418"/>
      <c r="R6" s="88"/>
      <c r="S6" s="418" t="s">
        <v>718</v>
      </c>
      <c r="T6" s="418" t="s">
        <v>718</v>
      </c>
      <c r="U6" s="418" t="s">
        <v>718</v>
      </c>
      <c r="V6" s="418" t="s">
        <v>718</v>
      </c>
      <c r="W6" s="418" t="s">
        <v>718</v>
      </c>
      <c r="X6" s="418" t="s">
        <v>718</v>
      </c>
      <c r="Y6" s="55"/>
      <c r="Z6" s="24"/>
      <c r="AA6" s="418" t="s">
        <v>91</v>
      </c>
      <c r="AB6" s="418" t="s">
        <v>91</v>
      </c>
      <c r="AC6" s="418" t="s">
        <v>732</v>
      </c>
      <c r="AD6" s="418" t="s">
        <v>729</v>
      </c>
      <c r="AE6" s="418" t="s">
        <v>726</v>
      </c>
      <c r="AF6" s="13"/>
      <c r="AG6" s="98"/>
      <c r="AH6" s="14"/>
      <c r="AI6" s="14"/>
    </row>
    <row r="7" spans="1:36" customFormat="1" ht="14.25" customHeight="1">
      <c r="A7" s="147" t="s">
        <v>11</v>
      </c>
      <c r="B7" s="24"/>
      <c r="C7" s="52" t="s">
        <v>544</v>
      </c>
      <c r="D7" s="88"/>
      <c r="E7" s="93" t="s">
        <v>774</v>
      </c>
      <c r="F7" s="93" t="s">
        <v>776</v>
      </c>
      <c r="G7" s="93" t="s">
        <v>673</v>
      </c>
      <c r="H7" s="93"/>
      <c r="I7" s="93"/>
      <c r="J7" s="24"/>
      <c r="K7" s="88"/>
      <c r="L7" s="93"/>
      <c r="M7" s="93" t="s">
        <v>674</v>
      </c>
      <c r="N7" s="24"/>
      <c r="O7" s="93" t="s">
        <v>781</v>
      </c>
      <c r="P7" s="93"/>
      <c r="Q7" s="93"/>
      <c r="R7" s="88"/>
      <c r="S7" s="93" t="s">
        <v>782</v>
      </c>
      <c r="T7" s="93" t="s">
        <v>785</v>
      </c>
      <c r="U7" s="93" t="s">
        <v>784</v>
      </c>
      <c r="V7" s="93" t="s">
        <v>793</v>
      </c>
      <c r="W7" s="93" t="s">
        <v>792</v>
      </c>
      <c r="X7" s="93" t="s">
        <v>791</v>
      </c>
      <c r="Y7" s="55"/>
      <c r="Z7" s="24"/>
      <c r="AA7" s="93" t="s">
        <v>803</v>
      </c>
      <c r="AB7" s="93" t="s">
        <v>795</v>
      </c>
      <c r="AC7" s="93" t="s">
        <v>800</v>
      </c>
      <c r="AD7" s="93" t="s">
        <v>801</v>
      </c>
      <c r="AE7" s="93" t="s">
        <v>804</v>
      </c>
      <c r="AF7" s="13"/>
      <c r="AG7" s="98"/>
      <c r="AH7" s="14"/>
      <c r="AI7" s="14"/>
    </row>
    <row r="8" spans="1:36" customFormat="1" ht="14.25" customHeight="1">
      <c r="A8" s="148" t="s">
        <v>12</v>
      </c>
      <c r="B8" s="24"/>
      <c r="C8" s="127"/>
      <c r="D8" s="88"/>
      <c r="E8" s="418"/>
      <c r="F8" s="418"/>
      <c r="G8" s="418"/>
      <c r="H8" s="418"/>
      <c r="I8" s="418"/>
      <c r="J8" s="24"/>
      <c r="K8" s="88"/>
      <c r="L8" s="418"/>
      <c r="M8" s="418"/>
      <c r="N8" s="24"/>
      <c r="O8" s="418"/>
      <c r="P8" s="418"/>
      <c r="Q8" s="418"/>
      <c r="R8" s="88"/>
      <c r="S8" s="418"/>
      <c r="T8" s="418"/>
      <c r="U8" s="418"/>
      <c r="V8" s="418"/>
      <c r="W8" s="418"/>
      <c r="X8" s="418"/>
      <c r="Y8" s="55"/>
      <c r="Z8" s="24"/>
      <c r="AA8" s="418"/>
      <c r="AB8" s="418"/>
      <c r="AC8" s="418"/>
      <c r="AD8" s="418"/>
      <c r="AE8" s="418"/>
      <c r="AF8" s="13"/>
      <c r="AG8" s="98"/>
      <c r="AH8" s="14"/>
      <c r="AI8" s="14"/>
    </row>
    <row r="9" spans="1:36" customFormat="1" ht="14.25" customHeight="1">
      <c r="A9" s="149" t="s">
        <v>13</v>
      </c>
      <c r="B9" s="24"/>
      <c r="C9" s="53"/>
      <c r="D9" s="88"/>
      <c r="E9" s="19" t="s">
        <v>698</v>
      </c>
      <c r="F9" s="19" t="s">
        <v>698</v>
      </c>
      <c r="G9" s="19" t="s">
        <v>14</v>
      </c>
      <c r="H9" s="19"/>
      <c r="I9" s="19"/>
      <c r="J9" s="24"/>
      <c r="K9" s="88"/>
      <c r="L9" s="19"/>
      <c r="M9" s="19" t="s">
        <v>14</v>
      </c>
      <c r="N9" s="24"/>
      <c r="O9" s="19" t="s">
        <v>14</v>
      </c>
      <c r="P9" s="19"/>
      <c r="Q9" s="19"/>
      <c r="R9" s="88"/>
      <c r="S9" s="19" t="s">
        <v>14</v>
      </c>
      <c r="T9" s="19" t="s">
        <v>14</v>
      </c>
      <c r="U9" s="19" t="s">
        <v>14</v>
      </c>
      <c r="V9" s="19" t="s">
        <v>14</v>
      </c>
      <c r="W9" s="19" t="s">
        <v>14</v>
      </c>
      <c r="X9" s="19" t="s">
        <v>14</v>
      </c>
      <c r="Y9" s="55"/>
      <c r="Z9" s="24"/>
      <c r="AA9" s="19" t="s">
        <v>14</v>
      </c>
      <c r="AB9" s="19" t="s">
        <v>14</v>
      </c>
      <c r="AC9" s="19" t="s">
        <v>1004</v>
      </c>
      <c r="AD9" s="19" t="s">
        <v>728</v>
      </c>
      <c r="AE9" s="19" t="s">
        <v>1006</v>
      </c>
      <c r="AF9" s="13"/>
      <c r="AG9" s="98"/>
      <c r="AH9" s="14"/>
      <c r="AI9" s="14"/>
    </row>
    <row r="10" spans="1:36" customFormat="1" ht="14.25" customHeight="1">
      <c r="A10" s="150" t="s">
        <v>15</v>
      </c>
      <c r="B10" s="24"/>
      <c r="C10" s="51" t="s">
        <v>49</v>
      </c>
      <c r="D10" s="88"/>
      <c r="E10" s="418" t="s">
        <v>49</v>
      </c>
      <c r="F10" s="418" t="s">
        <v>49</v>
      </c>
      <c r="G10" s="418" t="s">
        <v>16</v>
      </c>
      <c r="H10" s="418"/>
      <c r="I10" s="418"/>
      <c r="J10" s="24"/>
      <c r="K10" s="88"/>
      <c r="L10" s="418"/>
      <c r="M10" s="418" t="s">
        <v>16</v>
      </c>
      <c r="N10" s="24"/>
      <c r="O10" s="418" t="s">
        <v>16</v>
      </c>
      <c r="P10" s="418"/>
      <c r="Q10" s="418"/>
      <c r="R10" s="88"/>
      <c r="S10" s="418" t="s">
        <v>16</v>
      </c>
      <c r="T10" s="418" t="s">
        <v>16</v>
      </c>
      <c r="U10" s="418" t="s">
        <v>16</v>
      </c>
      <c r="V10" s="418" t="s">
        <v>16</v>
      </c>
      <c r="W10" s="418" t="s">
        <v>16</v>
      </c>
      <c r="X10" s="418" t="s">
        <v>16</v>
      </c>
      <c r="Y10" s="55"/>
      <c r="Z10" s="24"/>
      <c r="AA10" s="418" t="s">
        <v>68</v>
      </c>
      <c r="AB10" s="418" t="s">
        <v>68</v>
      </c>
      <c r="AC10" s="418" t="s">
        <v>68</v>
      </c>
      <c r="AD10" s="418" t="s">
        <v>68</v>
      </c>
      <c r="AE10" s="418" t="s">
        <v>68</v>
      </c>
      <c r="AF10" s="13"/>
      <c r="AG10" s="98"/>
      <c r="AH10" s="14"/>
      <c r="AI10" s="14"/>
    </row>
    <row r="11" spans="1:36" customFormat="1" ht="14.25" customHeight="1">
      <c r="A11" s="151" t="s">
        <v>17</v>
      </c>
      <c r="B11" s="24"/>
      <c r="C11" s="508" t="s">
        <v>1017</v>
      </c>
      <c r="D11" s="88"/>
      <c r="E11" s="391" t="s">
        <v>1000</v>
      </c>
      <c r="F11" s="391" t="s">
        <v>1000</v>
      </c>
      <c r="G11" s="391" t="s">
        <v>1000</v>
      </c>
      <c r="H11" s="391"/>
      <c r="I11" s="391"/>
      <c r="J11" s="24"/>
      <c r="K11" s="88"/>
      <c r="L11" s="391"/>
      <c r="M11" s="391" t="s">
        <v>1000</v>
      </c>
      <c r="N11" s="24"/>
      <c r="O11" s="391" t="s">
        <v>1000</v>
      </c>
      <c r="P11" s="391"/>
      <c r="Q11" s="391"/>
      <c r="R11" s="88"/>
      <c r="S11" s="391" t="s">
        <v>1000</v>
      </c>
      <c r="T11" s="391" t="s">
        <v>1000</v>
      </c>
      <c r="U11" s="391" t="s">
        <v>1000</v>
      </c>
      <c r="V11" s="391" t="s">
        <v>1000</v>
      </c>
      <c r="W11" s="391" t="s">
        <v>1000</v>
      </c>
      <c r="X11" s="391" t="s">
        <v>1000</v>
      </c>
      <c r="Y11" s="55"/>
      <c r="Z11" s="24"/>
      <c r="AA11" s="391" t="s">
        <v>1000</v>
      </c>
      <c r="AB11" s="391" t="s">
        <v>1000</v>
      </c>
      <c r="AC11" s="391" t="s">
        <v>1000</v>
      </c>
      <c r="AD11" s="391" t="s">
        <v>1000</v>
      </c>
      <c r="AE11" s="391" t="s">
        <v>1000</v>
      </c>
      <c r="AF11" s="13"/>
      <c r="AG11" s="98"/>
      <c r="AH11" s="14"/>
      <c r="AI11" s="14"/>
    </row>
    <row r="12" spans="1:36" customFormat="1" ht="14.25" customHeight="1">
      <c r="A12" s="152" t="s">
        <v>18</v>
      </c>
      <c r="B12" s="24"/>
      <c r="C12" s="54"/>
      <c r="D12" s="88"/>
      <c r="E12" s="23"/>
      <c r="F12" s="23"/>
      <c r="G12" s="23"/>
      <c r="H12" s="23"/>
      <c r="I12" s="23"/>
      <c r="J12" s="24"/>
      <c r="K12" s="88"/>
      <c r="L12" s="23"/>
      <c r="M12" s="23"/>
      <c r="N12" s="24"/>
      <c r="O12" s="23"/>
      <c r="P12" s="23"/>
      <c r="Q12" s="23"/>
      <c r="R12" s="88"/>
      <c r="S12" s="23"/>
      <c r="T12" s="23"/>
      <c r="U12" s="23"/>
      <c r="V12" s="23"/>
      <c r="W12" s="23"/>
      <c r="X12" s="23"/>
      <c r="Y12" s="55"/>
      <c r="Z12" s="24"/>
      <c r="AA12" s="23"/>
      <c r="AB12" s="23"/>
      <c r="AC12" s="23"/>
      <c r="AD12" s="23"/>
      <c r="AE12" s="23"/>
      <c r="AF12" s="13"/>
      <c r="AG12" s="98"/>
      <c r="AH12" s="14"/>
      <c r="AI12" s="14"/>
    </row>
    <row r="13" spans="1:36" customFormat="1" ht="14.25" customHeight="1">
      <c r="A13" s="146" t="s">
        <v>20</v>
      </c>
      <c r="B13" s="24"/>
      <c r="C13" s="55"/>
      <c r="D13" s="88"/>
      <c r="E13" s="24"/>
      <c r="F13" s="24"/>
      <c r="G13" s="24"/>
      <c r="H13" s="24"/>
      <c r="I13" s="24"/>
      <c r="J13" s="24"/>
      <c r="K13" s="88"/>
      <c r="L13" s="24"/>
      <c r="M13" s="24"/>
      <c r="N13" s="24"/>
      <c r="O13" s="24"/>
      <c r="P13" s="24"/>
      <c r="Q13" s="24"/>
      <c r="R13" s="88"/>
      <c r="S13" s="24"/>
      <c r="T13" s="24"/>
      <c r="U13" s="24"/>
      <c r="V13" s="24" t="s">
        <v>107</v>
      </c>
      <c r="W13" s="24"/>
      <c r="X13" s="24"/>
      <c r="Y13" s="55"/>
      <c r="Z13" s="24"/>
      <c r="AA13" s="24"/>
      <c r="AB13" s="24"/>
      <c r="AC13" s="24"/>
      <c r="AD13" s="24"/>
      <c r="AE13" s="24"/>
      <c r="AF13" s="13"/>
      <c r="AG13" s="98"/>
      <c r="AH13" s="14"/>
      <c r="AI13" s="14"/>
    </row>
    <row r="14" spans="1:36" customFormat="1" ht="14.25" customHeight="1">
      <c r="A14" s="153" t="s">
        <v>21</v>
      </c>
      <c r="B14" s="24"/>
      <c r="C14" s="56" t="s">
        <v>541</v>
      </c>
      <c r="D14" s="88"/>
      <c r="E14" s="418" t="s">
        <v>699</v>
      </c>
      <c r="F14" s="418" t="s">
        <v>699</v>
      </c>
      <c r="G14" s="418" t="s">
        <v>26</v>
      </c>
      <c r="H14" s="418"/>
      <c r="I14" s="418"/>
      <c r="J14" s="24"/>
      <c r="K14" s="88"/>
      <c r="L14" s="418"/>
      <c r="M14" s="418" t="s">
        <v>32</v>
      </c>
      <c r="N14" s="24"/>
      <c r="O14" s="418" t="s">
        <v>717</v>
      </c>
      <c r="P14" s="418"/>
      <c r="Q14" s="418"/>
      <c r="R14" s="88"/>
      <c r="S14" s="418" t="s">
        <v>717</v>
      </c>
      <c r="T14" s="418" t="s">
        <v>717</v>
      </c>
      <c r="U14" s="418" t="s">
        <v>717</v>
      </c>
      <c r="V14" s="418" t="s">
        <v>717</v>
      </c>
      <c r="W14" s="418" t="s">
        <v>717</v>
      </c>
      <c r="X14" s="418" t="s">
        <v>717</v>
      </c>
      <c r="Y14" s="55"/>
      <c r="Z14" s="24"/>
      <c r="AA14" s="418" t="s">
        <v>92</v>
      </c>
      <c r="AB14" s="418" t="s">
        <v>92</v>
      </c>
      <c r="AC14" s="418" t="s">
        <v>731</v>
      </c>
      <c r="AD14" s="418" t="s">
        <v>727</v>
      </c>
      <c r="AE14" s="418" t="s">
        <v>725</v>
      </c>
      <c r="AF14" s="13"/>
      <c r="AG14" s="98"/>
      <c r="AH14" s="14"/>
      <c r="AI14" s="14"/>
    </row>
    <row r="15" spans="1:36" customFormat="1" ht="14.25" customHeight="1">
      <c r="A15" s="154" t="s">
        <v>22</v>
      </c>
      <c r="B15" s="24"/>
      <c r="C15" s="57"/>
      <c r="D15" s="88"/>
      <c r="E15" s="27"/>
      <c r="F15" s="27"/>
      <c r="G15" s="27"/>
      <c r="H15" s="27"/>
      <c r="I15" s="27"/>
      <c r="J15" s="24"/>
      <c r="K15" s="88"/>
      <c r="L15" s="27"/>
      <c r="M15" s="27"/>
      <c r="N15" s="24"/>
      <c r="O15" s="27"/>
      <c r="P15" s="27"/>
      <c r="Q15" s="27"/>
      <c r="R15" s="88"/>
      <c r="S15" s="27"/>
      <c r="T15" s="27"/>
      <c r="U15" s="27"/>
      <c r="V15" s="27"/>
      <c r="W15" s="27"/>
      <c r="X15" s="27"/>
      <c r="Y15" s="55"/>
      <c r="Z15" s="24"/>
      <c r="AA15" s="27"/>
      <c r="AB15" s="27"/>
      <c r="AC15" s="27"/>
      <c r="AD15" s="27"/>
      <c r="AE15" s="27"/>
      <c r="AF15" s="13"/>
      <c r="AG15" s="98"/>
      <c r="AH15" s="14"/>
      <c r="AI15" s="14"/>
    </row>
    <row r="16" spans="1:36" customFormat="1" ht="14.25" customHeight="1">
      <c r="A16" s="153" t="s">
        <v>23</v>
      </c>
      <c r="B16" s="24"/>
      <c r="C16" s="51">
        <v>3110</v>
      </c>
      <c r="D16" s="88"/>
      <c r="E16" s="418">
        <v>600</v>
      </c>
      <c r="F16" s="418">
        <v>1152</v>
      </c>
      <c r="G16" s="418">
        <v>7668</v>
      </c>
      <c r="H16" s="418"/>
      <c r="I16" s="418"/>
      <c r="J16" s="24"/>
      <c r="K16" s="88"/>
      <c r="L16" s="418"/>
      <c r="M16" s="418">
        <v>3744</v>
      </c>
      <c r="N16" s="24"/>
      <c r="O16" s="418">
        <v>4872</v>
      </c>
      <c r="P16" s="418"/>
      <c r="Q16" s="418"/>
      <c r="R16" s="88"/>
      <c r="S16" s="418">
        <v>2292</v>
      </c>
      <c r="T16" s="418">
        <v>276</v>
      </c>
      <c r="U16" s="418">
        <v>1512</v>
      </c>
      <c r="V16" s="418">
        <v>624</v>
      </c>
      <c r="W16" s="418">
        <v>312</v>
      </c>
      <c r="X16" s="418">
        <v>300</v>
      </c>
      <c r="Y16" s="55"/>
      <c r="Z16" s="24"/>
      <c r="AA16" s="418">
        <v>1092</v>
      </c>
      <c r="AB16" s="418">
        <v>3024</v>
      </c>
      <c r="AC16" s="418">
        <v>216</v>
      </c>
      <c r="AD16" s="418">
        <v>312</v>
      </c>
      <c r="AE16" s="418">
        <v>708</v>
      </c>
      <c r="AF16" s="13"/>
      <c r="AG16" s="98"/>
      <c r="AH16" s="14"/>
      <c r="AI16" s="14"/>
    </row>
    <row r="17" spans="1:35" customFormat="1" ht="14.25" customHeight="1">
      <c r="A17" s="155" t="s">
        <v>24</v>
      </c>
      <c r="B17" s="24"/>
      <c r="C17" s="111"/>
      <c r="D17" s="88"/>
      <c r="E17" s="24"/>
      <c r="F17" s="24"/>
      <c r="G17" s="24"/>
      <c r="H17" s="24"/>
      <c r="I17" s="24"/>
      <c r="J17" s="24"/>
      <c r="K17" s="88"/>
      <c r="L17" s="24"/>
      <c r="M17" s="24"/>
      <c r="N17" s="24"/>
      <c r="O17" s="24"/>
      <c r="P17" s="24"/>
      <c r="Q17" s="24"/>
      <c r="R17" s="88"/>
      <c r="S17" s="24"/>
      <c r="T17" s="24"/>
      <c r="U17" s="24"/>
      <c r="V17" s="24"/>
      <c r="W17" s="24"/>
      <c r="X17" s="24"/>
      <c r="Y17" s="55"/>
      <c r="Z17" s="24"/>
      <c r="AA17" s="24"/>
      <c r="AB17" s="24"/>
      <c r="AC17" s="24"/>
      <c r="AD17" s="24"/>
      <c r="AE17" s="24"/>
      <c r="AF17" s="13"/>
      <c r="AG17" s="98"/>
      <c r="AH17" s="14"/>
      <c r="AI17" s="14"/>
    </row>
    <row r="18" spans="1:35" customFormat="1" ht="14.25" customHeight="1">
      <c r="A18" s="128" t="s">
        <v>25</v>
      </c>
      <c r="B18" s="24"/>
      <c r="C18" s="491">
        <v>43576</v>
      </c>
      <c r="D18" s="88"/>
      <c r="E18" s="32">
        <v>43576</v>
      </c>
      <c r="F18" s="32">
        <v>43576</v>
      </c>
      <c r="G18" s="32">
        <v>43561</v>
      </c>
      <c r="H18" s="32"/>
      <c r="I18" s="32"/>
      <c r="J18" s="24"/>
      <c r="K18" s="88"/>
      <c r="L18" s="32"/>
      <c r="M18" s="32">
        <v>43578</v>
      </c>
      <c r="N18" s="24"/>
      <c r="O18" s="32">
        <v>43574</v>
      </c>
      <c r="P18" s="32"/>
      <c r="Q18" s="32"/>
      <c r="R18" s="88"/>
      <c r="S18" s="32">
        <v>43576</v>
      </c>
      <c r="T18" s="32">
        <v>43576</v>
      </c>
      <c r="U18" s="32">
        <v>43579</v>
      </c>
      <c r="V18" s="32">
        <v>43581</v>
      </c>
      <c r="W18" s="32">
        <v>43581</v>
      </c>
      <c r="X18" s="32">
        <v>43586</v>
      </c>
      <c r="Y18" s="55"/>
      <c r="Z18" s="24"/>
      <c r="AA18" s="32">
        <v>43576</v>
      </c>
      <c r="AB18" s="32">
        <v>43575</v>
      </c>
      <c r="AC18" s="32">
        <v>43590</v>
      </c>
      <c r="AD18" s="32">
        <v>43590</v>
      </c>
      <c r="AE18" s="32">
        <v>43590</v>
      </c>
      <c r="AF18" s="13"/>
      <c r="AG18" s="98"/>
      <c r="AH18" s="14"/>
      <c r="AI18" s="14"/>
    </row>
    <row r="19" spans="1:35" customFormat="1" ht="14.25" customHeight="1">
      <c r="A19" s="146" t="s">
        <v>27</v>
      </c>
      <c r="B19" s="24"/>
      <c r="C19" s="58" t="s">
        <v>29</v>
      </c>
      <c r="D19" s="88"/>
      <c r="E19" s="31" t="s">
        <v>29</v>
      </c>
      <c r="F19" s="31" t="s">
        <v>29</v>
      </c>
      <c r="G19" s="31" t="s">
        <v>29</v>
      </c>
      <c r="H19" s="24"/>
      <c r="I19" s="24"/>
      <c r="J19" s="24"/>
      <c r="K19" s="88"/>
      <c r="L19" s="24"/>
      <c r="M19" s="31" t="s">
        <v>29</v>
      </c>
      <c r="N19" s="24"/>
      <c r="O19" s="31" t="s">
        <v>28</v>
      </c>
      <c r="P19" s="24"/>
      <c r="Q19" s="24"/>
      <c r="R19" s="88"/>
      <c r="S19" s="31" t="s">
        <v>31</v>
      </c>
      <c r="T19" s="31" t="s">
        <v>29</v>
      </c>
      <c r="U19" s="31" t="s">
        <v>31</v>
      </c>
      <c r="V19" s="31" t="s">
        <v>28</v>
      </c>
      <c r="W19" s="31" t="s">
        <v>28</v>
      </c>
      <c r="X19" s="31" t="s">
        <v>1003</v>
      </c>
      <c r="Y19" s="55"/>
      <c r="Z19" s="24"/>
      <c r="AA19" s="31" t="s">
        <v>29</v>
      </c>
      <c r="AB19" s="31" t="s">
        <v>35</v>
      </c>
      <c r="AC19" s="31" t="s">
        <v>28</v>
      </c>
      <c r="AD19" s="31" t="s">
        <v>29</v>
      </c>
      <c r="AE19" s="31" t="s">
        <v>29</v>
      </c>
      <c r="AF19" s="13"/>
      <c r="AG19" s="98"/>
      <c r="AH19" s="14"/>
      <c r="AI19" s="14"/>
    </row>
    <row r="20" spans="1:35" customFormat="1" ht="15.75">
      <c r="A20" s="146" t="s">
        <v>10</v>
      </c>
      <c r="B20" s="24"/>
      <c r="C20" s="24"/>
      <c r="D20" s="88"/>
      <c r="E20" s="418" t="s">
        <v>697</v>
      </c>
      <c r="F20" s="418"/>
      <c r="G20" s="418"/>
      <c r="H20" s="418"/>
      <c r="I20" s="418"/>
      <c r="J20" s="24"/>
      <c r="K20" s="88"/>
      <c r="L20" s="418"/>
      <c r="M20" s="418"/>
      <c r="N20" s="24"/>
      <c r="O20" s="24"/>
      <c r="P20" s="418"/>
      <c r="Q20" s="418"/>
      <c r="R20" s="88"/>
      <c r="S20" s="418"/>
      <c r="T20" s="24"/>
      <c r="U20" s="418" t="s">
        <v>718</v>
      </c>
      <c r="V20" s="418" t="s">
        <v>718</v>
      </c>
      <c r="W20" s="418" t="s">
        <v>718</v>
      </c>
      <c r="X20" s="418" t="s">
        <v>724</v>
      </c>
      <c r="Y20" s="55"/>
      <c r="Z20" s="24"/>
      <c r="AA20" s="418" t="s">
        <v>91</v>
      </c>
      <c r="AB20" s="24"/>
      <c r="AC20" s="418" t="s">
        <v>732</v>
      </c>
      <c r="AD20" s="418" t="s">
        <v>726</v>
      </c>
      <c r="AE20" s="33"/>
      <c r="AF20" s="13"/>
      <c r="AG20" s="98"/>
      <c r="AH20" s="14"/>
      <c r="AI20" s="14"/>
    </row>
    <row r="21" spans="1:35" customFormat="1" ht="15.75">
      <c r="A21" s="147" t="s">
        <v>11</v>
      </c>
      <c r="B21" s="24"/>
      <c r="C21" s="24"/>
      <c r="D21" s="88"/>
      <c r="E21" s="93" t="s">
        <v>775</v>
      </c>
      <c r="F21" s="93"/>
      <c r="G21" s="93"/>
      <c r="H21" s="93"/>
      <c r="I21" s="93"/>
      <c r="J21" s="24"/>
      <c r="K21" s="88"/>
      <c r="L21" s="93"/>
      <c r="M21" s="93"/>
      <c r="N21" s="24"/>
      <c r="O21" s="24"/>
      <c r="P21" s="93"/>
      <c r="Q21" s="93"/>
      <c r="R21" s="88"/>
      <c r="S21" s="93"/>
      <c r="T21" s="24"/>
      <c r="U21" s="93" t="s">
        <v>783</v>
      </c>
      <c r="V21" s="93" t="s">
        <v>790</v>
      </c>
      <c r="W21" s="93" t="s">
        <v>789</v>
      </c>
      <c r="X21" s="93" t="s">
        <v>794</v>
      </c>
      <c r="Y21" s="55"/>
      <c r="Z21" s="24"/>
      <c r="AA21" s="93" t="s">
        <v>802</v>
      </c>
      <c r="AB21" s="24"/>
      <c r="AC21" s="93" t="s">
        <v>798</v>
      </c>
      <c r="AD21" s="93" t="s">
        <v>799</v>
      </c>
      <c r="AE21" s="33"/>
      <c r="AF21" s="13"/>
      <c r="AG21" s="98"/>
      <c r="AH21" s="14"/>
      <c r="AI21" s="14"/>
    </row>
    <row r="22" spans="1:35" customFormat="1" ht="15.75">
      <c r="A22" s="148" t="s">
        <v>12</v>
      </c>
      <c r="B22" s="24"/>
      <c r="C22" s="24"/>
      <c r="D22" s="88"/>
      <c r="E22" s="418"/>
      <c r="F22" s="418"/>
      <c r="G22" s="418"/>
      <c r="H22" s="418"/>
      <c r="I22" s="418"/>
      <c r="J22" s="24"/>
      <c r="K22" s="88"/>
      <c r="L22" s="418"/>
      <c r="M22" s="418"/>
      <c r="N22" s="24"/>
      <c r="O22" s="24"/>
      <c r="P22" s="418"/>
      <c r="Q22" s="418"/>
      <c r="R22" s="88"/>
      <c r="S22" s="418"/>
      <c r="T22" s="24"/>
      <c r="U22" s="418"/>
      <c r="V22" s="418"/>
      <c r="W22" s="418"/>
      <c r="X22" s="418"/>
      <c r="Y22" s="55"/>
      <c r="Z22" s="24"/>
      <c r="AA22" s="418"/>
      <c r="AB22" s="24"/>
      <c r="AC22" s="418"/>
      <c r="AD22" s="418"/>
      <c r="AE22" s="33"/>
      <c r="AF22" s="13"/>
      <c r="AG22" s="98"/>
      <c r="AH22" s="14"/>
      <c r="AI22" s="14"/>
    </row>
    <row r="23" spans="1:35" customFormat="1" ht="15.75">
      <c r="A23" s="149" t="s">
        <v>13</v>
      </c>
      <c r="B23" s="24"/>
      <c r="C23" s="24"/>
      <c r="D23" s="88"/>
      <c r="E23" s="19" t="s">
        <v>698</v>
      </c>
      <c r="F23" s="19"/>
      <c r="G23" s="19"/>
      <c r="H23" s="19"/>
      <c r="I23" s="19"/>
      <c r="J23" s="24"/>
      <c r="K23" s="88"/>
      <c r="L23" s="19"/>
      <c r="M23" s="19"/>
      <c r="N23" s="24"/>
      <c r="O23" s="24"/>
      <c r="P23" s="19"/>
      <c r="Q23" s="19"/>
      <c r="R23" s="88"/>
      <c r="S23" s="19"/>
      <c r="T23" s="24"/>
      <c r="U23" s="19" t="s">
        <v>14</v>
      </c>
      <c r="V23" s="19" t="s">
        <v>14</v>
      </c>
      <c r="W23" s="19" t="s">
        <v>14</v>
      </c>
      <c r="X23" s="19" t="s">
        <v>14</v>
      </c>
      <c r="Y23" s="55"/>
      <c r="Z23" s="24"/>
      <c r="AA23" s="19" t="s">
        <v>14</v>
      </c>
      <c r="AB23" s="24"/>
      <c r="AC23" s="19" t="s">
        <v>1004</v>
      </c>
      <c r="AD23" s="19" t="s">
        <v>1006</v>
      </c>
      <c r="AE23" s="33"/>
      <c r="AF23" s="13"/>
      <c r="AG23" s="98"/>
      <c r="AH23" s="14"/>
      <c r="AI23" s="14"/>
    </row>
    <row r="24" spans="1:35" customFormat="1" ht="15.75">
      <c r="A24" s="150" t="s">
        <v>15</v>
      </c>
      <c r="B24" s="24"/>
      <c r="C24" s="24"/>
      <c r="D24" s="88"/>
      <c r="E24" s="418" t="s">
        <v>49</v>
      </c>
      <c r="F24" s="418"/>
      <c r="G24" s="418"/>
      <c r="H24" s="418"/>
      <c r="I24" s="418"/>
      <c r="J24" s="24"/>
      <c r="K24" s="88"/>
      <c r="L24" s="418"/>
      <c r="M24" s="418"/>
      <c r="N24" s="24"/>
      <c r="O24" s="24"/>
      <c r="P24" s="418"/>
      <c r="Q24" s="418"/>
      <c r="R24" s="88"/>
      <c r="S24" s="418"/>
      <c r="T24" s="24"/>
      <c r="U24" s="418" t="s">
        <v>16</v>
      </c>
      <c r="V24" s="418" t="s">
        <v>16</v>
      </c>
      <c r="W24" s="418" t="s">
        <v>16</v>
      </c>
      <c r="X24" s="418" t="s">
        <v>71</v>
      </c>
      <c r="Y24" s="55"/>
      <c r="Z24" s="24"/>
      <c r="AA24" s="418" t="s">
        <v>68</v>
      </c>
      <c r="AB24" s="24"/>
      <c r="AC24" s="418" t="s">
        <v>68</v>
      </c>
      <c r="AD24" s="418" t="s">
        <v>68</v>
      </c>
      <c r="AE24" s="33"/>
      <c r="AF24" s="13"/>
      <c r="AG24" s="98"/>
      <c r="AH24" s="14"/>
      <c r="AI24" s="14"/>
    </row>
    <row r="25" spans="1:35" customFormat="1" ht="15.75">
      <c r="A25" s="151" t="s">
        <v>17</v>
      </c>
      <c r="B25" s="24"/>
      <c r="C25" s="24"/>
      <c r="D25" s="88"/>
      <c r="E25" s="391" t="s">
        <v>1000</v>
      </c>
      <c r="F25" s="391"/>
      <c r="G25" s="391"/>
      <c r="H25" s="391"/>
      <c r="I25" s="391"/>
      <c r="J25" s="24"/>
      <c r="K25" s="88"/>
      <c r="L25" s="391"/>
      <c r="M25" s="391"/>
      <c r="N25" s="24"/>
      <c r="O25" s="24"/>
      <c r="P25" s="391"/>
      <c r="Q25" s="391"/>
      <c r="R25" s="88"/>
      <c r="S25" s="391"/>
      <c r="T25" s="24"/>
      <c r="U25" s="391" t="s">
        <v>1000</v>
      </c>
      <c r="V25" s="391" t="s">
        <v>1000</v>
      </c>
      <c r="W25" s="391" t="s">
        <v>1000</v>
      </c>
      <c r="X25" s="391" t="s">
        <v>1000</v>
      </c>
      <c r="Y25" s="55"/>
      <c r="Z25" s="24"/>
      <c r="AA25" s="391" t="s">
        <v>1000</v>
      </c>
      <c r="AB25" s="24"/>
      <c r="AC25" s="391" t="s">
        <v>1000</v>
      </c>
      <c r="AD25" s="391" t="s">
        <v>1000</v>
      </c>
      <c r="AE25" s="33"/>
      <c r="AF25" s="13"/>
      <c r="AG25" s="98"/>
      <c r="AH25" s="14"/>
      <c r="AI25" s="14"/>
    </row>
    <row r="26" spans="1:35" customFormat="1" ht="15.75">
      <c r="A26" s="152" t="s">
        <v>18</v>
      </c>
      <c r="B26" s="24"/>
      <c r="C26" s="24"/>
      <c r="D26" s="88"/>
      <c r="E26" s="23"/>
      <c r="F26" s="23"/>
      <c r="G26" s="23"/>
      <c r="H26" s="23"/>
      <c r="I26" s="23"/>
      <c r="J26" s="24"/>
      <c r="K26" s="88"/>
      <c r="L26" s="23"/>
      <c r="M26" s="23"/>
      <c r="N26" s="24"/>
      <c r="O26" s="24"/>
      <c r="P26" s="23"/>
      <c r="Q26" s="23"/>
      <c r="R26" s="88"/>
      <c r="S26" s="23"/>
      <c r="T26" s="24"/>
      <c r="U26" s="23"/>
      <c r="V26" s="23"/>
      <c r="W26" s="23"/>
      <c r="X26" s="23"/>
      <c r="Y26" s="55"/>
      <c r="Z26" s="24"/>
      <c r="AA26" s="23"/>
      <c r="AB26" s="24"/>
      <c r="AC26" s="23"/>
      <c r="AD26" s="23"/>
      <c r="AE26" s="33"/>
      <c r="AF26" s="13"/>
      <c r="AG26" s="98"/>
      <c r="AH26" s="14"/>
      <c r="AI26" s="14"/>
    </row>
    <row r="27" spans="1:35" customFormat="1">
      <c r="A27" s="146" t="s">
        <v>20</v>
      </c>
      <c r="B27" s="24"/>
      <c r="C27" s="24"/>
      <c r="D27" s="88"/>
      <c r="E27" s="24" t="s">
        <v>106</v>
      </c>
      <c r="F27" s="24"/>
      <c r="G27" s="24"/>
      <c r="H27" s="24"/>
      <c r="I27" s="24"/>
      <c r="J27" s="24"/>
      <c r="K27" s="88"/>
      <c r="L27" s="24"/>
      <c r="M27" s="24"/>
      <c r="N27" s="24"/>
      <c r="O27" s="24"/>
      <c r="P27" s="24"/>
      <c r="Q27" s="24"/>
      <c r="R27" s="88"/>
      <c r="S27" s="24"/>
      <c r="T27" s="24"/>
      <c r="U27" s="24"/>
      <c r="V27" s="24" t="s">
        <v>107</v>
      </c>
      <c r="W27" s="24"/>
      <c r="X27" s="24"/>
      <c r="Y27" s="55"/>
      <c r="Z27" s="24"/>
      <c r="AA27" s="24"/>
      <c r="AB27" s="24"/>
      <c r="AC27" s="24"/>
      <c r="AD27" s="24"/>
      <c r="AE27" s="33"/>
      <c r="AF27" s="13"/>
      <c r="AG27" s="98"/>
      <c r="AH27" s="14"/>
      <c r="AI27" s="14"/>
    </row>
    <row r="28" spans="1:35" customFormat="1" ht="15.75">
      <c r="A28" s="153" t="s">
        <v>21</v>
      </c>
      <c r="B28" s="24"/>
      <c r="C28" s="24"/>
      <c r="D28" s="88"/>
      <c r="E28" s="418" t="s">
        <v>699</v>
      </c>
      <c r="F28" s="418"/>
      <c r="G28" s="418"/>
      <c r="H28" s="418"/>
      <c r="I28" s="418"/>
      <c r="J28" s="24"/>
      <c r="K28" s="88"/>
      <c r="L28" s="418"/>
      <c r="M28" s="418"/>
      <c r="N28" s="24"/>
      <c r="O28" s="24"/>
      <c r="P28" s="418"/>
      <c r="Q28" s="418"/>
      <c r="R28" s="88"/>
      <c r="S28" s="418"/>
      <c r="T28" s="24"/>
      <c r="U28" s="418" t="s">
        <v>717</v>
      </c>
      <c r="V28" s="418" t="s">
        <v>717</v>
      </c>
      <c r="W28" s="418" t="s">
        <v>717</v>
      </c>
      <c r="X28" s="418" t="s">
        <v>723</v>
      </c>
      <c r="Y28" s="55"/>
      <c r="Z28" s="24"/>
      <c r="AA28" s="418" t="s">
        <v>92</v>
      </c>
      <c r="AB28" s="24"/>
      <c r="AC28" s="418" t="s">
        <v>731</v>
      </c>
      <c r="AD28" s="418" t="s">
        <v>725</v>
      </c>
      <c r="AE28" s="33"/>
      <c r="AF28" s="13"/>
      <c r="AG28" s="98"/>
      <c r="AH28" s="14"/>
      <c r="AI28" s="14"/>
    </row>
    <row r="29" spans="1:35" customFormat="1">
      <c r="A29" s="154" t="s">
        <v>22</v>
      </c>
      <c r="B29" s="24"/>
      <c r="C29" s="24"/>
      <c r="D29" s="88"/>
      <c r="E29" s="27"/>
      <c r="F29" s="27"/>
      <c r="G29" s="27"/>
      <c r="H29" s="27"/>
      <c r="I29" s="27"/>
      <c r="J29" s="24"/>
      <c r="K29" s="88"/>
      <c r="L29" s="27"/>
      <c r="M29" s="27"/>
      <c r="N29" s="24"/>
      <c r="O29" s="24"/>
      <c r="P29" s="27"/>
      <c r="Q29" s="27"/>
      <c r="R29" s="88"/>
      <c r="S29" s="27"/>
      <c r="T29" s="24"/>
      <c r="U29" s="27"/>
      <c r="V29" s="27"/>
      <c r="W29" s="27"/>
      <c r="X29" s="27"/>
      <c r="Y29" s="55"/>
      <c r="Z29" s="24"/>
      <c r="AA29" s="27"/>
      <c r="AB29" s="24"/>
      <c r="AC29" s="27"/>
      <c r="AD29" s="27"/>
      <c r="AE29" s="33"/>
      <c r="AF29" s="13"/>
      <c r="AG29" s="98"/>
      <c r="AH29" s="14"/>
      <c r="AI29" s="14"/>
    </row>
    <row r="30" spans="1:35" customFormat="1" ht="15.75">
      <c r="A30" s="153" t="s">
        <v>23</v>
      </c>
      <c r="B30" s="24"/>
      <c r="C30" s="24"/>
      <c r="D30" s="88"/>
      <c r="E30" s="418">
        <v>900</v>
      </c>
      <c r="F30" s="418"/>
      <c r="G30" s="418"/>
      <c r="H30" s="418"/>
      <c r="I30" s="418"/>
      <c r="J30" s="24"/>
      <c r="K30" s="88"/>
      <c r="L30" s="418"/>
      <c r="M30" s="418"/>
      <c r="N30" s="24"/>
      <c r="O30" s="24"/>
      <c r="P30" s="418"/>
      <c r="Q30" s="418"/>
      <c r="R30" s="88"/>
      <c r="S30" s="418"/>
      <c r="T30" s="24"/>
      <c r="U30" s="418">
        <v>240</v>
      </c>
      <c r="V30" s="418">
        <v>288</v>
      </c>
      <c r="W30" s="418">
        <v>132</v>
      </c>
      <c r="X30" s="418">
        <v>2736</v>
      </c>
      <c r="Y30" s="55"/>
      <c r="Z30" s="24"/>
      <c r="AA30" s="418">
        <v>288</v>
      </c>
      <c r="AB30" s="24"/>
      <c r="AC30" s="418">
        <v>144</v>
      </c>
      <c r="AD30" s="418">
        <v>360</v>
      </c>
      <c r="AE30" s="33"/>
      <c r="AF30" s="13"/>
      <c r="AG30" s="98"/>
      <c r="AH30" s="14"/>
      <c r="AI30" s="14"/>
    </row>
    <row r="31" spans="1:35" customFormat="1" ht="15.75">
      <c r="A31" s="155" t="s">
        <v>24</v>
      </c>
      <c r="B31" s="24"/>
      <c r="C31" s="24"/>
      <c r="D31" s="88"/>
      <c r="E31" s="24"/>
      <c r="F31" s="24"/>
      <c r="G31" s="24"/>
      <c r="H31" s="24"/>
      <c r="I31" s="24"/>
      <c r="J31" s="24"/>
      <c r="K31" s="88"/>
      <c r="L31" s="24"/>
      <c r="M31" s="24"/>
      <c r="N31" s="24"/>
      <c r="O31" s="24"/>
      <c r="P31" s="24"/>
      <c r="Q31" s="24"/>
      <c r="R31" s="88"/>
      <c r="S31" s="24"/>
      <c r="T31" s="24"/>
      <c r="U31" s="24"/>
      <c r="V31" s="24"/>
      <c r="W31" s="24"/>
      <c r="X31" s="24"/>
      <c r="Y31" s="55"/>
      <c r="Z31" s="24"/>
      <c r="AA31" s="24"/>
      <c r="AB31" s="24"/>
      <c r="AC31" s="24"/>
      <c r="AD31" s="24"/>
      <c r="AE31" s="33"/>
      <c r="AF31" s="13"/>
      <c r="AG31" s="98"/>
      <c r="AH31" s="14"/>
      <c r="AI31" s="14"/>
    </row>
    <row r="32" spans="1:35" customFormat="1" ht="15.75">
      <c r="A32" s="128" t="s">
        <v>25</v>
      </c>
      <c r="B32" s="24"/>
      <c r="C32" s="24"/>
      <c r="D32" s="88"/>
      <c r="E32" s="32">
        <v>43576</v>
      </c>
      <c r="F32" s="32"/>
      <c r="G32" s="32"/>
      <c r="H32" s="32"/>
      <c r="I32" s="32"/>
      <c r="J32" s="24"/>
      <c r="K32" s="88"/>
      <c r="L32" s="32"/>
      <c r="M32" s="32"/>
      <c r="N32" s="24"/>
      <c r="O32" s="24"/>
      <c r="P32" s="32"/>
      <c r="Q32" s="32"/>
      <c r="R32" s="88"/>
      <c r="S32" s="32"/>
      <c r="T32" s="24"/>
      <c r="U32" s="32">
        <v>43579</v>
      </c>
      <c r="V32" s="32">
        <v>43581</v>
      </c>
      <c r="W32" s="32">
        <v>43581</v>
      </c>
      <c r="X32" s="32">
        <v>43578</v>
      </c>
      <c r="Y32" s="55"/>
      <c r="Z32" s="24"/>
      <c r="AA32" s="32">
        <v>43581</v>
      </c>
      <c r="AB32" s="24"/>
      <c r="AC32" s="32">
        <v>43590</v>
      </c>
      <c r="AD32" s="32">
        <v>43590</v>
      </c>
      <c r="AE32" s="33"/>
      <c r="AF32" s="13"/>
      <c r="AG32" s="98"/>
      <c r="AH32" s="14"/>
      <c r="AI32" s="14"/>
    </row>
    <row r="33" spans="1:35" customFormat="1">
      <c r="A33" s="146" t="s">
        <v>27</v>
      </c>
      <c r="B33" s="24"/>
      <c r="C33" s="24"/>
      <c r="D33" s="88"/>
      <c r="E33" s="31" t="s">
        <v>29</v>
      </c>
      <c r="F33" s="24"/>
      <c r="G33" s="24"/>
      <c r="H33" s="24"/>
      <c r="I33" s="24"/>
      <c r="J33" s="24"/>
      <c r="K33" s="88"/>
      <c r="L33" s="24"/>
      <c r="M33" s="24"/>
      <c r="N33" s="24"/>
      <c r="O33" s="24"/>
      <c r="P33" s="50"/>
      <c r="Q33" s="24"/>
      <c r="R33" s="88"/>
      <c r="S33" s="24"/>
      <c r="T33" s="24"/>
      <c r="U33" s="31" t="s">
        <v>31</v>
      </c>
      <c r="V33" s="31" t="s">
        <v>28</v>
      </c>
      <c r="W33" s="31" t="s">
        <v>28</v>
      </c>
      <c r="X33" s="31" t="s">
        <v>29</v>
      </c>
      <c r="Y33" s="55"/>
      <c r="Z33" s="184"/>
      <c r="AA33" s="31" t="s">
        <v>28</v>
      </c>
      <c r="AB33" s="24"/>
      <c r="AC33" s="31" t="s">
        <v>28</v>
      </c>
      <c r="AD33" s="31" t="s">
        <v>31</v>
      </c>
      <c r="AE33" s="14"/>
      <c r="AF33" s="13"/>
      <c r="AG33" s="98"/>
      <c r="AH33" s="14"/>
      <c r="AI33" s="14"/>
    </row>
    <row r="34" spans="1:35" customFormat="1" ht="15.75">
      <c r="A34" s="146" t="s">
        <v>10</v>
      </c>
      <c r="B34" s="24"/>
      <c r="C34" s="24"/>
      <c r="D34" s="88"/>
      <c r="E34" s="50"/>
      <c r="F34" s="24"/>
      <c r="G34" s="24"/>
      <c r="H34" s="418"/>
      <c r="I34" s="24"/>
      <c r="J34" s="24"/>
      <c r="K34" s="15"/>
      <c r="L34" s="50"/>
      <c r="M34" s="24"/>
      <c r="N34" s="24"/>
      <c r="O34" s="24"/>
      <c r="P34" s="50"/>
      <c r="Q34" s="418"/>
      <c r="R34" s="88"/>
      <c r="S34" s="33"/>
      <c r="T34" s="33"/>
      <c r="U34" s="33"/>
      <c r="V34" s="418" t="s">
        <v>718</v>
      </c>
      <c r="W34" s="418" t="s">
        <v>718</v>
      </c>
      <c r="X34" s="24"/>
      <c r="Y34" s="55"/>
      <c r="Z34" s="33"/>
      <c r="AA34" s="24"/>
      <c r="AB34" s="24"/>
      <c r="AC34" s="418" t="s">
        <v>729</v>
      </c>
      <c r="AD34" s="418" t="s">
        <v>726</v>
      </c>
      <c r="AE34" s="14"/>
      <c r="AF34" s="13"/>
      <c r="AG34" s="98"/>
      <c r="AH34" s="14"/>
      <c r="AI34" s="14"/>
    </row>
    <row r="35" spans="1:35" customFormat="1" ht="15.75">
      <c r="A35" s="147" t="s">
        <v>11</v>
      </c>
      <c r="B35" s="24"/>
      <c r="C35" s="24"/>
      <c r="D35" s="88"/>
      <c r="E35" s="50"/>
      <c r="F35" s="24"/>
      <c r="G35" s="24"/>
      <c r="H35" s="93"/>
      <c r="I35" s="24"/>
      <c r="J35" s="24"/>
      <c r="K35" s="15"/>
      <c r="L35" s="50"/>
      <c r="M35" s="24"/>
      <c r="N35" s="24"/>
      <c r="O35" s="24"/>
      <c r="P35" s="50"/>
      <c r="Q35" s="93"/>
      <c r="R35" s="88"/>
      <c r="S35" s="33"/>
      <c r="T35" s="33"/>
      <c r="U35" s="33"/>
      <c r="V35" s="93" t="s">
        <v>788</v>
      </c>
      <c r="W35" s="93" t="s">
        <v>787</v>
      </c>
      <c r="X35" s="24"/>
      <c r="Y35" s="55"/>
      <c r="Z35" s="33"/>
      <c r="AA35" s="24"/>
      <c r="AB35" s="24"/>
      <c r="AC35" s="93" t="s">
        <v>796</v>
      </c>
      <c r="AD35" s="93" t="s">
        <v>797</v>
      </c>
      <c r="AE35" s="14"/>
      <c r="AF35" s="13"/>
      <c r="AG35" s="98"/>
      <c r="AH35" s="14"/>
      <c r="AI35" s="14"/>
    </row>
    <row r="36" spans="1:35" customFormat="1" ht="15.75">
      <c r="A36" s="148" t="s">
        <v>12</v>
      </c>
      <c r="B36" s="24"/>
      <c r="C36" s="24"/>
      <c r="D36" s="88"/>
      <c r="E36" s="50"/>
      <c r="F36" s="24"/>
      <c r="G36" s="24"/>
      <c r="H36" s="418"/>
      <c r="I36" s="24"/>
      <c r="J36" s="24"/>
      <c r="K36" s="15"/>
      <c r="L36" s="50"/>
      <c r="M36" s="24"/>
      <c r="N36" s="24"/>
      <c r="O36" s="24"/>
      <c r="P36" s="50"/>
      <c r="Q36" s="418"/>
      <c r="R36" s="88"/>
      <c r="S36" s="33"/>
      <c r="T36" s="33"/>
      <c r="U36" s="33"/>
      <c r="V36" s="418"/>
      <c r="W36" s="418"/>
      <c r="X36" s="24"/>
      <c r="Y36" s="55"/>
      <c r="Z36" s="33"/>
      <c r="AA36" s="24"/>
      <c r="AB36" s="24"/>
      <c r="AC36" s="418"/>
      <c r="AD36" s="418"/>
      <c r="AE36" s="14"/>
      <c r="AF36" s="13"/>
      <c r="AG36" s="98"/>
      <c r="AH36" s="14"/>
      <c r="AI36" s="14"/>
    </row>
    <row r="37" spans="1:35" customFormat="1" ht="15.75">
      <c r="A37" s="149" t="s">
        <v>13</v>
      </c>
      <c r="B37" s="24"/>
      <c r="C37" s="24"/>
      <c r="D37" s="88"/>
      <c r="E37" s="50"/>
      <c r="F37" s="24"/>
      <c r="G37" s="24"/>
      <c r="H37" s="19"/>
      <c r="I37" s="24"/>
      <c r="J37" s="24"/>
      <c r="K37" s="15"/>
      <c r="L37" s="50"/>
      <c r="M37" s="24"/>
      <c r="N37" s="24"/>
      <c r="O37" s="24"/>
      <c r="P37" s="50"/>
      <c r="Q37" s="19"/>
      <c r="R37" s="88"/>
      <c r="S37" s="33"/>
      <c r="T37" s="33"/>
      <c r="U37" s="33"/>
      <c r="V37" s="19" t="s">
        <v>14</v>
      </c>
      <c r="W37" s="19" t="s">
        <v>14</v>
      </c>
      <c r="X37" s="24"/>
      <c r="Y37" s="55"/>
      <c r="Z37" s="33"/>
      <c r="AA37" s="24"/>
      <c r="AB37" s="24"/>
      <c r="AC37" s="19" t="s">
        <v>728</v>
      </c>
      <c r="AD37" s="19" t="s">
        <v>1006</v>
      </c>
      <c r="AE37" s="14"/>
      <c r="AF37" s="13"/>
      <c r="AG37" s="98"/>
      <c r="AH37" s="14"/>
      <c r="AI37" s="14"/>
    </row>
    <row r="38" spans="1:35" customFormat="1" ht="15.75">
      <c r="A38" s="150" t="s">
        <v>15</v>
      </c>
      <c r="B38" s="24"/>
      <c r="C38" s="24"/>
      <c r="D38" s="88"/>
      <c r="E38" s="50"/>
      <c r="F38" s="24"/>
      <c r="G38" s="24"/>
      <c r="H38" s="418"/>
      <c r="I38" s="24"/>
      <c r="J38" s="24"/>
      <c r="K38" s="15"/>
      <c r="L38" s="50"/>
      <c r="M38" s="24"/>
      <c r="N38" s="24"/>
      <c r="O38" s="24"/>
      <c r="P38" s="50"/>
      <c r="Q38" s="418"/>
      <c r="R38" s="88"/>
      <c r="S38" s="33"/>
      <c r="T38" s="33"/>
      <c r="U38" s="33"/>
      <c r="V38" s="418" t="s">
        <v>16</v>
      </c>
      <c r="W38" s="418" t="s">
        <v>16</v>
      </c>
      <c r="X38" s="24"/>
      <c r="Y38" s="55"/>
      <c r="Z38" s="33"/>
      <c r="AA38" s="24"/>
      <c r="AB38" s="24"/>
      <c r="AC38" s="418" t="s">
        <v>68</v>
      </c>
      <c r="AD38" s="418" t="s">
        <v>68</v>
      </c>
      <c r="AE38" s="14"/>
      <c r="AF38" s="13"/>
      <c r="AG38" s="98"/>
      <c r="AH38" s="14"/>
      <c r="AI38" s="14"/>
    </row>
    <row r="39" spans="1:35" customFormat="1" ht="15.75">
      <c r="A39" s="151" t="s">
        <v>17</v>
      </c>
      <c r="B39" s="24"/>
      <c r="C39" s="24"/>
      <c r="D39" s="88"/>
      <c r="E39" s="50"/>
      <c r="F39" s="24"/>
      <c r="G39" s="24"/>
      <c r="H39" s="391"/>
      <c r="I39" s="24"/>
      <c r="J39" s="24"/>
      <c r="K39" s="15"/>
      <c r="L39" s="50"/>
      <c r="M39" s="24"/>
      <c r="N39" s="24"/>
      <c r="O39" s="24"/>
      <c r="P39" s="50"/>
      <c r="Q39" s="391"/>
      <c r="R39" s="88"/>
      <c r="S39" s="33"/>
      <c r="T39" s="33"/>
      <c r="U39" s="33"/>
      <c r="V39" s="391" t="s">
        <v>1000</v>
      </c>
      <c r="W39" s="391" t="s">
        <v>1000</v>
      </c>
      <c r="X39" s="24"/>
      <c r="Y39" s="55"/>
      <c r="Z39" s="33"/>
      <c r="AA39" s="24"/>
      <c r="AB39" s="24"/>
      <c r="AC39" s="391" t="s">
        <v>1000</v>
      </c>
      <c r="AD39" s="391" t="s">
        <v>1000</v>
      </c>
      <c r="AE39" s="14"/>
      <c r="AF39" s="13"/>
      <c r="AG39" s="98"/>
      <c r="AH39" s="14"/>
      <c r="AI39" s="14"/>
    </row>
    <row r="40" spans="1:35" customFormat="1" ht="15.75">
      <c r="A40" s="152" t="s">
        <v>18</v>
      </c>
      <c r="B40" s="24"/>
      <c r="C40" s="24"/>
      <c r="D40" s="88"/>
      <c r="E40" s="50"/>
      <c r="F40" s="24"/>
      <c r="G40" s="24"/>
      <c r="H40" s="23"/>
      <c r="I40" s="24"/>
      <c r="J40" s="24"/>
      <c r="K40" s="15"/>
      <c r="L40" s="50"/>
      <c r="M40" s="24"/>
      <c r="N40" s="24"/>
      <c r="O40" s="24"/>
      <c r="P40" s="50"/>
      <c r="Q40" s="23"/>
      <c r="R40" s="88"/>
      <c r="S40" s="33"/>
      <c r="T40" s="33"/>
      <c r="U40" s="33"/>
      <c r="V40" s="23"/>
      <c r="W40" s="23"/>
      <c r="X40" s="24"/>
      <c r="Y40" s="55"/>
      <c r="Z40" s="33"/>
      <c r="AA40" s="24"/>
      <c r="AB40" s="24"/>
      <c r="AC40" s="23"/>
      <c r="AD40" s="23"/>
      <c r="AE40" s="14"/>
      <c r="AF40" s="13"/>
      <c r="AG40" s="98"/>
      <c r="AH40" s="14"/>
      <c r="AI40" s="14"/>
    </row>
    <row r="41" spans="1:35" customFormat="1">
      <c r="A41" s="146" t="s">
        <v>20</v>
      </c>
      <c r="B41" s="24"/>
      <c r="C41" s="24"/>
      <c r="D41" s="88"/>
      <c r="E41" s="50"/>
      <c r="F41" s="24"/>
      <c r="G41" s="24"/>
      <c r="H41" s="24"/>
      <c r="I41" s="24"/>
      <c r="J41" s="24"/>
      <c r="K41" s="15"/>
      <c r="L41" s="50"/>
      <c r="M41" s="24"/>
      <c r="N41" s="24"/>
      <c r="O41" s="24"/>
      <c r="P41" s="50"/>
      <c r="Q41" s="24"/>
      <c r="R41" s="88"/>
      <c r="S41" s="33"/>
      <c r="T41" s="33"/>
      <c r="U41" s="33"/>
      <c r="V41" s="24"/>
      <c r="W41" s="24"/>
      <c r="X41" s="24"/>
      <c r="Y41" s="55"/>
      <c r="Z41" s="33"/>
      <c r="AA41" s="24"/>
      <c r="AB41" s="24"/>
      <c r="AC41" s="24"/>
      <c r="AD41" s="24"/>
      <c r="AE41" s="14"/>
      <c r="AF41" s="13"/>
      <c r="AG41" s="98"/>
      <c r="AH41" s="14"/>
      <c r="AI41" s="14"/>
    </row>
    <row r="42" spans="1:35" customFormat="1" ht="15.75">
      <c r="A42" s="153" t="s">
        <v>21</v>
      </c>
      <c r="B42" s="24"/>
      <c r="C42" s="24"/>
      <c r="D42" s="88"/>
      <c r="E42" s="50"/>
      <c r="F42" s="24"/>
      <c r="G42" s="24"/>
      <c r="H42" s="418"/>
      <c r="I42" s="24"/>
      <c r="J42" s="24"/>
      <c r="K42" s="15"/>
      <c r="L42" s="50"/>
      <c r="M42" s="24"/>
      <c r="N42" s="24"/>
      <c r="O42" s="24"/>
      <c r="P42" s="50"/>
      <c r="Q42" s="418"/>
      <c r="R42" s="88"/>
      <c r="S42" s="33"/>
      <c r="T42" s="33"/>
      <c r="U42" s="33"/>
      <c r="V42" s="418" t="s">
        <v>717</v>
      </c>
      <c r="W42" s="418" t="s">
        <v>717</v>
      </c>
      <c r="X42" s="24"/>
      <c r="Y42" s="55"/>
      <c r="Z42" s="33"/>
      <c r="AA42" s="24"/>
      <c r="AB42" s="24"/>
      <c r="AC42" s="418" t="s">
        <v>727</v>
      </c>
      <c r="AD42" s="418" t="s">
        <v>725</v>
      </c>
      <c r="AE42" s="14"/>
      <c r="AF42" s="13"/>
      <c r="AG42" s="98"/>
      <c r="AH42" s="14"/>
      <c r="AI42" s="14"/>
    </row>
    <row r="43" spans="1:35" customFormat="1">
      <c r="A43" s="154" t="s">
        <v>22</v>
      </c>
      <c r="B43" s="24"/>
      <c r="C43" s="24"/>
      <c r="D43" s="88"/>
      <c r="E43" s="50"/>
      <c r="F43" s="24"/>
      <c r="G43" s="24"/>
      <c r="H43" s="27"/>
      <c r="I43" s="24"/>
      <c r="J43" s="24"/>
      <c r="K43" s="15"/>
      <c r="L43" s="50"/>
      <c r="M43" s="24"/>
      <c r="N43" s="24"/>
      <c r="O43" s="24"/>
      <c r="P43" s="50"/>
      <c r="Q43" s="27"/>
      <c r="R43" s="88"/>
      <c r="S43" s="33"/>
      <c r="T43" s="33"/>
      <c r="U43" s="33"/>
      <c r="V43" s="27"/>
      <c r="W43" s="27"/>
      <c r="X43" s="24"/>
      <c r="Y43" s="55"/>
      <c r="Z43" s="33"/>
      <c r="AA43" s="24"/>
      <c r="AB43" s="24"/>
      <c r="AC43" s="27"/>
      <c r="AD43" s="27"/>
      <c r="AE43" s="14"/>
      <c r="AF43" s="13"/>
      <c r="AG43" s="98"/>
      <c r="AH43" s="14"/>
      <c r="AI43" s="14"/>
    </row>
    <row r="44" spans="1:35" customFormat="1" ht="15.75">
      <c r="A44" s="153" t="s">
        <v>23</v>
      </c>
      <c r="B44" s="24"/>
      <c r="C44" s="24"/>
      <c r="D44" s="88"/>
      <c r="E44" s="50"/>
      <c r="F44" s="24"/>
      <c r="G44" s="24"/>
      <c r="H44" s="418"/>
      <c r="I44" s="24"/>
      <c r="J44" s="24"/>
      <c r="K44" s="15"/>
      <c r="L44" s="50"/>
      <c r="M44" s="24"/>
      <c r="N44" s="24"/>
      <c r="O44" s="24"/>
      <c r="P44" s="50"/>
      <c r="Q44" s="418"/>
      <c r="R44" s="88"/>
      <c r="S44" s="33"/>
      <c r="T44" s="33"/>
      <c r="U44" s="33"/>
      <c r="V44" s="418">
        <v>492</v>
      </c>
      <c r="W44" s="418">
        <v>312</v>
      </c>
      <c r="X44" s="24"/>
      <c r="Y44" s="55"/>
      <c r="Z44" s="33"/>
      <c r="AA44" s="24"/>
      <c r="AB44" s="24"/>
      <c r="AC44" s="418">
        <v>204</v>
      </c>
      <c r="AD44" s="418">
        <v>1956</v>
      </c>
      <c r="AE44" s="14"/>
      <c r="AF44" s="13"/>
      <c r="AG44" s="98"/>
      <c r="AH44" s="14"/>
      <c r="AI44" s="14"/>
    </row>
    <row r="45" spans="1:35" customFormat="1" ht="12.75" customHeight="1">
      <c r="A45" s="155" t="s">
        <v>24</v>
      </c>
      <c r="B45" s="24"/>
      <c r="C45" s="24"/>
      <c r="D45" s="88"/>
      <c r="E45" s="50"/>
      <c r="F45" s="24"/>
      <c r="G45" s="24"/>
      <c r="H45" s="24"/>
      <c r="I45" s="24"/>
      <c r="J45" s="24"/>
      <c r="K45" s="15"/>
      <c r="L45" s="50"/>
      <c r="M45" s="24"/>
      <c r="N45" s="24"/>
      <c r="O45" s="24"/>
      <c r="P45" s="50"/>
      <c r="Q45" s="24"/>
      <c r="R45" s="88"/>
      <c r="S45" s="33"/>
      <c r="T45" s="33"/>
      <c r="U45" s="33"/>
      <c r="V45" s="24"/>
      <c r="W45" s="24"/>
      <c r="X45" s="24"/>
      <c r="Y45" s="55"/>
      <c r="Z45" s="33"/>
      <c r="AA45" s="24"/>
      <c r="AB45" s="24"/>
      <c r="AC45" s="24"/>
      <c r="AD45" s="24"/>
      <c r="AE45" s="14"/>
      <c r="AF45" s="13"/>
      <c r="AG45" s="98"/>
      <c r="AH45" s="14"/>
      <c r="AI45" s="14"/>
    </row>
    <row r="46" spans="1:35" customFormat="1" ht="15.75">
      <c r="A46" s="128" t="s">
        <v>25</v>
      </c>
      <c r="B46" s="24"/>
      <c r="C46" s="24"/>
      <c r="D46" s="88"/>
      <c r="E46" s="50"/>
      <c r="F46" s="24"/>
      <c r="G46" s="24"/>
      <c r="H46" s="32"/>
      <c r="I46" s="24"/>
      <c r="J46" s="24"/>
      <c r="K46" s="15"/>
      <c r="L46" s="50"/>
      <c r="M46" s="24"/>
      <c r="N46" s="24"/>
      <c r="O46" s="24"/>
      <c r="P46" s="50"/>
      <c r="Q46" s="32"/>
      <c r="R46" s="88"/>
      <c r="S46" s="33"/>
      <c r="T46" s="33"/>
      <c r="U46" s="33"/>
      <c r="V46" s="32">
        <v>43581</v>
      </c>
      <c r="W46" s="32">
        <v>43581</v>
      </c>
      <c r="X46" s="24"/>
      <c r="Y46" s="55"/>
      <c r="Z46" s="507"/>
      <c r="AA46" s="24"/>
      <c r="AB46" s="24"/>
      <c r="AC46" s="32">
        <v>43590</v>
      </c>
      <c r="AD46" s="32">
        <v>43590</v>
      </c>
      <c r="AE46" s="14"/>
      <c r="AF46" s="13"/>
      <c r="AG46" s="98"/>
      <c r="AH46" s="14"/>
      <c r="AI46" s="14"/>
    </row>
    <row r="47" spans="1:35" customFormat="1">
      <c r="A47" s="146" t="s">
        <v>27</v>
      </c>
      <c r="B47" s="24"/>
      <c r="C47" s="24"/>
      <c r="D47" s="88"/>
      <c r="E47" s="50"/>
      <c r="F47" s="24"/>
      <c r="G47" s="24"/>
      <c r="H47" s="24"/>
      <c r="I47" s="24"/>
      <c r="J47" s="24"/>
      <c r="K47" s="15"/>
      <c r="L47" s="50"/>
      <c r="M47" s="24"/>
      <c r="N47" s="24"/>
      <c r="O47" s="24"/>
      <c r="P47" s="50"/>
      <c r="Q47" s="24"/>
      <c r="R47" s="88"/>
      <c r="S47" s="33"/>
      <c r="T47" s="33"/>
      <c r="U47" s="33"/>
      <c r="V47" s="31" t="s">
        <v>28</v>
      </c>
      <c r="W47" s="31" t="s">
        <v>28</v>
      </c>
      <c r="X47" s="24"/>
      <c r="Y47" s="55"/>
      <c r="Z47" s="184"/>
      <c r="AA47" s="24"/>
      <c r="AB47" s="24"/>
      <c r="AC47" s="31" t="s">
        <v>29</v>
      </c>
      <c r="AD47" s="31" t="s">
        <v>29</v>
      </c>
      <c r="AE47" s="14"/>
      <c r="AF47" s="13"/>
      <c r="AG47" s="98"/>
      <c r="AH47" s="14"/>
      <c r="AI47" s="14"/>
    </row>
    <row r="48" spans="1:35" customFormat="1" ht="15.75">
      <c r="A48" s="146" t="s">
        <v>10</v>
      </c>
      <c r="B48" s="429"/>
      <c r="C48" s="33"/>
      <c r="D48" s="88"/>
      <c r="E48" s="33"/>
      <c r="F48" s="24"/>
      <c r="G48" s="24"/>
      <c r="H48" s="24"/>
      <c r="I48" s="24"/>
      <c r="J48" s="24"/>
      <c r="K48" s="15"/>
      <c r="L48" s="33"/>
      <c r="M48" s="33"/>
      <c r="N48" s="33"/>
      <c r="O48" s="33"/>
      <c r="P48" s="33"/>
      <c r="Q48" s="418"/>
      <c r="R48" s="88"/>
      <c r="S48" s="33"/>
      <c r="T48" s="33"/>
      <c r="U48" s="33"/>
      <c r="V48" s="24"/>
      <c r="W48" s="418" t="s">
        <v>718</v>
      </c>
      <c r="X48" s="24"/>
      <c r="Y48" s="13"/>
      <c r="Z48" s="14"/>
      <c r="AA48" s="24"/>
      <c r="AB48" s="24"/>
      <c r="AC48" s="24"/>
      <c r="AD48" s="24"/>
      <c r="AE48" s="14"/>
      <c r="AF48" s="13"/>
      <c r="AG48" s="98"/>
      <c r="AH48" s="14"/>
      <c r="AI48" s="14"/>
    </row>
    <row r="49" spans="1:35" customFormat="1" ht="15.75">
      <c r="A49" s="147" t="s">
        <v>11</v>
      </c>
      <c r="B49" s="429"/>
      <c r="C49" s="33"/>
      <c r="D49" s="88"/>
      <c r="E49" s="33"/>
      <c r="F49" s="24"/>
      <c r="G49" s="24"/>
      <c r="H49" s="24"/>
      <c r="I49" s="24"/>
      <c r="J49" s="24"/>
      <c r="K49" s="15"/>
      <c r="L49" s="33"/>
      <c r="M49" s="33"/>
      <c r="N49" s="33"/>
      <c r="O49" s="33"/>
      <c r="P49" s="33"/>
      <c r="Q49" s="93"/>
      <c r="R49" s="88"/>
      <c r="S49" s="33"/>
      <c r="T49" s="33"/>
      <c r="U49" s="33"/>
      <c r="V49" s="24"/>
      <c r="W49" s="93" t="s">
        <v>786</v>
      </c>
      <c r="X49" s="24"/>
      <c r="Y49" s="13"/>
      <c r="Z49" s="14"/>
      <c r="AA49" s="24"/>
      <c r="AB49" s="24"/>
      <c r="AC49" s="24"/>
      <c r="AD49" s="24"/>
      <c r="AE49" s="14"/>
      <c r="AF49" s="13"/>
      <c r="AG49" s="98"/>
      <c r="AH49" s="14"/>
      <c r="AI49" s="14"/>
    </row>
    <row r="50" spans="1:35" customFormat="1" ht="15.75">
      <c r="A50" s="148" t="s">
        <v>12</v>
      </c>
      <c r="B50" s="429"/>
      <c r="C50" s="33"/>
      <c r="D50" s="88"/>
      <c r="E50" s="33"/>
      <c r="F50" s="24"/>
      <c r="G50" s="24"/>
      <c r="H50" s="24"/>
      <c r="I50" s="24"/>
      <c r="J50" s="24"/>
      <c r="K50" s="15"/>
      <c r="L50" s="33"/>
      <c r="M50" s="33"/>
      <c r="N50" s="33"/>
      <c r="O50" s="33"/>
      <c r="P50" s="33"/>
      <c r="Q50" s="418"/>
      <c r="R50" s="88"/>
      <c r="S50" s="33"/>
      <c r="T50" s="33"/>
      <c r="U50" s="33"/>
      <c r="V50" s="24"/>
      <c r="W50" s="418"/>
      <c r="X50" s="24"/>
      <c r="Y50" s="13"/>
      <c r="Z50" s="14"/>
      <c r="AA50" s="24"/>
      <c r="AB50" s="24"/>
      <c r="AC50" s="24"/>
      <c r="AD50" s="24"/>
      <c r="AE50" s="14"/>
      <c r="AF50" s="13"/>
      <c r="AG50" s="98"/>
      <c r="AH50" s="14"/>
      <c r="AI50" s="14"/>
    </row>
    <row r="51" spans="1:35" customFormat="1" ht="15.75">
      <c r="A51" s="149" t="s">
        <v>13</v>
      </c>
      <c r="B51" s="429"/>
      <c r="C51" s="33"/>
      <c r="D51" s="88"/>
      <c r="E51" s="33"/>
      <c r="F51" s="24"/>
      <c r="G51" s="24"/>
      <c r="H51" s="24"/>
      <c r="I51" s="24"/>
      <c r="J51" s="24"/>
      <c r="K51" s="15"/>
      <c r="L51" s="33"/>
      <c r="M51" s="33"/>
      <c r="N51" s="33"/>
      <c r="O51" s="33"/>
      <c r="P51" s="33"/>
      <c r="Q51" s="19"/>
      <c r="R51" s="88"/>
      <c r="S51" s="33"/>
      <c r="T51" s="33"/>
      <c r="U51" s="33"/>
      <c r="V51" s="24"/>
      <c r="W51" s="19" t="s">
        <v>14</v>
      </c>
      <c r="X51" s="24"/>
      <c r="Y51" s="13"/>
      <c r="Z51" s="14"/>
      <c r="AA51" s="24"/>
      <c r="AB51" s="24"/>
      <c r="AC51" s="24"/>
      <c r="AD51" s="24"/>
      <c r="AE51" s="14"/>
      <c r="AF51" s="13"/>
      <c r="AG51" s="98"/>
      <c r="AH51" s="14"/>
      <c r="AI51" s="14"/>
    </row>
    <row r="52" spans="1:35" customFormat="1" ht="15.75">
      <c r="A52" s="150" t="s">
        <v>15</v>
      </c>
      <c r="B52" s="429"/>
      <c r="C52" s="33"/>
      <c r="D52" s="88"/>
      <c r="E52" s="33"/>
      <c r="F52" s="24"/>
      <c r="G52" s="24"/>
      <c r="H52" s="24"/>
      <c r="I52" s="24"/>
      <c r="J52" s="24"/>
      <c r="K52" s="15"/>
      <c r="L52" s="33"/>
      <c r="M52" s="33"/>
      <c r="N52" s="33"/>
      <c r="O52" s="33"/>
      <c r="P52" s="33"/>
      <c r="Q52" s="418"/>
      <c r="R52" s="88"/>
      <c r="S52" s="33"/>
      <c r="T52" s="33"/>
      <c r="U52" s="33"/>
      <c r="V52" s="24"/>
      <c r="W52" s="418" t="s">
        <v>16</v>
      </c>
      <c r="X52" s="24"/>
      <c r="Y52" s="13"/>
      <c r="Z52" s="14"/>
      <c r="AA52" s="24"/>
      <c r="AB52" s="24"/>
      <c r="AC52" s="24"/>
      <c r="AD52" s="24"/>
      <c r="AE52" s="14"/>
      <c r="AF52" s="13"/>
      <c r="AG52" s="98"/>
      <c r="AH52" s="14"/>
      <c r="AI52" s="14"/>
    </row>
    <row r="53" spans="1:35" customFormat="1" ht="15.75">
      <c r="A53" s="151" t="s">
        <v>17</v>
      </c>
      <c r="B53" s="429"/>
      <c r="C53" s="33"/>
      <c r="D53" s="88"/>
      <c r="E53" s="33"/>
      <c r="F53" s="24"/>
      <c r="G53" s="24"/>
      <c r="H53" s="24"/>
      <c r="I53" s="24"/>
      <c r="J53" s="24"/>
      <c r="K53" s="15"/>
      <c r="L53" s="33"/>
      <c r="M53" s="33"/>
      <c r="N53" s="33"/>
      <c r="O53" s="33"/>
      <c r="P53" s="33"/>
      <c r="Q53" s="391"/>
      <c r="R53" s="88"/>
      <c r="S53" s="33"/>
      <c r="T53" s="33"/>
      <c r="U53" s="33"/>
      <c r="V53" s="24"/>
      <c r="W53" s="391" t="s">
        <v>1000</v>
      </c>
      <c r="X53" s="24"/>
      <c r="Y53" s="13"/>
      <c r="Z53" s="14"/>
      <c r="AA53" s="24"/>
      <c r="AB53" s="24"/>
      <c r="AC53" s="24"/>
      <c r="AD53" s="24"/>
      <c r="AE53" s="14"/>
      <c r="AF53" s="13"/>
      <c r="AG53" s="98"/>
      <c r="AH53" s="14"/>
      <c r="AI53" s="14"/>
    </row>
    <row r="54" spans="1:35" customFormat="1" ht="15.75">
      <c r="A54" s="152" t="s">
        <v>18</v>
      </c>
      <c r="B54" s="429"/>
      <c r="C54" s="33"/>
      <c r="D54" s="88"/>
      <c r="E54" s="33"/>
      <c r="F54" s="24"/>
      <c r="G54" s="24"/>
      <c r="H54" s="24"/>
      <c r="I54" s="24"/>
      <c r="J54" s="24"/>
      <c r="K54" s="15"/>
      <c r="L54" s="33"/>
      <c r="M54" s="33"/>
      <c r="N54" s="33"/>
      <c r="O54" s="33"/>
      <c r="P54" s="33"/>
      <c r="Q54" s="23"/>
      <c r="R54" s="88"/>
      <c r="S54" s="33"/>
      <c r="T54" s="33"/>
      <c r="U54" s="33"/>
      <c r="V54" s="24"/>
      <c r="W54" s="23"/>
      <c r="X54" s="24"/>
      <c r="Y54" s="13"/>
      <c r="Z54" s="14"/>
      <c r="AA54" s="24"/>
      <c r="AB54" s="24"/>
      <c r="AC54" s="24"/>
      <c r="AD54" s="24"/>
      <c r="AE54" s="14"/>
      <c r="AF54" s="13"/>
      <c r="AG54" s="98"/>
      <c r="AH54" s="14"/>
      <c r="AI54" s="14"/>
    </row>
    <row r="55" spans="1:35" customFormat="1">
      <c r="A55" s="146" t="s">
        <v>20</v>
      </c>
      <c r="B55" s="429"/>
      <c r="C55" s="33"/>
      <c r="D55" s="88"/>
      <c r="E55" s="33"/>
      <c r="F55" s="24"/>
      <c r="G55" s="24"/>
      <c r="H55" s="24"/>
      <c r="I55" s="24"/>
      <c r="J55" s="24"/>
      <c r="K55" s="15"/>
      <c r="L55" s="33"/>
      <c r="M55" s="33"/>
      <c r="N55" s="33"/>
      <c r="O55" s="33"/>
      <c r="P55" s="33"/>
      <c r="Q55" s="24"/>
      <c r="R55" s="88"/>
      <c r="S55" s="33"/>
      <c r="T55" s="33"/>
      <c r="U55" s="33"/>
      <c r="V55" s="24"/>
      <c r="W55" s="24"/>
      <c r="X55" s="24"/>
      <c r="Y55" s="13"/>
      <c r="Z55" s="14"/>
      <c r="AA55" s="24"/>
      <c r="AB55" s="24"/>
      <c r="AC55" s="24"/>
      <c r="AD55" s="24"/>
      <c r="AE55" s="14"/>
      <c r="AF55" s="13"/>
      <c r="AG55" s="98"/>
      <c r="AH55" s="14"/>
      <c r="AI55" s="14"/>
    </row>
    <row r="56" spans="1:35" customFormat="1" ht="15.75">
      <c r="A56" s="153" t="s">
        <v>21</v>
      </c>
      <c r="B56" s="429"/>
      <c r="C56" s="33"/>
      <c r="D56" s="88"/>
      <c r="E56" s="33"/>
      <c r="F56" s="24"/>
      <c r="G56" s="24"/>
      <c r="H56" s="24"/>
      <c r="I56" s="24"/>
      <c r="J56" s="24"/>
      <c r="K56" s="15"/>
      <c r="L56" s="33"/>
      <c r="M56" s="33"/>
      <c r="N56" s="33"/>
      <c r="O56" s="33"/>
      <c r="P56" s="33"/>
      <c r="Q56" s="418"/>
      <c r="R56" s="88"/>
      <c r="S56" s="33"/>
      <c r="T56" s="33"/>
      <c r="U56" s="33"/>
      <c r="V56" s="24"/>
      <c r="W56" s="418" t="s">
        <v>717</v>
      </c>
      <c r="X56" s="24"/>
      <c r="Y56" s="13"/>
      <c r="Z56" s="14"/>
      <c r="AA56" s="24"/>
      <c r="AB56" s="24"/>
      <c r="AC56" s="24"/>
      <c r="AD56" s="24"/>
      <c r="AE56" s="14"/>
      <c r="AF56" s="13"/>
      <c r="AG56" s="98"/>
      <c r="AH56" s="14"/>
      <c r="AI56" s="14"/>
    </row>
    <row r="57" spans="1:35" customFormat="1">
      <c r="A57" s="154" t="s">
        <v>22</v>
      </c>
      <c r="B57" s="429"/>
      <c r="C57" s="33"/>
      <c r="D57" s="88"/>
      <c r="E57" s="33"/>
      <c r="F57" s="24"/>
      <c r="G57" s="24"/>
      <c r="H57" s="24"/>
      <c r="I57" s="24"/>
      <c r="J57" s="24"/>
      <c r="K57" s="15"/>
      <c r="L57" s="33"/>
      <c r="M57" s="33"/>
      <c r="N57" s="33"/>
      <c r="O57" s="33"/>
      <c r="P57" s="33"/>
      <c r="Q57" s="27"/>
      <c r="R57" s="88"/>
      <c r="S57" s="33"/>
      <c r="T57" s="33"/>
      <c r="U57" s="33"/>
      <c r="V57" s="24"/>
      <c r="W57" s="27"/>
      <c r="X57" s="24"/>
      <c r="Y57" s="13"/>
      <c r="Z57" s="14"/>
      <c r="AA57" s="24"/>
      <c r="AB57" s="24"/>
      <c r="AC57" s="24"/>
      <c r="AD57" s="24"/>
      <c r="AE57" s="14"/>
      <c r="AF57" s="13"/>
      <c r="AG57" s="98"/>
      <c r="AH57" s="14"/>
      <c r="AI57" s="14"/>
    </row>
    <row r="58" spans="1:35" customFormat="1" ht="15.75">
      <c r="A58" s="153" t="s">
        <v>23</v>
      </c>
      <c r="B58" s="429"/>
      <c r="C58" s="33"/>
      <c r="D58" s="88"/>
      <c r="E58" s="33"/>
      <c r="F58" s="24"/>
      <c r="G58" s="24"/>
      <c r="H58" s="24"/>
      <c r="I58" s="24"/>
      <c r="J58" s="24"/>
      <c r="K58" s="15"/>
      <c r="L58" s="33"/>
      <c r="M58" s="33"/>
      <c r="N58" s="33"/>
      <c r="O58" s="33"/>
      <c r="P58" s="33"/>
      <c r="Q58" s="418"/>
      <c r="R58" s="88"/>
      <c r="S58" s="33"/>
      <c r="T58" s="33"/>
      <c r="U58" s="33"/>
      <c r="V58" s="24"/>
      <c r="W58" s="418">
        <v>300</v>
      </c>
      <c r="X58" s="24"/>
      <c r="Y58" s="13"/>
      <c r="Z58" s="14"/>
      <c r="AA58" s="24"/>
      <c r="AB58" s="24"/>
      <c r="AC58" s="24"/>
      <c r="AD58" s="24"/>
      <c r="AE58" s="14"/>
      <c r="AF58" s="13"/>
      <c r="AG58" s="98"/>
      <c r="AH58" s="14"/>
      <c r="AI58" s="14"/>
    </row>
    <row r="59" spans="1:35" customFormat="1" ht="14.25" customHeight="1">
      <c r="A59" s="155" t="s">
        <v>24</v>
      </c>
      <c r="B59" s="429"/>
      <c r="C59" s="33"/>
      <c r="D59" s="88"/>
      <c r="E59" s="33"/>
      <c r="F59" s="24"/>
      <c r="G59" s="24"/>
      <c r="H59" s="24"/>
      <c r="I59" s="24"/>
      <c r="J59" s="24"/>
      <c r="K59" s="15"/>
      <c r="L59" s="33"/>
      <c r="M59" s="33"/>
      <c r="N59" s="33"/>
      <c r="O59" s="33"/>
      <c r="P59" s="33"/>
      <c r="Q59" s="24"/>
      <c r="R59" s="88"/>
      <c r="S59" s="33"/>
      <c r="T59" s="33"/>
      <c r="U59" s="33"/>
      <c r="V59" s="24"/>
      <c r="W59" s="24"/>
      <c r="X59" s="24"/>
      <c r="Y59" s="13"/>
      <c r="Z59" s="14"/>
      <c r="AA59" s="24"/>
      <c r="AB59" s="24"/>
      <c r="AC59" s="24"/>
      <c r="AD59" s="24"/>
      <c r="AE59" s="14"/>
      <c r="AF59" s="13"/>
      <c r="AG59" s="98"/>
      <c r="AH59" s="14"/>
      <c r="AI59" s="14"/>
    </row>
    <row r="60" spans="1:35" customFormat="1" ht="15.75">
      <c r="A60" s="128" t="s">
        <v>25</v>
      </c>
      <c r="B60" s="429"/>
      <c r="C60" s="33"/>
      <c r="D60" s="88"/>
      <c r="E60" s="33"/>
      <c r="F60" s="24"/>
      <c r="G60" s="24"/>
      <c r="H60" s="24"/>
      <c r="I60" s="24"/>
      <c r="J60" s="24"/>
      <c r="K60" s="15"/>
      <c r="L60" s="33"/>
      <c r="M60" s="33"/>
      <c r="N60" s="33"/>
      <c r="O60" s="33"/>
      <c r="P60" s="33"/>
      <c r="Q60" s="32"/>
      <c r="R60" s="88"/>
      <c r="S60" s="33"/>
      <c r="T60" s="33"/>
      <c r="U60" s="33"/>
      <c r="V60" s="24"/>
      <c r="W60" s="32">
        <v>43586</v>
      </c>
      <c r="X60" s="24"/>
      <c r="Y60" s="13"/>
      <c r="Z60" s="14"/>
      <c r="AA60" s="24"/>
      <c r="AB60" s="24"/>
      <c r="AC60" s="24"/>
      <c r="AD60" s="24"/>
      <c r="AE60" s="14"/>
      <c r="AF60" s="13"/>
      <c r="AG60" s="98"/>
      <c r="AH60" s="14"/>
      <c r="AI60" s="14"/>
    </row>
    <row r="61" spans="1:35" customFormat="1" ht="15.75" thickBot="1">
      <c r="A61" s="146" t="s">
        <v>27</v>
      </c>
      <c r="B61" s="330"/>
      <c r="C61" s="35"/>
      <c r="D61" s="209"/>
      <c r="E61" s="35"/>
      <c r="F61" s="24"/>
      <c r="G61" s="24"/>
      <c r="H61" s="24"/>
      <c r="I61" s="24"/>
      <c r="J61" s="24"/>
      <c r="K61" s="34"/>
      <c r="L61" s="35"/>
      <c r="M61" s="35"/>
      <c r="N61" s="35"/>
      <c r="O61" s="35"/>
      <c r="P61" s="35"/>
      <c r="Q61" s="90"/>
      <c r="R61" s="209"/>
      <c r="S61" s="35"/>
      <c r="T61" s="35"/>
      <c r="U61" s="35"/>
      <c r="V61" s="24"/>
      <c r="W61" s="31" t="s">
        <v>1003</v>
      </c>
      <c r="X61" s="24"/>
      <c r="Y61" s="13"/>
      <c r="Z61" s="14"/>
      <c r="AA61" s="24"/>
      <c r="AB61" s="24"/>
      <c r="AC61" s="24"/>
      <c r="AD61" s="24"/>
      <c r="AE61" s="14"/>
      <c r="AF61" s="13"/>
      <c r="AG61" s="99"/>
      <c r="AH61" s="14"/>
      <c r="AI61" s="14"/>
    </row>
    <row r="62" spans="1:35" customFormat="1" ht="15.75" customHeight="1" thickBot="1">
      <c r="A62" s="216" t="s">
        <v>36</v>
      </c>
      <c r="B62" s="37">
        <f t="shared" ref="B62:AE62" si="1">+B58+B44+B30+B16</f>
        <v>0</v>
      </c>
      <c r="C62" s="37">
        <f t="shared" si="1"/>
        <v>3110</v>
      </c>
      <c r="D62" s="37">
        <f t="shared" si="1"/>
        <v>0</v>
      </c>
      <c r="E62" s="37">
        <f t="shared" si="1"/>
        <v>1500</v>
      </c>
      <c r="F62" s="37">
        <f t="shared" si="1"/>
        <v>1152</v>
      </c>
      <c r="G62" s="37">
        <f t="shared" si="1"/>
        <v>7668</v>
      </c>
      <c r="H62" s="37">
        <f t="shared" si="1"/>
        <v>0</v>
      </c>
      <c r="I62" s="37">
        <f t="shared" si="1"/>
        <v>0</v>
      </c>
      <c r="J62" s="37">
        <f t="shared" si="1"/>
        <v>0</v>
      </c>
      <c r="K62" s="37">
        <f t="shared" si="1"/>
        <v>0</v>
      </c>
      <c r="L62" s="37">
        <f t="shared" si="1"/>
        <v>0</v>
      </c>
      <c r="M62" s="37">
        <f t="shared" si="1"/>
        <v>3744</v>
      </c>
      <c r="N62" s="37">
        <f t="shared" si="1"/>
        <v>0</v>
      </c>
      <c r="O62" s="37">
        <f t="shared" si="1"/>
        <v>4872</v>
      </c>
      <c r="P62" s="37">
        <f t="shared" si="1"/>
        <v>0</v>
      </c>
      <c r="Q62" s="37">
        <f t="shared" si="1"/>
        <v>0</v>
      </c>
      <c r="R62" s="37">
        <f t="shared" si="1"/>
        <v>0</v>
      </c>
      <c r="S62" s="37">
        <f t="shared" si="1"/>
        <v>2292</v>
      </c>
      <c r="T62" s="37">
        <f t="shared" si="1"/>
        <v>276</v>
      </c>
      <c r="U62" s="37">
        <f t="shared" si="1"/>
        <v>1752</v>
      </c>
      <c r="V62" s="37">
        <f t="shared" si="1"/>
        <v>1404</v>
      </c>
      <c r="W62" s="37">
        <f t="shared" si="1"/>
        <v>1056</v>
      </c>
      <c r="X62" s="37">
        <f t="shared" si="1"/>
        <v>3036</v>
      </c>
      <c r="Y62" s="37">
        <f t="shared" si="1"/>
        <v>0</v>
      </c>
      <c r="Z62" s="37">
        <f t="shared" si="1"/>
        <v>0</v>
      </c>
      <c r="AA62" s="37">
        <f t="shared" si="1"/>
        <v>1380</v>
      </c>
      <c r="AB62" s="37">
        <f t="shared" si="1"/>
        <v>3024</v>
      </c>
      <c r="AC62" s="37">
        <f t="shared" si="1"/>
        <v>564</v>
      </c>
      <c r="AD62" s="37">
        <f t="shared" si="1"/>
        <v>2628</v>
      </c>
      <c r="AE62" s="37">
        <f t="shared" si="1"/>
        <v>708</v>
      </c>
      <c r="AF62" s="37">
        <f t="shared" ref="AF62" si="2">+AF58+AF44+AF30+AF16</f>
        <v>0</v>
      </c>
      <c r="AG62" s="38"/>
      <c r="AH62" s="14"/>
      <c r="AI62" s="14"/>
    </row>
    <row r="63" spans="1:35" customFormat="1" ht="15.75" customHeight="1" thickTop="1" thickBot="1">
      <c r="A63" s="216" t="s">
        <v>37</v>
      </c>
      <c r="B63" s="144">
        <f t="shared" ref="B63:AF63" si="3">+B64*B5</f>
        <v>1440</v>
      </c>
      <c r="C63" s="40">
        <f t="shared" si="3"/>
        <v>1440</v>
      </c>
      <c r="D63" s="39">
        <f t="shared" si="3"/>
        <v>0</v>
      </c>
      <c r="E63" s="40">
        <f t="shared" si="3"/>
        <v>1710</v>
      </c>
      <c r="F63" s="40">
        <f t="shared" si="3"/>
        <v>1710</v>
      </c>
      <c r="G63" s="40">
        <f t="shared" si="3"/>
        <v>1615</v>
      </c>
      <c r="H63" s="40">
        <f t="shared" si="3"/>
        <v>1615</v>
      </c>
      <c r="I63" s="40">
        <f t="shared" si="3"/>
        <v>1615</v>
      </c>
      <c r="J63" s="40">
        <f t="shared" si="3"/>
        <v>1360</v>
      </c>
      <c r="K63" s="39">
        <f t="shared" si="3"/>
        <v>0</v>
      </c>
      <c r="L63" s="40">
        <f t="shared" si="3"/>
        <v>1615</v>
      </c>
      <c r="M63" s="40">
        <f t="shared" si="3"/>
        <v>1615</v>
      </c>
      <c r="N63" s="40">
        <f t="shared" si="3"/>
        <v>1615</v>
      </c>
      <c r="O63" s="40">
        <f t="shared" si="3"/>
        <v>1615</v>
      </c>
      <c r="P63" s="40">
        <f t="shared" si="3"/>
        <v>1615</v>
      </c>
      <c r="Q63" s="40">
        <f t="shared" si="3"/>
        <v>1360</v>
      </c>
      <c r="R63" s="39">
        <f t="shared" si="3"/>
        <v>0</v>
      </c>
      <c r="S63" s="40">
        <f t="shared" si="3"/>
        <v>1615</v>
      </c>
      <c r="T63" s="40">
        <f t="shared" si="3"/>
        <v>1615</v>
      </c>
      <c r="U63" s="40">
        <f t="shared" si="3"/>
        <v>1615</v>
      </c>
      <c r="V63" s="40">
        <f t="shared" si="3"/>
        <v>1615</v>
      </c>
      <c r="W63" s="40">
        <f t="shared" si="3"/>
        <v>1615</v>
      </c>
      <c r="X63" s="40">
        <f t="shared" si="3"/>
        <v>1360</v>
      </c>
      <c r="Y63" s="39">
        <f t="shared" si="3"/>
        <v>0</v>
      </c>
      <c r="Z63" s="40">
        <f t="shared" si="3"/>
        <v>1615</v>
      </c>
      <c r="AA63" s="40">
        <f t="shared" si="3"/>
        <v>1615</v>
      </c>
      <c r="AB63" s="40">
        <f t="shared" si="3"/>
        <v>1615</v>
      </c>
      <c r="AC63" s="40">
        <f t="shared" si="3"/>
        <v>1615</v>
      </c>
      <c r="AD63" s="40">
        <f t="shared" si="3"/>
        <v>1615</v>
      </c>
      <c r="AE63" s="40">
        <f t="shared" si="3"/>
        <v>1360</v>
      </c>
      <c r="AF63" s="39">
        <f t="shared" si="3"/>
        <v>0</v>
      </c>
      <c r="AG63" s="41">
        <f>SUM(B63:AF63)</f>
        <v>40810</v>
      </c>
      <c r="AH63" s="14"/>
      <c r="AI63" s="14"/>
    </row>
    <row r="64" spans="1:35" customFormat="1" ht="15.75" customHeight="1" thickTop="1" thickBot="1">
      <c r="A64" s="216" t="s">
        <v>38</v>
      </c>
      <c r="B64" s="145">
        <v>180</v>
      </c>
      <c r="C64" s="145">
        <v>180</v>
      </c>
      <c r="D64" s="42"/>
      <c r="E64" s="145">
        <v>180</v>
      </c>
      <c r="F64" s="145">
        <v>180</v>
      </c>
      <c r="G64" s="145">
        <v>170</v>
      </c>
      <c r="H64" s="145">
        <v>170</v>
      </c>
      <c r="I64" s="145">
        <v>170</v>
      </c>
      <c r="J64" s="145">
        <v>170</v>
      </c>
      <c r="K64" s="42"/>
      <c r="L64" s="145">
        <v>170</v>
      </c>
      <c r="M64" s="145">
        <v>170</v>
      </c>
      <c r="N64" s="145">
        <v>170</v>
      </c>
      <c r="O64" s="145">
        <v>170</v>
      </c>
      <c r="P64" s="145">
        <v>170</v>
      </c>
      <c r="Q64" s="145">
        <v>170</v>
      </c>
      <c r="R64" s="42"/>
      <c r="S64" s="145">
        <v>170</v>
      </c>
      <c r="T64" s="145">
        <v>170</v>
      </c>
      <c r="U64" s="145">
        <v>170</v>
      </c>
      <c r="V64" s="145">
        <v>170</v>
      </c>
      <c r="W64" s="145">
        <v>170</v>
      </c>
      <c r="X64" s="145">
        <v>170</v>
      </c>
      <c r="Y64" s="42"/>
      <c r="Z64" s="145">
        <v>170</v>
      </c>
      <c r="AA64" s="145">
        <v>170</v>
      </c>
      <c r="AB64" s="145">
        <v>170</v>
      </c>
      <c r="AC64" s="145">
        <v>170</v>
      </c>
      <c r="AD64" s="145">
        <v>170</v>
      </c>
      <c r="AE64" s="145">
        <v>170</v>
      </c>
      <c r="AF64" s="42"/>
      <c r="AG64" s="44"/>
      <c r="AH64" s="14"/>
      <c r="AI64" s="14"/>
    </row>
    <row r="65" spans="1:35" customFormat="1" ht="15.75" customHeight="1" thickTop="1" thickBot="1">
      <c r="A65" s="217">
        <f>+'T02'!AC66</f>
        <v>2216</v>
      </c>
      <c r="B65" s="45">
        <f t="shared" ref="B65:AF65" si="4">IF(A65+B62-B63&lt;0,0,A65+B62-B63)</f>
        <v>776</v>
      </c>
      <c r="C65" s="40">
        <f t="shared" si="4"/>
        <v>2446</v>
      </c>
      <c r="D65" s="39">
        <f t="shared" si="4"/>
        <v>2446</v>
      </c>
      <c r="E65" s="40">
        <f t="shared" si="4"/>
        <v>2236</v>
      </c>
      <c r="F65" s="40">
        <f t="shared" si="4"/>
        <v>1678</v>
      </c>
      <c r="G65" s="40">
        <f t="shared" si="4"/>
        <v>7731</v>
      </c>
      <c r="H65" s="40">
        <f t="shared" si="4"/>
        <v>6116</v>
      </c>
      <c r="I65" s="40">
        <f t="shared" si="4"/>
        <v>4501</v>
      </c>
      <c r="J65" s="40">
        <f t="shared" si="4"/>
        <v>3141</v>
      </c>
      <c r="K65" s="39">
        <f t="shared" si="4"/>
        <v>3141</v>
      </c>
      <c r="L65" s="40">
        <f t="shared" si="4"/>
        <v>1526</v>
      </c>
      <c r="M65" s="40">
        <f t="shared" si="4"/>
        <v>3655</v>
      </c>
      <c r="N65" s="40">
        <f t="shared" si="4"/>
        <v>2040</v>
      </c>
      <c r="O65" s="40">
        <f t="shared" si="4"/>
        <v>5297</v>
      </c>
      <c r="P65" s="40">
        <f t="shared" si="4"/>
        <v>3682</v>
      </c>
      <c r="Q65" s="40">
        <f t="shared" si="4"/>
        <v>2322</v>
      </c>
      <c r="R65" s="39">
        <f t="shared" si="4"/>
        <v>2322</v>
      </c>
      <c r="S65" s="40">
        <f t="shared" si="4"/>
        <v>2999</v>
      </c>
      <c r="T65" s="40">
        <f t="shared" si="4"/>
        <v>1660</v>
      </c>
      <c r="U65" s="40">
        <f t="shared" si="4"/>
        <v>1797</v>
      </c>
      <c r="V65" s="40">
        <f t="shared" si="4"/>
        <v>1586</v>
      </c>
      <c r="W65" s="40">
        <f t="shared" si="4"/>
        <v>1027</v>
      </c>
      <c r="X65" s="40">
        <f t="shared" si="4"/>
        <v>2703</v>
      </c>
      <c r="Y65" s="39">
        <f t="shared" si="4"/>
        <v>2703</v>
      </c>
      <c r="Z65" s="40">
        <f t="shared" si="4"/>
        <v>1088</v>
      </c>
      <c r="AA65" s="40">
        <f t="shared" si="4"/>
        <v>853</v>
      </c>
      <c r="AB65" s="40">
        <f t="shared" si="4"/>
        <v>2262</v>
      </c>
      <c r="AC65" s="40">
        <f t="shared" si="4"/>
        <v>1211</v>
      </c>
      <c r="AD65" s="40">
        <f t="shared" si="4"/>
        <v>2224</v>
      </c>
      <c r="AE65" s="46">
        <f t="shared" si="4"/>
        <v>1572</v>
      </c>
      <c r="AF65" s="39">
        <f t="shared" si="4"/>
        <v>1572</v>
      </c>
      <c r="AG65" s="47">
        <f>IF(AE65+AG62-AG63&lt;0,0,AE65+AG62-AG63)</f>
        <v>0</v>
      </c>
      <c r="AH65" s="14"/>
      <c r="AI65" s="14"/>
    </row>
    <row r="66" spans="1:35" customFormat="1" ht="13.5" customHeight="1">
      <c r="A66" s="146" t="s">
        <v>10</v>
      </c>
      <c r="B66" s="24"/>
      <c r="C66" s="59"/>
      <c r="D66" s="51"/>
      <c r="E66" s="418" t="s">
        <v>616</v>
      </c>
      <c r="F66" s="418"/>
      <c r="G66" s="24"/>
      <c r="H66" s="24"/>
      <c r="I66" s="24"/>
      <c r="J66" s="418" t="s">
        <v>103</v>
      </c>
      <c r="K66" s="199"/>
      <c r="L66" s="24"/>
      <c r="M66" s="59" t="s">
        <v>103</v>
      </c>
      <c r="N66" s="59" t="s">
        <v>103</v>
      </c>
      <c r="O66" s="418" t="s">
        <v>103</v>
      </c>
      <c r="P66" s="418" t="s">
        <v>78</v>
      </c>
      <c r="Q66" s="24"/>
      <c r="R66" s="199"/>
      <c r="S66" s="24"/>
      <c r="T66" s="59" t="s">
        <v>78</v>
      </c>
      <c r="U66" s="418" t="s">
        <v>78</v>
      </c>
      <c r="V66" s="418" t="s">
        <v>78</v>
      </c>
      <c r="W66" s="418" t="s">
        <v>78</v>
      </c>
      <c r="X66" s="418" t="s">
        <v>78</v>
      </c>
      <c r="Y66" s="48"/>
      <c r="Z66" s="418" t="s">
        <v>78</v>
      </c>
      <c r="AA66" s="418" t="s">
        <v>78</v>
      </c>
      <c r="AB66" s="418" t="s">
        <v>78</v>
      </c>
      <c r="AC66" s="24"/>
      <c r="AD66" s="418" t="s">
        <v>78</v>
      </c>
      <c r="AE66" s="51" t="s">
        <v>704</v>
      </c>
      <c r="AF66" s="15"/>
      <c r="AG66" s="98"/>
      <c r="AH66" s="14"/>
      <c r="AI66" s="24"/>
    </row>
    <row r="67" spans="1:35" customFormat="1" ht="13.5" customHeight="1">
      <c r="A67" s="147" t="s">
        <v>11</v>
      </c>
      <c r="B67" s="24"/>
      <c r="C67" s="87"/>
      <c r="D67" s="193"/>
      <c r="E67" s="93" t="s">
        <v>618</v>
      </c>
      <c r="F67" s="24"/>
      <c r="G67" s="24"/>
      <c r="H67" s="24"/>
      <c r="I67" s="24"/>
      <c r="J67" s="93" t="s">
        <v>634</v>
      </c>
      <c r="K67" s="193"/>
      <c r="L67" s="24"/>
      <c r="M67" s="93" t="s">
        <v>635</v>
      </c>
      <c r="N67" s="93" t="s">
        <v>650</v>
      </c>
      <c r="O67" s="93" t="s">
        <v>647</v>
      </c>
      <c r="P67" s="93" t="s">
        <v>613</v>
      </c>
      <c r="Q67" s="24"/>
      <c r="R67" s="193"/>
      <c r="S67" s="24"/>
      <c r="T67" s="93" t="s">
        <v>658</v>
      </c>
      <c r="U67" s="93" t="s">
        <v>894</v>
      </c>
      <c r="V67" s="93" t="s">
        <v>897</v>
      </c>
      <c r="W67" s="93" t="s">
        <v>906</v>
      </c>
      <c r="X67" s="93" t="s">
        <v>905</v>
      </c>
      <c r="Y67" s="15"/>
      <c r="Z67" s="93" t="s">
        <v>910</v>
      </c>
      <c r="AA67" s="93" t="s">
        <v>920</v>
      </c>
      <c r="AB67" s="93" t="s">
        <v>919</v>
      </c>
      <c r="AC67" s="24"/>
      <c r="AD67" s="93" t="s">
        <v>918</v>
      </c>
      <c r="AE67" s="52" t="s">
        <v>931</v>
      </c>
      <c r="AF67" s="13"/>
      <c r="AG67" s="98"/>
      <c r="AH67" s="14"/>
      <c r="AI67" s="24"/>
    </row>
    <row r="68" spans="1:35" customFormat="1" ht="13.5" customHeight="1">
      <c r="A68" s="148" t="s">
        <v>12</v>
      </c>
      <c r="B68" s="24"/>
      <c r="C68" s="493"/>
      <c r="D68" s="200"/>
      <c r="E68" s="418">
        <f>VLOOKUP(E74,'[3]2018-11-16'!$A:$D,4,0)</f>
        <v>0</v>
      </c>
      <c r="F68" s="24"/>
      <c r="G68" s="24"/>
      <c r="H68" s="24"/>
      <c r="I68" s="24"/>
      <c r="J68" s="418" t="str">
        <f>VLOOKUP(J74,'[3]2018-11-16'!$A:$D,4,0)</f>
        <v>基本型體</v>
      </c>
      <c r="K68" s="204"/>
      <c r="L68" s="24"/>
      <c r="M68" s="418" t="str">
        <f>VLOOKUP(M74,'[3]2018-11-16'!$A:$D,4,0)</f>
        <v>基本型體</v>
      </c>
      <c r="N68" s="418" t="str">
        <f>VLOOKUP(N74,'[3]2018-11-16'!$A:$D,4,0)</f>
        <v>基本型體</v>
      </c>
      <c r="O68" s="418" t="str">
        <f>VLOOKUP(O74,'[3]2018-11-16'!$A:$D,4,0)</f>
        <v>基本型體</v>
      </c>
      <c r="P68" s="418" t="str">
        <f>VLOOKUP(P74,'[3]2018-11-16'!$A:$D,4,0)</f>
        <v>基本型體</v>
      </c>
      <c r="Q68" s="24"/>
      <c r="R68" s="204"/>
      <c r="S68" s="24"/>
      <c r="T68" s="418" t="str">
        <f>VLOOKUP(T74,'[3]2018-11-16'!$A:$D,4,0)</f>
        <v>基本型體</v>
      </c>
      <c r="U68" s="418"/>
      <c r="V68" s="418"/>
      <c r="W68" s="418"/>
      <c r="X68" s="418"/>
      <c r="Y68" s="15"/>
      <c r="Z68" s="418"/>
      <c r="AA68" s="418"/>
      <c r="AB68" s="418"/>
      <c r="AC68" s="24"/>
      <c r="AD68" s="418"/>
      <c r="AE68" s="127"/>
      <c r="AF68" s="13"/>
      <c r="AG68" s="98"/>
      <c r="AH68" s="14"/>
      <c r="AI68" s="24"/>
    </row>
    <row r="69" spans="1:35" customFormat="1" ht="13.5" customHeight="1">
      <c r="A69" s="149" t="s">
        <v>13</v>
      </c>
      <c r="B69" s="24"/>
      <c r="C69" s="87"/>
      <c r="D69" s="193"/>
      <c r="E69" s="19" t="str">
        <f>VLOOKUP(E67,'[4]2019-01'!$A$3:$G$2159,7,0)</f>
        <v>02/12</v>
      </c>
      <c r="F69" s="24"/>
      <c r="G69" s="24"/>
      <c r="H69" s="24"/>
      <c r="I69" s="24"/>
      <c r="J69" s="19"/>
      <c r="K69" s="193"/>
      <c r="L69" s="24"/>
      <c r="M69" s="19"/>
      <c r="N69" s="19"/>
      <c r="O69" s="19"/>
      <c r="P69" s="19"/>
      <c r="Q69" s="24"/>
      <c r="R69" s="193"/>
      <c r="S69" s="24"/>
      <c r="T69" s="19"/>
      <c r="U69" s="19" t="s">
        <v>85</v>
      </c>
      <c r="V69" s="19" t="s">
        <v>85</v>
      </c>
      <c r="W69" s="19" t="s">
        <v>85</v>
      </c>
      <c r="X69" s="19" t="s">
        <v>85</v>
      </c>
      <c r="Y69" s="15"/>
      <c r="Z69" s="19" t="s">
        <v>85</v>
      </c>
      <c r="AA69" s="19" t="s">
        <v>40</v>
      </c>
      <c r="AB69" s="19" t="s">
        <v>40</v>
      </c>
      <c r="AC69" s="24"/>
      <c r="AD69" s="19" t="s">
        <v>40</v>
      </c>
      <c r="AE69" s="53"/>
      <c r="AF69" s="13"/>
      <c r="AG69" s="98"/>
      <c r="AH69" s="14"/>
      <c r="AI69" s="24"/>
    </row>
    <row r="70" spans="1:35" customFormat="1" ht="13.5" customHeight="1">
      <c r="A70" s="150" t="s">
        <v>15</v>
      </c>
      <c r="B70" s="24"/>
      <c r="C70" s="418"/>
      <c r="D70" s="51"/>
      <c r="E70" s="418" t="s">
        <v>65</v>
      </c>
      <c r="F70" s="24"/>
      <c r="G70" s="24"/>
      <c r="H70" s="24"/>
      <c r="I70" s="24"/>
      <c r="J70" s="418" t="s">
        <v>16</v>
      </c>
      <c r="K70" s="51"/>
      <c r="L70" s="24"/>
      <c r="M70" s="418" t="s">
        <v>16</v>
      </c>
      <c r="N70" s="418" t="s">
        <v>16</v>
      </c>
      <c r="O70" s="418" t="s">
        <v>16</v>
      </c>
      <c r="P70" s="418" t="s">
        <v>53</v>
      </c>
      <c r="Q70" s="24"/>
      <c r="R70" s="51"/>
      <c r="S70" s="24"/>
      <c r="T70" s="418" t="s">
        <v>53</v>
      </c>
      <c r="U70" s="418" t="s">
        <v>53</v>
      </c>
      <c r="V70" s="418" t="s">
        <v>53</v>
      </c>
      <c r="W70" s="418" t="s">
        <v>53</v>
      </c>
      <c r="X70" s="418" t="s">
        <v>53</v>
      </c>
      <c r="Y70" s="15"/>
      <c r="Z70" s="418" t="s">
        <v>53</v>
      </c>
      <c r="AA70" s="418" t="s">
        <v>53</v>
      </c>
      <c r="AB70" s="418" t="s">
        <v>53</v>
      </c>
      <c r="AC70" s="24"/>
      <c r="AD70" s="418" t="s">
        <v>53</v>
      </c>
      <c r="AE70" s="51" t="s">
        <v>53</v>
      </c>
      <c r="AF70" s="13"/>
      <c r="AG70" s="98"/>
      <c r="AH70" s="14"/>
      <c r="AI70" s="24"/>
    </row>
    <row r="71" spans="1:35" customFormat="1" ht="13.5" customHeight="1">
      <c r="A71" s="151" t="s">
        <v>17</v>
      </c>
      <c r="B71" s="24"/>
      <c r="C71" s="195"/>
      <c r="D71" s="201"/>
      <c r="E71" s="391" t="s">
        <v>493</v>
      </c>
      <c r="F71" s="24"/>
      <c r="G71" s="24"/>
      <c r="H71" s="24"/>
      <c r="I71" s="24"/>
      <c r="J71" s="391" t="s">
        <v>493</v>
      </c>
      <c r="K71" s="205"/>
      <c r="L71" s="24"/>
      <c r="M71" s="391" t="s">
        <v>493</v>
      </c>
      <c r="N71" s="391" t="s">
        <v>493</v>
      </c>
      <c r="O71" s="391" t="s">
        <v>493</v>
      </c>
      <c r="P71" s="391" t="s">
        <v>493</v>
      </c>
      <c r="Q71" s="24"/>
      <c r="R71" s="205"/>
      <c r="S71" s="24"/>
      <c r="T71" s="391" t="s">
        <v>493</v>
      </c>
      <c r="U71" s="391" t="s">
        <v>1000</v>
      </c>
      <c r="V71" s="391" t="s">
        <v>1000</v>
      </c>
      <c r="W71" s="391" t="s">
        <v>1000</v>
      </c>
      <c r="X71" s="391" t="s">
        <v>1000</v>
      </c>
      <c r="Y71" s="15"/>
      <c r="Z71" s="391" t="s">
        <v>1000</v>
      </c>
      <c r="AA71" s="391" t="s">
        <v>1000</v>
      </c>
      <c r="AB71" s="391" t="s">
        <v>1000</v>
      </c>
      <c r="AC71" s="24"/>
      <c r="AD71" s="391" t="s">
        <v>1000</v>
      </c>
      <c r="AE71" s="508" t="s">
        <v>1017</v>
      </c>
      <c r="AF71" s="13"/>
      <c r="AG71" s="98"/>
      <c r="AH71" s="14"/>
      <c r="AI71" s="24"/>
    </row>
    <row r="72" spans="1:35" customFormat="1" ht="13.5" customHeight="1">
      <c r="A72" s="152" t="s">
        <v>18</v>
      </c>
      <c r="B72" s="24"/>
      <c r="C72" s="87"/>
      <c r="D72" s="193"/>
      <c r="E72" s="23"/>
      <c r="F72" s="24"/>
      <c r="G72" s="24"/>
      <c r="H72" s="24"/>
      <c r="I72" s="24"/>
      <c r="J72" s="23"/>
      <c r="K72" s="193"/>
      <c r="L72" s="24"/>
      <c r="M72" s="23"/>
      <c r="N72" s="23"/>
      <c r="O72" s="23"/>
      <c r="P72" s="23"/>
      <c r="Q72" s="24"/>
      <c r="R72" s="193"/>
      <c r="S72" s="24"/>
      <c r="T72" s="23"/>
      <c r="U72" s="23"/>
      <c r="V72" s="23"/>
      <c r="W72" s="23"/>
      <c r="X72" s="23"/>
      <c r="Y72" s="15"/>
      <c r="Z72" s="23"/>
      <c r="AA72" s="23"/>
      <c r="AB72" s="23"/>
      <c r="AC72" s="24"/>
      <c r="AD72" s="23"/>
      <c r="AE72" s="54"/>
      <c r="AF72" s="13"/>
      <c r="AG72" s="98"/>
      <c r="AH72" s="14"/>
      <c r="AI72" s="24"/>
    </row>
    <row r="73" spans="1:35" customFormat="1" ht="13.5" customHeight="1">
      <c r="A73" s="146" t="s">
        <v>20</v>
      </c>
      <c r="B73" s="24"/>
      <c r="C73" s="87"/>
      <c r="D73" s="193"/>
      <c r="E73" s="24"/>
      <c r="F73" s="24"/>
      <c r="G73" s="24"/>
      <c r="H73" s="24"/>
      <c r="I73" s="24"/>
      <c r="J73" s="50"/>
      <c r="K73" s="193"/>
      <c r="L73" s="24"/>
      <c r="M73" s="50"/>
      <c r="N73" s="50"/>
      <c r="O73" s="50"/>
      <c r="P73" s="24"/>
      <c r="Q73" s="24"/>
      <c r="R73" s="193"/>
      <c r="S73" s="24"/>
      <c r="T73" s="50"/>
      <c r="U73" s="24"/>
      <c r="V73" s="24" t="s">
        <v>44</v>
      </c>
      <c r="W73" s="24"/>
      <c r="X73" s="24"/>
      <c r="Y73" s="15"/>
      <c r="Z73" s="24"/>
      <c r="AA73" s="24"/>
      <c r="AB73" s="24"/>
      <c r="AC73" s="24"/>
      <c r="AD73" s="24"/>
      <c r="AE73" s="55"/>
      <c r="AF73" s="13"/>
      <c r="AG73" s="98"/>
      <c r="AH73" s="14"/>
      <c r="AI73" s="24"/>
    </row>
    <row r="74" spans="1:35" customFormat="1" ht="13.5" customHeight="1">
      <c r="A74" s="153" t="s">
        <v>21</v>
      </c>
      <c r="B74" s="24"/>
      <c r="C74" s="418"/>
      <c r="D74" s="51"/>
      <c r="E74" s="418" t="s">
        <v>522</v>
      </c>
      <c r="F74" s="24"/>
      <c r="G74" s="24"/>
      <c r="H74" s="24"/>
      <c r="I74" s="24"/>
      <c r="J74" s="418" t="s">
        <v>119</v>
      </c>
      <c r="K74" s="51"/>
      <c r="L74" s="24"/>
      <c r="M74" s="418" t="s">
        <v>119</v>
      </c>
      <c r="N74" s="418" t="s">
        <v>101</v>
      </c>
      <c r="O74" s="418" t="s">
        <v>102</v>
      </c>
      <c r="P74" s="418" t="s">
        <v>80</v>
      </c>
      <c r="Q74" s="24"/>
      <c r="R74" s="51"/>
      <c r="S74" s="24"/>
      <c r="T74" s="418" t="s">
        <v>79</v>
      </c>
      <c r="U74" s="418" t="s">
        <v>79</v>
      </c>
      <c r="V74" s="418" t="s">
        <v>79</v>
      </c>
      <c r="W74" s="418" t="s">
        <v>82</v>
      </c>
      <c r="X74" s="418" t="s">
        <v>77</v>
      </c>
      <c r="Y74" s="15"/>
      <c r="Z74" s="418" t="s">
        <v>77</v>
      </c>
      <c r="AA74" s="418" t="s">
        <v>911</v>
      </c>
      <c r="AB74" s="418" t="s">
        <v>911</v>
      </c>
      <c r="AC74" s="24"/>
      <c r="AD74" s="418" t="s">
        <v>913</v>
      </c>
      <c r="AE74" s="56" t="s">
        <v>702</v>
      </c>
      <c r="AF74" s="13"/>
      <c r="AG74" s="98"/>
      <c r="AH74" s="14"/>
      <c r="AI74" s="24"/>
    </row>
    <row r="75" spans="1:35" customFormat="1" ht="13.5" customHeight="1">
      <c r="A75" s="154" t="s">
        <v>22</v>
      </c>
      <c r="B75" s="24"/>
      <c r="C75" s="418"/>
      <c r="D75" s="51"/>
      <c r="E75" s="27"/>
      <c r="F75" s="24"/>
      <c r="G75" s="24"/>
      <c r="H75" s="24"/>
      <c r="I75" s="24"/>
      <c r="J75" s="27"/>
      <c r="K75" s="193"/>
      <c r="L75" s="24"/>
      <c r="M75" s="27"/>
      <c r="N75" s="27"/>
      <c r="O75" s="27"/>
      <c r="P75" s="27"/>
      <c r="Q75" s="24"/>
      <c r="R75" s="193"/>
      <c r="S75" s="24"/>
      <c r="T75" s="27"/>
      <c r="U75" s="27"/>
      <c r="V75" s="27"/>
      <c r="W75" s="27"/>
      <c r="X75" s="27"/>
      <c r="Y75" s="15"/>
      <c r="Z75" s="27"/>
      <c r="AA75" s="27"/>
      <c r="AB75" s="27"/>
      <c r="AC75" s="24"/>
      <c r="AD75" s="27"/>
      <c r="AE75" s="57"/>
      <c r="AF75" s="13"/>
      <c r="AG75" s="98"/>
      <c r="AH75" s="14"/>
      <c r="AI75" s="24"/>
    </row>
    <row r="76" spans="1:35" customFormat="1" ht="13.5" customHeight="1">
      <c r="A76" s="153" t="s">
        <v>23</v>
      </c>
      <c r="B76" s="24"/>
      <c r="C76" s="418"/>
      <c r="D76" s="51"/>
      <c r="E76" s="418">
        <v>264</v>
      </c>
      <c r="F76" s="24"/>
      <c r="G76" s="24"/>
      <c r="H76" s="24"/>
      <c r="I76" s="24"/>
      <c r="J76" s="418">
        <v>264</v>
      </c>
      <c r="K76" s="51"/>
      <c r="L76" s="24"/>
      <c r="M76" s="418">
        <v>504</v>
      </c>
      <c r="N76" s="418">
        <v>204</v>
      </c>
      <c r="O76" s="418">
        <v>528</v>
      </c>
      <c r="P76" s="418">
        <v>588</v>
      </c>
      <c r="Q76" s="24"/>
      <c r="R76" s="51"/>
      <c r="S76" s="24"/>
      <c r="T76" s="418">
        <v>528</v>
      </c>
      <c r="U76" s="418">
        <v>708</v>
      </c>
      <c r="V76" s="418">
        <v>120</v>
      </c>
      <c r="W76" s="418">
        <v>360</v>
      </c>
      <c r="X76" s="418">
        <v>1164</v>
      </c>
      <c r="Y76" s="15"/>
      <c r="Z76" s="418">
        <v>360</v>
      </c>
      <c r="AA76" s="418">
        <v>1200</v>
      </c>
      <c r="AB76" s="418">
        <v>4860</v>
      </c>
      <c r="AC76" s="24"/>
      <c r="AD76" s="418">
        <v>120</v>
      </c>
      <c r="AE76" s="51">
        <v>450</v>
      </c>
      <c r="AF76" s="13"/>
      <c r="AG76" s="98"/>
      <c r="AH76" s="14"/>
      <c r="AI76" s="24"/>
    </row>
    <row r="77" spans="1:35" customFormat="1" ht="13.5" customHeight="1">
      <c r="A77" s="155" t="s">
        <v>24</v>
      </c>
      <c r="B77" s="24"/>
      <c r="C77" s="87"/>
      <c r="D77" s="193"/>
      <c r="E77" s="24" t="s">
        <v>107</v>
      </c>
      <c r="F77" s="24"/>
      <c r="G77" s="24"/>
      <c r="H77" s="24"/>
      <c r="I77" s="24"/>
      <c r="J77" s="50"/>
      <c r="K77" s="193"/>
      <c r="L77" s="24"/>
      <c r="M77" s="50" t="s">
        <v>107</v>
      </c>
      <c r="N77" s="50" t="s">
        <v>107</v>
      </c>
      <c r="O77" s="50"/>
      <c r="P77" s="24"/>
      <c r="Q77" s="24"/>
      <c r="R77" s="193"/>
      <c r="S77" s="24"/>
      <c r="T77" s="50" t="s">
        <v>107</v>
      </c>
      <c r="U77" s="24"/>
      <c r="V77" s="24"/>
      <c r="W77" s="24"/>
      <c r="X77" s="24"/>
      <c r="Y77" s="15"/>
      <c r="Z77" s="24"/>
      <c r="AA77" s="24"/>
      <c r="AB77" s="24"/>
      <c r="AC77" s="24"/>
      <c r="AD77" s="24"/>
      <c r="AE77" s="111"/>
      <c r="AF77" s="13"/>
      <c r="AG77" s="98"/>
      <c r="AH77" s="14"/>
      <c r="AI77" s="24"/>
    </row>
    <row r="78" spans="1:35" customFormat="1" ht="13.5" customHeight="1">
      <c r="A78" s="128" t="s">
        <v>25</v>
      </c>
      <c r="B78" s="24"/>
      <c r="C78" s="196"/>
      <c r="D78" s="202"/>
      <c r="E78" s="32">
        <v>43536</v>
      </c>
      <c r="F78" s="24"/>
      <c r="G78" s="24"/>
      <c r="H78" s="24"/>
      <c r="I78" s="24"/>
      <c r="J78" s="32">
        <v>43551</v>
      </c>
      <c r="K78" s="202"/>
      <c r="L78" s="24"/>
      <c r="M78" s="32">
        <v>43567</v>
      </c>
      <c r="N78" s="32">
        <v>43563</v>
      </c>
      <c r="O78" s="32">
        <v>43568</v>
      </c>
      <c r="P78" s="32">
        <v>43563</v>
      </c>
      <c r="Q78" s="24"/>
      <c r="R78" s="202"/>
      <c r="S78" s="24"/>
      <c r="T78" s="32">
        <v>43567</v>
      </c>
      <c r="U78" s="32">
        <v>43555</v>
      </c>
      <c r="V78" s="32">
        <v>43555</v>
      </c>
      <c r="W78" s="32">
        <v>43555</v>
      </c>
      <c r="X78" s="32">
        <v>43555</v>
      </c>
      <c r="Y78" s="15"/>
      <c r="Z78" s="32">
        <v>43556</v>
      </c>
      <c r="AA78" s="32">
        <v>43565</v>
      </c>
      <c r="AB78" s="32">
        <v>43577</v>
      </c>
      <c r="AC78" s="24"/>
      <c r="AD78" s="32">
        <v>43581</v>
      </c>
      <c r="AE78" s="491">
        <v>43576</v>
      </c>
      <c r="AF78" s="13"/>
      <c r="AG78" s="98"/>
      <c r="AH78" s="14"/>
      <c r="AI78" s="24"/>
    </row>
    <row r="79" spans="1:35" customFormat="1" ht="13.5" customHeight="1" thickBot="1">
      <c r="A79" s="146" t="s">
        <v>27</v>
      </c>
      <c r="B79" s="24"/>
      <c r="C79" s="87"/>
      <c r="D79" s="193"/>
      <c r="E79" s="31" t="s">
        <v>31</v>
      </c>
      <c r="F79" s="31"/>
      <c r="G79" s="24"/>
      <c r="H79" s="87"/>
      <c r="I79" s="24"/>
      <c r="J79" s="31" t="s">
        <v>28</v>
      </c>
      <c r="K79" s="193"/>
      <c r="L79" s="24"/>
      <c r="M79" s="31" t="s">
        <v>74</v>
      </c>
      <c r="N79" s="31" t="s">
        <v>29</v>
      </c>
      <c r="O79" s="31" t="s">
        <v>28</v>
      </c>
      <c r="P79" s="31" t="s">
        <v>30</v>
      </c>
      <c r="Q79" s="24"/>
      <c r="R79" s="193"/>
      <c r="S79" s="24"/>
      <c r="T79" s="31" t="s">
        <v>74</v>
      </c>
      <c r="U79" s="31" t="s">
        <v>48</v>
      </c>
      <c r="V79" s="31" t="s">
        <v>896</v>
      </c>
      <c r="W79" s="31" t="s">
        <v>62</v>
      </c>
      <c r="X79" s="31" t="s">
        <v>48</v>
      </c>
      <c r="Y79" s="15"/>
      <c r="Z79" s="31" t="s">
        <v>31</v>
      </c>
      <c r="AA79" s="31" t="s">
        <v>29</v>
      </c>
      <c r="AB79" s="31" t="s">
        <v>29</v>
      </c>
      <c r="AC79" s="24"/>
      <c r="AD79" s="31" t="s">
        <v>28</v>
      </c>
      <c r="AE79" s="58" t="s">
        <v>29</v>
      </c>
      <c r="AF79" s="13"/>
      <c r="AG79" s="98"/>
      <c r="AH79" s="14"/>
      <c r="AI79" s="24"/>
    </row>
    <row r="80" spans="1:35" customFormat="1" ht="13.5" customHeight="1">
      <c r="A80" s="146" t="s">
        <v>10</v>
      </c>
      <c r="B80" s="24"/>
      <c r="C80" s="418"/>
      <c r="D80" s="51"/>
      <c r="E80" s="418" t="s">
        <v>1008</v>
      </c>
      <c r="F80" s="418"/>
      <c r="G80" s="24"/>
      <c r="H80" s="418"/>
      <c r="I80" s="24"/>
      <c r="J80" s="418" t="s">
        <v>103</v>
      </c>
      <c r="K80" s="88"/>
      <c r="L80" s="24"/>
      <c r="M80" s="418" t="s">
        <v>103</v>
      </c>
      <c r="N80" s="418" t="s">
        <v>103</v>
      </c>
      <c r="O80" s="418" t="s">
        <v>103</v>
      </c>
      <c r="P80" s="59" t="s">
        <v>78</v>
      </c>
      <c r="Q80" s="24"/>
      <c r="R80" s="51"/>
      <c r="S80" s="24"/>
      <c r="T80" s="418" t="s">
        <v>78</v>
      </c>
      <c r="U80" s="418" t="s">
        <v>78</v>
      </c>
      <c r="V80" s="418" t="s">
        <v>78</v>
      </c>
      <c r="W80" s="418" t="s">
        <v>78</v>
      </c>
      <c r="X80" s="418" t="s">
        <v>78</v>
      </c>
      <c r="Y80" s="15"/>
      <c r="Z80" s="418" t="s">
        <v>78</v>
      </c>
      <c r="AA80" s="418" t="s">
        <v>78</v>
      </c>
      <c r="AB80" s="24"/>
      <c r="AC80" s="24"/>
      <c r="AD80" s="418" t="s">
        <v>78</v>
      </c>
      <c r="AE80" s="51" t="s">
        <v>704</v>
      </c>
      <c r="AF80" s="13"/>
      <c r="AG80" s="98"/>
      <c r="AH80" s="14"/>
      <c r="AI80" s="24"/>
    </row>
    <row r="81" spans="1:35" customFormat="1" ht="13.5" customHeight="1">
      <c r="A81" s="147" t="s">
        <v>11</v>
      </c>
      <c r="B81" s="24"/>
      <c r="C81" s="87"/>
      <c r="D81" s="193"/>
      <c r="E81" s="93" t="s">
        <v>677</v>
      </c>
      <c r="F81" s="87"/>
      <c r="G81" s="24"/>
      <c r="H81" s="87"/>
      <c r="I81" s="24"/>
      <c r="J81" s="93" t="s">
        <v>633</v>
      </c>
      <c r="K81" s="88"/>
      <c r="L81" s="24"/>
      <c r="M81" s="93" t="s">
        <v>636</v>
      </c>
      <c r="N81" s="93" t="s">
        <v>648</v>
      </c>
      <c r="O81" s="93" t="s">
        <v>646</v>
      </c>
      <c r="P81" s="93" t="s">
        <v>612</v>
      </c>
      <c r="Q81" s="24"/>
      <c r="R81" s="193"/>
      <c r="S81" s="24"/>
      <c r="T81" s="93" t="s">
        <v>912</v>
      </c>
      <c r="U81" s="93" t="s">
        <v>893</v>
      </c>
      <c r="V81" s="93" t="s">
        <v>895</v>
      </c>
      <c r="W81" s="93" t="s">
        <v>904</v>
      </c>
      <c r="X81" s="93" t="s">
        <v>903</v>
      </c>
      <c r="Y81" s="15"/>
      <c r="Z81" s="93" t="s">
        <v>909</v>
      </c>
      <c r="AA81" s="93" t="s">
        <v>917</v>
      </c>
      <c r="AB81" s="24"/>
      <c r="AC81" s="24"/>
      <c r="AD81" s="93" t="s">
        <v>916</v>
      </c>
      <c r="AE81" s="52" t="s">
        <v>930</v>
      </c>
      <c r="AF81" s="13"/>
      <c r="AG81" s="98"/>
      <c r="AH81" s="14"/>
      <c r="AI81" s="24"/>
    </row>
    <row r="82" spans="1:35" customFormat="1" ht="13.5" customHeight="1">
      <c r="A82" s="148" t="s">
        <v>12</v>
      </c>
      <c r="B82" s="24"/>
      <c r="C82" s="493"/>
      <c r="D82" s="200"/>
      <c r="E82" s="418"/>
      <c r="F82" s="493"/>
      <c r="G82" s="24"/>
      <c r="H82" s="194"/>
      <c r="I82" s="24"/>
      <c r="J82" s="418" t="str">
        <f>VLOOKUP(J88,'[3]2018-11-16'!$A:$D,4,0)</f>
        <v>基本型體</v>
      </c>
      <c r="K82" s="88"/>
      <c r="L82" s="24"/>
      <c r="M82" s="418" t="str">
        <f>VLOOKUP(M88,'[3]2018-11-16'!$A:$D,4,0)</f>
        <v>基本型體</v>
      </c>
      <c r="N82" s="418" t="str">
        <f>VLOOKUP(N88,'[3]2018-11-16'!$A:$D,4,0)</f>
        <v>基本型體</v>
      </c>
      <c r="O82" s="418" t="str">
        <f>VLOOKUP(O88,'[3]2018-11-16'!$A:$D,4,0)</f>
        <v>基本型體</v>
      </c>
      <c r="P82" s="418" t="str">
        <f>VLOOKUP(P88,'[3]2018-11-16'!$A:$D,4,0)</f>
        <v>基本型體</v>
      </c>
      <c r="Q82" s="24"/>
      <c r="R82" s="204"/>
      <c r="S82" s="24"/>
      <c r="T82" s="418"/>
      <c r="U82" s="418"/>
      <c r="V82" s="418"/>
      <c r="W82" s="418"/>
      <c r="X82" s="418"/>
      <c r="Y82" s="15"/>
      <c r="Z82" s="418"/>
      <c r="AA82" s="418"/>
      <c r="AB82" s="24"/>
      <c r="AC82" s="24"/>
      <c r="AD82" s="418"/>
      <c r="AE82" s="127"/>
      <c r="AF82" s="13"/>
      <c r="AG82" s="98"/>
      <c r="AH82" s="14"/>
      <c r="AI82" s="24"/>
    </row>
    <row r="83" spans="1:35" customFormat="1" ht="13.5" customHeight="1">
      <c r="A83" s="149" t="s">
        <v>13</v>
      </c>
      <c r="B83" s="24"/>
      <c r="C83" s="87"/>
      <c r="D83" s="193"/>
      <c r="E83" s="19" t="s">
        <v>1007</v>
      </c>
      <c r="F83" s="87"/>
      <c r="G83" s="24"/>
      <c r="H83" s="87"/>
      <c r="I83" s="24"/>
      <c r="J83" s="19"/>
      <c r="K83" s="88"/>
      <c r="L83" s="24"/>
      <c r="M83" s="19"/>
      <c r="N83" s="19"/>
      <c r="O83" s="19"/>
      <c r="P83" s="19"/>
      <c r="Q83" s="24"/>
      <c r="R83" s="193"/>
      <c r="S83" s="24"/>
      <c r="T83" s="19" t="s">
        <v>40</v>
      </c>
      <c r="U83" s="19" t="s">
        <v>85</v>
      </c>
      <c r="V83" s="19" t="s">
        <v>85</v>
      </c>
      <c r="W83" s="19" t="s">
        <v>85</v>
      </c>
      <c r="X83" s="19" t="s">
        <v>85</v>
      </c>
      <c r="Y83" s="15"/>
      <c r="Z83" s="19" t="s">
        <v>85</v>
      </c>
      <c r="AA83" s="19" t="s">
        <v>40</v>
      </c>
      <c r="AB83" s="24"/>
      <c r="AC83" s="24"/>
      <c r="AD83" s="19" t="s">
        <v>40</v>
      </c>
      <c r="AE83" s="53"/>
      <c r="AF83" s="13"/>
      <c r="AG83" s="98"/>
      <c r="AH83" s="14"/>
      <c r="AI83" s="24"/>
    </row>
    <row r="84" spans="1:35" customFormat="1" ht="13.5" customHeight="1">
      <c r="A84" s="150" t="s">
        <v>15</v>
      </c>
      <c r="B84" s="24"/>
      <c r="C84" s="418"/>
      <c r="D84" s="51"/>
      <c r="E84" s="418" t="s">
        <v>65</v>
      </c>
      <c r="F84" s="418"/>
      <c r="G84" s="24"/>
      <c r="H84" s="418"/>
      <c r="I84" s="24"/>
      <c r="J84" s="418" t="s">
        <v>16</v>
      </c>
      <c r="K84" s="88"/>
      <c r="L84" s="24"/>
      <c r="M84" s="418" t="s">
        <v>16</v>
      </c>
      <c r="N84" s="418" t="s">
        <v>16</v>
      </c>
      <c r="O84" s="418" t="s">
        <v>16</v>
      </c>
      <c r="P84" s="418" t="s">
        <v>53</v>
      </c>
      <c r="Q84" s="24"/>
      <c r="R84" s="51"/>
      <c r="S84" s="24"/>
      <c r="T84" s="418" t="s">
        <v>53</v>
      </c>
      <c r="U84" s="418" t="s">
        <v>53</v>
      </c>
      <c r="V84" s="418" t="s">
        <v>53</v>
      </c>
      <c r="W84" s="418" t="s">
        <v>53</v>
      </c>
      <c r="X84" s="418" t="s">
        <v>53</v>
      </c>
      <c r="Y84" s="15"/>
      <c r="Z84" s="418" t="s">
        <v>53</v>
      </c>
      <c r="AA84" s="418" t="s">
        <v>53</v>
      </c>
      <c r="AB84" s="24"/>
      <c r="AC84" s="24"/>
      <c r="AD84" s="418" t="s">
        <v>53</v>
      </c>
      <c r="AE84" s="51" t="s">
        <v>53</v>
      </c>
      <c r="AF84" s="13"/>
      <c r="AG84" s="98"/>
      <c r="AH84" s="14"/>
      <c r="AI84" s="24"/>
    </row>
    <row r="85" spans="1:35" customFormat="1" ht="13.5" customHeight="1">
      <c r="A85" s="151" t="s">
        <v>17</v>
      </c>
      <c r="B85" s="24"/>
      <c r="C85" s="195"/>
      <c r="D85" s="201"/>
      <c r="E85" s="391" t="s">
        <v>1000</v>
      </c>
      <c r="F85" s="195"/>
      <c r="G85" s="24"/>
      <c r="H85" s="190"/>
      <c r="I85" s="24"/>
      <c r="J85" s="391" t="s">
        <v>493</v>
      </c>
      <c r="K85" s="88"/>
      <c r="L85" s="24"/>
      <c r="M85" s="391" t="s">
        <v>493</v>
      </c>
      <c r="N85" s="391" t="s">
        <v>493</v>
      </c>
      <c r="O85" s="391" t="s">
        <v>493</v>
      </c>
      <c r="P85" s="391" t="s">
        <v>493</v>
      </c>
      <c r="Q85" s="24"/>
      <c r="R85" s="205"/>
      <c r="S85" s="24"/>
      <c r="T85" s="391" t="s">
        <v>1000</v>
      </c>
      <c r="U85" s="391" t="s">
        <v>1000</v>
      </c>
      <c r="V85" s="391" t="s">
        <v>1000</v>
      </c>
      <c r="W85" s="391" t="s">
        <v>1000</v>
      </c>
      <c r="X85" s="391" t="s">
        <v>1000</v>
      </c>
      <c r="Y85" s="15"/>
      <c r="Z85" s="391" t="s">
        <v>1000</v>
      </c>
      <c r="AA85" s="391" t="s">
        <v>1000</v>
      </c>
      <c r="AB85" s="24"/>
      <c r="AC85" s="24"/>
      <c r="AD85" s="391" t="s">
        <v>1000</v>
      </c>
      <c r="AE85" s="508" t="s">
        <v>1017</v>
      </c>
      <c r="AF85" s="13"/>
      <c r="AG85" s="98"/>
      <c r="AH85" s="14"/>
      <c r="AI85" s="24"/>
    </row>
    <row r="86" spans="1:35" customFormat="1" ht="13.5" customHeight="1">
      <c r="A86" s="152" t="s">
        <v>18</v>
      </c>
      <c r="B86" s="24"/>
      <c r="C86" s="87"/>
      <c r="D86" s="193"/>
      <c r="E86" s="23"/>
      <c r="F86" s="87"/>
      <c r="G86" s="24"/>
      <c r="H86" s="87"/>
      <c r="I86" s="24"/>
      <c r="J86" s="23"/>
      <c r="K86" s="88"/>
      <c r="L86" s="24"/>
      <c r="M86" s="23"/>
      <c r="N86" s="23"/>
      <c r="O86" s="23"/>
      <c r="P86" s="23"/>
      <c r="Q86" s="24"/>
      <c r="R86" s="193"/>
      <c r="S86" s="24"/>
      <c r="T86" s="23"/>
      <c r="U86" s="23"/>
      <c r="V86" s="23"/>
      <c r="W86" s="23"/>
      <c r="X86" s="23"/>
      <c r="Y86" s="15"/>
      <c r="Z86" s="23"/>
      <c r="AA86" s="23"/>
      <c r="AB86" s="24"/>
      <c r="AC86" s="24"/>
      <c r="AD86" s="23"/>
      <c r="AE86" s="54"/>
      <c r="AF86" s="13"/>
      <c r="AG86" s="98"/>
      <c r="AH86" s="14"/>
      <c r="AI86" s="24"/>
    </row>
    <row r="87" spans="1:35" customFormat="1" ht="13.5" customHeight="1">
      <c r="A87" s="146" t="s">
        <v>20</v>
      </c>
      <c r="B87" s="24"/>
      <c r="C87" s="87"/>
      <c r="D87" s="193"/>
      <c r="E87" s="24"/>
      <c r="F87" s="87"/>
      <c r="G87" s="24"/>
      <c r="H87" s="87"/>
      <c r="I87" s="24"/>
      <c r="J87" s="50"/>
      <c r="K87" s="88"/>
      <c r="L87" s="24"/>
      <c r="M87" s="50"/>
      <c r="N87" s="50"/>
      <c r="O87" s="50"/>
      <c r="P87" s="50"/>
      <c r="Q87" s="24"/>
      <c r="R87" s="193"/>
      <c r="S87" s="24"/>
      <c r="T87" s="24"/>
      <c r="U87" s="24"/>
      <c r="V87" s="24"/>
      <c r="W87" s="24"/>
      <c r="X87" s="24"/>
      <c r="Y87" s="15"/>
      <c r="Z87" s="24" t="s">
        <v>107</v>
      </c>
      <c r="AA87" s="24" t="s">
        <v>104</v>
      </c>
      <c r="AB87" s="24"/>
      <c r="AC87" s="24"/>
      <c r="AD87" s="24"/>
      <c r="AE87" s="55"/>
      <c r="AF87" s="13"/>
      <c r="AG87" s="98"/>
      <c r="AH87" s="14"/>
      <c r="AI87" s="24"/>
    </row>
    <row r="88" spans="1:35" customFormat="1" ht="13.5" customHeight="1">
      <c r="A88" s="153" t="s">
        <v>21</v>
      </c>
      <c r="B88" s="24"/>
      <c r="C88" s="418"/>
      <c r="D88" s="51"/>
      <c r="E88" s="418" t="s">
        <v>676</v>
      </c>
      <c r="F88" s="418"/>
      <c r="G88" s="24"/>
      <c r="H88" s="418"/>
      <c r="I88" s="24"/>
      <c r="J88" s="418" t="s">
        <v>119</v>
      </c>
      <c r="K88" s="88"/>
      <c r="L88" s="24"/>
      <c r="M88" s="418" t="s">
        <v>119</v>
      </c>
      <c r="N88" s="418" t="s">
        <v>101</v>
      </c>
      <c r="O88" s="418" t="s">
        <v>102</v>
      </c>
      <c r="P88" s="418" t="s">
        <v>79</v>
      </c>
      <c r="Q88" s="24"/>
      <c r="R88" s="51"/>
      <c r="S88" s="24"/>
      <c r="T88" s="418" t="s">
        <v>911</v>
      </c>
      <c r="U88" s="418" t="s">
        <v>79</v>
      </c>
      <c r="V88" s="418" t="s">
        <v>79</v>
      </c>
      <c r="W88" s="418" t="s">
        <v>83</v>
      </c>
      <c r="X88" s="418" t="s">
        <v>77</v>
      </c>
      <c r="Y88" s="15"/>
      <c r="Z88" s="418" t="s">
        <v>77</v>
      </c>
      <c r="AA88" s="418" t="s">
        <v>911</v>
      </c>
      <c r="AB88" s="24"/>
      <c r="AC88" s="24"/>
      <c r="AD88" s="418" t="s">
        <v>913</v>
      </c>
      <c r="AE88" s="56" t="s">
        <v>702</v>
      </c>
      <c r="AF88" s="13"/>
      <c r="AG88" s="98"/>
      <c r="AH88" s="14"/>
      <c r="AI88" s="24"/>
    </row>
    <row r="89" spans="1:35" customFormat="1" ht="13.5" customHeight="1">
      <c r="A89" s="154" t="s">
        <v>22</v>
      </c>
      <c r="B89" s="24"/>
      <c r="C89" s="418"/>
      <c r="D89" s="51"/>
      <c r="E89" s="27"/>
      <c r="F89" s="418"/>
      <c r="G89" s="24"/>
      <c r="H89" s="87"/>
      <c r="I89" s="24"/>
      <c r="J89" s="27"/>
      <c r="K89" s="88"/>
      <c r="L89" s="24"/>
      <c r="M89" s="27"/>
      <c r="N89" s="27"/>
      <c r="O89" s="27"/>
      <c r="P89" s="27"/>
      <c r="Q89" s="24"/>
      <c r="R89" s="193"/>
      <c r="S89" s="24"/>
      <c r="T89" s="27"/>
      <c r="U89" s="27"/>
      <c r="V89" s="27"/>
      <c r="W89" s="27"/>
      <c r="X89" s="27"/>
      <c r="Y89" s="15"/>
      <c r="Z89" s="27"/>
      <c r="AA89" s="27"/>
      <c r="AB89" s="24"/>
      <c r="AC89" s="24"/>
      <c r="AD89" s="27"/>
      <c r="AE89" s="57"/>
      <c r="AF89" s="13"/>
      <c r="AG89" s="98"/>
      <c r="AH89" s="14"/>
      <c r="AI89" s="24"/>
    </row>
    <row r="90" spans="1:35" customFormat="1" ht="13.5" customHeight="1">
      <c r="A90" s="153" t="s">
        <v>23</v>
      </c>
      <c r="B90" s="24"/>
      <c r="C90" s="418"/>
      <c r="D90" s="51"/>
      <c r="E90" s="418">
        <v>6204</v>
      </c>
      <c r="F90" s="418"/>
      <c r="G90" s="24"/>
      <c r="H90" s="418"/>
      <c r="I90" s="24"/>
      <c r="J90" s="418">
        <v>2772</v>
      </c>
      <c r="K90" s="88"/>
      <c r="L90" s="24"/>
      <c r="M90" s="418">
        <v>3240</v>
      </c>
      <c r="N90" s="418">
        <v>600</v>
      </c>
      <c r="O90" s="418">
        <v>432</v>
      </c>
      <c r="P90" s="418">
        <v>5580</v>
      </c>
      <c r="Q90" s="24"/>
      <c r="R90" s="51"/>
      <c r="S90" s="24"/>
      <c r="T90" s="418">
        <v>1128</v>
      </c>
      <c r="U90" s="418">
        <v>360</v>
      </c>
      <c r="V90" s="418">
        <v>396</v>
      </c>
      <c r="W90" s="418">
        <v>924</v>
      </c>
      <c r="X90" s="418">
        <v>360</v>
      </c>
      <c r="Y90" s="15"/>
      <c r="Z90" s="418">
        <v>360</v>
      </c>
      <c r="AA90" s="418">
        <v>1872</v>
      </c>
      <c r="AB90" s="24"/>
      <c r="AC90" s="24"/>
      <c r="AD90" s="418">
        <v>144</v>
      </c>
      <c r="AE90" s="51">
        <v>900</v>
      </c>
      <c r="AF90" s="13"/>
      <c r="AG90" s="98"/>
      <c r="AH90" s="14"/>
      <c r="AI90" s="24"/>
    </row>
    <row r="91" spans="1:35" customFormat="1" ht="13.5" customHeight="1">
      <c r="A91" s="155" t="s">
        <v>24</v>
      </c>
      <c r="B91" s="24"/>
      <c r="C91" s="87"/>
      <c r="D91" s="193"/>
      <c r="E91" s="24"/>
      <c r="F91" s="87"/>
      <c r="G91" s="24"/>
      <c r="H91" s="87"/>
      <c r="I91" s="24"/>
      <c r="J91" s="50" t="s">
        <v>107</v>
      </c>
      <c r="K91" s="88"/>
      <c r="L91" s="24"/>
      <c r="M91" s="50"/>
      <c r="N91" s="50" t="s">
        <v>105</v>
      </c>
      <c r="O91" s="50"/>
      <c r="P91" s="50"/>
      <c r="Q91" s="24"/>
      <c r="R91" s="193"/>
      <c r="S91" s="24"/>
      <c r="T91" s="24"/>
      <c r="U91" s="24"/>
      <c r="V91" s="24"/>
      <c r="W91" s="24"/>
      <c r="X91" s="24"/>
      <c r="Y91" s="15"/>
      <c r="Z91" s="24"/>
      <c r="AA91" s="24"/>
      <c r="AB91" s="24"/>
      <c r="AC91" s="24"/>
      <c r="AD91" s="24"/>
      <c r="AE91" s="111"/>
      <c r="AF91" s="13"/>
      <c r="AG91" s="98"/>
      <c r="AH91" s="14"/>
      <c r="AI91" s="24"/>
    </row>
    <row r="92" spans="1:35" customFormat="1" ht="13.5" customHeight="1">
      <c r="A92" s="128" t="s">
        <v>25</v>
      </c>
      <c r="B92" s="24"/>
      <c r="C92" s="196"/>
      <c r="D92" s="202"/>
      <c r="E92" s="32">
        <v>43544</v>
      </c>
      <c r="F92" s="196"/>
      <c r="G92" s="24"/>
      <c r="H92" s="196"/>
      <c r="I92" s="24"/>
      <c r="J92" s="32">
        <v>43551</v>
      </c>
      <c r="K92" s="88"/>
      <c r="L92" s="24"/>
      <c r="M92" s="32">
        <v>43596</v>
      </c>
      <c r="N92" s="32">
        <v>43570</v>
      </c>
      <c r="O92" s="32">
        <v>43583</v>
      </c>
      <c r="P92" s="32">
        <v>43563</v>
      </c>
      <c r="Q92" s="24"/>
      <c r="R92" s="202"/>
      <c r="S92" s="24"/>
      <c r="T92" s="32">
        <v>43548</v>
      </c>
      <c r="U92" s="32">
        <v>43555</v>
      </c>
      <c r="V92" s="32">
        <v>43556</v>
      </c>
      <c r="W92" s="32">
        <v>43556</v>
      </c>
      <c r="X92" s="32">
        <v>43555</v>
      </c>
      <c r="Y92" s="15"/>
      <c r="Z92" s="32">
        <v>43556</v>
      </c>
      <c r="AA92" s="32">
        <v>43569</v>
      </c>
      <c r="AB92" s="24"/>
      <c r="AC92" s="24"/>
      <c r="AD92" s="32">
        <v>43581</v>
      </c>
      <c r="AE92" s="491">
        <v>43576</v>
      </c>
      <c r="AF92" s="13"/>
      <c r="AG92" s="98"/>
      <c r="AH92" s="14"/>
      <c r="AI92" s="24"/>
    </row>
    <row r="93" spans="1:35" customFormat="1" ht="13.5" customHeight="1" thickBot="1">
      <c r="A93" s="146" t="s">
        <v>27</v>
      </c>
      <c r="B93" s="24"/>
      <c r="C93" s="87"/>
      <c r="D93" s="193"/>
      <c r="E93" s="31" t="s">
        <v>28</v>
      </c>
      <c r="F93" s="87"/>
      <c r="G93" s="184"/>
      <c r="H93" s="87"/>
      <c r="I93" s="24"/>
      <c r="J93" s="31" t="s">
        <v>28</v>
      </c>
      <c r="K93" s="88"/>
      <c r="L93" s="24"/>
      <c r="M93" s="31" t="s">
        <v>28</v>
      </c>
      <c r="N93" s="31" t="s">
        <v>29</v>
      </c>
      <c r="O93" s="31" t="s">
        <v>28</v>
      </c>
      <c r="P93" s="31" t="s">
        <v>30</v>
      </c>
      <c r="Q93" s="24"/>
      <c r="R93" s="193"/>
      <c r="S93" s="24"/>
      <c r="T93" s="31" t="s">
        <v>29</v>
      </c>
      <c r="U93" s="31" t="s">
        <v>62</v>
      </c>
      <c r="V93" s="31" t="s">
        <v>47</v>
      </c>
      <c r="W93" s="31" t="s">
        <v>29</v>
      </c>
      <c r="X93" s="31" t="s">
        <v>63</v>
      </c>
      <c r="Y93" s="15"/>
      <c r="Z93" s="31" t="s">
        <v>31</v>
      </c>
      <c r="AA93" s="31" t="s">
        <v>29</v>
      </c>
      <c r="AB93" s="24"/>
      <c r="AC93" s="24"/>
      <c r="AD93" s="31" t="s">
        <v>28</v>
      </c>
      <c r="AE93" s="58" t="s">
        <v>29</v>
      </c>
      <c r="AF93" s="13"/>
      <c r="AG93" s="98"/>
      <c r="AH93" s="14"/>
      <c r="AI93" s="24"/>
    </row>
    <row r="94" spans="1:35" customFormat="1" ht="13.5" customHeight="1">
      <c r="A94" s="146" t="s">
        <v>10</v>
      </c>
      <c r="B94" s="24"/>
      <c r="C94" s="418"/>
      <c r="D94" s="51"/>
      <c r="E94" s="418"/>
      <c r="F94" s="418"/>
      <c r="G94" s="33"/>
      <c r="H94" s="418"/>
      <c r="I94" s="24"/>
      <c r="J94" s="24"/>
      <c r="K94" s="15"/>
      <c r="L94" s="24"/>
      <c r="M94" s="50"/>
      <c r="N94" s="59" t="s">
        <v>103</v>
      </c>
      <c r="O94" s="50"/>
      <c r="P94" s="24"/>
      <c r="Q94" s="418"/>
      <c r="R94" s="88"/>
      <c r="S94" s="24"/>
      <c r="T94" s="24"/>
      <c r="U94" s="24"/>
      <c r="V94" s="418" t="s">
        <v>78</v>
      </c>
      <c r="W94" s="418" t="s">
        <v>78</v>
      </c>
      <c r="X94" s="418" t="s">
        <v>78</v>
      </c>
      <c r="Y94" s="15"/>
      <c r="Z94" s="418" t="s">
        <v>78</v>
      </c>
      <c r="AA94" s="24"/>
      <c r="AB94" s="24"/>
      <c r="AC94" s="24"/>
      <c r="AD94" s="418" t="s">
        <v>78</v>
      </c>
      <c r="AE94" s="51" t="s">
        <v>704</v>
      </c>
      <c r="AF94" s="13"/>
      <c r="AG94" s="98"/>
      <c r="AH94" s="14"/>
      <c r="AI94" s="24"/>
    </row>
    <row r="95" spans="1:35" customFormat="1" ht="13.5" customHeight="1">
      <c r="A95" s="147" t="s">
        <v>11</v>
      </c>
      <c r="B95" s="24"/>
      <c r="C95" s="87"/>
      <c r="D95" s="193"/>
      <c r="E95" s="311"/>
      <c r="F95" s="87"/>
      <c r="G95" s="33"/>
      <c r="H95" s="87"/>
      <c r="I95" s="24"/>
      <c r="J95" s="24"/>
      <c r="K95" s="15"/>
      <c r="L95" s="24"/>
      <c r="M95" s="50"/>
      <c r="N95" s="93" t="s">
        <v>649</v>
      </c>
      <c r="O95" s="50"/>
      <c r="P95" s="24"/>
      <c r="Q95" s="93"/>
      <c r="R95" s="88"/>
      <c r="S95" s="24"/>
      <c r="T95" s="24"/>
      <c r="U95" s="24"/>
      <c r="V95" s="93" t="s">
        <v>899</v>
      </c>
      <c r="W95" s="93" t="s">
        <v>902</v>
      </c>
      <c r="X95" s="93" t="s">
        <v>901</v>
      </c>
      <c r="Y95" s="15"/>
      <c r="Z95" s="93" t="s">
        <v>908</v>
      </c>
      <c r="AA95" s="24"/>
      <c r="AB95" s="24"/>
      <c r="AC95" s="24"/>
      <c r="AD95" s="93" t="s">
        <v>915</v>
      </c>
      <c r="AE95" s="52" t="s">
        <v>940</v>
      </c>
      <c r="AF95" s="13"/>
      <c r="AG95" s="98"/>
      <c r="AH95" s="14"/>
      <c r="AI95" s="24"/>
    </row>
    <row r="96" spans="1:35" customFormat="1" ht="13.5" customHeight="1">
      <c r="A96" s="148" t="s">
        <v>12</v>
      </c>
      <c r="B96" s="24"/>
      <c r="C96" s="493"/>
      <c r="D96" s="200"/>
      <c r="E96" s="194"/>
      <c r="F96" s="493"/>
      <c r="G96" s="33"/>
      <c r="H96" s="194"/>
      <c r="I96" s="24"/>
      <c r="J96" s="24"/>
      <c r="K96" s="15"/>
      <c r="L96" s="24"/>
      <c r="M96" s="50"/>
      <c r="N96" s="418" t="str">
        <f>VLOOKUP(N102,'[3]2018-11-16'!$A:$D,4,0)</f>
        <v>基本型體</v>
      </c>
      <c r="O96" s="50"/>
      <c r="P96" s="24"/>
      <c r="Q96" s="418"/>
      <c r="R96" s="88"/>
      <c r="S96" s="24"/>
      <c r="T96" s="24"/>
      <c r="U96" s="24"/>
      <c r="V96" s="418"/>
      <c r="W96" s="418"/>
      <c r="X96" s="418"/>
      <c r="Y96" s="15"/>
      <c r="Z96" s="418"/>
      <c r="AA96" s="24"/>
      <c r="AB96" s="24"/>
      <c r="AC96" s="24"/>
      <c r="AD96" s="418"/>
      <c r="AE96" s="127"/>
      <c r="AF96" s="13"/>
      <c r="AG96" s="98"/>
      <c r="AH96" s="14"/>
      <c r="AI96" s="24"/>
    </row>
    <row r="97" spans="1:35" customFormat="1" ht="13.5" customHeight="1">
      <c r="A97" s="149" t="s">
        <v>13</v>
      </c>
      <c r="B97" s="24"/>
      <c r="C97" s="87"/>
      <c r="D97" s="193"/>
      <c r="E97" s="87"/>
      <c r="F97" s="87"/>
      <c r="G97" s="33"/>
      <c r="H97" s="87"/>
      <c r="I97" s="24"/>
      <c r="J97" s="24"/>
      <c r="K97" s="15"/>
      <c r="L97" s="24"/>
      <c r="M97" s="50"/>
      <c r="N97" s="19"/>
      <c r="O97" s="50"/>
      <c r="P97" s="24"/>
      <c r="Q97" s="19"/>
      <c r="R97" s="88"/>
      <c r="S97" s="24"/>
      <c r="T97" s="24"/>
      <c r="U97" s="24"/>
      <c r="V97" s="19" t="s">
        <v>85</v>
      </c>
      <c r="W97" s="19" t="s">
        <v>85</v>
      </c>
      <c r="X97" s="19" t="s">
        <v>85</v>
      </c>
      <c r="Y97" s="15"/>
      <c r="Z97" s="19" t="s">
        <v>85</v>
      </c>
      <c r="AA97" s="24"/>
      <c r="AB97" s="24"/>
      <c r="AC97" s="24"/>
      <c r="AD97" s="19" t="s">
        <v>40</v>
      </c>
      <c r="AE97" s="53"/>
      <c r="AF97" s="13"/>
      <c r="AG97" s="98"/>
      <c r="AH97" s="14"/>
      <c r="AI97" s="24"/>
    </row>
    <row r="98" spans="1:35" customFormat="1" ht="13.5" customHeight="1">
      <c r="A98" s="150" t="s">
        <v>15</v>
      </c>
      <c r="B98" s="24"/>
      <c r="C98" s="418"/>
      <c r="D98" s="51"/>
      <c r="E98" s="418"/>
      <c r="F98" s="418"/>
      <c r="G98" s="33"/>
      <c r="H98" s="418"/>
      <c r="I98" s="24"/>
      <c r="J98" s="24"/>
      <c r="K98" s="15"/>
      <c r="L98" s="24"/>
      <c r="M98" s="50"/>
      <c r="N98" s="418" t="s">
        <v>16</v>
      </c>
      <c r="O98" s="50"/>
      <c r="P98" s="24"/>
      <c r="Q98" s="418"/>
      <c r="R98" s="88"/>
      <c r="S98" s="24"/>
      <c r="T98" s="24"/>
      <c r="U98" s="24"/>
      <c r="V98" s="418" t="s">
        <v>53</v>
      </c>
      <c r="W98" s="418" t="s">
        <v>53</v>
      </c>
      <c r="X98" s="418" t="s">
        <v>53</v>
      </c>
      <c r="Y98" s="15"/>
      <c r="Z98" s="418" t="s">
        <v>53</v>
      </c>
      <c r="AA98" s="24"/>
      <c r="AB98" s="24"/>
      <c r="AC98" s="24"/>
      <c r="AD98" s="418" t="s">
        <v>53</v>
      </c>
      <c r="AE98" s="51" t="s">
        <v>53</v>
      </c>
      <c r="AF98" s="13"/>
      <c r="AG98" s="98"/>
      <c r="AH98" s="14"/>
      <c r="AI98" s="24"/>
    </row>
    <row r="99" spans="1:35" customFormat="1" ht="13.5" customHeight="1">
      <c r="A99" s="151" t="s">
        <v>17</v>
      </c>
      <c r="B99" s="24"/>
      <c r="C99" s="195"/>
      <c r="D99" s="201"/>
      <c r="E99" s="190"/>
      <c r="F99" s="195"/>
      <c r="G99" s="33"/>
      <c r="H99" s="190"/>
      <c r="I99" s="24"/>
      <c r="J99" s="24"/>
      <c r="K99" s="15"/>
      <c r="L99" s="24"/>
      <c r="M99" s="50"/>
      <c r="N99" s="391" t="s">
        <v>493</v>
      </c>
      <c r="O99" s="50"/>
      <c r="P99" s="24"/>
      <c r="Q99" s="391"/>
      <c r="R99" s="88"/>
      <c r="S99" s="24"/>
      <c r="T99" s="24"/>
      <c r="U99" s="24"/>
      <c r="V99" s="391" t="s">
        <v>1000</v>
      </c>
      <c r="W99" s="391" t="s">
        <v>1000</v>
      </c>
      <c r="X99" s="391" t="s">
        <v>1000</v>
      </c>
      <c r="Y99" s="15"/>
      <c r="Z99" s="391" t="s">
        <v>1000</v>
      </c>
      <c r="AA99" s="24"/>
      <c r="AB99" s="24"/>
      <c r="AC99" s="24"/>
      <c r="AD99" s="391" t="s">
        <v>1000</v>
      </c>
      <c r="AE99" s="508" t="s">
        <v>1017</v>
      </c>
      <c r="AF99" s="13"/>
      <c r="AG99" s="98"/>
      <c r="AH99" s="14"/>
      <c r="AI99" s="24"/>
    </row>
    <row r="100" spans="1:35" customFormat="1" ht="13.5" customHeight="1">
      <c r="A100" s="152" t="s">
        <v>18</v>
      </c>
      <c r="B100" s="24"/>
      <c r="C100" s="87"/>
      <c r="D100" s="193"/>
      <c r="E100" s="87"/>
      <c r="F100" s="87"/>
      <c r="G100" s="33"/>
      <c r="H100" s="87"/>
      <c r="I100" s="24"/>
      <c r="J100" s="24"/>
      <c r="K100" s="15"/>
      <c r="L100" s="24"/>
      <c r="M100" s="50"/>
      <c r="N100" s="23"/>
      <c r="O100" s="50"/>
      <c r="P100" s="24"/>
      <c r="Q100" s="23"/>
      <c r="R100" s="88"/>
      <c r="S100" s="24"/>
      <c r="T100" s="24"/>
      <c r="U100" s="24"/>
      <c r="V100" s="23"/>
      <c r="W100" s="23"/>
      <c r="X100" s="23"/>
      <c r="Y100" s="15"/>
      <c r="Z100" s="23"/>
      <c r="AA100" s="24"/>
      <c r="AB100" s="24"/>
      <c r="AC100" s="24"/>
      <c r="AD100" s="23"/>
      <c r="AE100" s="54"/>
      <c r="AF100" s="13"/>
      <c r="AG100" s="98"/>
      <c r="AH100" s="14"/>
      <c r="AI100" s="24"/>
    </row>
    <row r="101" spans="1:35" customFormat="1" ht="13.5" customHeight="1">
      <c r="A101" s="146" t="s">
        <v>20</v>
      </c>
      <c r="B101" s="24"/>
      <c r="C101" s="87"/>
      <c r="D101" s="193"/>
      <c r="E101" s="87"/>
      <c r="F101" s="87"/>
      <c r="G101" s="33"/>
      <c r="H101" s="87"/>
      <c r="I101" s="24"/>
      <c r="J101" s="24"/>
      <c r="K101" s="15"/>
      <c r="L101" s="24"/>
      <c r="M101" s="50"/>
      <c r="N101" s="50"/>
      <c r="O101" s="50"/>
      <c r="P101" s="24"/>
      <c r="Q101" s="24"/>
      <c r="R101" s="88"/>
      <c r="S101" s="24"/>
      <c r="T101" s="24"/>
      <c r="U101" s="24"/>
      <c r="V101" s="24"/>
      <c r="W101" s="24" t="s">
        <v>107</v>
      </c>
      <c r="X101" s="24"/>
      <c r="Y101" s="15"/>
      <c r="Z101" s="24"/>
      <c r="AA101" s="24"/>
      <c r="AB101" s="24"/>
      <c r="AC101" s="24"/>
      <c r="AD101" s="24" t="s">
        <v>107</v>
      </c>
      <c r="AE101" s="55"/>
      <c r="AF101" s="13"/>
      <c r="AG101" s="98"/>
      <c r="AH101" s="14"/>
      <c r="AI101" s="24"/>
    </row>
    <row r="102" spans="1:35" customFormat="1" ht="13.5" customHeight="1">
      <c r="A102" s="153" t="s">
        <v>21</v>
      </c>
      <c r="B102" s="24"/>
      <c r="C102" s="418"/>
      <c r="D102" s="51"/>
      <c r="E102" s="418"/>
      <c r="F102" s="418"/>
      <c r="G102" s="33"/>
      <c r="H102" s="418"/>
      <c r="I102" s="24"/>
      <c r="J102" s="24"/>
      <c r="K102" s="15"/>
      <c r="L102" s="24"/>
      <c r="M102" s="50"/>
      <c r="N102" s="418" t="s">
        <v>102</v>
      </c>
      <c r="O102" s="50"/>
      <c r="P102" s="24"/>
      <c r="Q102" s="418"/>
      <c r="R102" s="88"/>
      <c r="S102" s="24"/>
      <c r="T102" s="24"/>
      <c r="U102" s="24"/>
      <c r="V102" s="418" t="s">
        <v>80</v>
      </c>
      <c r="W102" s="418" t="s">
        <v>84</v>
      </c>
      <c r="X102" s="418" t="s">
        <v>77</v>
      </c>
      <c r="Y102" s="15"/>
      <c r="Z102" s="418" t="s">
        <v>77</v>
      </c>
      <c r="AA102" s="24"/>
      <c r="AB102" s="24"/>
      <c r="AC102" s="24"/>
      <c r="AD102" s="418" t="s">
        <v>913</v>
      </c>
      <c r="AE102" s="56" t="s">
        <v>702</v>
      </c>
      <c r="AF102" s="13"/>
      <c r="AG102" s="98"/>
      <c r="AH102" s="14"/>
      <c r="AI102" s="24"/>
    </row>
    <row r="103" spans="1:35" customFormat="1" ht="13.5" customHeight="1">
      <c r="A103" s="154" t="s">
        <v>22</v>
      </c>
      <c r="B103" s="24"/>
      <c r="C103" s="418"/>
      <c r="D103" s="51"/>
      <c r="E103" s="87"/>
      <c r="F103" s="418"/>
      <c r="G103" s="33"/>
      <c r="H103" s="87"/>
      <c r="I103" s="24"/>
      <c r="J103" s="24"/>
      <c r="K103" s="15"/>
      <c r="L103" s="24"/>
      <c r="M103" s="50"/>
      <c r="N103" s="27"/>
      <c r="O103" s="50"/>
      <c r="P103" s="24"/>
      <c r="Q103" s="27"/>
      <c r="R103" s="88"/>
      <c r="S103" s="24"/>
      <c r="T103" s="24"/>
      <c r="U103" s="24"/>
      <c r="V103" s="27"/>
      <c r="W103" s="27"/>
      <c r="X103" s="27"/>
      <c r="Y103" s="15"/>
      <c r="Z103" s="27"/>
      <c r="AA103" s="24"/>
      <c r="AB103" s="24"/>
      <c r="AC103" s="24"/>
      <c r="AD103" s="27"/>
      <c r="AE103" s="57"/>
      <c r="AF103" s="13"/>
      <c r="AG103" s="98"/>
      <c r="AH103" s="14"/>
      <c r="AI103" s="24"/>
    </row>
    <row r="104" spans="1:35" customFormat="1" ht="13.5" customHeight="1">
      <c r="A104" s="153" t="s">
        <v>23</v>
      </c>
      <c r="B104" s="24"/>
      <c r="C104" s="418"/>
      <c r="D104" s="51"/>
      <c r="E104" s="418"/>
      <c r="F104" s="418"/>
      <c r="G104" s="33"/>
      <c r="H104" s="418"/>
      <c r="I104" s="24"/>
      <c r="J104" s="24"/>
      <c r="K104" s="15"/>
      <c r="L104" s="24"/>
      <c r="M104" s="50"/>
      <c r="N104" s="418">
        <v>1212</v>
      </c>
      <c r="O104" s="50"/>
      <c r="P104" s="24"/>
      <c r="Q104" s="418"/>
      <c r="R104" s="88"/>
      <c r="S104" s="24"/>
      <c r="T104" s="24"/>
      <c r="U104" s="24"/>
      <c r="V104" s="418">
        <v>360</v>
      </c>
      <c r="W104" s="418">
        <v>360</v>
      </c>
      <c r="X104" s="418">
        <v>552</v>
      </c>
      <c r="Y104" s="15"/>
      <c r="Z104" s="418">
        <v>276</v>
      </c>
      <c r="AA104" s="24"/>
      <c r="AB104" s="24"/>
      <c r="AC104" s="24"/>
      <c r="AD104" s="418">
        <v>780</v>
      </c>
      <c r="AE104" s="51">
        <v>924</v>
      </c>
      <c r="AF104" s="13"/>
      <c r="AG104" s="98"/>
      <c r="AH104" s="14"/>
      <c r="AI104" s="24"/>
    </row>
    <row r="105" spans="1:35" customFormat="1" ht="13.5" customHeight="1">
      <c r="A105" s="155" t="s">
        <v>24</v>
      </c>
      <c r="B105" s="24"/>
      <c r="C105" s="87"/>
      <c r="D105" s="193"/>
      <c r="E105" s="87"/>
      <c r="F105" s="87"/>
      <c r="G105" s="33"/>
      <c r="H105" s="87"/>
      <c r="I105" s="24"/>
      <c r="J105" s="24"/>
      <c r="K105" s="15"/>
      <c r="L105" s="24"/>
      <c r="M105" s="50"/>
      <c r="N105" s="50"/>
      <c r="O105" s="50"/>
      <c r="P105" s="24"/>
      <c r="Q105" s="24"/>
      <c r="R105" s="88"/>
      <c r="S105" s="24"/>
      <c r="T105" s="24"/>
      <c r="U105" s="24"/>
      <c r="V105" s="24"/>
      <c r="W105" s="24"/>
      <c r="X105" s="24"/>
      <c r="Y105" s="15"/>
      <c r="Z105" s="24"/>
      <c r="AA105" s="24"/>
      <c r="AB105" s="24"/>
      <c r="AC105" s="24"/>
      <c r="AD105" s="24"/>
      <c r="AE105" s="111"/>
      <c r="AF105" s="13"/>
      <c r="AG105" s="98"/>
      <c r="AH105" s="14"/>
      <c r="AI105" s="24"/>
    </row>
    <row r="106" spans="1:35" customFormat="1" ht="13.5" customHeight="1">
      <c r="A106" s="128" t="s">
        <v>25</v>
      </c>
      <c r="B106" s="24"/>
      <c r="C106" s="196"/>
      <c r="D106" s="202"/>
      <c r="E106" s="196"/>
      <c r="F106" s="196"/>
      <c r="G106" s="33"/>
      <c r="H106" s="196"/>
      <c r="I106" s="24"/>
      <c r="J106" s="24"/>
      <c r="K106" s="15"/>
      <c r="L106" s="24"/>
      <c r="M106" s="50"/>
      <c r="N106" s="32">
        <v>43563</v>
      </c>
      <c r="O106" s="50"/>
      <c r="P106" s="24"/>
      <c r="Q106" s="32"/>
      <c r="R106" s="88"/>
      <c r="S106" s="24"/>
      <c r="T106" s="24"/>
      <c r="U106" s="24"/>
      <c r="V106" s="32">
        <v>43555</v>
      </c>
      <c r="W106" s="32">
        <v>43556</v>
      </c>
      <c r="X106" s="32">
        <v>43555</v>
      </c>
      <c r="Y106" s="15"/>
      <c r="Z106" s="32">
        <v>43556</v>
      </c>
      <c r="AA106" s="24"/>
      <c r="AB106" s="24"/>
      <c r="AC106" s="24"/>
      <c r="AD106" s="32">
        <v>43600</v>
      </c>
      <c r="AE106" s="491">
        <v>43576</v>
      </c>
      <c r="AF106" s="13"/>
      <c r="AG106" s="98"/>
      <c r="AH106" s="14"/>
      <c r="AI106" s="24"/>
    </row>
    <row r="107" spans="1:35" customFormat="1" ht="13.5" customHeight="1">
      <c r="A107" s="146" t="s">
        <v>27</v>
      </c>
      <c r="B107" s="24"/>
      <c r="C107" s="87"/>
      <c r="D107" s="193"/>
      <c r="E107" s="87"/>
      <c r="F107" s="87"/>
      <c r="G107" s="184"/>
      <c r="H107" s="87"/>
      <c r="I107" s="24"/>
      <c r="J107" s="24"/>
      <c r="K107" s="88"/>
      <c r="L107" s="24"/>
      <c r="M107" s="50"/>
      <c r="N107" s="31" t="s">
        <v>30</v>
      </c>
      <c r="O107" s="50"/>
      <c r="P107" s="24"/>
      <c r="Q107" s="24"/>
      <c r="R107" s="88"/>
      <c r="S107" s="24"/>
      <c r="T107" s="24"/>
      <c r="U107" s="24"/>
      <c r="V107" s="31" t="s">
        <v>48</v>
      </c>
      <c r="W107" s="31" t="s">
        <v>31</v>
      </c>
      <c r="X107" s="31" t="s">
        <v>62</v>
      </c>
      <c r="Y107" s="15"/>
      <c r="Z107" s="31" t="s">
        <v>47</v>
      </c>
      <c r="AA107" s="24"/>
      <c r="AB107" s="24"/>
      <c r="AC107" s="24"/>
      <c r="AD107" s="31" t="s">
        <v>72</v>
      </c>
      <c r="AE107" s="58" t="s">
        <v>29</v>
      </c>
      <c r="AF107" s="13"/>
      <c r="AG107" s="98"/>
      <c r="AH107" s="14"/>
      <c r="AI107" s="24"/>
    </row>
    <row r="108" spans="1:35" customFormat="1" ht="15.75">
      <c r="A108" s="146" t="s">
        <v>10</v>
      </c>
      <c r="B108" s="290"/>
      <c r="C108" s="50"/>
      <c r="D108" s="51"/>
      <c r="E108" s="418"/>
      <c r="F108" s="418"/>
      <c r="G108" s="33"/>
      <c r="H108" s="50"/>
      <c r="I108" s="24"/>
      <c r="J108" s="24"/>
      <c r="K108" s="88"/>
      <c r="L108" s="24"/>
      <c r="M108" s="50"/>
      <c r="N108" s="50"/>
      <c r="O108" s="50"/>
      <c r="P108" s="24"/>
      <c r="Q108" s="418"/>
      <c r="R108" s="15"/>
      <c r="S108" s="24"/>
      <c r="T108" s="24"/>
      <c r="U108" s="24"/>
      <c r="V108" s="418" t="s">
        <v>78</v>
      </c>
      <c r="W108" s="418" t="s">
        <v>78</v>
      </c>
      <c r="X108" s="24"/>
      <c r="Y108" s="15"/>
      <c r="Z108" s="418" t="s">
        <v>78</v>
      </c>
      <c r="AA108" s="24"/>
      <c r="AB108" s="24"/>
      <c r="AC108" s="24"/>
      <c r="AD108" s="418" t="s">
        <v>78</v>
      </c>
      <c r="AE108" s="14"/>
      <c r="AF108" s="13"/>
      <c r="AG108" s="98"/>
      <c r="AH108" s="14"/>
      <c r="AI108" s="14"/>
    </row>
    <row r="109" spans="1:35" customFormat="1" ht="15.75">
      <c r="A109" s="147" t="s">
        <v>11</v>
      </c>
      <c r="B109" s="333"/>
      <c r="C109" s="50"/>
      <c r="D109" s="193"/>
      <c r="E109" s="87"/>
      <c r="F109" s="87"/>
      <c r="G109" s="33"/>
      <c r="H109" s="50"/>
      <c r="I109" s="24"/>
      <c r="J109" s="24"/>
      <c r="K109" s="88"/>
      <c r="L109" s="50"/>
      <c r="M109" s="50"/>
      <c r="N109" s="50"/>
      <c r="O109" s="24"/>
      <c r="P109" s="24"/>
      <c r="Q109" s="93"/>
      <c r="R109" s="15"/>
      <c r="S109" s="24"/>
      <c r="T109" s="24"/>
      <c r="U109" s="24"/>
      <c r="V109" s="93" t="s">
        <v>898</v>
      </c>
      <c r="W109" s="93" t="s">
        <v>900</v>
      </c>
      <c r="X109" s="24"/>
      <c r="Y109" s="15"/>
      <c r="Z109" s="93" t="s">
        <v>907</v>
      </c>
      <c r="AA109" s="24"/>
      <c r="AB109" s="24"/>
      <c r="AC109" s="24"/>
      <c r="AD109" s="93" t="s">
        <v>914</v>
      </c>
      <c r="AE109" s="14"/>
      <c r="AF109" s="13"/>
      <c r="AG109" s="98"/>
      <c r="AH109" s="14"/>
      <c r="AI109" s="14"/>
    </row>
    <row r="110" spans="1:35" customFormat="1" ht="16.5">
      <c r="A110" s="148" t="s">
        <v>12</v>
      </c>
      <c r="B110" s="287"/>
      <c r="C110" s="50"/>
      <c r="D110" s="200"/>
      <c r="E110" s="493"/>
      <c r="F110" s="493"/>
      <c r="G110" s="33"/>
      <c r="H110" s="50"/>
      <c r="I110" s="24"/>
      <c r="J110" s="24"/>
      <c r="K110" s="88"/>
      <c r="L110" s="50"/>
      <c r="M110" s="50"/>
      <c r="N110" s="50"/>
      <c r="O110" s="24"/>
      <c r="P110" s="24"/>
      <c r="Q110" s="418"/>
      <c r="R110" s="15"/>
      <c r="S110" s="24"/>
      <c r="T110" s="24"/>
      <c r="U110" s="24"/>
      <c r="V110" s="418"/>
      <c r="W110" s="418"/>
      <c r="X110" s="24"/>
      <c r="Y110" s="15"/>
      <c r="Z110" s="418"/>
      <c r="AA110" s="24"/>
      <c r="AB110" s="24"/>
      <c r="AC110" s="24"/>
      <c r="AD110" s="418"/>
      <c r="AE110" s="14"/>
      <c r="AF110" s="13"/>
      <c r="AG110" s="98"/>
      <c r="AH110" s="14"/>
      <c r="AI110" s="14"/>
    </row>
    <row r="111" spans="1:35" customFormat="1" ht="15.75">
      <c r="A111" s="149" t="s">
        <v>13</v>
      </c>
      <c r="B111" s="300"/>
      <c r="C111" s="50"/>
      <c r="D111" s="193"/>
      <c r="E111" s="87"/>
      <c r="F111" s="87"/>
      <c r="G111" s="33"/>
      <c r="H111" s="50"/>
      <c r="I111" s="24"/>
      <c r="J111" s="24"/>
      <c r="K111" s="88"/>
      <c r="L111" s="50"/>
      <c r="M111" s="50"/>
      <c r="N111" s="50"/>
      <c r="O111" s="24"/>
      <c r="P111" s="24"/>
      <c r="Q111" s="19"/>
      <c r="R111" s="15"/>
      <c r="S111" s="24"/>
      <c r="T111" s="24"/>
      <c r="U111" s="24"/>
      <c r="V111" s="19" t="s">
        <v>85</v>
      </c>
      <c r="W111" s="19" t="s">
        <v>85</v>
      </c>
      <c r="X111" s="24"/>
      <c r="Y111" s="15"/>
      <c r="Z111" s="19" t="s">
        <v>85</v>
      </c>
      <c r="AA111" s="24"/>
      <c r="AB111" s="24"/>
      <c r="AC111" s="24"/>
      <c r="AD111" s="19" t="s">
        <v>40</v>
      </c>
      <c r="AE111" s="14"/>
      <c r="AF111" s="13"/>
      <c r="AG111" s="98"/>
      <c r="AH111" s="14"/>
      <c r="AI111" s="14"/>
    </row>
    <row r="112" spans="1:35" customFormat="1" ht="15.75">
      <c r="A112" s="150" t="s">
        <v>15</v>
      </c>
      <c r="B112" s="290"/>
      <c r="C112" s="50"/>
      <c r="D112" s="51"/>
      <c r="E112" s="418"/>
      <c r="F112" s="418"/>
      <c r="G112" s="33"/>
      <c r="H112" s="50"/>
      <c r="I112" s="24"/>
      <c r="J112" s="24"/>
      <c r="K112" s="88"/>
      <c r="L112" s="50"/>
      <c r="M112" s="50"/>
      <c r="N112" s="50"/>
      <c r="O112" s="24"/>
      <c r="P112" s="24"/>
      <c r="Q112" s="418"/>
      <c r="R112" s="15"/>
      <c r="S112" s="24"/>
      <c r="T112" s="24"/>
      <c r="U112" s="24"/>
      <c r="V112" s="418" t="s">
        <v>53</v>
      </c>
      <c r="W112" s="418" t="s">
        <v>53</v>
      </c>
      <c r="X112" s="24"/>
      <c r="Y112" s="15"/>
      <c r="Z112" s="418" t="s">
        <v>53</v>
      </c>
      <c r="AA112" s="24"/>
      <c r="AB112" s="24"/>
      <c r="AC112" s="24"/>
      <c r="AD112" s="418" t="s">
        <v>53</v>
      </c>
      <c r="AE112" s="14"/>
      <c r="AF112" s="13"/>
      <c r="AG112" s="98"/>
      <c r="AH112" s="14"/>
      <c r="AI112" s="14"/>
    </row>
    <row r="113" spans="1:35" customFormat="1" ht="16.5">
      <c r="A113" s="151" t="s">
        <v>17</v>
      </c>
      <c r="B113" s="329"/>
      <c r="C113" s="50"/>
      <c r="D113" s="201"/>
      <c r="E113" s="195"/>
      <c r="F113" s="195"/>
      <c r="G113" s="33"/>
      <c r="H113" s="50"/>
      <c r="I113" s="24"/>
      <c r="J113" s="24"/>
      <c r="K113" s="88"/>
      <c r="L113" s="50"/>
      <c r="M113" s="50"/>
      <c r="N113" s="50"/>
      <c r="O113" s="24"/>
      <c r="P113" s="24"/>
      <c r="Q113" s="391"/>
      <c r="R113" s="15"/>
      <c r="S113" s="24"/>
      <c r="T113" s="24"/>
      <c r="U113" s="24"/>
      <c r="V113" s="391" t="s">
        <v>1000</v>
      </c>
      <c r="W113" s="391" t="s">
        <v>1000</v>
      </c>
      <c r="X113" s="24"/>
      <c r="Y113" s="15"/>
      <c r="Z113" s="391" t="s">
        <v>1000</v>
      </c>
      <c r="AA113" s="24"/>
      <c r="AB113" s="24"/>
      <c r="AC113" s="24"/>
      <c r="AD113" s="391" t="s">
        <v>1000</v>
      </c>
      <c r="AE113" s="14"/>
      <c r="AF113" s="13"/>
      <c r="AG113" s="98"/>
      <c r="AH113" s="14"/>
      <c r="AI113" s="14"/>
    </row>
    <row r="114" spans="1:35" customFormat="1" ht="15.75">
      <c r="A114" s="152" t="s">
        <v>18</v>
      </c>
      <c r="B114" s="287"/>
      <c r="C114" s="50"/>
      <c r="D114" s="193"/>
      <c r="E114" s="87"/>
      <c r="F114" s="87"/>
      <c r="G114" s="33"/>
      <c r="H114" s="50"/>
      <c r="I114" s="24"/>
      <c r="J114" s="24"/>
      <c r="K114" s="88"/>
      <c r="L114" s="33"/>
      <c r="M114" s="50"/>
      <c r="N114" s="50"/>
      <c r="O114" s="50"/>
      <c r="P114" s="24"/>
      <c r="Q114" s="23"/>
      <c r="R114" s="15"/>
      <c r="S114" s="24"/>
      <c r="T114" s="24"/>
      <c r="U114" s="24"/>
      <c r="V114" s="23"/>
      <c r="W114" s="23"/>
      <c r="X114" s="24"/>
      <c r="Y114" s="15"/>
      <c r="Z114" s="23"/>
      <c r="AA114" s="24"/>
      <c r="AB114" s="24"/>
      <c r="AC114" s="24"/>
      <c r="AD114" s="23"/>
      <c r="AE114" s="14"/>
      <c r="AF114" s="13"/>
      <c r="AG114" s="98"/>
      <c r="AH114" s="14"/>
      <c r="AI114" s="14"/>
    </row>
    <row r="115" spans="1:35" customFormat="1">
      <c r="A115" s="146" t="s">
        <v>20</v>
      </c>
      <c r="B115" s="287"/>
      <c r="C115" s="50"/>
      <c r="D115" s="193"/>
      <c r="E115" s="87"/>
      <c r="F115" s="87"/>
      <c r="G115" s="33"/>
      <c r="H115" s="50"/>
      <c r="I115" s="24"/>
      <c r="J115" s="24"/>
      <c r="K115" s="88"/>
      <c r="L115" s="33"/>
      <c r="M115" s="50"/>
      <c r="N115" s="50"/>
      <c r="O115" s="50"/>
      <c r="P115" s="24"/>
      <c r="Q115" s="24"/>
      <c r="R115" s="15"/>
      <c r="S115" s="24"/>
      <c r="T115" s="24"/>
      <c r="U115" s="24"/>
      <c r="V115" s="24"/>
      <c r="W115" s="24"/>
      <c r="X115" s="24"/>
      <c r="Y115" s="15"/>
      <c r="Z115" s="24" t="s">
        <v>106</v>
      </c>
      <c r="AA115" s="24"/>
      <c r="AB115" s="24"/>
      <c r="AC115" s="24"/>
      <c r="AD115" s="24" t="s">
        <v>107</v>
      </c>
      <c r="AE115" s="14"/>
      <c r="AF115" s="13"/>
      <c r="AG115" s="98"/>
      <c r="AH115" s="14"/>
      <c r="AI115" s="14"/>
    </row>
    <row r="116" spans="1:35" customFormat="1" ht="15.75">
      <c r="A116" s="153" t="s">
        <v>21</v>
      </c>
      <c r="B116" s="293"/>
      <c r="C116" s="50"/>
      <c r="D116" s="51"/>
      <c r="E116" s="418"/>
      <c r="F116" s="418"/>
      <c r="G116" s="33"/>
      <c r="H116" s="50"/>
      <c r="I116" s="24"/>
      <c r="J116" s="24"/>
      <c r="K116" s="88"/>
      <c r="L116" s="33"/>
      <c r="M116" s="50"/>
      <c r="N116" s="50"/>
      <c r="O116" s="50"/>
      <c r="P116" s="24"/>
      <c r="Q116" s="418"/>
      <c r="R116" s="15"/>
      <c r="S116" s="24"/>
      <c r="T116" s="24"/>
      <c r="U116" s="24"/>
      <c r="V116" s="418" t="s">
        <v>80</v>
      </c>
      <c r="W116" s="418" t="s">
        <v>99</v>
      </c>
      <c r="X116" s="24"/>
      <c r="Y116" s="15"/>
      <c r="Z116" s="418" t="s">
        <v>77</v>
      </c>
      <c r="AA116" s="24"/>
      <c r="AB116" s="24"/>
      <c r="AC116" s="24"/>
      <c r="AD116" s="418" t="s">
        <v>913</v>
      </c>
      <c r="AE116" s="14"/>
      <c r="AF116" s="13"/>
      <c r="AG116" s="98"/>
      <c r="AH116" s="14"/>
      <c r="AI116" s="14"/>
    </row>
    <row r="117" spans="1:35" customFormat="1" ht="15.75">
      <c r="A117" s="154" t="s">
        <v>22</v>
      </c>
      <c r="B117" s="287"/>
      <c r="C117" s="50"/>
      <c r="D117" s="51"/>
      <c r="E117" s="418"/>
      <c r="F117" s="418"/>
      <c r="G117" s="33"/>
      <c r="H117" s="50"/>
      <c r="I117" s="24"/>
      <c r="J117" s="24"/>
      <c r="K117" s="88"/>
      <c r="L117" s="33"/>
      <c r="M117" s="50"/>
      <c r="N117" s="50"/>
      <c r="O117" s="50"/>
      <c r="P117" s="24"/>
      <c r="Q117" s="27"/>
      <c r="R117" s="15"/>
      <c r="S117" s="24"/>
      <c r="T117" s="24"/>
      <c r="U117" s="24"/>
      <c r="V117" s="27"/>
      <c r="W117" s="27"/>
      <c r="X117" s="24"/>
      <c r="Y117" s="15"/>
      <c r="Z117" s="27"/>
      <c r="AA117" s="24"/>
      <c r="AB117" s="24"/>
      <c r="AC117" s="24"/>
      <c r="AD117" s="27"/>
      <c r="AE117" s="14"/>
      <c r="AF117" s="13"/>
      <c r="AG117" s="98"/>
      <c r="AH117" s="14"/>
      <c r="AI117" s="14"/>
    </row>
    <row r="118" spans="1:35" customFormat="1" ht="15.75">
      <c r="A118" s="153" t="s">
        <v>23</v>
      </c>
      <c r="B118" s="290"/>
      <c r="C118" s="50"/>
      <c r="D118" s="51"/>
      <c r="E118" s="418"/>
      <c r="F118" s="418"/>
      <c r="G118" s="33"/>
      <c r="H118" s="418"/>
      <c r="I118" s="24"/>
      <c r="J118" s="24"/>
      <c r="K118" s="88"/>
      <c r="L118" s="33"/>
      <c r="M118" s="50"/>
      <c r="N118" s="50"/>
      <c r="O118" s="50"/>
      <c r="P118" s="24"/>
      <c r="Q118" s="418"/>
      <c r="R118" s="15"/>
      <c r="S118" s="24"/>
      <c r="T118" s="24"/>
      <c r="U118" s="24"/>
      <c r="V118" s="418">
        <v>372</v>
      </c>
      <c r="W118" s="418">
        <v>360</v>
      </c>
      <c r="X118" s="24"/>
      <c r="Y118" s="15"/>
      <c r="Z118" s="418">
        <v>360</v>
      </c>
      <c r="AA118" s="24"/>
      <c r="AB118" s="24"/>
      <c r="AC118" s="24"/>
      <c r="AD118" s="418">
        <v>252</v>
      </c>
      <c r="AE118" s="14"/>
      <c r="AF118" s="13"/>
      <c r="AG118" s="98"/>
      <c r="AH118" s="14"/>
      <c r="AI118" s="14"/>
    </row>
    <row r="119" spans="1:35" customFormat="1" ht="12.75" customHeight="1">
      <c r="A119" s="155" t="s">
        <v>24</v>
      </c>
      <c r="B119" s="287"/>
      <c r="C119" s="50"/>
      <c r="D119" s="193"/>
      <c r="E119" s="87"/>
      <c r="F119" s="87"/>
      <c r="G119" s="33"/>
      <c r="H119" s="87"/>
      <c r="I119" s="24"/>
      <c r="J119" s="24"/>
      <c r="K119" s="88"/>
      <c r="L119" s="33"/>
      <c r="M119" s="50"/>
      <c r="N119" s="50"/>
      <c r="O119" s="50"/>
      <c r="P119" s="24"/>
      <c r="Q119" s="24"/>
      <c r="R119" s="15"/>
      <c r="S119" s="24"/>
      <c r="T119" s="24"/>
      <c r="U119" s="24"/>
      <c r="V119" s="24"/>
      <c r="W119" s="24"/>
      <c r="X119" s="24"/>
      <c r="Y119" s="15"/>
      <c r="Z119" s="24"/>
      <c r="AA119" s="24"/>
      <c r="AB119" s="24"/>
      <c r="AC119" s="24"/>
      <c r="AD119" s="24"/>
      <c r="AE119" s="14"/>
      <c r="AF119" s="13"/>
      <c r="AG119" s="98"/>
      <c r="AH119" s="14"/>
      <c r="AI119" s="14"/>
    </row>
    <row r="120" spans="1:35" customFormat="1" ht="15.75">
      <c r="A120" s="128" t="s">
        <v>25</v>
      </c>
      <c r="B120" s="294"/>
      <c r="C120" s="50"/>
      <c r="D120" s="202"/>
      <c r="E120" s="196"/>
      <c r="F120" s="196"/>
      <c r="G120" s="33"/>
      <c r="H120" s="196"/>
      <c r="I120" s="24"/>
      <c r="J120" s="24"/>
      <c r="K120" s="88"/>
      <c r="L120" s="33"/>
      <c r="M120" s="50"/>
      <c r="N120" s="50"/>
      <c r="O120" s="50"/>
      <c r="P120" s="24"/>
      <c r="Q120" s="32"/>
      <c r="R120" s="15"/>
      <c r="S120" s="24"/>
      <c r="T120" s="24"/>
      <c r="U120" s="24"/>
      <c r="V120" s="32">
        <v>43555</v>
      </c>
      <c r="W120" s="32">
        <v>43559</v>
      </c>
      <c r="X120" s="24"/>
      <c r="Y120" s="15"/>
      <c r="Z120" s="32">
        <v>43558</v>
      </c>
      <c r="AA120" s="24"/>
      <c r="AB120" s="24"/>
      <c r="AC120" s="24"/>
      <c r="AD120" s="32">
        <v>43600</v>
      </c>
      <c r="AE120" s="14"/>
      <c r="AF120" s="13"/>
      <c r="AG120" s="98"/>
      <c r="AH120" s="14"/>
      <c r="AI120" s="14"/>
    </row>
    <row r="121" spans="1:35" customFormat="1" ht="15.75" thickBot="1">
      <c r="A121" s="146" t="s">
        <v>27</v>
      </c>
      <c r="B121" s="330"/>
      <c r="C121" s="90"/>
      <c r="D121" s="203"/>
      <c r="E121" s="313"/>
      <c r="F121" s="313"/>
      <c r="G121" s="186"/>
      <c r="H121" s="313"/>
      <c r="I121" s="24"/>
      <c r="J121" s="24"/>
      <c r="K121" s="34"/>
      <c r="L121" s="35"/>
      <c r="M121" s="24"/>
      <c r="N121" s="35"/>
      <c r="O121" s="90"/>
      <c r="P121" s="313"/>
      <c r="Q121" s="313"/>
      <c r="R121" s="34"/>
      <c r="S121" s="24"/>
      <c r="T121" s="313"/>
      <c r="U121" s="24"/>
      <c r="V121" s="31" t="s">
        <v>62</v>
      </c>
      <c r="W121" s="31" t="s">
        <v>29</v>
      </c>
      <c r="X121" s="24"/>
      <c r="Y121" s="34"/>
      <c r="Z121" s="31" t="s">
        <v>31</v>
      </c>
      <c r="AA121" s="24"/>
      <c r="AB121" s="24"/>
      <c r="AC121" s="24"/>
      <c r="AD121" s="31" t="s">
        <v>72</v>
      </c>
      <c r="AE121" s="14"/>
      <c r="AF121" s="13"/>
      <c r="AG121" s="99"/>
      <c r="AH121" s="14"/>
      <c r="AI121" s="14"/>
    </row>
    <row r="122" spans="1:35" customFormat="1" ht="15.75" customHeight="1" thickBot="1">
      <c r="A122" s="216" t="s">
        <v>36</v>
      </c>
      <c r="B122" s="37">
        <f t="shared" ref="B122:AD122" si="5">+B118+B104+B90+B76</f>
        <v>0</v>
      </c>
      <c r="C122" s="37">
        <f t="shared" si="5"/>
        <v>0</v>
      </c>
      <c r="D122" s="37">
        <f t="shared" si="5"/>
        <v>0</v>
      </c>
      <c r="E122" s="37">
        <f t="shared" si="5"/>
        <v>6468</v>
      </c>
      <c r="F122" s="37">
        <f t="shared" si="5"/>
        <v>0</v>
      </c>
      <c r="G122" s="37">
        <f t="shared" si="5"/>
        <v>0</v>
      </c>
      <c r="H122" s="37">
        <f t="shared" si="5"/>
        <v>0</v>
      </c>
      <c r="I122" s="37">
        <f t="shared" si="5"/>
        <v>0</v>
      </c>
      <c r="J122" s="37">
        <f t="shared" si="5"/>
        <v>3036</v>
      </c>
      <c r="K122" s="37">
        <f t="shared" si="5"/>
        <v>0</v>
      </c>
      <c r="L122" s="37">
        <f t="shared" si="5"/>
        <v>0</v>
      </c>
      <c r="M122" s="37">
        <f t="shared" si="5"/>
        <v>3744</v>
      </c>
      <c r="N122" s="37">
        <f t="shared" si="5"/>
        <v>2016</v>
      </c>
      <c r="O122" s="37">
        <f t="shared" si="5"/>
        <v>960</v>
      </c>
      <c r="P122" s="37">
        <f t="shared" si="5"/>
        <v>6168</v>
      </c>
      <c r="Q122" s="37">
        <f t="shared" si="5"/>
        <v>0</v>
      </c>
      <c r="R122" s="37">
        <f t="shared" si="5"/>
        <v>0</v>
      </c>
      <c r="S122" s="37">
        <f t="shared" si="5"/>
        <v>0</v>
      </c>
      <c r="T122" s="37">
        <f t="shared" si="5"/>
        <v>1656</v>
      </c>
      <c r="U122" s="37">
        <f t="shared" si="5"/>
        <v>1068</v>
      </c>
      <c r="V122" s="37">
        <f t="shared" si="5"/>
        <v>1248</v>
      </c>
      <c r="W122" s="37">
        <f t="shared" si="5"/>
        <v>2004</v>
      </c>
      <c r="X122" s="37">
        <f t="shared" si="5"/>
        <v>2076</v>
      </c>
      <c r="Y122" s="37">
        <f t="shared" si="5"/>
        <v>0</v>
      </c>
      <c r="Z122" s="37">
        <f t="shared" si="5"/>
        <v>1356</v>
      </c>
      <c r="AA122" s="37">
        <f t="shared" si="5"/>
        <v>3072</v>
      </c>
      <c r="AB122" s="37">
        <f t="shared" si="5"/>
        <v>4860</v>
      </c>
      <c r="AC122" s="37">
        <f t="shared" si="5"/>
        <v>0</v>
      </c>
      <c r="AD122" s="37">
        <f t="shared" si="5"/>
        <v>1296</v>
      </c>
      <c r="AE122" s="37" t="e">
        <f>+AE118+#REF!+#REF!+#REF!</f>
        <v>#REF!</v>
      </c>
      <c r="AF122" s="37">
        <f>+AF118+AF104+AF90+AF76</f>
        <v>0</v>
      </c>
      <c r="AG122" s="38"/>
      <c r="AH122" s="14"/>
      <c r="AI122" s="14"/>
    </row>
    <row r="123" spans="1:35" customFormat="1" ht="15.75" customHeight="1" thickTop="1" thickBot="1">
      <c r="A123" s="216" t="s">
        <v>37</v>
      </c>
      <c r="B123" s="144">
        <f t="shared" ref="B123:AF123" si="6">+B124*B5</f>
        <v>1280</v>
      </c>
      <c r="C123" s="40">
        <f t="shared" si="6"/>
        <v>1280</v>
      </c>
      <c r="D123" s="39">
        <f t="shared" si="6"/>
        <v>0</v>
      </c>
      <c r="E123" s="40">
        <f t="shared" si="6"/>
        <v>1710</v>
      </c>
      <c r="F123" s="40">
        <f t="shared" si="6"/>
        <v>1520</v>
      </c>
      <c r="G123" s="40">
        <f t="shared" si="6"/>
        <v>1520</v>
      </c>
      <c r="H123" s="40">
        <f t="shared" si="6"/>
        <v>1520</v>
      </c>
      <c r="I123" s="40">
        <f t="shared" si="6"/>
        <v>1520</v>
      </c>
      <c r="J123" s="40">
        <f t="shared" si="6"/>
        <v>1792</v>
      </c>
      <c r="K123" s="39">
        <f t="shared" si="6"/>
        <v>0</v>
      </c>
      <c r="L123" s="40">
        <f t="shared" si="6"/>
        <v>2128</v>
      </c>
      <c r="M123" s="40">
        <f t="shared" si="6"/>
        <v>2128</v>
      </c>
      <c r="N123" s="40">
        <f t="shared" si="6"/>
        <v>2128</v>
      </c>
      <c r="O123" s="40">
        <f t="shared" si="6"/>
        <v>2128</v>
      </c>
      <c r="P123" s="40">
        <f t="shared" si="6"/>
        <v>2128</v>
      </c>
      <c r="Q123" s="40">
        <f t="shared" si="6"/>
        <v>1792</v>
      </c>
      <c r="R123" s="39">
        <f t="shared" si="6"/>
        <v>0</v>
      </c>
      <c r="S123" s="40">
        <f t="shared" si="6"/>
        <v>2128</v>
      </c>
      <c r="T123" s="40">
        <f t="shared" si="6"/>
        <v>2128</v>
      </c>
      <c r="U123" s="40">
        <f t="shared" si="6"/>
        <v>2128</v>
      </c>
      <c r="V123" s="40">
        <f t="shared" si="6"/>
        <v>2128</v>
      </c>
      <c r="W123" s="40">
        <f t="shared" si="6"/>
        <v>2128</v>
      </c>
      <c r="X123" s="40">
        <f t="shared" si="6"/>
        <v>1792</v>
      </c>
      <c r="Y123" s="39">
        <f t="shared" si="6"/>
        <v>0</v>
      </c>
      <c r="Z123" s="40">
        <f t="shared" si="6"/>
        <v>2128</v>
      </c>
      <c r="AA123" s="40">
        <f t="shared" si="6"/>
        <v>2128</v>
      </c>
      <c r="AB123" s="40">
        <f t="shared" si="6"/>
        <v>2128</v>
      </c>
      <c r="AC123" s="40">
        <f t="shared" si="6"/>
        <v>2128</v>
      </c>
      <c r="AD123" s="40">
        <f t="shared" si="6"/>
        <v>2128</v>
      </c>
      <c r="AE123" s="40">
        <f t="shared" si="6"/>
        <v>1792</v>
      </c>
      <c r="AF123" s="39">
        <f t="shared" si="6"/>
        <v>0</v>
      </c>
      <c r="AG123" s="41">
        <f>SUM(B123:AF123)</f>
        <v>49438</v>
      </c>
      <c r="AH123" s="14"/>
      <c r="AI123" s="14"/>
    </row>
    <row r="124" spans="1:35" customFormat="1" ht="15.75" customHeight="1" thickTop="1" thickBot="1">
      <c r="A124" s="216" t="s">
        <v>38</v>
      </c>
      <c r="B124" s="145">
        <v>160</v>
      </c>
      <c r="C124" s="145">
        <v>160</v>
      </c>
      <c r="D124" s="42"/>
      <c r="E124" s="145">
        <v>180</v>
      </c>
      <c r="F124" s="145">
        <v>160</v>
      </c>
      <c r="G124" s="145">
        <v>160</v>
      </c>
      <c r="H124" s="145">
        <v>160</v>
      </c>
      <c r="I124" s="145">
        <v>160</v>
      </c>
      <c r="J124" s="145">
        <v>224</v>
      </c>
      <c r="K124" s="42"/>
      <c r="L124" s="145">
        <v>224</v>
      </c>
      <c r="M124" s="145">
        <v>224</v>
      </c>
      <c r="N124" s="145">
        <v>224</v>
      </c>
      <c r="O124" s="145">
        <v>224</v>
      </c>
      <c r="P124" s="145">
        <v>224</v>
      </c>
      <c r="Q124" s="145">
        <v>224</v>
      </c>
      <c r="R124" s="42"/>
      <c r="S124" s="145">
        <v>224</v>
      </c>
      <c r="T124" s="145">
        <v>224</v>
      </c>
      <c r="U124" s="145">
        <v>224</v>
      </c>
      <c r="V124" s="145">
        <v>224</v>
      </c>
      <c r="W124" s="145">
        <v>224</v>
      </c>
      <c r="X124" s="145">
        <v>224</v>
      </c>
      <c r="Y124" s="42"/>
      <c r="Z124" s="145">
        <v>224</v>
      </c>
      <c r="AA124" s="145">
        <v>224</v>
      </c>
      <c r="AB124" s="145">
        <v>224</v>
      </c>
      <c r="AC124" s="145">
        <v>224</v>
      </c>
      <c r="AD124" s="145">
        <v>224</v>
      </c>
      <c r="AE124" s="145">
        <v>224</v>
      </c>
      <c r="AF124" s="42"/>
      <c r="AG124" s="44"/>
      <c r="AH124" s="14"/>
      <c r="AI124" s="14"/>
    </row>
    <row r="125" spans="1:35" customFormat="1" ht="15.75" customHeight="1" thickTop="1" thickBot="1">
      <c r="A125" s="217">
        <f>+'T02'!AC126</f>
        <v>5048</v>
      </c>
      <c r="B125" s="45">
        <f t="shared" ref="B125:AE125" si="7">IF(A125+B122-B123&lt;0,0,A125+B122-B123)</f>
        <v>3768</v>
      </c>
      <c r="C125" s="40">
        <f t="shared" si="7"/>
        <v>2488</v>
      </c>
      <c r="D125" s="39">
        <f t="shared" si="7"/>
        <v>2488</v>
      </c>
      <c r="E125" s="40">
        <f t="shared" si="7"/>
        <v>7246</v>
      </c>
      <c r="F125" s="40">
        <f t="shared" si="7"/>
        <v>5726</v>
      </c>
      <c r="G125" s="40">
        <f t="shared" si="7"/>
        <v>4206</v>
      </c>
      <c r="H125" s="40">
        <f t="shared" si="7"/>
        <v>2686</v>
      </c>
      <c r="I125" s="40">
        <f t="shared" si="7"/>
        <v>1166</v>
      </c>
      <c r="J125" s="40">
        <f t="shared" si="7"/>
        <v>2410</v>
      </c>
      <c r="K125" s="39">
        <f t="shared" si="7"/>
        <v>2410</v>
      </c>
      <c r="L125" s="40">
        <f t="shared" si="7"/>
        <v>282</v>
      </c>
      <c r="M125" s="40">
        <f t="shared" si="7"/>
        <v>1898</v>
      </c>
      <c r="N125" s="40">
        <f t="shared" si="7"/>
        <v>1786</v>
      </c>
      <c r="O125" s="40">
        <f t="shared" si="7"/>
        <v>618</v>
      </c>
      <c r="P125" s="40">
        <f t="shared" si="7"/>
        <v>4658</v>
      </c>
      <c r="Q125" s="40">
        <f t="shared" si="7"/>
        <v>2866</v>
      </c>
      <c r="R125" s="39">
        <f>IF(Q125+R122-R123&lt;0,0,Q125+R122-R123)</f>
        <v>2866</v>
      </c>
      <c r="S125" s="40">
        <f t="shared" si="7"/>
        <v>738</v>
      </c>
      <c r="T125" s="40">
        <f t="shared" si="7"/>
        <v>266</v>
      </c>
      <c r="U125" s="40">
        <f t="shared" si="7"/>
        <v>0</v>
      </c>
      <c r="V125" s="40">
        <f t="shared" si="7"/>
        <v>0</v>
      </c>
      <c r="W125" s="40">
        <f t="shared" si="7"/>
        <v>0</v>
      </c>
      <c r="X125" s="40">
        <f t="shared" si="7"/>
        <v>284</v>
      </c>
      <c r="Y125" s="39">
        <f t="shared" si="7"/>
        <v>284</v>
      </c>
      <c r="Z125" s="40">
        <f t="shared" si="7"/>
        <v>0</v>
      </c>
      <c r="AA125" s="40">
        <f t="shared" si="7"/>
        <v>944</v>
      </c>
      <c r="AB125" s="40">
        <f t="shared" si="7"/>
        <v>3676</v>
      </c>
      <c r="AC125" s="40">
        <f t="shared" si="7"/>
        <v>1548</v>
      </c>
      <c r="AD125" s="40">
        <f t="shared" si="7"/>
        <v>716</v>
      </c>
      <c r="AE125" s="46" t="e">
        <f t="shared" si="7"/>
        <v>#REF!</v>
      </c>
      <c r="AF125" s="39" t="e">
        <f>IF(AE125+AF122-AF123&lt;0,0,AE125+AF122-AF123)</f>
        <v>#REF!</v>
      </c>
      <c r="AG125" s="47" t="e">
        <f>IF(AE125+AG122-AG123&lt;0,0,AE125+AG122-AG123)</f>
        <v>#REF!</v>
      </c>
      <c r="AH125" s="14"/>
      <c r="AI125" s="14"/>
    </row>
    <row r="126" spans="1:35" customFormat="1" ht="15.75">
      <c r="A126" s="146" t="s">
        <v>10</v>
      </c>
      <c r="B126" s="418" t="s">
        <v>700</v>
      </c>
      <c r="C126" s="418"/>
      <c r="D126" s="51"/>
      <c r="E126" s="418"/>
      <c r="F126" s="418" t="s">
        <v>89</v>
      </c>
      <c r="G126" s="418" t="s">
        <v>89</v>
      </c>
      <c r="H126" s="418" t="s">
        <v>89</v>
      </c>
      <c r="I126" s="24"/>
      <c r="J126" s="24"/>
      <c r="K126" s="206"/>
      <c r="L126" s="24"/>
      <c r="M126" s="24"/>
      <c r="N126" s="24"/>
      <c r="O126" s="24"/>
      <c r="P126" s="418" t="s">
        <v>89</v>
      </c>
      <c r="Q126" s="24"/>
      <c r="R126" s="199"/>
      <c r="S126" s="24"/>
      <c r="T126" s="24"/>
      <c r="U126" s="418" t="s">
        <v>711</v>
      </c>
      <c r="V126" s="418" t="s">
        <v>711</v>
      </c>
      <c r="W126" s="418" t="s">
        <v>711</v>
      </c>
      <c r="X126" s="418" t="s">
        <v>711</v>
      </c>
      <c r="Y126" s="51"/>
      <c r="Z126" s="24"/>
      <c r="AA126" s="418" t="s">
        <v>711</v>
      </c>
      <c r="AB126" s="24"/>
      <c r="AC126" s="24"/>
      <c r="AD126" s="24"/>
      <c r="AE126" s="24"/>
      <c r="AF126" s="15"/>
      <c r="AG126" s="98"/>
      <c r="AH126" s="14"/>
      <c r="AI126" s="14"/>
    </row>
    <row r="127" spans="1:35" customFormat="1" ht="15.75">
      <c r="A127" s="147" t="s">
        <v>11</v>
      </c>
      <c r="B127" s="93" t="s">
        <v>538</v>
      </c>
      <c r="C127" s="93"/>
      <c r="D127" s="52"/>
      <c r="E127" s="93"/>
      <c r="F127" s="93" t="s">
        <v>840</v>
      </c>
      <c r="G127" s="93" t="s">
        <v>842</v>
      </c>
      <c r="H127" s="93" t="s">
        <v>847</v>
      </c>
      <c r="I127" s="24"/>
      <c r="J127" s="24"/>
      <c r="K127" s="88"/>
      <c r="L127" s="24"/>
      <c r="M127" s="24"/>
      <c r="N127" s="24"/>
      <c r="O127" s="24"/>
      <c r="P127" s="93" t="s">
        <v>849</v>
      </c>
      <c r="Q127" s="24"/>
      <c r="R127" s="52"/>
      <c r="S127" s="24"/>
      <c r="T127" s="24"/>
      <c r="U127" s="93" t="s">
        <v>1010</v>
      </c>
      <c r="V127" s="93" t="s">
        <v>830</v>
      </c>
      <c r="W127" s="93" t="s">
        <v>1011</v>
      </c>
      <c r="X127" s="93" t="s">
        <v>831</v>
      </c>
      <c r="Y127" s="52"/>
      <c r="Z127" s="24"/>
      <c r="AA127" s="93" t="s">
        <v>1012</v>
      </c>
      <c r="AB127" s="24"/>
      <c r="AC127" s="24"/>
      <c r="AD127" s="24"/>
      <c r="AE127" s="24"/>
      <c r="AF127" s="13"/>
      <c r="AG127" s="98"/>
      <c r="AH127" s="14"/>
      <c r="AI127" s="14"/>
    </row>
    <row r="128" spans="1:35" customFormat="1" ht="15.75">
      <c r="A128" s="148" t="s">
        <v>12</v>
      </c>
      <c r="B128" s="418"/>
      <c r="C128" s="418"/>
      <c r="D128" s="127"/>
      <c r="E128" s="418"/>
      <c r="F128" s="418"/>
      <c r="G128" s="418"/>
      <c r="H128" s="418"/>
      <c r="I128" s="24"/>
      <c r="J128" s="24"/>
      <c r="K128" s="88"/>
      <c r="L128" s="24"/>
      <c r="M128" s="24"/>
      <c r="N128" s="24"/>
      <c r="O128" s="24"/>
      <c r="P128" s="418"/>
      <c r="Q128" s="24"/>
      <c r="R128" s="127"/>
      <c r="S128" s="24"/>
      <c r="T128" s="24"/>
      <c r="U128" s="418"/>
      <c r="V128" s="418"/>
      <c r="W128" s="418"/>
      <c r="X128" s="418"/>
      <c r="Y128" s="127"/>
      <c r="Z128" s="24"/>
      <c r="AA128" s="418"/>
      <c r="AB128" s="24"/>
      <c r="AC128" s="24"/>
      <c r="AD128" s="24"/>
      <c r="AE128" s="24"/>
      <c r="AF128" s="13"/>
      <c r="AG128" s="98"/>
      <c r="AH128" s="14"/>
      <c r="AI128" s="14"/>
    </row>
    <row r="129" spans="1:35" customFormat="1" ht="15.75">
      <c r="A129" s="149" t="s">
        <v>13</v>
      </c>
      <c r="B129" s="19" t="s">
        <v>1001</v>
      </c>
      <c r="C129" s="19"/>
      <c r="D129" s="53"/>
      <c r="E129" s="19"/>
      <c r="F129" s="19" t="s">
        <v>14</v>
      </c>
      <c r="G129" s="19" t="s">
        <v>14</v>
      </c>
      <c r="H129" s="19" t="s">
        <v>14</v>
      </c>
      <c r="I129" s="24"/>
      <c r="J129" s="24"/>
      <c r="K129" s="88"/>
      <c r="L129" s="24"/>
      <c r="M129" s="24"/>
      <c r="N129" s="24"/>
      <c r="O129" s="24"/>
      <c r="P129" s="19" t="s">
        <v>14</v>
      </c>
      <c r="Q129" s="24"/>
      <c r="R129" s="53"/>
      <c r="S129" s="24"/>
      <c r="T129" s="24"/>
      <c r="U129" s="19" t="s">
        <v>1006</v>
      </c>
      <c r="V129" s="19" t="s">
        <v>1006</v>
      </c>
      <c r="W129" s="19" t="s">
        <v>1006</v>
      </c>
      <c r="X129" s="19" t="s">
        <v>1006</v>
      </c>
      <c r="Y129" s="53"/>
      <c r="Z129" s="24"/>
      <c r="AA129" s="19" t="s">
        <v>1006</v>
      </c>
      <c r="AB129" s="24"/>
      <c r="AC129" s="24"/>
      <c r="AD129" s="24"/>
      <c r="AE129" s="24"/>
      <c r="AF129" s="13"/>
      <c r="AG129" s="98"/>
      <c r="AH129" s="14"/>
      <c r="AI129" s="14"/>
    </row>
    <row r="130" spans="1:35" customFormat="1" ht="15.75">
      <c r="A130" s="150" t="s">
        <v>15</v>
      </c>
      <c r="B130" s="418" t="s">
        <v>65</v>
      </c>
      <c r="C130" s="418"/>
      <c r="D130" s="51"/>
      <c r="E130" s="418"/>
      <c r="F130" s="418" t="s">
        <v>16</v>
      </c>
      <c r="G130" s="418" t="s">
        <v>16</v>
      </c>
      <c r="H130" s="418" t="s">
        <v>16</v>
      </c>
      <c r="I130" s="24"/>
      <c r="J130" s="24"/>
      <c r="K130" s="88"/>
      <c r="L130" s="24"/>
      <c r="M130" s="24"/>
      <c r="N130" s="24"/>
      <c r="O130" s="24"/>
      <c r="P130" s="418" t="s">
        <v>16</v>
      </c>
      <c r="Q130" s="24"/>
      <c r="R130" s="51"/>
      <c r="S130" s="24"/>
      <c r="T130" s="24"/>
      <c r="U130" s="418" t="s">
        <v>16</v>
      </c>
      <c r="V130" s="418" t="s">
        <v>16</v>
      </c>
      <c r="W130" s="418" t="s">
        <v>16</v>
      </c>
      <c r="X130" s="418" t="s">
        <v>16</v>
      </c>
      <c r="Y130" s="51"/>
      <c r="Z130" s="24"/>
      <c r="AA130" s="418" t="s">
        <v>16</v>
      </c>
      <c r="AB130" s="24"/>
      <c r="AC130" s="24"/>
      <c r="AD130" s="24"/>
      <c r="AE130" s="24"/>
      <c r="AF130" s="13"/>
      <c r="AG130" s="98"/>
      <c r="AH130" s="14"/>
      <c r="AI130" s="14"/>
    </row>
    <row r="131" spans="1:35" customFormat="1" ht="15.75">
      <c r="A131" s="151" t="s">
        <v>17</v>
      </c>
      <c r="B131" s="391" t="s">
        <v>1000</v>
      </c>
      <c r="C131" s="391"/>
      <c r="D131" s="110"/>
      <c r="E131" s="391"/>
      <c r="F131" s="391" t="s">
        <v>1000</v>
      </c>
      <c r="G131" s="391" t="s">
        <v>1000</v>
      </c>
      <c r="H131" s="391" t="s">
        <v>1000</v>
      </c>
      <c r="I131" s="24"/>
      <c r="J131" s="24"/>
      <c r="K131" s="88"/>
      <c r="L131" s="24"/>
      <c r="M131" s="24"/>
      <c r="N131" s="24"/>
      <c r="O131" s="24"/>
      <c r="P131" s="391" t="s">
        <v>1000</v>
      </c>
      <c r="Q131" s="24"/>
      <c r="R131" s="110"/>
      <c r="S131" s="24"/>
      <c r="T131" s="24"/>
      <c r="U131" s="391" t="s">
        <v>1000</v>
      </c>
      <c r="V131" s="391" t="s">
        <v>1000</v>
      </c>
      <c r="W131" s="391" t="s">
        <v>1000</v>
      </c>
      <c r="X131" s="391" t="s">
        <v>1000</v>
      </c>
      <c r="Y131" s="110"/>
      <c r="Z131" s="24"/>
      <c r="AA131" s="391" t="s">
        <v>1000</v>
      </c>
      <c r="AB131" s="24"/>
      <c r="AC131" s="24"/>
      <c r="AD131" s="24"/>
      <c r="AE131" s="24"/>
      <c r="AF131" s="13"/>
      <c r="AG131" s="98"/>
      <c r="AH131" s="14"/>
      <c r="AI131" s="14"/>
    </row>
    <row r="132" spans="1:35" customFormat="1" ht="15.75">
      <c r="A132" s="152" t="s">
        <v>18</v>
      </c>
      <c r="B132" s="23"/>
      <c r="C132" s="23"/>
      <c r="D132" s="54"/>
      <c r="E132" s="23"/>
      <c r="F132" s="23"/>
      <c r="G132" s="23"/>
      <c r="H132" s="23"/>
      <c r="I132" s="24"/>
      <c r="J132" s="24"/>
      <c r="K132" s="88"/>
      <c r="L132" s="24"/>
      <c r="M132" s="24"/>
      <c r="N132" s="24"/>
      <c r="O132" s="24"/>
      <c r="P132" s="23"/>
      <c r="Q132" s="24"/>
      <c r="R132" s="54"/>
      <c r="S132" s="24"/>
      <c r="T132" s="24"/>
      <c r="U132" s="23"/>
      <c r="V132" s="23"/>
      <c r="W132" s="23"/>
      <c r="X132" s="23"/>
      <c r="Y132" s="54"/>
      <c r="Z132" s="24"/>
      <c r="AA132" s="23"/>
      <c r="AB132" s="24"/>
      <c r="AC132" s="24"/>
      <c r="AD132" s="24"/>
      <c r="AE132" s="24"/>
      <c r="AF132" s="13"/>
      <c r="AG132" s="98"/>
      <c r="AH132" s="14"/>
      <c r="AI132" s="14"/>
    </row>
    <row r="133" spans="1:35" customFormat="1">
      <c r="A133" s="146" t="s">
        <v>20</v>
      </c>
      <c r="B133" s="24"/>
      <c r="C133" s="50"/>
      <c r="D133" s="193"/>
      <c r="E133" s="24"/>
      <c r="F133" s="24"/>
      <c r="G133" s="24"/>
      <c r="H133" s="24"/>
      <c r="I133" s="24"/>
      <c r="J133" s="24"/>
      <c r="K133" s="88"/>
      <c r="L133" s="24"/>
      <c r="M133" s="24"/>
      <c r="N133" s="24"/>
      <c r="O133" s="24"/>
      <c r="P133" s="24"/>
      <c r="Q133" s="24"/>
      <c r="R133" s="193"/>
      <c r="S133" s="24"/>
      <c r="T133" s="24"/>
      <c r="U133" s="24"/>
      <c r="V133" s="24"/>
      <c r="W133" s="24"/>
      <c r="X133" s="24"/>
      <c r="Y133" s="193"/>
      <c r="Z133" s="24"/>
      <c r="AA133" s="24"/>
      <c r="AB133" s="24"/>
      <c r="AC133" s="24"/>
      <c r="AD133" s="24"/>
      <c r="AE133" s="24"/>
      <c r="AF133" s="13"/>
      <c r="AG133" s="98"/>
      <c r="AH133" s="14"/>
      <c r="AI133" s="14"/>
    </row>
    <row r="134" spans="1:35" customFormat="1" ht="15.75">
      <c r="A134" s="153" t="s">
        <v>21</v>
      </c>
      <c r="B134" s="418" t="s">
        <v>533</v>
      </c>
      <c r="C134" s="418"/>
      <c r="D134" s="56"/>
      <c r="E134" s="418"/>
      <c r="F134" s="418" t="s">
        <v>88</v>
      </c>
      <c r="G134" s="418" t="s">
        <v>88</v>
      </c>
      <c r="H134" s="418" t="s">
        <v>88</v>
      </c>
      <c r="I134" s="24"/>
      <c r="J134" s="24"/>
      <c r="K134" s="88"/>
      <c r="L134" s="24"/>
      <c r="M134" s="24"/>
      <c r="N134" s="24"/>
      <c r="O134" s="24"/>
      <c r="P134" s="418" t="s">
        <v>90</v>
      </c>
      <c r="Q134" s="24"/>
      <c r="R134" s="56"/>
      <c r="S134" s="24"/>
      <c r="T134" s="24"/>
      <c r="U134" s="418" t="s">
        <v>659</v>
      </c>
      <c r="V134" s="418" t="s">
        <v>659</v>
      </c>
      <c r="W134" s="418" t="s">
        <v>659</v>
      </c>
      <c r="X134" s="418" t="s">
        <v>659</v>
      </c>
      <c r="Y134" s="56"/>
      <c r="Z134" s="24"/>
      <c r="AA134" s="418" t="s">
        <v>659</v>
      </c>
      <c r="AB134" s="24"/>
      <c r="AC134" s="24"/>
      <c r="AD134" s="24"/>
      <c r="AE134" s="24"/>
      <c r="AF134" s="13"/>
      <c r="AG134" s="98"/>
      <c r="AH134" s="14"/>
      <c r="AI134" s="14"/>
    </row>
    <row r="135" spans="1:35" customFormat="1">
      <c r="A135" s="154" t="s">
        <v>22</v>
      </c>
      <c r="B135" s="27"/>
      <c r="C135" s="27"/>
      <c r="D135" s="57"/>
      <c r="E135" s="27"/>
      <c r="F135" s="27"/>
      <c r="G135" s="27"/>
      <c r="H135" s="27"/>
      <c r="I135" s="24"/>
      <c r="J135" s="24"/>
      <c r="K135" s="88"/>
      <c r="L135" s="24"/>
      <c r="M135" s="24"/>
      <c r="N135" s="24"/>
      <c r="O135" s="24"/>
      <c r="P135" s="27"/>
      <c r="Q135" s="24"/>
      <c r="R135" s="57"/>
      <c r="S135" s="24"/>
      <c r="T135" s="24"/>
      <c r="U135" s="27"/>
      <c r="V135" s="27"/>
      <c r="W135" s="27"/>
      <c r="X135" s="27"/>
      <c r="Y135" s="57"/>
      <c r="Z135" s="24"/>
      <c r="AA135" s="27"/>
      <c r="AB135" s="24"/>
      <c r="AC135" s="24"/>
      <c r="AD135" s="24"/>
      <c r="AE135" s="24"/>
      <c r="AF135" s="13"/>
      <c r="AG135" s="98"/>
      <c r="AH135" s="14"/>
      <c r="AI135" s="14"/>
    </row>
    <row r="136" spans="1:35" customFormat="1" ht="15.75">
      <c r="A136" s="153" t="s">
        <v>23</v>
      </c>
      <c r="B136" s="418">
        <v>4495</v>
      </c>
      <c r="C136" s="418"/>
      <c r="D136" s="51"/>
      <c r="E136" s="418"/>
      <c r="F136" s="418">
        <v>360</v>
      </c>
      <c r="G136" s="418">
        <v>288</v>
      </c>
      <c r="H136" s="418">
        <v>240</v>
      </c>
      <c r="I136" s="24"/>
      <c r="J136" s="24"/>
      <c r="K136" s="88"/>
      <c r="L136" s="24"/>
      <c r="M136" s="24"/>
      <c r="N136" s="24"/>
      <c r="O136" s="24"/>
      <c r="P136" s="418">
        <v>252</v>
      </c>
      <c r="Q136" s="24"/>
      <c r="R136" s="51"/>
      <c r="S136" s="24"/>
      <c r="T136" s="24"/>
      <c r="U136" s="418">
        <v>600</v>
      </c>
      <c r="V136" s="418">
        <v>1500</v>
      </c>
      <c r="W136" s="418">
        <v>2160</v>
      </c>
      <c r="X136" s="418">
        <v>2640</v>
      </c>
      <c r="Y136" s="51"/>
      <c r="Z136" s="24"/>
      <c r="AA136" s="418">
        <v>10092</v>
      </c>
      <c r="AB136" s="24"/>
      <c r="AC136" s="24"/>
      <c r="AD136" s="24"/>
      <c r="AE136" s="24"/>
      <c r="AF136" s="13"/>
      <c r="AG136" s="98"/>
      <c r="AH136" s="14"/>
      <c r="AI136" s="14"/>
    </row>
    <row r="137" spans="1:35" customFormat="1" ht="12.75" customHeight="1">
      <c r="A137" s="155" t="s">
        <v>24</v>
      </c>
      <c r="B137" s="24"/>
      <c r="C137" s="50"/>
      <c r="D137" s="111"/>
      <c r="E137" s="24"/>
      <c r="F137" s="24"/>
      <c r="G137" s="24"/>
      <c r="H137" s="24"/>
      <c r="I137" s="24"/>
      <c r="J137" s="24"/>
      <c r="K137" s="88"/>
      <c r="L137" s="24"/>
      <c r="M137" s="24"/>
      <c r="N137" s="24"/>
      <c r="O137" s="24"/>
      <c r="P137" s="24"/>
      <c r="Q137" s="24"/>
      <c r="R137" s="111"/>
      <c r="S137" s="24"/>
      <c r="T137" s="24"/>
      <c r="U137" s="24"/>
      <c r="V137" s="24"/>
      <c r="W137" s="24"/>
      <c r="X137" s="24"/>
      <c r="Y137" s="111"/>
      <c r="Z137" s="24"/>
      <c r="AA137" s="24"/>
      <c r="AB137" s="24"/>
      <c r="AC137" s="24"/>
      <c r="AD137" s="24"/>
      <c r="AE137" s="24"/>
      <c r="AF137" s="13"/>
      <c r="AG137" s="98"/>
      <c r="AH137" s="14"/>
      <c r="AI137" s="14"/>
    </row>
    <row r="138" spans="1:35" customFormat="1" ht="15.75">
      <c r="A138" s="128" t="s">
        <v>25</v>
      </c>
      <c r="B138" s="32">
        <v>43532</v>
      </c>
      <c r="C138" s="32"/>
      <c r="D138" s="202"/>
      <c r="E138" s="32"/>
      <c r="F138" s="32">
        <v>43576</v>
      </c>
      <c r="G138" s="32">
        <v>43581</v>
      </c>
      <c r="H138" s="32">
        <v>43600</v>
      </c>
      <c r="I138" s="24"/>
      <c r="J138" s="24"/>
      <c r="K138" s="88"/>
      <c r="L138" s="24"/>
      <c r="M138" s="24"/>
      <c r="N138" s="24"/>
      <c r="O138" s="24"/>
      <c r="P138" s="32">
        <v>43578</v>
      </c>
      <c r="Q138" s="24"/>
      <c r="R138" s="202"/>
      <c r="S138" s="24"/>
      <c r="T138" s="24"/>
      <c r="U138" s="32">
        <v>43559</v>
      </c>
      <c r="V138" s="32">
        <v>43559</v>
      </c>
      <c r="W138" s="32">
        <v>43559</v>
      </c>
      <c r="X138" s="32">
        <v>43559</v>
      </c>
      <c r="Y138" s="202"/>
      <c r="Z138" s="24"/>
      <c r="AA138" s="32">
        <v>43593</v>
      </c>
      <c r="AB138" s="24"/>
      <c r="AC138" s="24"/>
      <c r="AD138" s="24"/>
      <c r="AE138" s="24"/>
      <c r="AF138" s="13"/>
      <c r="AG138" s="98"/>
      <c r="AH138" s="14"/>
      <c r="AI138" s="14"/>
    </row>
    <row r="139" spans="1:35" customFormat="1">
      <c r="A139" s="146" t="s">
        <v>27</v>
      </c>
      <c r="B139" s="31" t="s">
        <v>33</v>
      </c>
      <c r="C139" s="31"/>
      <c r="D139" s="193"/>
      <c r="E139" s="24"/>
      <c r="F139" s="31" t="s">
        <v>29</v>
      </c>
      <c r="G139" s="31" t="s">
        <v>28</v>
      </c>
      <c r="H139" s="31" t="s">
        <v>48</v>
      </c>
      <c r="I139" s="24"/>
      <c r="J139" s="24"/>
      <c r="K139" s="88"/>
      <c r="L139" s="24"/>
      <c r="M139" s="24"/>
      <c r="N139" s="24"/>
      <c r="O139" s="24"/>
      <c r="P139" s="31" t="s">
        <v>29</v>
      </c>
      <c r="Q139" s="24"/>
      <c r="R139" s="193"/>
      <c r="S139" s="24"/>
      <c r="T139" s="24"/>
      <c r="U139" s="31" t="s">
        <v>29</v>
      </c>
      <c r="V139" s="31" t="s">
        <v>29</v>
      </c>
      <c r="W139" s="31" t="s">
        <v>29</v>
      </c>
      <c r="X139" s="31" t="s">
        <v>29</v>
      </c>
      <c r="Y139" s="193"/>
      <c r="Z139" s="24"/>
      <c r="AA139" s="31" t="s">
        <v>28</v>
      </c>
      <c r="AB139" s="24"/>
      <c r="AC139" s="24"/>
      <c r="AD139" s="24"/>
      <c r="AE139" s="24"/>
      <c r="AF139" s="13"/>
      <c r="AG139" s="98"/>
      <c r="AH139" s="14"/>
      <c r="AI139" s="14"/>
    </row>
    <row r="140" spans="1:35" customFormat="1" ht="15.75">
      <c r="A140" s="146" t="s">
        <v>10</v>
      </c>
      <c r="B140" s="24"/>
      <c r="C140" s="418"/>
      <c r="D140" s="51"/>
      <c r="E140" s="418"/>
      <c r="F140" s="418" t="s">
        <v>89</v>
      </c>
      <c r="G140" s="418" t="s">
        <v>89</v>
      </c>
      <c r="H140" s="418" t="s">
        <v>89</v>
      </c>
      <c r="I140" s="24"/>
      <c r="J140" s="24"/>
      <c r="K140" s="88"/>
      <c r="L140" s="418"/>
      <c r="M140" s="24"/>
      <c r="N140" s="24"/>
      <c r="O140" s="24"/>
      <c r="P140" s="418" t="s">
        <v>89</v>
      </c>
      <c r="Q140" s="24"/>
      <c r="R140" s="51"/>
      <c r="S140" s="24"/>
      <c r="T140" s="24"/>
      <c r="U140" s="24"/>
      <c r="V140" s="24"/>
      <c r="W140" s="24"/>
      <c r="X140" s="24"/>
      <c r="Y140" s="88"/>
      <c r="Z140" s="24"/>
      <c r="AA140" s="24"/>
      <c r="AB140" s="24"/>
      <c r="AC140" s="24"/>
      <c r="AD140" s="24"/>
      <c r="AE140" s="24"/>
      <c r="AF140" s="13"/>
      <c r="AG140" s="98"/>
      <c r="AH140" s="14"/>
      <c r="AI140" s="14"/>
    </row>
    <row r="141" spans="1:35" customFormat="1" ht="15.75">
      <c r="A141" s="147" t="s">
        <v>11</v>
      </c>
      <c r="B141" s="24"/>
      <c r="C141" s="93"/>
      <c r="D141" s="52"/>
      <c r="E141" s="93"/>
      <c r="F141" s="93" t="s">
        <v>839</v>
      </c>
      <c r="G141" s="93" t="s">
        <v>848</v>
      </c>
      <c r="H141" s="93" t="s">
        <v>1009</v>
      </c>
      <c r="I141" s="24"/>
      <c r="J141" s="24"/>
      <c r="K141" s="88"/>
      <c r="L141" s="93"/>
      <c r="M141" s="24"/>
      <c r="N141" s="24"/>
      <c r="O141" s="24"/>
      <c r="P141" s="93" t="s">
        <v>844</v>
      </c>
      <c r="Q141" s="24"/>
      <c r="R141" s="52"/>
      <c r="S141" s="93"/>
      <c r="T141" s="24"/>
      <c r="U141" s="24"/>
      <c r="V141" s="24"/>
      <c r="W141" s="24"/>
      <c r="X141" s="24"/>
      <c r="Y141" s="88"/>
      <c r="Z141" s="24"/>
      <c r="AA141" s="24"/>
      <c r="AB141" s="24"/>
      <c r="AC141" s="24"/>
      <c r="AD141" s="24"/>
      <c r="AE141" s="24"/>
      <c r="AF141" s="13"/>
      <c r="AG141" s="98"/>
      <c r="AH141" s="14"/>
      <c r="AI141" s="14"/>
    </row>
    <row r="142" spans="1:35" customFormat="1" ht="15.75">
      <c r="A142" s="148" t="s">
        <v>12</v>
      </c>
      <c r="B142" s="24"/>
      <c r="C142" s="418"/>
      <c r="D142" s="127"/>
      <c r="E142" s="418"/>
      <c r="F142" s="418"/>
      <c r="G142" s="418"/>
      <c r="H142" s="418"/>
      <c r="I142" s="24"/>
      <c r="J142" s="24"/>
      <c r="K142" s="88"/>
      <c r="L142" s="418"/>
      <c r="M142" s="24"/>
      <c r="N142" s="24"/>
      <c r="O142" s="24"/>
      <c r="P142" s="418"/>
      <c r="Q142" s="24"/>
      <c r="R142" s="127"/>
      <c r="S142" s="418"/>
      <c r="T142" s="24"/>
      <c r="U142" s="24"/>
      <c r="V142" s="24"/>
      <c r="W142" s="24"/>
      <c r="X142" s="24"/>
      <c r="Y142" s="88"/>
      <c r="Z142" s="24"/>
      <c r="AA142" s="24"/>
      <c r="AB142" s="24"/>
      <c r="AC142" s="24"/>
      <c r="AD142" s="24"/>
      <c r="AE142" s="24"/>
      <c r="AF142" s="13"/>
      <c r="AG142" s="98"/>
      <c r="AH142" s="14"/>
      <c r="AI142" s="14"/>
    </row>
    <row r="143" spans="1:35" customFormat="1" ht="15.75">
      <c r="A143" s="149" t="s">
        <v>13</v>
      </c>
      <c r="B143" s="24"/>
      <c r="C143" s="19"/>
      <c r="D143" s="53"/>
      <c r="E143" s="19"/>
      <c r="F143" s="19" t="s">
        <v>14</v>
      </c>
      <c r="G143" s="19" t="s">
        <v>14</v>
      </c>
      <c r="H143" s="19" t="s">
        <v>14</v>
      </c>
      <c r="I143" s="24"/>
      <c r="J143" s="24"/>
      <c r="K143" s="88"/>
      <c r="L143" s="19"/>
      <c r="M143" s="24"/>
      <c r="N143" s="24"/>
      <c r="O143" s="24"/>
      <c r="P143" s="19" t="s">
        <v>14</v>
      </c>
      <c r="Q143" s="24"/>
      <c r="R143" s="53"/>
      <c r="S143" s="19"/>
      <c r="T143" s="24"/>
      <c r="U143" s="24"/>
      <c r="V143" s="24"/>
      <c r="W143" s="24"/>
      <c r="X143" s="24"/>
      <c r="Y143" s="88"/>
      <c r="Z143" s="24"/>
      <c r="AA143" s="24"/>
      <c r="AB143" s="24"/>
      <c r="AC143" s="24"/>
      <c r="AD143" s="24"/>
      <c r="AE143" s="24"/>
      <c r="AF143" s="13"/>
      <c r="AG143" s="98"/>
      <c r="AH143" s="14"/>
      <c r="AI143" s="14"/>
    </row>
    <row r="144" spans="1:35" customFormat="1" ht="15.75">
      <c r="A144" s="150" t="s">
        <v>15</v>
      </c>
      <c r="B144" s="24"/>
      <c r="C144" s="418"/>
      <c r="D144" s="51"/>
      <c r="E144" s="418"/>
      <c r="F144" s="418" t="s">
        <v>16</v>
      </c>
      <c r="G144" s="418" t="s">
        <v>16</v>
      </c>
      <c r="H144" s="418" t="s">
        <v>16</v>
      </c>
      <c r="I144" s="24"/>
      <c r="J144" s="24"/>
      <c r="K144" s="88"/>
      <c r="L144" s="418"/>
      <c r="M144" s="24"/>
      <c r="N144" s="24"/>
      <c r="O144" s="24"/>
      <c r="P144" s="418" t="s">
        <v>16</v>
      </c>
      <c r="Q144" s="24"/>
      <c r="R144" s="51"/>
      <c r="S144" s="418"/>
      <c r="T144" s="24"/>
      <c r="U144" s="24"/>
      <c r="V144" s="24"/>
      <c r="W144" s="24"/>
      <c r="X144" s="24"/>
      <c r="Y144" s="88"/>
      <c r="Z144" s="24"/>
      <c r="AA144" s="24"/>
      <c r="AB144" s="24"/>
      <c r="AC144" s="24"/>
      <c r="AD144" s="24"/>
      <c r="AE144" s="24"/>
      <c r="AF144" s="13"/>
      <c r="AG144" s="98"/>
      <c r="AH144" s="14"/>
      <c r="AI144" s="14"/>
    </row>
    <row r="145" spans="1:35" customFormat="1" ht="15.75">
      <c r="A145" s="151" t="s">
        <v>17</v>
      </c>
      <c r="B145" s="24"/>
      <c r="C145" s="391"/>
      <c r="D145" s="110"/>
      <c r="E145" s="391"/>
      <c r="F145" s="391" t="s">
        <v>1000</v>
      </c>
      <c r="G145" s="391" t="s">
        <v>1000</v>
      </c>
      <c r="H145" s="391" t="s">
        <v>1000</v>
      </c>
      <c r="I145" s="24"/>
      <c r="J145" s="24"/>
      <c r="K145" s="88"/>
      <c r="L145" s="391"/>
      <c r="M145" s="24"/>
      <c r="N145" s="24"/>
      <c r="O145" s="24"/>
      <c r="P145" s="391" t="s">
        <v>1000</v>
      </c>
      <c r="Q145" s="24"/>
      <c r="R145" s="110"/>
      <c r="S145" s="391"/>
      <c r="T145" s="24"/>
      <c r="U145" s="24"/>
      <c r="V145" s="24"/>
      <c r="W145" s="24"/>
      <c r="X145" s="24"/>
      <c r="Y145" s="88"/>
      <c r="Z145" s="24"/>
      <c r="AA145" s="24"/>
      <c r="AB145" s="24"/>
      <c r="AC145" s="24"/>
      <c r="AD145" s="24"/>
      <c r="AE145" s="24"/>
      <c r="AF145" s="13"/>
      <c r="AG145" s="98"/>
      <c r="AH145" s="14"/>
      <c r="AI145" s="14"/>
    </row>
    <row r="146" spans="1:35" customFormat="1" ht="15.75">
      <c r="A146" s="152" t="s">
        <v>18</v>
      </c>
      <c r="B146" s="24"/>
      <c r="C146" s="23"/>
      <c r="D146" s="54"/>
      <c r="E146" s="23"/>
      <c r="F146" s="23"/>
      <c r="G146" s="23"/>
      <c r="H146" s="23"/>
      <c r="I146" s="24"/>
      <c r="J146" s="24"/>
      <c r="K146" s="88"/>
      <c r="L146" s="23"/>
      <c r="M146" s="24"/>
      <c r="N146" s="24"/>
      <c r="O146" s="24"/>
      <c r="P146" s="23"/>
      <c r="Q146" s="24"/>
      <c r="R146" s="54"/>
      <c r="S146" s="23"/>
      <c r="T146" s="24"/>
      <c r="U146" s="24"/>
      <c r="V146" s="24"/>
      <c r="W146" s="24"/>
      <c r="X146" s="24"/>
      <c r="Y146" s="88"/>
      <c r="Z146" s="24"/>
      <c r="AA146" s="24"/>
      <c r="AB146" s="24"/>
      <c r="AC146" s="24"/>
      <c r="AD146" s="24"/>
      <c r="AE146" s="24"/>
      <c r="AF146" s="13"/>
      <c r="AG146" s="98"/>
      <c r="AH146" s="14"/>
      <c r="AI146" s="14"/>
    </row>
    <row r="147" spans="1:35" customFormat="1">
      <c r="A147" s="146" t="s">
        <v>20</v>
      </c>
      <c r="B147" s="24"/>
      <c r="C147" s="50"/>
      <c r="D147" s="193"/>
      <c r="E147" s="24"/>
      <c r="F147" s="24"/>
      <c r="G147" s="24"/>
      <c r="H147" s="24"/>
      <c r="I147" s="24"/>
      <c r="J147" s="24"/>
      <c r="K147" s="88"/>
      <c r="L147" s="24"/>
      <c r="M147" s="24"/>
      <c r="N147" s="24"/>
      <c r="O147" s="24"/>
      <c r="P147" s="24"/>
      <c r="Q147" s="24"/>
      <c r="R147" s="193"/>
      <c r="S147" s="24"/>
      <c r="T147" s="24"/>
      <c r="U147" s="24"/>
      <c r="V147" s="24"/>
      <c r="W147" s="24"/>
      <c r="X147" s="24"/>
      <c r="Y147" s="88"/>
      <c r="Z147" s="24"/>
      <c r="AA147" s="24"/>
      <c r="AB147" s="24"/>
      <c r="AC147" s="24"/>
      <c r="AD147" s="24"/>
      <c r="AE147" s="24"/>
      <c r="AF147" s="13"/>
      <c r="AG147" s="98"/>
      <c r="AH147" s="14"/>
      <c r="AI147" s="14"/>
    </row>
    <row r="148" spans="1:35" customFormat="1" ht="15.75">
      <c r="A148" s="153" t="s">
        <v>21</v>
      </c>
      <c r="B148" s="24"/>
      <c r="C148" s="418"/>
      <c r="D148" s="56"/>
      <c r="E148" s="418"/>
      <c r="F148" s="418" t="s">
        <v>88</v>
      </c>
      <c r="G148" s="418" t="s">
        <v>88</v>
      </c>
      <c r="H148" s="418" t="s">
        <v>88</v>
      </c>
      <c r="I148" s="24"/>
      <c r="J148" s="24"/>
      <c r="K148" s="88"/>
      <c r="L148" s="418"/>
      <c r="M148" s="24"/>
      <c r="N148" s="24"/>
      <c r="O148" s="24"/>
      <c r="P148" s="418" t="s">
        <v>90</v>
      </c>
      <c r="Q148" s="24"/>
      <c r="R148" s="56"/>
      <c r="S148" s="418"/>
      <c r="T148" s="24"/>
      <c r="U148" s="24"/>
      <c r="V148" s="24"/>
      <c r="W148" s="24"/>
      <c r="X148" s="24"/>
      <c r="Y148" s="88"/>
      <c r="Z148" s="24"/>
      <c r="AA148" s="24"/>
      <c r="AB148" s="24"/>
      <c r="AC148" s="24"/>
      <c r="AD148" s="24"/>
      <c r="AE148" s="24"/>
      <c r="AF148" s="13"/>
      <c r="AG148" s="98"/>
      <c r="AH148" s="14"/>
      <c r="AI148" s="14"/>
    </row>
    <row r="149" spans="1:35" customFormat="1">
      <c r="A149" s="154" t="s">
        <v>22</v>
      </c>
      <c r="B149" s="24"/>
      <c r="C149" s="27"/>
      <c r="D149" s="57"/>
      <c r="E149" s="27"/>
      <c r="F149" s="27"/>
      <c r="G149" s="27"/>
      <c r="H149" s="27"/>
      <c r="I149" s="24"/>
      <c r="J149" s="24"/>
      <c r="K149" s="88"/>
      <c r="L149" s="27"/>
      <c r="M149" s="24"/>
      <c r="N149" s="24"/>
      <c r="O149" s="24"/>
      <c r="P149" s="27"/>
      <c r="Q149" s="24"/>
      <c r="R149" s="57"/>
      <c r="S149" s="27"/>
      <c r="T149" s="24"/>
      <c r="U149" s="24"/>
      <c r="V149" s="24"/>
      <c r="W149" s="24"/>
      <c r="X149" s="24"/>
      <c r="Y149" s="88"/>
      <c r="Z149" s="24"/>
      <c r="AA149" s="24"/>
      <c r="AB149" s="24"/>
      <c r="AC149" s="24"/>
      <c r="AD149" s="24"/>
      <c r="AE149" s="24"/>
      <c r="AF149" s="13"/>
      <c r="AG149" s="98"/>
      <c r="AH149" s="14"/>
      <c r="AI149" s="14"/>
    </row>
    <row r="150" spans="1:35" customFormat="1" ht="15.75">
      <c r="A150" s="153" t="s">
        <v>23</v>
      </c>
      <c r="B150" s="24"/>
      <c r="C150" s="418"/>
      <c r="D150" s="51"/>
      <c r="E150" s="418"/>
      <c r="F150" s="418">
        <v>576</v>
      </c>
      <c r="G150" s="418">
        <v>540</v>
      </c>
      <c r="H150" s="418">
        <v>756</v>
      </c>
      <c r="I150" s="24"/>
      <c r="J150" s="24"/>
      <c r="K150" s="88"/>
      <c r="L150" s="418"/>
      <c r="M150" s="24"/>
      <c r="N150" s="24"/>
      <c r="O150" s="24"/>
      <c r="P150" s="418">
        <v>288</v>
      </c>
      <c r="Q150" s="24"/>
      <c r="R150" s="51"/>
      <c r="S150" s="418"/>
      <c r="T150" s="24"/>
      <c r="U150" s="24"/>
      <c r="V150" s="24"/>
      <c r="W150" s="24"/>
      <c r="X150" s="24"/>
      <c r="Y150" s="88"/>
      <c r="Z150" s="24"/>
      <c r="AA150" s="24"/>
      <c r="AB150" s="24"/>
      <c r="AC150" s="24"/>
      <c r="AD150" s="24"/>
      <c r="AE150" s="24"/>
      <c r="AF150" s="13"/>
      <c r="AG150" s="98"/>
      <c r="AH150" s="14"/>
      <c r="AI150" s="14"/>
    </row>
    <row r="151" spans="1:35" customFormat="1" ht="14.25" customHeight="1">
      <c r="A151" s="155" t="s">
        <v>24</v>
      </c>
      <c r="B151" s="24"/>
      <c r="C151" s="50"/>
      <c r="D151" s="111"/>
      <c r="E151" s="24"/>
      <c r="F151" s="24"/>
      <c r="G151" s="24"/>
      <c r="H151" s="24"/>
      <c r="I151" s="24"/>
      <c r="J151" s="24"/>
      <c r="K151" s="88"/>
      <c r="L151" s="24"/>
      <c r="M151" s="24"/>
      <c r="N151" s="24"/>
      <c r="O151" s="24"/>
      <c r="P151" s="24"/>
      <c r="Q151" s="24"/>
      <c r="R151" s="111"/>
      <c r="S151" s="24"/>
      <c r="T151" s="24"/>
      <c r="U151" s="24"/>
      <c r="V151" s="24"/>
      <c r="W151" s="24"/>
      <c r="X151" s="24"/>
      <c r="Y151" s="88"/>
      <c r="Z151" s="24"/>
      <c r="AA151" s="24"/>
      <c r="AB151" s="24"/>
      <c r="AC151" s="24"/>
      <c r="AD151" s="24"/>
      <c r="AE151" s="24"/>
      <c r="AF151" s="13"/>
      <c r="AG151" s="98"/>
      <c r="AH151" s="14"/>
      <c r="AI151" s="14"/>
    </row>
    <row r="152" spans="1:35" customFormat="1" ht="15.75">
      <c r="A152" s="128" t="s">
        <v>25</v>
      </c>
      <c r="B152" s="24"/>
      <c r="C152" s="32"/>
      <c r="D152" s="202"/>
      <c r="E152" s="32"/>
      <c r="F152" s="32">
        <v>43576</v>
      </c>
      <c r="G152" s="32">
        <v>43581</v>
      </c>
      <c r="H152" s="32">
        <v>43576</v>
      </c>
      <c r="I152" s="24"/>
      <c r="J152" s="24"/>
      <c r="K152" s="88"/>
      <c r="L152" s="32"/>
      <c r="M152" s="24"/>
      <c r="N152" s="24"/>
      <c r="O152" s="24"/>
      <c r="P152" s="32">
        <v>43581</v>
      </c>
      <c r="Q152" s="24"/>
      <c r="R152" s="202"/>
      <c r="S152" s="32"/>
      <c r="T152" s="24"/>
      <c r="U152" s="24"/>
      <c r="V152" s="24"/>
      <c r="W152" s="24"/>
      <c r="X152" s="24"/>
      <c r="Y152" s="88"/>
      <c r="Z152" s="24"/>
      <c r="AA152" s="24"/>
      <c r="AB152" s="24"/>
      <c r="AC152" s="24"/>
      <c r="AD152" s="24"/>
      <c r="AE152" s="24"/>
      <c r="AF152" s="13"/>
      <c r="AG152" s="98"/>
      <c r="AH152" s="14"/>
      <c r="AI152" s="14"/>
    </row>
    <row r="153" spans="1:35" customFormat="1">
      <c r="A153" s="146" t="s">
        <v>27</v>
      </c>
      <c r="B153" s="24"/>
      <c r="C153" s="31"/>
      <c r="D153" s="193"/>
      <c r="E153" s="24"/>
      <c r="F153" s="31" t="s">
        <v>29</v>
      </c>
      <c r="G153" s="31" t="s">
        <v>28</v>
      </c>
      <c r="H153" s="31" t="s">
        <v>31</v>
      </c>
      <c r="I153" s="24"/>
      <c r="J153" s="24"/>
      <c r="K153" s="88"/>
      <c r="L153" s="24"/>
      <c r="M153" s="24"/>
      <c r="N153" s="24"/>
      <c r="O153" s="24"/>
      <c r="P153" s="31" t="s">
        <v>28</v>
      </c>
      <c r="Q153" s="24"/>
      <c r="R153" s="193"/>
      <c r="S153" s="24"/>
      <c r="T153" s="24"/>
      <c r="U153" s="24"/>
      <c r="V153" s="24"/>
      <c r="W153" s="24"/>
      <c r="X153" s="24"/>
      <c r="Y153" s="88"/>
      <c r="Z153" s="24"/>
      <c r="AA153" s="24"/>
      <c r="AB153" s="24"/>
      <c r="AC153" s="24"/>
      <c r="AD153" s="24"/>
      <c r="AE153" s="24"/>
      <c r="AF153" s="13"/>
      <c r="AG153" s="98"/>
      <c r="AH153" s="14"/>
      <c r="AI153" s="14"/>
    </row>
    <row r="154" spans="1:35" customFormat="1" ht="15.75">
      <c r="A154" s="146" t="s">
        <v>10</v>
      </c>
      <c r="B154" s="14"/>
      <c r="C154" s="418"/>
      <c r="D154" s="51"/>
      <c r="E154" s="418"/>
      <c r="F154" s="418" t="s">
        <v>89</v>
      </c>
      <c r="G154" s="418" t="s">
        <v>89</v>
      </c>
      <c r="H154" s="418" t="s">
        <v>89</v>
      </c>
      <c r="I154" s="24"/>
      <c r="J154" s="24"/>
      <c r="K154" s="88"/>
      <c r="L154" s="418"/>
      <c r="M154" s="24"/>
      <c r="N154" s="24"/>
      <c r="O154" s="24"/>
      <c r="P154" s="418" t="s">
        <v>89</v>
      </c>
      <c r="Q154" s="24"/>
      <c r="R154" s="51"/>
      <c r="S154" s="418"/>
      <c r="T154" s="24"/>
      <c r="U154" s="24"/>
      <c r="V154" s="24"/>
      <c r="W154" s="24"/>
      <c r="X154" s="24"/>
      <c r="Y154" s="88"/>
      <c r="Z154" s="418"/>
      <c r="AA154" s="24"/>
      <c r="AB154" s="24"/>
      <c r="AC154" s="24"/>
      <c r="AD154" s="24"/>
      <c r="AE154" s="24"/>
      <c r="AF154" s="13"/>
      <c r="AG154" s="98"/>
      <c r="AH154" s="14"/>
      <c r="AI154" s="14"/>
    </row>
    <row r="155" spans="1:35" customFormat="1" ht="15.75">
      <c r="A155" s="147" t="s">
        <v>11</v>
      </c>
      <c r="B155" s="14"/>
      <c r="C155" s="93"/>
      <c r="D155" s="52"/>
      <c r="E155" s="93"/>
      <c r="F155" s="93" t="s">
        <v>846</v>
      </c>
      <c r="G155" s="93" t="s">
        <v>843</v>
      </c>
      <c r="H155" s="93" t="s">
        <v>845</v>
      </c>
      <c r="I155" s="24"/>
      <c r="J155" s="24"/>
      <c r="K155" s="88"/>
      <c r="L155" s="93"/>
      <c r="M155" s="24"/>
      <c r="N155" s="24"/>
      <c r="O155" s="24"/>
      <c r="P155" s="93" t="s">
        <v>837</v>
      </c>
      <c r="Q155" s="24"/>
      <c r="R155" s="52"/>
      <c r="S155" s="93"/>
      <c r="T155" s="24"/>
      <c r="U155" s="24"/>
      <c r="V155" s="24"/>
      <c r="W155" s="24"/>
      <c r="X155" s="24"/>
      <c r="Y155" s="88"/>
      <c r="Z155" s="93"/>
      <c r="AA155" s="24"/>
      <c r="AB155" s="24"/>
      <c r="AC155" s="24"/>
      <c r="AD155" s="24"/>
      <c r="AE155" s="24"/>
      <c r="AF155" s="13"/>
      <c r="AG155" s="98"/>
      <c r="AH155" s="14"/>
      <c r="AI155" s="14"/>
    </row>
    <row r="156" spans="1:35" customFormat="1" ht="15.75">
      <c r="A156" s="148" t="s">
        <v>12</v>
      </c>
      <c r="B156" s="14"/>
      <c r="C156" s="49"/>
      <c r="D156" s="127"/>
      <c r="E156" s="418"/>
      <c r="F156" s="418"/>
      <c r="G156" s="418"/>
      <c r="H156" s="418"/>
      <c r="I156" s="24"/>
      <c r="J156" s="24"/>
      <c r="K156" s="88"/>
      <c r="L156" s="418"/>
      <c r="M156" s="24"/>
      <c r="N156" s="24"/>
      <c r="O156" s="24"/>
      <c r="P156" s="418"/>
      <c r="Q156" s="24"/>
      <c r="R156" s="127"/>
      <c r="S156" s="418"/>
      <c r="T156" s="24"/>
      <c r="U156" s="24"/>
      <c r="V156" s="24"/>
      <c r="W156" s="24"/>
      <c r="X156" s="24"/>
      <c r="Y156" s="88"/>
      <c r="Z156" s="418"/>
      <c r="AA156" s="24"/>
      <c r="AB156" s="24"/>
      <c r="AC156" s="24"/>
      <c r="AD156" s="24"/>
      <c r="AE156" s="24"/>
      <c r="AF156" s="13"/>
      <c r="AG156" s="98"/>
      <c r="AH156" s="14"/>
      <c r="AI156" s="14"/>
    </row>
    <row r="157" spans="1:35" customFormat="1" ht="15.75">
      <c r="A157" s="149" t="s">
        <v>13</v>
      </c>
      <c r="B157" s="14"/>
      <c r="C157" s="19"/>
      <c r="D157" s="53"/>
      <c r="E157" s="19"/>
      <c r="F157" s="19" t="s">
        <v>14</v>
      </c>
      <c r="G157" s="19" t="s">
        <v>14</v>
      </c>
      <c r="H157" s="19" t="s">
        <v>14</v>
      </c>
      <c r="I157" s="24"/>
      <c r="J157" s="24"/>
      <c r="K157" s="88"/>
      <c r="L157" s="19"/>
      <c r="M157" s="24"/>
      <c r="N157" s="24"/>
      <c r="O157" s="24"/>
      <c r="P157" s="19" t="s">
        <v>14</v>
      </c>
      <c r="Q157" s="24"/>
      <c r="R157" s="53"/>
      <c r="S157" s="19"/>
      <c r="T157" s="24"/>
      <c r="U157" s="24"/>
      <c r="V157" s="24"/>
      <c r="W157" s="24"/>
      <c r="X157" s="24"/>
      <c r="Y157" s="88"/>
      <c r="Z157" s="19"/>
      <c r="AA157" s="24"/>
      <c r="AB157" s="24"/>
      <c r="AC157" s="24"/>
      <c r="AD157" s="24"/>
      <c r="AE157" s="24"/>
      <c r="AF157" s="13"/>
      <c r="AG157" s="98"/>
      <c r="AH157" s="14"/>
      <c r="AI157" s="14"/>
    </row>
    <row r="158" spans="1:35" customFormat="1" ht="15.75">
      <c r="A158" s="150" t="s">
        <v>15</v>
      </c>
      <c r="B158" s="14"/>
      <c r="C158" s="418"/>
      <c r="D158" s="51"/>
      <c r="E158" s="418"/>
      <c r="F158" s="418" t="s">
        <v>16</v>
      </c>
      <c r="G158" s="418" t="s">
        <v>16</v>
      </c>
      <c r="H158" s="418" t="s">
        <v>16</v>
      </c>
      <c r="I158" s="24"/>
      <c r="J158" s="24"/>
      <c r="K158" s="88"/>
      <c r="L158" s="418"/>
      <c r="M158" s="24"/>
      <c r="N158" s="24"/>
      <c r="O158" s="24"/>
      <c r="P158" s="418" t="s">
        <v>16</v>
      </c>
      <c r="Q158" s="24"/>
      <c r="R158" s="51"/>
      <c r="S158" s="418"/>
      <c r="T158" s="24"/>
      <c r="U158" s="24"/>
      <c r="V158" s="24"/>
      <c r="W158" s="24"/>
      <c r="X158" s="24"/>
      <c r="Y158" s="88"/>
      <c r="Z158" s="418"/>
      <c r="AA158" s="24"/>
      <c r="AB158" s="24"/>
      <c r="AC158" s="24"/>
      <c r="AD158" s="24"/>
      <c r="AE158" s="24"/>
      <c r="AF158" s="13"/>
      <c r="AG158" s="98"/>
      <c r="AH158" s="14"/>
      <c r="AI158" s="14"/>
    </row>
    <row r="159" spans="1:35" customFormat="1" ht="15.75">
      <c r="A159" s="151" t="s">
        <v>17</v>
      </c>
      <c r="B159" s="14"/>
      <c r="C159" s="100"/>
      <c r="D159" s="110"/>
      <c r="E159" s="391"/>
      <c r="F159" s="391" t="s">
        <v>1000</v>
      </c>
      <c r="G159" s="391" t="s">
        <v>1000</v>
      </c>
      <c r="H159" s="391" t="s">
        <v>1000</v>
      </c>
      <c r="I159" s="24"/>
      <c r="J159" s="24"/>
      <c r="K159" s="88"/>
      <c r="L159" s="391"/>
      <c r="M159" s="24"/>
      <c r="N159" s="24"/>
      <c r="O159" s="24"/>
      <c r="P159" s="391" t="s">
        <v>1000</v>
      </c>
      <c r="Q159" s="24"/>
      <c r="R159" s="110"/>
      <c r="S159" s="391"/>
      <c r="T159" s="24"/>
      <c r="U159" s="24"/>
      <c r="V159" s="24"/>
      <c r="W159" s="24"/>
      <c r="X159" s="24"/>
      <c r="Y159" s="88"/>
      <c r="Z159" s="391"/>
      <c r="AA159" s="24"/>
      <c r="AB159" s="24"/>
      <c r="AC159" s="24"/>
      <c r="AD159" s="24"/>
      <c r="AE159" s="24"/>
      <c r="AF159" s="13"/>
      <c r="AG159" s="98"/>
      <c r="AH159" s="14"/>
      <c r="AI159" s="14"/>
    </row>
    <row r="160" spans="1:35" customFormat="1" ht="15.75">
      <c r="A160" s="152" t="s">
        <v>18</v>
      </c>
      <c r="B160" s="14"/>
      <c r="C160" s="23"/>
      <c r="D160" s="54"/>
      <c r="E160" s="23"/>
      <c r="F160" s="23"/>
      <c r="G160" s="23"/>
      <c r="H160" s="23"/>
      <c r="I160" s="24"/>
      <c r="J160" s="24"/>
      <c r="K160" s="88"/>
      <c r="L160" s="23"/>
      <c r="M160" s="24"/>
      <c r="N160" s="24"/>
      <c r="O160" s="24"/>
      <c r="P160" s="23"/>
      <c r="Q160" s="24"/>
      <c r="R160" s="54"/>
      <c r="S160" s="23"/>
      <c r="T160" s="24"/>
      <c r="U160" s="24"/>
      <c r="V160" s="24"/>
      <c r="W160" s="24"/>
      <c r="X160" s="24"/>
      <c r="Y160" s="88"/>
      <c r="Z160" s="23"/>
      <c r="AA160" s="24"/>
      <c r="AB160" s="24"/>
      <c r="AC160" s="24"/>
      <c r="AD160" s="24"/>
      <c r="AE160" s="24"/>
      <c r="AF160" s="13"/>
      <c r="AG160" s="98"/>
      <c r="AH160" s="14"/>
      <c r="AI160" s="14"/>
    </row>
    <row r="161" spans="1:35" customFormat="1">
      <c r="A161" s="146" t="s">
        <v>20</v>
      </c>
      <c r="B161" s="14"/>
      <c r="C161" s="87"/>
      <c r="D161" s="193"/>
      <c r="E161" s="24"/>
      <c r="F161" s="24"/>
      <c r="G161" s="24"/>
      <c r="H161" s="24"/>
      <c r="I161" s="24"/>
      <c r="J161" s="24"/>
      <c r="K161" s="88"/>
      <c r="L161" s="24"/>
      <c r="M161" s="24"/>
      <c r="N161" s="24"/>
      <c r="O161" s="24"/>
      <c r="P161" s="24"/>
      <c r="Q161" s="24"/>
      <c r="R161" s="193"/>
      <c r="S161" s="24"/>
      <c r="T161" s="24"/>
      <c r="U161" s="24"/>
      <c r="V161" s="24"/>
      <c r="W161" s="24"/>
      <c r="X161" s="24"/>
      <c r="Y161" s="88"/>
      <c r="Z161" s="24"/>
      <c r="AA161" s="24"/>
      <c r="AB161" s="24"/>
      <c r="AC161" s="24"/>
      <c r="AD161" s="24"/>
      <c r="AE161" s="24"/>
      <c r="AF161" s="13"/>
      <c r="AG161" s="98"/>
      <c r="AH161" s="14"/>
      <c r="AI161" s="14"/>
    </row>
    <row r="162" spans="1:35" customFormat="1" ht="15.75">
      <c r="A162" s="153" t="s">
        <v>21</v>
      </c>
      <c r="B162" s="14"/>
      <c r="C162" s="94"/>
      <c r="D162" s="56"/>
      <c r="E162" s="418"/>
      <c r="F162" s="418" t="s">
        <v>88</v>
      </c>
      <c r="G162" s="418" t="s">
        <v>88</v>
      </c>
      <c r="H162" s="418" t="s">
        <v>88</v>
      </c>
      <c r="I162" s="24"/>
      <c r="J162" s="24"/>
      <c r="K162" s="88"/>
      <c r="L162" s="418"/>
      <c r="M162" s="24"/>
      <c r="N162" s="24"/>
      <c r="O162" s="24"/>
      <c r="P162" s="418" t="s">
        <v>90</v>
      </c>
      <c r="Q162" s="24"/>
      <c r="R162" s="56"/>
      <c r="S162" s="418"/>
      <c r="T162" s="24"/>
      <c r="U162" s="24"/>
      <c r="V162" s="24"/>
      <c r="W162" s="24"/>
      <c r="X162" s="24"/>
      <c r="Y162" s="88"/>
      <c r="Z162" s="418"/>
      <c r="AA162" s="24"/>
      <c r="AB162" s="24"/>
      <c r="AC162" s="24"/>
      <c r="AD162" s="24"/>
      <c r="AE162" s="24"/>
      <c r="AF162" s="13"/>
      <c r="AG162" s="98"/>
      <c r="AH162" s="14"/>
      <c r="AI162" s="14"/>
    </row>
    <row r="163" spans="1:35" customFormat="1">
      <c r="A163" s="154" t="s">
        <v>22</v>
      </c>
      <c r="B163" s="14"/>
      <c r="C163" s="27"/>
      <c r="D163" s="57"/>
      <c r="E163" s="27"/>
      <c r="F163" s="27"/>
      <c r="G163" s="27"/>
      <c r="H163" s="27"/>
      <c r="I163" s="24"/>
      <c r="J163" s="24"/>
      <c r="K163" s="88"/>
      <c r="L163" s="27"/>
      <c r="M163" s="24"/>
      <c r="N163" s="24"/>
      <c r="O163" s="24"/>
      <c r="P163" s="27"/>
      <c r="Q163" s="24"/>
      <c r="R163" s="57"/>
      <c r="S163" s="27"/>
      <c r="T163" s="24"/>
      <c r="U163" s="24"/>
      <c r="V163" s="24"/>
      <c r="W163" s="24"/>
      <c r="X163" s="24"/>
      <c r="Y163" s="88"/>
      <c r="Z163" s="27"/>
      <c r="AA163" s="24"/>
      <c r="AB163" s="24"/>
      <c r="AC163" s="24"/>
      <c r="AD163" s="24"/>
      <c r="AE163" s="24"/>
      <c r="AF163" s="13"/>
      <c r="AG163" s="98"/>
      <c r="AH163" s="14"/>
      <c r="AI163" s="14"/>
    </row>
    <row r="164" spans="1:35" customFormat="1" ht="15.75">
      <c r="A164" s="153" t="s">
        <v>23</v>
      </c>
      <c r="B164" s="14"/>
      <c r="C164" s="418"/>
      <c r="D164" s="51"/>
      <c r="E164" s="418"/>
      <c r="F164" s="418">
        <v>360</v>
      </c>
      <c r="G164" s="418">
        <v>312</v>
      </c>
      <c r="H164" s="418">
        <v>132</v>
      </c>
      <c r="I164" s="24"/>
      <c r="J164" s="24"/>
      <c r="K164" s="88"/>
      <c r="L164" s="418"/>
      <c r="M164" s="24"/>
      <c r="N164" s="24"/>
      <c r="O164" s="24"/>
      <c r="P164" s="418">
        <v>5268</v>
      </c>
      <c r="Q164" s="24"/>
      <c r="R164" s="51"/>
      <c r="S164" s="418"/>
      <c r="T164" s="24"/>
      <c r="U164" s="24"/>
      <c r="V164" s="24"/>
      <c r="W164" s="24"/>
      <c r="X164" s="24"/>
      <c r="Y164" s="88"/>
      <c r="Z164" s="418"/>
      <c r="AA164" s="24"/>
      <c r="AB164" s="24"/>
      <c r="AC164" s="24"/>
      <c r="AD164" s="24"/>
      <c r="AE164" s="24"/>
      <c r="AF164" s="13"/>
      <c r="AG164" s="98"/>
      <c r="AH164" s="14"/>
      <c r="AI164" s="14"/>
    </row>
    <row r="165" spans="1:35" customFormat="1" ht="14.25" customHeight="1">
      <c r="A165" s="155" t="s">
        <v>24</v>
      </c>
      <c r="B165" s="14"/>
      <c r="C165" s="30"/>
      <c r="D165" s="111"/>
      <c r="E165" s="24"/>
      <c r="F165" s="24"/>
      <c r="G165" s="24"/>
      <c r="H165" s="24"/>
      <c r="I165" s="24"/>
      <c r="J165" s="24"/>
      <c r="K165" s="88"/>
      <c r="L165" s="24"/>
      <c r="M165" s="24"/>
      <c r="N165" s="24"/>
      <c r="O165" s="24"/>
      <c r="P165" s="24"/>
      <c r="Q165" s="24"/>
      <c r="R165" s="111"/>
      <c r="S165" s="24"/>
      <c r="T165" s="24"/>
      <c r="U165" s="24"/>
      <c r="V165" s="24"/>
      <c r="W165" s="24"/>
      <c r="X165" s="24"/>
      <c r="Y165" s="88"/>
      <c r="Z165" s="24"/>
      <c r="AA165" s="24"/>
      <c r="AB165" s="24"/>
      <c r="AC165" s="24"/>
      <c r="AD165" s="24"/>
      <c r="AE165" s="24"/>
      <c r="AF165" s="13"/>
      <c r="AG165" s="98"/>
      <c r="AH165" s="14"/>
      <c r="AI165" s="14"/>
    </row>
    <row r="166" spans="1:35" customFormat="1" ht="15.75">
      <c r="A166" s="128" t="s">
        <v>25</v>
      </c>
      <c r="B166" s="14"/>
      <c r="C166" s="196"/>
      <c r="D166" s="202"/>
      <c r="E166" s="32"/>
      <c r="F166" s="32">
        <v>43578</v>
      </c>
      <c r="G166" s="32">
        <v>43581</v>
      </c>
      <c r="H166" s="32">
        <v>43581</v>
      </c>
      <c r="I166" s="24"/>
      <c r="J166" s="24"/>
      <c r="K166" s="88"/>
      <c r="L166" s="32"/>
      <c r="M166" s="24"/>
      <c r="N166" s="24"/>
      <c r="O166" s="24"/>
      <c r="P166" s="32">
        <v>43575</v>
      </c>
      <c r="Q166" s="24"/>
      <c r="R166" s="202"/>
      <c r="S166" s="32"/>
      <c r="T166" s="24"/>
      <c r="U166" s="24"/>
      <c r="V166" s="24"/>
      <c r="W166" s="24"/>
      <c r="X166" s="24"/>
      <c r="Y166" s="88"/>
      <c r="Z166" s="32"/>
      <c r="AA166" s="24"/>
      <c r="AB166" s="24"/>
      <c r="AC166" s="24"/>
      <c r="AD166" s="24"/>
      <c r="AE166" s="24"/>
      <c r="AF166" s="13"/>
      <c r="AG166" s="98"/>
      <c r="AH166" s="14"/>
      <c r="AI166" s="14"/>
    </row>
    <row r="167" spans="1:35" customFormat="1">
      <c r="A167" s="146" t="s">
        <v>27</v>
      </c>
      <c r="B167" s="14"/>
      <c r="C167" s="87"/>
      <c r="D167" s="193"/>
      <c r="E167" s="24"/>
      <c r="F167" s="31" t="s">
        <v>29</v>
      </c>
      <c r="G167" s="31" t="s">
        <v>28</v>
      </c>
      <c r="H167" s="31" t="s">
        <v>28</v>
      </c>
      <c r="I167" s="24"/>
      <c r="J167" s="24"/>
      <c r="K167" s="193"/>
      <c r="L167" s="24"/>
      <c r="M167" s="24"/>
      <c r="N167" s="24"/>
      <c r="O167" s="24"/>
      <c r="P167" s="31" t="s">
        <v>35</v>
      </c>
      <c r="Q167" s="24"/>
      <c r="R167" s="193"/>
      <c r="S167" s="24"/>
      <c r="T167" s="24"/>
      <c r="U167" s="24"/>
      <c r="V167" s="24"/>
      <c r="W167" s="24"/>
      <c r="X167" s="24"/>
      <c r="Y167" s="88"/>
      <c r="Z167" s="24"/>
      <c r="AA167" s="24"/>
      <c r="AB167" s="24"/>
      <c r="AC167" s="24"/>
      <c r="AD167" s="24"/>
      <c r="AE167" s="24"/>
      <c r="AF167" s="13"/>
      <c r="AG167" s="98"/>
      <c r="AH167" s="14"/>
      <c r="AI167" s="14"/>
    </row>
    <row r="168" spans="1:35" customFormat="1" ht="15.75">
      <c r="A168" s="146" t="s">
        <v>10</v>
      </c>
      <c r="B168" s="14"/>
      <c r="C168" s="33"/>
      <c r="D168" s="15"/>
      <c r="E168" s="24"/>
      <c r="F168" s="24"/>
      <c r="G168" s="418" t="s">
        <v>89</v>
      </c>
      <c r="H168" s="418" t="s">
        <v>89</v>
      </c>
      <c r="I168" s="24"/>
      <c r="J168" s="24"/>
      <c r="K168" s="51"/>
      <c r="L168" s="24"/>
      <c r="M168" s="24"/>
      <c r="N168" s="24"/>
      <c r="O168" s="24"/>
      <c r="P168" s="24"/>
      <c r="Q168" s="24"/>
      <c r="R168" s="51"/>
      <c r="S168" s="24"/>
      <c r="T168" s="24"/>
      <c r="U168" s="24"/>
      <c r="V168" s="24"/>
      <c r="W168" s="24"/>
      <c r="X168" s="24"/>
      <c r="Y168" s="88"/>
      <c r="Z168" s="24"/>
      <c r="AA168" s="24"/>
      <c r="AB168" s="24"/>
      <c r="AC168" s="24"/>
      <c r="AD168" s="24"/>
      <c r="AE168" s="24"/>
      <c r="AF168" s="13"/>
      <c r="AG168" s="98"/>
      <c r="AH168" s="14"/>
      <c r="AI168" s="14"/>
    </row>
    <row r="169" spans="1:35" customFormat="1" ht="15.75">
      <c r="A169" s="147" t="s">
        <v>11</v>
      </c>
      <c r="B169" s="14"/>
      <c r="C169" s="33"/>
      <c r="D169" s="15"/>
      <c r="E169" s="24"/>
      <c r="F169" s="24"/>
      <c r="G169" s="93" t="s">
        <v>841</v>
      </c>
      <c r="H169" s="93" t="s">
        <v>838</v>
      </c>
      <c r="I169" s="24"/>
      <c r="J169" s="24"/>
      <c r="K169" s="193"/>
      <c r="L169" s="24"/>
      <c r="M169" s="24"/>
      <c r="N169" s="24"/>
      <c r="O169" s="24"/>
      <c r="P169" s="24"/>
      <c r="Q169" s="24"/>
      <c r="R169" s="52"/>
      <c r="S169" s="24"/>
      <c r="T169" s="24"/>
      <c r="U169" s="24"/>
      <c r="V169" s="24"/>
      <c r="W169" s="24"/>
      <c r="X169" s="24"/>
      <c r="Y169" s="88"/>
      <c r="Z169" s="24"/>
      <c r="AA169" s="24"/>
      <c r="AB169" s="24"/>
      <c r="AC169" s="24"/>
      <c r="AD169" s="24"/>
      <c r="AE169" s="24"/>
      <c r="AF169" s="13"/>
      <c r="AG169" s="98"/>
      <c r="AH169" s="14"/>
      <c r="AI169" s="14"/>
    </row>
    <row r="170" spans="1:35" customFormat="1" ht="16.5">
      <c r="A170" s="148" t="s">
        <v>12</v>
      </c>
      <c r="B170" s="14"/>
      <c r="C170" s="33"/>
      <c r="D170" s="15"/>
      <c r="E170" s="24"/>
      <c r="F170" s="24"/>
      <c r="G170" s="418"/>
      <c r="H170" s="418"/>
      <c r="I170" s="24"/>
      <c r="J170" s="24"/>
      <c r="K170" s="207"/>
      <c r="L170" s="24"/>
      <c r="M170" s="24"/>
      <c r="N170" s="24"/>
      <c r="O170" s="24"/>
      <c r="P170" s="24"/>
      <c r="Q170" s="24"/>
      <c r="R170" s="127"/>
      <c r="S170" s="24"/>
      <c r="T170" s="24"/>
      <c r="U170" s="24"/>
      <c r="V170" s="24"/>
      <c r="W170" s="24"/>
      <c r="X170" s="24"/>
      <c r="Y170" s="88"/>
      <c r="Z170" s="24"/>
      <c r="AA170" s="24"/>
      <c r="AB170" s="24"/>
      <c r="AC170" s="24"/>
      <c r="AD170" s="24"/>
      <c r="AE170" s="24"/>
      <c r="AF170" s="13"/>
      <c r="AG170" s="98"/>
      <c r="AH170" s="14"/>
      <c r="AI170" s="14"/>
    </row>
    <row r="171" spans="1:35" customFormat="1" ht="16.5">
      <c r="A171" s="149" t="s">
        <v>13</v>
      </c>
      <c r="B171" s="14"/>
      <c r="C171" s="33"/>
      <c r="D171" s="15"/>
      <c r="E171" s="24"/>
      <c r="F171" s="24"/>
      <c r="G171" s="19" t="s">
        <v>14</v>
      </c>
      <c r="H171" s="19" t="s">
        <v>14</v>
      </c>
      <c r="I171" s="24"/>
      <c r="J171" s="24"/>
      <c r="K171" s="208"/>
      <c r="L171" s="24"/>
      <c r="M171" s="24"/>
      <c r="N171" s="24"/>
      <c r="O171" s="24"/>
      <c r="P171" s="24"/>
      <c r="Q171" s="24"/>
      <c r="R171" s="53"/>
      <c r="S171" s="24"/>
      <c r="T171" s="24"/>
      <c r="U171" s="24"/>
      <c r="V171" s="24"/>
      <c r="W171" s="24"/>
      <c r="X171" s="24"/>
      <c r="Y171" s="88"/>
      <c r="Z171" s="24"/>
      <c r="AA171" s="24"/>
      <c r="AB171" s="24"/>
      <c r="AC171" s="24"/>
      <c r="AD171" s="24"/>
      <c r="AE171" s="24"/>
      <c r="AF171" s="13"/>
      <c r="AG171" s="98"/>
      <c r="AH171" s="14"/>
      <c r="AI171" s="14"/>
    </row>
    <row r="172" spans="1:35" customFormat="1" ht="15.75">
      <c r="A172" s="150" t="s">
        <v>15</v>
      </c>
      <c r="B172" s="14"/>
      <c r="C172" s="33"/>
      <c r="D172" s="15"/>
      <c r="E172" s="24"/>
      <c r="F172" s="24"/>
      <c r="G172" s="418" t="s">
        <v>16</v>
      </c>
      <c r="H172" s="418" t="s">
        <v>16</v>
      </c>
      <c r="I172" s="24"/>
      <c r="J172" s="24"/>
      <c r="K172" s="51"/>
      <c r="L172" s="24"/>
      <c r="M172" s="24"/>
      <c r="N172" s="24"/>
      <c r="O172" s="24"/>
      <c r="P172" s="24"/>
      <c r="Q172" s="24"/>
      <c r="R172" s="51"/>
      <c r="S172" s="24"/>
      <c r="T172" s="24"/>
      <c r="U172" s="24"/>
      <c r="V172" s="24"/>
      <c r="W172" s="24"/>
      <c r="X172" s="24"/>
      <c r="Y172" s="88"/>
      <c r="Z172" s="24"/>
      <c r="AA172" s="24"/>
      <c r="AB172" s="24"/>
      <c r="AC172" s="24"/>
      <c r="AD172" s="24"/>
      <c r="AE172" s="24"/>
      <c r="AF172" s="13"/>
      <c r="AG172" s="98"/>
      <c r="AH172" s="14"/>
      <c r="AI172" s="14"/>
    </row>
    <row r="173" spans="1:35" customFormat="1" ht="16.5">
      <c r="A173" s="151" t="s">
        <v>17</v>
      </c>
      <c r="B173" s="14"/>
      <c r="C173" s="33"/>
      <c r="D173" s="15"/>
      <c r="E173" s="24"/>
      <c r="F173" s="24"/>
      <c r="G173" s="391" t="s">
        <v>1000</v>
      </c>
      <c r="H173" s="391" t="s">
        <v>1000</v>
      </c>
      <c r="I173" s="24"/>
      <c r="J173" s="24"/>
      <c r="K173" s="201"/>
      <c r="L173" s="24"/>
      <c r="M173" s="24"/>
      <c r="N173" s="24"/>
      <c r="O173" s="24"/>
      <c r="P173" s="24"/>
      <c r="Q173" s="24"/>
      <c r="R173" s="110"/>
      <c r="S173" s="24"/>
      <c r="T173" s="24"/>
      <c r="U173" s="24"/>
      <c r="V173" s="24"/>
      <c r="W173" s="24"/>
      <c r="X173" s="24"/>
      <c r="Y173" s="88"/>
      <c r="Z173" s="24"/>
      <c r="AA173" s="24"/>
      <c r="AB173" s="24"/>
      <c r="AC173" s="24"/>
      <c r="AD173" s="24"/>
      <c r="AE173" s="24"/>
      <c r="AF173" s="13"/>
      <c r="AG173" s="98"/>
      <c r="AH173" s="14"/>
      <c r="AI173" s="14"/>
    </row>
    <row r="174" spans="1:35" customFormat="1" ht="16.5">
      <c r="A174" s="152" t="s">
        <v>18</v>
      </c>
      <c r="B174" s="14"/>
      <c r="C174" s="33"/>
      <c r="D174" s="15"/>
      <c r="E174" s="24"/>
      <c r="F174" s="24"/>
      <c r="G174" s="23"/>
      <c r="H174" s="23"/>
      <c r="I174" s="24"/>
      <c r="J174" s="24"/>
      <c r="K174" s="208"/>
      <c r="L174" s="24"/>
      <c r="M174" s="24"/>
      <c r="N174" s="24"/>
      <c r="O174" s="24"/>
      <c r="P174" s="24"/>
      <c r="Q174" s="24"/>
      <c r="R174" s="54"/>
      <c r="S174" s="24"/>
      <c r="T174" s="24"/>
      <c r="U174" s="24"/>
      <c r="V174" s="24"/>
      <c r="W174" s="24"/>
      <c r="X174" s="24"/>
      <c r="Y174" s="88"/>
      <c r="Z174" s="24"/>
      <c r="AA174" s="24"/>
      <c r="AB174" s="24"/>
      <c r="AC174" s="24"/>
      <c r="AD174" s="24"/>
      <c r="AE174" s="24"/>
      <c r="AF174" s="13"/>
      <c r="AG174" s="98"/>
      <c r="AH174" s="14"/>
      <c r="AI174" s="14"/>
    </row>
    <row r="175" spans="1:35" customFormat="1" ht="16.5">
      <c r="A175" s="146" t="s">
        <v>20</v>
      </c>
      <c r="B175" s="14"/>
      <c r="C175" s="33"/>
      <c r="D175" s="15"/>
      <c r="E175" s="24"/>
      <c r="F175" s="24"/>
      <c r="G175" s="24"/>
      <c r="H175" s="24"/>
      <c r="I175" s="24"/>
      <c r="J175" s="24"/>
      <c r="K175" s="208"/>
      <c r="L175" s="24"/>
      <c r="M175" s="24"/>
      <c r="N175" s="24"/>
      <c r="O175" s="24"/>
      <c r="P175" s="24"/>
      <c r="Q175" s="24"/>
      <c r="R175" s="193"/>
      <c r="S175" s="24"/>
      <c r="T175" s="24"/>
      <c r="U175" s="24"/>
      <c r="V175" s="24"/>
      <c r="W175" s="24"/>
      <c r="X175" s="24"/>
      <c r="Y175" s="88"/>
      <c r="Z175" s="24"/>
      <c r="AA175" s="24"/>
      <c r="AB175" s="24"/>
      <c r="AC175" s="24"/>
      <c r="AD175" s="24"/>
      <c r="AE175" s="24"/>
      <c r="AF175" s="13"/>
      <c r="AG175" s="98"/>
      <c r="AH175" s="14"/>
      <c r="AI175" s="14"/>
    </row>
    <row r="176" spans="1:35" customFormat="1" ht="15.75">
      <c r="A176" s="153" t="s">
        <v>21</v>
      </c>
      <c r="B176" s="14"/>
      <c r="C176" s="33"/>
      <c r="D176" s="15"/>
      <c r="E176" s="24"/>
      <c r="F176" s="24"/>
      <c r="G176" s="418" t="s">
        <v>88</v>
      </c>
      <c r="H176" s="418" t="s">
        <v>88</v>
      </c>
      <c r="I176" s="24"/>
      <c r="J176" s="24"/>
      <c r="K176" s="51"/>
      <c r="L176" s="24"/>
      <c r="M176" s="24"/>
      <c r="N176" s="24"/>
      <c r="O176" s="24"/>
      <c r="P176" s="24"/>
      <c r="Q176" s="24"/>
      <c r="R176" s="56"/>
      <c r="S176" s="24"/>
      <c r="T176" s="24"/>
      <c r="U176" s="24"/>
      <c r="V176" s="24"/>
      <c r="W176" s="24"/>
      <c r="X176" s="24"/>
      <c r="Y176" s="88"/>
      <c r="Z176" s="24"/>
      <c r="AA176" s="24"/>
      <c r="AB176" s="24"/>
      <c r="AC176" s="24"/>
      <c r="AD176" s="24"/>
      <c r="AE176" s="24"/>
      <c r="AF176" s="13"/>
      <c r="AG176" s="98"/>
      <c r="AH176" s="14"/>
      <c r="AI176" s="14"/>
    </row>
    <row r="177" spans="1:39" customFormat="1" ht="16.5">
      <c r="A177" s="154" t="s">
        <v>22</v>
      </c>
      <c r="B177" s="14"/>
      <c r="C177" s="33"/>
      <c r="D177" s="15"/>
      <c r="E177" s="24"/>
      <c r="F177" s="24"/>
      <c r="G177" s="27"/>
      <c r="H177" s="27"/>
      <c r="I177" s="24"/>
      <c r="J177" s="24"/>
      <c r="K177" s="208"/>
      <c r="L177" s="24"/>
      <c r="M177" s="24"/>
      <c r="N177" s="24"/>
      <c r="O177" s="24"/>
      <c r="P177" s="24"/>
      <c r="Q177" s="24"/>
      <c r="R177" s="57"/>
      <c r="S177" s="24"/>
      <c r="T177" s="24"/>
      <c r="U177" s="24"/>
      <c r="V177" s="24"/>
      <c r="W177" s="24"/>
      <c r="X177" s="24"/>
      <c r="Y177" s="88"/>
      <c r="Z177" s="24"/>
      <c r="AA177" s="24"/>
      <c r="AB177" s="24"/>
      <c r="AC177" s="24"/>
      <c r="AD177" s="24"/>
      <c r="AE177" s="24"/>
      <c r="AF177" s="13"/>
      <c r="AG177" s="98"/>
      <c r="AH177" s="14"/>
      <c r="AI177" s="14"/>
    </row>
    <row r="178" spans="1:39" customFormat="1" ht="15.75">
      <c r="A178" s="153" t="s">
        <v>23</v>
      </c>
      <c r="B178" s="14"/>
      <c r="C178" s="33"/>
      <c r="D178" s="15"/>
      <c r="E178" s="24"/>
      <c r="F178" s="24"/>
      <c r="G178" s="418">
        <v>360</v>
      </c>
      <c r="H178" s="418">
        <v>10632</v>
      </c>
      <c r="I178" s="24"/>
      <c r="J178" s="24"/>
      <c r="K178" s="51"/>
      <c r="L178" s="24"/>
      <c r="M178" s="24"/>
      <c r="N178" s="24"/>
      <c r="O178" s="24"/>
      <c r="P178" s="24"/>
      <c r="Q178" s="24"/>
      <c r="R178" s="51"/>
      <c r="S178" s="24"/>
      <c r="T178" s="24"/>
      <c r="U178" s="24"/>
      <c r="V178" s="24"/>
      <c r="W178" s="24"/>
      <c r="X178" s="24"/>
      <c r="Y178" s="88"/>
      <c r="Z178" s="24"/>
      <c r="AA178" s="24"/>
      <c r="AB178" s="24"/>
      <c r="AC178" s="24"/>
      <c r="AD178" s="24"/>
      <c r="AE178" s="24"/>
      <c r="AF178" s="13"/>
      <c r="AG178" s="98"/>
      <c r="AH178" s="14"/>
      <c r="AI178" s="14"/>
    </row>
    <row r="179" spans="1:39" customFormat="1" ht="13.5" customHeight="1">
      <c r="A179" s="155" t="s">
        <v>24</v>
      </c>
      <c r="B179" s="14"/>
      <c r="C179" s="33"/>
      <c r="D179" s="15"/>
      <c r="E179" s="24"/>
      <c r="F179" s="24"/>
      <c r="G179" s="24"/>
      <c r="H179" s="24"/>
      <c r="I179" s="24"/>
      <c r="J179" s="24"/>
      <c r="K179" s="208"/>
      <c r="L179" s="24"/>
      <c r="M179" s="24"/>
      <c r="N179" s="24"/>
      <c r="O179" s="24"/>
      <c r="P179" s="24"/>
      <c r="Q179" s="24"/>
      <c r="R179" s="111"/>
      <c r="S179" s="24"/>
      <c r="T179" s="24"/>
      <c r="U179" s="24"/>
      <c r="V179" s="24"/>
      <c r="W179" s="24"/>
      <c r="X179" s="24"/>
      <c r="Y179" s="88"/>
      <c r="Z179" s="24"/>
      <c r="AA179" s="24"/>
      <c r="AB179" s="24"/>
      <c r="AC179" s="24"/>
      <c r="AD179" s="24"/>
      <c r="AE179" s="24"/>
      <c r="AF179" s="13"/>
      <c r="AG179" s="98"/>
      <c r="AH179" s="14"/>
      <c r="AI179" s="14"/>
    </row>
    <row r="180" spans="1:39" customFormat="1" ht="15.75">
      <c r="A180" s="128" t="s">
        <v>25</v>
      </c>
      <c r="B180" s="14"/>
      <c r="C180" s="33"/>
      <c r="D180" s="15"/>
      <c r="E180" s="24"/>
      <c r="F180" s="24"/>
      <c r="G180" s="32">
        <v>43586</v>
      </c>
      <c r="H180" s="32">
        <v>43575</v>
      </c>
      <c r="I180" s="24"/>
      <c r="J180" s="24"/>
      <c r="K180" s="202"/>
      <c r="L180" s="24"/>
      <c r="M180" s="24"/>
      <c r="N180" s="24"/>
      <c r="O180" s="24"/>
      <c r="P180" s="24"/>
      <c r="Q180" s="24"/>
      <c r="R180" s="202"/>
      <c r="S180" s="24"/>
      <c r="T180" s="24"/>
      <c r="U180" s="24"/>
      <c r="V180" s="24"/>
      <c r="W180" s="24"/>
      <c r="X180" s="24"/>
      <c r="Y180" s="88"/>
      <c r="Z180" s="24"/>
      <c r="AA180" s="24"/>
      <c r="AB180" s="24"/>
      <c r="AC180" s="24"/>
      <c r="AD180" s="24"/>
      <c r="AE180" s="24"/>
      <c r="AF180" s="13"/>
      <c r="AG180" s="98"/>
      <c r="AH180" s="14"/>
      <c r="AI180" s="14"/>
    </row>
    <row r="181" spans="1:39" customFormat="1" ht="15.75" thickBot="1">
      <c r="A181" s="146" t="s">
        <v>27</v>
      </c>
      <c r="B181" s="14"/>
      <c r="C181" s="35"/>
      <c r="D181" s="34"/>
      <c r="E181" s="24"/>
      <c r="F181" s="24"/>
      <c r="G181" s="31" t="s">
        <v>1003</v>
      </c>
      <c r="H181" s="31" t="s">
        <v>35</v>
      </c>
      <c r="I181" s="24"/>
      <c r="J181" s="24"/>
      <c r="K181" s="203"/>
      <c r="L181" s="24"/>
      <c r="M181" s="24"/>
      <c r="N181" s="24"/>
      <c r="O181" s="24"/>
      <c r="P181" s="24"/>
      <c r="Q181" s="24"/>
      <c r="R181" s="203"/>
      <c r="S181" s="24"/>
      <c r="T181" s="24"/>
      <c r="U181" s="24"/>
      <c r="V181" s="24"/>
      <c r="W181" s="24"/>
      <c r="X181" s="24"/>
      <c r="Y181" s="209"/>
      <c r="Z181" s="24"/>
      <c r="AA181" s="24"/>
      <c r="AB181" s="24"/>
      <c r="AC181" s="24"/>
      <c r="AD181" s="24"/>
      <c r="AE181" s="24"/>
      <c r="AF181" s="13"/>
      <c r="AG181" s="99"/>
      <c r="AH181" s="14"/>
      <c r="AI181" s="14"/>
    </row>
    <row r="182" spans="1:39" customFormat="1" ht="15.75" customHeight="1" thickBot="1">
      <c r="A182" s="216" t="s">
        <v>36</v>
      </c>
      <c r="B182" s="37">
        <f t="shared" ref="B182:AE182" si="8">+B178+B164+B150+B136</f>
        <v>4495</v>
      </c>
      <c r="C182" s="37">
        <f t="shared" si="8"/>
        <v>0</v>
      </c>
      <c r="D182" s="37">
        <f t="shared" si="8"/>
        <v>0</v>
      </c>
      <c r="E182" s="37">
        <f t="shared" si="8"/>
        <v>0</v>
      </c>
      <c r="F182" s="37">
        <f t="shared" si="8"/>
        <v>1296</v>
      </c>
      <c r="G182" s="37">
        <f t="shared" si="8"/>
        <v>1500</v>
      </c>
      <c r="H182" s="37">
        <f t="shared" si="8"/>
        <v>11760</v>
      </c>
      <c r="I182" s="37">
        <f t="shared" si="8"/>
        <v>0</v>
      </c>
      <c r="J182" s="37">
        <f t="shared" si="8"/>
        <v>0</v>
      </c>
      <c r="K182" s="37">
        <f t="shared" si="8"/>
        <v>0</v>
      </c>
      <c r="L182" s="37">
        <f t="shared" si="8"/>
        <v>0</v>
      </c>
      <c r="M182" s="37">
        <f t="shared" si="8"/>
        <v>0</v>
      </c>
      <c r="N182" s="37">
        <f t="shared" si="8"/>
        <v>0</v>
      </c>
      <c r="O182" s="37">
        <f t="shared" si="8"/>
        <v>0</v>
      </c>
      <c r="P182" s="37">
        <f t="shared" si="8"/>
        <v>5808</v>
      </c>
      <c r="Q182" s="37">
        <f t="shared" si="8"/>
        <v>0</v>
      </c>
      <c r="R182" s="37">
        <f t="shared" si="8"/>
        <v>0</v>
      </c>
      <c r="S182" s="37">
        <f t="shared" si="8"/>
        <v>0</v>
      </c>
      <c r="T182" s="37">
        <f t="shared" si="8"/>
        <v>0</v>
      </c>
      <c r="U182" s="37">
        <f t="shared" si="8"/>
        <v>600</v>
      </c>
      <c r="V182" s="37">
        <f t="shared" si="8"/>
        <v>1500</v>
      </c>
      <c r="W182" s="37">
        <f t="shared" si="8"/>
        <v>2160</v>
      </c>
      <c r="X182" s="37">
        <f t="shared" si="8"/>
        <v>2640</v>
      </c>
      <c r="Y182" s="37">
        <f t="shared" si="8"/>
        <v>0</v>
      </c>
      <c r="Z182" s="37">
        <f t="shared" si="8"/>
        <v>0</v>
      </c>
      <c r="AA182" s="37">
        <f t="shared" si="8"/>
        <v>10092</v>
      </c>
      <c r="AB182" s="37">
        <f t="shared" si="8"/>
        <v>0</v>
      </c>
      <c r="AC182" s="37">
        <f t="shared" si="8"/>
        <v>0</v>
      </c>
      <c r="AD182" s="37">
        <f t="shared" si="8"/>
        <v>0</v>
      </c>
      <c r="AE182" s="37">
        <f t="shared" si="8"/>
        <v>0</v>
      </c>
      <c r="AF182" s="37">
        <f>+AF178+AF164+AF150+AF136</f>
        <v>0</v>
      </c>
      <c r="AG182" s="38"/>
      <c r="AH182" s="14"/>
      <c r="AI182" s="14"/>
    </row>
    <row r="183" spans="1:39" customFormat="1" ht="15.75" customHeight="1" thickTop="1" thickBot="1">
      <c r="A183" s="216" t="s">
        <v>37</v>
      </c>
      <c r="B183" s="144">
        <f t="shared" ref="B183:AF183" si="9">+B184*B5</f>
        <v>1760</v>
      </c>
      <c r="C183" s="40">
        <f t="shared" si="9"/>
        <v>1760</v>
      </c>
      <c r="D183" s="39">
        <f t="shared" si="9"/>
        <v>0</v>
      </c>
      <c r="E183" s="40">
        <f t="shared" si="9"/>
        <v>1615</v>
      </c>
      <c r="F183" s="40">
        <f t="shared" si="9"/>
        <v>1615</v>
      </c>
      <c r="G183" s="40">
        <f t="shared" si="9"/>
        <v>1615</v>
      </c>
      <c r="H183" s="40">
        <f t="shared" si="9"/>
        <v>1615</v>
      </c>
      <c r="I183" s="40">
        <f t="shared" si="9"/>
        <v>1615</v>
      </c>
      <c r="J183" s="40">
        <f t="shared" si="9"/>
        <v>1360</v>
      </c>
      <c r="K183" s="39">
        <f t="shared" si="9"/>
        <v>0</v>
      </c>
      <c r="L183" s="40">
        <f t="shared" si="9"/>
        <v>1615</v>
      </c>
      <c r="M183" s="40">
        <f t="shared" si="9"/>
        <v>1615</v>
      </c>
      <c r="N183" s="40">
        <f t="shared" si="9"/>
        <v>1615</v>
      </c>
      <c r="O183" s="40">
        <f t="shared" si="9"/>
        <v>1615</v>
      </c>
      <c r="P183" s="40">
        <f t="shared" si="9"/>
        <v>1615</v>
      </c>
      <c r="Q183" s="40">
        <f t="shared" si="9"/>
        <v>1360</v>
      </c>
      <c r="R183" s="39">
        <f t="shared" si="9"/>
        <v>0</v>
      </c>
      <c r="S183" s="40">
        <f t="shared" si="9"/>
        <v>1615</v>
      </c>
      <c r="T183" s="40">
        <f t="shared" si="9"/>
        <v>1615</v>
      </c>
      <c r="U183" s="40">
        <f t="shared" si="9"/>
        <v>1615</v>
      </c>
      <c r="V183" s="40">
        <f t="shared" si="9"/>
        <v>1615</v>
      </c>
      <c r="W183" s="40">
        <f t="shared" si="9"/>
        <v>1615</v>
      </c>
      <c r="X183" s="40">
        <f t="shared" si="9"/>
        <v>1360</v>
      </c>
      <c r="Y183" s="39">
        <f t="shared" si="9"/>
        <v>0</v>
      </c>
      <c r="Z183" s="40">
        <f t="shared" si="9"/>
        <v>1615</v>
      </c>
      <c r="AA183" s="40">
        <f t="shared" si="9"/>
        <v>1615</v>
      </c>
      <c r="AB183" s="40">
        <f t="shared" si="9"/>
        <v>1615</v>
      </c>
      <c r="AC183" s="40">
        <f t="shared" si="9"/>
        <v>1615</v>
      </c>
      <c r="AD183" s="40">
        <f t="shared" si="9"/>
        <v>1615</v>
      </c>
      <c r="AE183" s="40">
        <f t="shared" si="9"/>
        <v>1360</v>
      </c>
      <c r="AF183" s="39">
        <f t="shared" si="9"/>
        <v>0</v>
      </c>
      <c r="AG183" s="41">
        <f>SUM(B183:AF183)</f>
        <v>41260</v>
      </c>
      <c r="AH183" s="14"/>
      <c r="AI183" s="14"/>
    </row>
    <row r="184" spans="1:39" customFormat="1" ht="15.75" customHeight="1" thickTop="1" thickBot="1">
      <c r="A184" s="216" t="s">
        <v>38</v>
      </c>
      <c r="B184" s="145">
        <v>220</v>
      </c>
      <c r="C184" s="145">
        <v>220</v>
      </c>
      <c r="D184" s="42"/>
      <c r="E184" s="145">
        <v>170</v>
      </c>
      <c r="F184" s="145">
        <v>170</v>
      </c>
      <c r="G184" s="145">
        <v>170</v>
      </c>
      <c r="H184" s="145">
        <v>170</v>
      </c>
      <c r="I184" s="145">
        <v>170</v>
      </c>
      <c r="J184" s="145">
        <v>170</v>
      </c>
      <c r="K184" s="42"/>
      <c r="L184" s="145">
        <v>170</v>
      </c>
      <c r="M184" s="145">
        <v>170</v>
      </c>
      <c r="N184" s="145">
        <v>170</v>
      </c>
      <c r="O184" s="145">
        <v>170</v>
      </c>
      <c r="P184" s="145">
        <v>170</v>
      </c>
      <c r="Q184" s="145">
        <v>170</v>
      </c>
      <c r="R184" s="42"/>
      <c r="S184" s="145">
        <v>170</v>
      </c>
      <c r="T184" s="145">
        <v>170</v>
      </c>
      <c r="U184" s="145">
        <v>170</v>
      </c>
      <c r="V184" s="145">
        <v>170</v>
      </c>
      <c r="W184" s="145">
        <v>170</v>
      </c>
      <c r="X184" s="145">
        <v>170</v>
      </c>
      <c r="Y184" s="42"/>
      <c r="Z184" s="145">
        <v>170</v>
      </c>
      <c r="AA184" s="145">
        <v>170</v>
      </c>
      <c r="AB184" s="145">
        <v>170</v>
      </c>
      <c r="AC184" s="145">
        <v>170</v>
      </c>
      <c r="AD184" s="145">
        <v>170</v>
      </c>
      <c r="AE184" s="145">
        <v>170</v>
      </c>
      <c r="AF184" s="42"/>
      <c r="AG184" s="44"/>
      <c r="AH184" s="14"/>
      <c r="AI184" s="14"/>
    </row>
    <row r="185" spans="1:39" customFormat="1" ht="15.75" customHeight="1" thickTop="1" thickBot="1">
      <c r="A185" s="217">
        <f>+'T02'!AC186</f>
        <v>1300</v>
      </c>
      <c r="B185" s="45">
        <f t="shared" ref="B185:AF185" si="10">IF(A185+B182-B183&lt;0,0,A185+B182-B183)</f>
        <v>4035</v>
      </c>
      <c r="C185" s="40">
        <f t="shared" si="10"/>
        <v>2275</v>
      </c>
      <c r="D185" s="39">
        <f t="shared" si="10"/>
        <v>2275</v>
      </c>
      <c r="E185" s="40">
        <f t="shared" si="10"/>
        <v>660</v>
      </c>
      <c r="F185" s="40">
        <f t="shared" si="10"/>
        <v>341</v>
      </c>
      <c r="G185" s="40">
        <f t="shared" si="10"/>
        <v>226</v>
      </c>
      <c r="H185" s="40">
        <f t="shared" si="10"/>
        <v>10371</v>
      </c>
      <c r="I185" s="40">
        <f t="shared" si="10"/>
        <v>8756</v>
      </c>
      <c r="J185" s="40">
        <f t="shared" si="10"/>
        <v>7396</v>
      </c>
      <c r="K185" s="39">
        <f t="shared" si="10"/>
        <v>7396</v>
      </c>
      <c r="L185" s="40">
        <f t="shared" si="10"/>
        <v>5781</v>
      </c>
      <c r="M185" s="40">
        <f t="shared" si="10"/>
        <v>4166</v>
      </c>
      <c r="N185" s="40">
        <f>IF(M185+N182-N183&lt;0,0,M185+N182-N183)</f>
        <v>2551</v>
      </c>
      <c r="O185" s="40">
        <f t="shared" si="10"/>
        <v>936</v>
      </c>
      <c r="P185" s="40">
        <f t="shared" si="10"/>
        <v>5129</v>
      </c>
      <c r="Q185" s="40">
        <f t="shared" si="10"/>
        <v>3769</v>
      </c>
      <c r="R185" s="39">
        <f t="shared" si="10"/>
        <v>3769</v>
      </c>
      <c r="S185" s="40">
        <f t="shared" si="10"/>
        <v>2154</v>
      </c>
      <c r="T185" s="40">
        <f t="shared" si="10"/>
        <v>539</v>
      </c>
      <c r="U185" s="40">
        <f t="shared" si="10"/>
        <v>0</v>
      </c>
      <c r="V185" s="40">
        <f t="shared" si="10"/>
        <v>0</v>
      </c>
      <c r="W185" s="40">
        <f t="shared" si="10"/>
        <v>545</v>
      </c>
      <c r="X185" s="40">
        <f t="shared" si="10"/>
        <v>1825</v>
      </c>
      <c r="Y185" s="39">
        <f t="shared" si="10"/>
        <v>1825</v>
      </c>
      <c r="Z185" s="40">
        <f t="shared" si="10"/>
        <v>210</v>
      </c>
      <c r="AA185" s="40">
        <f t="shared" si="10"/>
        <v>8687</v>
      </c>
      <c r="AB185" s="40">
        <f t="shared" si="10"/>
        <v>7072</v>
      </c>
      <c r="AC185" s="40">
        <f t="shared" si="10"/>
        <v>5457</v>
      </c>
      <c r="AD185" s="40">
        <f t="shared" si="10"/>
        <v>3842</v>
      </c>
      <c r="AE185" s="46">
        <f t="shared" si="10"/>
        <v>2482</v>
      </c>
      <c r="AF185" s="39">
        <f t="shared" si="10"/>
        <v>2482</v>
      </c>
      <c r="AG185" s="47">
        <f>IF(AE185+AG182-AG183&lt;0,0,AE185+AG182-AG183)</f>
        <v>0</v>
      </c>
      <c r="AH185" s="14"/>
      <c r="AI185" s="14"/>
    </row>
    <row r="186" spans="1:39" customFormat="1" ht="14.25" customHeight="1">
      <c r="A186" s="319" t="s">
        <v>10</v>
      </c>
      <c r="B186" s="82"/>
      <c r="C186" s="113"/>
      <c r="D186" s="83"/>
      <c r="E186" s="113"/>
      <c r="F186" s="446"/>
      <c r="G186" s="82"/>
      <c r="H186" s="113"/>
      <c r="I186" s="82"/>
      <c r="J186" s="113"/>
      <c r="K186" s="48"/>
      <c r="L186" s="82"/>
      <c r="M186" s="446"/>
      <c r="N186" s="82"/>
      <c r="O186" s="82"/>
      <c r="P186" s="113"/>
      <c r="Q186" s="113"/>
      <c r="R186" s="206"/>
      <c r="S186" s="82"/>
      <c r="T186" s="497"/>
      <c r="U186" s="418" t="s">
        <v>746</v>
      </c>
      <c r="V186" s="418" t="s">
        <v>746</v>
      </c>
      <c r="W186" s="24"/>
      <c r="X186" s="24"/>
      <c r="Y186" s="15"/>
      <c r="Z186" s="418" t="s">
        <v>743</v>
      </c>
      <c r="AA186" s="24"/>
      <c r="AB186" s="24"/>
      <c r="AC186" s="24"/>
      <c r="AD186" s="418" t="s">
        <v>743</v>
      </c>
      <c r="AE186" s="24"/>
      <c r="AF186" s="15"/>
      <c r="AG186" s="98"/>
      <c r="AH186" s="14"/>
      <c r="AI186" s="24"/>
      <c r="AJ186" s="24"/>
      <c r="AK186" s="24"/>
      <c r="AL186" s="24"/>
      <c r="AM186" s="24"/>
    </row>
    <row r="187" spans="1:39" customFormat="1" ht="14.25" customHeight="1">
      <c r="A187" s="320" t="s">
        <v>11</v>
      </c>
      <c r="B187" s="33"/>
      <c r="C187" s="50"/>
      <c r="D187" s="72"/>
      <c r="E187" s="50"/>
      <c r="F187" s="85"/>
      <c r="G187" s="33"/>
      <c r="H187" s="50"/>
      <c r="I187" s="33"/>
      <c r="J187" s="50"/>
      <c r="K187" s="15"/>
      <c r="L187" s="33"/>
      <c r="M187" s="85"/>
      <c r="N187" s="33"/>
      <c r="O187" s="33"/>
      <c r="P187" s="50"/>
      <c r="Q187" s="50"/>
      <c r="R187" s="88"/>
      <c r="S187" s="33"/>
      <c r="T187" s="498"/>
      <c r="U187" s="93" t="s">
        <v>968</v>
      </c>
      <c r="V187" s="93" t="s">
        <v>971</v>
      </c>
      <c r="W187" s="24"/>
      <c r="X187" s="24"/>
      <c r="Y187" s="13"/>
      <c r="Z187" s="93" t="s">
        <v>965</v>
      </c>
      <c r="AA187" s="24"/>
      <c r="AB187" s="24"/>
      <c r="AC187" s="24"/>
      <c r="AD187" s="93" t="s">
        <v>964</v>
      </c>
      <c r="AE187" s="24"/>
      <c r="AF187" s="13"/>
      <c r="AG187" s="98"/>
      <c r="AH187" s="14"/>
      <c r="AI187" s="24"/>
      <c r="AJ187" s="24"/>
      <c r="AK187" s="24"/>
      <c r="AL187" s="24"/>
      <c r="AM187" s="24"/>
    </row>
    <row r="188" spans="1:39" customFormat="1" ht="14.25" customHeight="1">
      <c r="A188" s="321" t="s">
        <v>12</v>
      </c>
      <c r="B188" s="33"/>
      <c r="C188" s="50"/>
      <c r="D188" s="84"/>
      <c r="E188" s="50"/>
      <c r="F188" s="16"/>
      <c r="G188" s="33"/>
      <c r="H188" s="50"/>
      <c r="I188" s="33"/>
      <c r="J188" s="50"/>
      <c r="K188" s="15"/>
      <c r="L188" s="33"/>
      <c r="M188" s="16"/>
      <c r="N188" s="33"/>
      <c r="O188" s="33"/>
      <c r="P188" s="50"/>
      <c r="Q188" s="50"/>
      <c r="R188" s="88"/>
      <c r="S188" s="33"/>
      <c r="T188" s="499"/>
      <c r="U188" s="418"/>
      <c r="V188" s="418"/>
      <c r="W188" s="24"/>
      <c r="X188" s="24"/>
      <c r="Y188" s="13"/>
      <c r="Z188" s="418"/>
      <c r="AA188" s="24"/>
      <c r="AB188" s="24"/>
      <c r="AC188" s="24"/>
      <c r="AD188" s="418"/>
      <c r="AE188" s="24"/>
      <c r="AF188" s="13"/>
      <c r="AG188" s="98"/>
      <c r="AH188" s="14"/>
      <c r="AI188" s="24"/>
      <c r="AJ188" s="24"/>
      <c r="AK188" s="24"/>
      <c r="AL188" s="24"/>
      <c r="AM188" s="24"/>
    </row>
    <row r="189" spans="1:39" customFormat="1" ht="14.25" customHeight="1">
      <c r="A189" s="322" t="s">
        <v>13</v>
      </c>
      <c r="B189" s="33"/>
      <c r="C189" s="50"/>
      <c r="D189" s="74"/>
      <c r="E189" s="50"/>
      <c r="F189" s="18"/>
      <c r="G189" s="33"/>
      <c r="H189" s="50"/>
      <c r="I189" s="33"/>
      <c r="J189" s="50"/>
      <c r="K189" s="15"/>
      <c r="L189" s="33"/>
      <c r="M189" s="18"/>
      <c r="N189" s="33"/>
      <c r="O189" s="33"/>
      <c r="P189" s="50"/>
      <c r="Q189" s="50"/>
      <c r="R189" s="88"/>
      <c r="S189" s="33"/>
      <c r="T189" s="500"/>
      <c r="U189" s="19" t="s">
        <v>1006</v>
      </c>
      <c r="V189" s="19" t="s">
        <v>1006</v>
      </c>
      <c r="W189" s="24"/>
      <c r="X189" s="24"/>
      <c r="Y189" s="13"/>
      <c r="Z189" s="19" t="s">
        <v>14</v>
      </c>
      <c r="AA189" s="24"/>
      <c r="AB189" s="24"/>
      <c r="AC189" s="24"/>
      <c r="AD189" s="19" t="s">
        <v>14</v>
      </c>
      <c r="AE189" s="24"/>
      <c r="AF189" s="13"/>
      <c r="AG189" s="98"/>
      <c r="AH189" s="14"/>
      <c r="AI189" s="24"/>
      <c r="AJ189" s="24"/>
      <c r="AK189" s="24"/>
      <c r="AL189" s="24"/>
      <c r="AM189" s="24"/>
    </row>
    <row r="190" spans="1:39" customFormat="1" ht="14.25" customHeight="1">
      <c r="A190" s="323" t="s">
        <v>15</v>
      </c>
      <c r="B190" s="33"/>
      <c r="C190" s="50"/>
      <c r="D190" s="75"/>
      <c r="E190" s="50"/>
      <c r="F190" s="20"/>
      <c r="G190" s="33"/>
      <c r="H190" s="50"/>
      <c r="I190" s="33"/>
      <c r="J190" s="50"/>
      <c r="K190" s="15"/>
      <c r="L190" s="33"/>
      <c r="M190" s="20"/>
      <c r="N190" s="33"/>
      <c r="O190" s="33"/>
      <c r="P190" s="50"/>
      <c r="Q190" s="50"/>
      <c r="R190" s="88"/>
      <c r="S190" s="33"/>
      <c r="T190" s="501"/>
      <c r="U190" s="418" t="s">
        <v>16</v>
      </c>
      <c r="V190" s="418" t="s">
        <v>16</v>
      </c>
      <c r="W190" s="24"/>
      <c r="X190" s="24"/>
      <c r="Y190" s="13"/>
      <c r="Z190" s="418" t="s">
        <v>16</v>
      </c>
      <c r="AA190" s="24"/>
      <c r="AB190" s="24"/>
      <c r="AC190" s="24"/>
      <c r="AD190" s="418" t="s">
        <v>16</v>
      </c>
      <c r="AE190" s="24"/>
      <c r="AF190" s="13"/>
      <c r="AG190" s="98"/>
      <c r="AH190" s="14"/>
      <c r="AI190" s="24"/>
      <c r="AJ190" s="24"/>
      <c r="AK190" s="24"/>
      <c r="AL190" s="24"/>
      <c r="AM190" s="24"/>
    </row>
    <row r="191" spans="1:39" customFormat="1" ht="14.25" customHeight="1">
      <c r="A191" s="324" t="s">
        <v>17</v>
      </c>
      <c r="B191" s="33"/>
      <c r="C191" s="50"/>
      <c r="D191" s="76"/>
      <c r="E191" s="50"/>
      <c r="F191" s="86"/>
      <c r="G191" s="33"/>
      <c r="H191" s="50"/>
      <c r="I191" s="33"/>
      <c r="J191" s="50"/>
      <c r="K191" s="15"/>
      <c r="L191" s="33"/>
      <c r="M191" s="86"/>
      <c r="N191" s="33"/>
      <c r="O191" s="33"/>
      <c r="P191" s="50"/>
      <c r="Q191" s="50"/>
      <c r="R191" s="88"/>
      <c r="S191" s="33"/>
      <c r="T191" s="502"/>
      <c r="U191" s="391" t="s">
        <v>1000</v>
      </c>
      <c r="V191" s="391" t="s">
        <v>1000</v>
      </c>
      <c r="W191" s="24"/>
      <c r="X191" s="24"/>
      <c r="Y191" s="13"/>
      <c r="Z191" s="391" t="s">
        <v>1000</v>
      </c>
      <c r="AA191" s="24"/>
      <c r="AB191" s="24"/>
      <c r="AC191" s="24"/>
      <c r="AD191" s="391" t="s">
        <v>1000</v>
      </c>
      <c r="AE191" s="24"/>
      <c r="AF191" s="13"/>
      <c r="AG191" s="98"/>
      <c r="AH191" s="14"/>
      <c r="AI191" s="24"/>
      <c r="AJ191" s="24"/>
      <c r="AK191" s="24"/>
      <c r="AL191" s="24"/>
      <c r="AM191" s="24"/>
    </row>
    <row r="192" spans="1:39" customFormat="1" ht="14.25" customHeight="1">
      <c r="A192" s="325" t="s">
        <v>18</v>
      </c>
      <c r="B192" s="33"/>
      <c r="C192" s="50"/>
      <c r="D192" s="77"/>
      <c r="E192" s="50"/>
      <c r="F192" s="22"/>
      <c r="G192" s="33"/>
      <c r="H192" s="50"/>
      <c r="I192" s="33"/>
      <c r="J192" s="50"/>
      <c r="K192" s="15"/>
      <c r="L192" s="33"/>
      <c r="M192" s="22"/>
      <c r="N192" s="33"/>
      <c r="O192" s="33"/>
      <c r="P192" s="50"/>
      <c r="Q192" s="50"/>
      <c r="R192" s="88"/>
      <c r="S192" s="33"/>
      <c r="T192" s="503"/>
      <c r="U192" s="23"/>
      <c r="V192" s="23"/>
      <c r="W192" s="24"/>
      <c r="X192" s="24"/>
      <c r="Y192" s="13"/>
      <c r="Z192" s="23"/>
      <c r="AA192" s="24"/>
      <c r="AB192" s="24"/>
      <c r="AC192" s="24"/>
      <c r="AD192" s="23"/>
      <c r="AE192" s="24"/>
      <c r="AF192" s="13"/>
      <c r="AG192" s="98"/>
      <c r="AH192" s="14"/>
      <c r="AI192" s="24"/>
      <c r="AJ192" s="24"/>
      <c r="AK192" s="24"/>
      <c r="AL192" s="24"/>
      <c r="AM192" s="24"/>
    </row>
    <row r="193" spans="1:39" customFormat="1" ht="14.25" customHeight="1">
      <c r="A193" s="319" t="s">
        <v>20</v>
      </c>
      <c r="B193" s="33"/>
      <c r="C193" s="50"/>
      <c r="D193" s="71"/>
      <c r="E193" s="50"/>
      <c r="F193" s="12"/>
      <c r="G193" s="33"/>
      <c r="H193" s="50"/>
      <c r="I193" s="33"/>
      <c r="J193" s="50"/>
      <c r="K193" s="15"/>
      <c r="L193" s="33"/>
      <c r="M193" s="12"/>
      <c r="N193" s="33"/>
      <c r="O193" s="33"/>
      <c r="P193" s="50"/>
      <c r="Q193" s="50"/>
      <c r="R193" s="88"/>
      <c r="S193" s="33"/>
      <c r="T193" s="451"/>
      <c r="U193" s="24"/>
      <c r="V193" s="24"/>
      <c r="W193" s="24"/>
      <c r="X193" s="24"/>
      <c r="Y193" s="13"/>
      <c r="Z193" s="24"/>
      <c r="AA193" s="24"/>
      <c r="AB193" s="24"/>
      <c r="AC193" s="24"/>
      <c r="AD193" s="24"/>
      <c r="AE193" s="24"/>
      <c r="AF193" s="13"/>
      <c r="AG193" s="98"/>
      <c r="AH193" s="14"/>
      <c r="AI193" s="24"/>
      <c r="AJ193" s="24"/>
      <c r="AK193" s="24"/>
      <c r="AL193" s="24"/>
      <c r="AM193" s="24"/>
    </row>
    <row r="194" spans="1:39" customFormat="1" ht="14.25" customHeight="1">
      <c r="A194" s="326" t="s">
        <v>21</v>
      </c>
      <c r="B194" s="494" t="s">
        <v>518</v>
      </c>
      <c r="C194" s="50"/>
      <c r="D194" s="73"/>
      <c r="E194" s="50"/>
      <c r="F194" s="25"/>
      <c r="G194" s="33"/>
      <c r="H194" s="50"/>
      <c r="I194" s="33"/>
      <c r="J194" s="50"/>
      <c r="K194" s="15"/>
      <c r="L194" s="33"/>
      <c r="M194" s="25"/>
      <c r="N194" s="33"/>
      <c r="O194" s="33"/>
      <c r="P194" s="50"/>
      <c r="Q194" s="50"/>
      <c r="R194" s="88"/>
      <c r="S194" s="33"/>
      <c r="T194" s="504"/>
      <c r="U194" s="418" t="s">
        <v>748</v>
      </c>
      <c r="V194" s="418" t="s">
        <v>748</v>
      </c>
      <c r="W194" s="24"/>
      <c r="X194" s="24"/>
      <c r="Y194" s="13"/>
      <c r="Z194" s="418" t="s">
        <v>744</v>
      </c>
      <c r="AA194" s="24"/>
      <c r="AB194" s="24"/>
      <c r="AC194" s="24"/>
      <c r="AD194" s="418" t="s">
        <v>742</v>
      </c>
      <c r="AE194" s="24"/>
      <c r="AF194" s="13"/>
      <c r="AG194" s="98"/>
      <c r="AH194" s="14"/>
      <c r="AI194" s="24"/>
      <c r="AJ194" s="24"/>
      <c r="AK194" s="24"/>
      <c r="AL194" s="24"/>
      <c r="AM194" s="24"/>
    </row>
    <row r="195" spans="1:39" customFormat="1" ht="14.25" customHeight="1">
      <c r="A195" s="327" t="s">
        <v>22</v>
      </c>
      <c r="B195" s="495"/>
      <c r="C195" s="50"/>
      <c r="D195" s="78"/>
      <c r="E195" s="50"/>
      <c r="F195" s="26"/>
      <c r="G195" s="33"/>
      <c r="H195" s="50"/>
      <c r="I195" s="33"/>
      <c r="J195" s="50"/>
      <c r="K195" s="15"/>
      <c r="L195" s="33"/>
      <c r="M195" s="26"/>
      <c r="N195" s="33"/>
      <c r="O195" s="33"/>
      <c r="P195" s="50"/>
      <c r="Q195" s="50"/>
      <c r="R195" s="88"/>
      <c r="S195" s="33"/>
      <c r="T195" s="505"/>
      <c r="U195" s="27"/>
      <c r="V195" s="27"/>
      <c r="W195" s="24"/>
      <c r="X195" s="24"/>
      <c r="Y195" s="13"/>
      <c r="Z195" s="27"/>
      <c r="AA195" s="24"/>
      <c r="AB195" s="24"/>
      <c r="AC195" s="24"/>
      <c r="AD195" s="27"/>
      <c r="AE195" s="24"/>
      <c r="AF195" s="13"/>
      <c r="AG195" s="98"/>
      <c r="AH195" s="14"/>
      <c r="AI195" s="24"/>
      <c r="AJ195" s="24"/>
      <c r="AK195" s="24"/>
      <c r="AL195" s="24"/>
      <c r="AM195" s="24"/>
    </row>
    <row r="196" spans="1:39" customFormat="1" ht="14.25" customHeight="1">
      <c r="A196" s="326" t="s">
        <v>23</v>
      </c>
      <c r="B196" s="495">
        <v>30000</v>
      </c>
      <c r="C196" s="50"/>
      <c r="D196" s="73"/>
      <c r="E196" s="50"/>
      <c r="F196" s="25"/>
      <c r="G196" s="33"/>
      <c r="H196" s="50"/>
      <c r="I196" s="33"/>
      <c r="J196" s="50"/>
      <c r="K196" s="15"/>
      <c r="L196" s="33"/>
      <c r="M196" s="25"/>
      <c r="N196" s="33"/>
      <c r="O196" s="33"/>
      <c r="P196" s="50"/>
      <c r="Q196" s="50"/>
      <c r="R196" s="88"/>
      <c r="S196" s="33"/>
      <c r="T196" s="504"/>
      <c r="U196" s="418">
        <v>252</v>
      </c>
      <c r="V196" s="418">
        <v>768</v>
      </c>
      <c r="W196" s="24"/>
      <c r="X196" s="24"/>
      <c r="Y196" s="13"/>
      <c r="Z196" s="418">
        <v>4164</v>
      </c>
      <c r="AA196" s="24"/>
      <c r="AB196" s="24"/>
      <c r="AC196" s="24"/>
      <c r="AD196" s="418">
        <v>3780</v>
      </c>
      <c r="AE196" s="24"/>
      <c r="AF196" s="13"/>
      <c r="AG196" s="98"/>
      <c r="AH196" s="14"/>
      <c r="AI196" s="24"/>
      <c r="AJ196" s="24"/>
      <c r="AK196" s="24"/>
      <c r="AL196" s="24"/>
      <c r="AM196" s="24"/>
    </row>
    <row r="197" spans="1:39" customFormat="1" ht="14.25" customHeight="1">
      <c r="A197" s="328" t="s">
        <v>24</v>
      </c>
      <c r="B197" s="33"/>
      <c r="C197" s="50"/>
      <c r="D197" s="79"/>
      <c r="E197" s="50"/>
      <c r="F197" s="28"/>
      <c r="G197" s="33"/>
      <c r="H197" s="50"/>
      <c r="I197" s="33"/>
      <c r="J197" s="50"/>
      <c r="K197" s="15"/>
      <c r="L197" s="33"/>
      <c r="M197" s="28"/>
      <c r="N197" s="33"/>
      <c r="O197" s="33"/>
      <c r="P197" s="50"/>
      <c r="Q197" s="50"/>
      <c r="R197" s="88"/>
      <c r="S197" s="33"/>
      <c r="T197" s="506"/>
      <c r="U197" s="24"/>
      <c r="V197" s="24"/>
      <c r="W197" s="24"/>
      <c r="X197" s="24"/>
      <c r="Y197" s="13"/>
      <c r="Z197" s="24"/>
      <c r="AA197" s="24"/>
      <c r="AB197" s="24"/>
      <c r="AC197" s="24"/>
      <c r="AD197" s="24"/>
      <c r="AE197" s="24"/>
      <c r="AF197" s="13"/>
      <c r="AG197" s="98"/>
      <c r="AH197" s="14"/>
      <c r="AI197" s="24"/>
      <c r="AJ197" s="24"/>
      <c r="AK197" s="24"/>
      <c r="AL197" s="24"/>
      <c r="AM197" s="24"/>
    </row>
    <row r="198" spans="1:39" customFormat="1" ht="14.25" customHeight="1">
      <c r="A198" s="295" t="s">
        <v>25</v>
      </c>
      <c r="B198" s="33"/>
      <c r="C198" s="50"/>
      <c r="D198" s="58"/>
      <c r="E198" s="50"/>
      <c r="F198" s="496"/>
      <c r="G198" s="33"/>
      <c r="H198" s="50"/>
      <c r="I198" s="496"/>
      <c r="J198" s="50"/>
      <c r="K198" s="15"/>
      <c r="L198" s="33"/>
      <c r="M198" s="31"/>
      <c r="N198" s="33"/>
      <c r="O198" s="33"/>
      <c r="P198" s="50"/>
      <c r="Q198" s="50"/>
      <c r="R198" s="88"/>
      <c r="S198" s="33"/>
      <c r="T198" s="107"/>
      <c r="U198" s="32">
        <v>43578</v>
      </c>
      <c r="V198" s="32">
        <v>43579</v>
      </c>
      <c r="W198" s="24"/>
      <c r="X198" s="24"/>
      <c r="Y198" s="13"/>
      <c r="Z198" s="32">
        <v>43588</v>
      </c>
      <c r="AA198" s="24"/>
      <c r="AB198" s="24"/>
      <c r="AC198" s="24"/>
      <c r="AD198" s="32">
        <v>43588</v>
      </c>
      <c r="AE198" s="24"/>
      <c r="AF198" s="13"/>
      <c r="AG198" s="98"/>
      <c r="AH198" s="14"/>
      <c r="AI198" s="24"/>
      <c r="AJ198" s="24"/>
      <c r="AK198" s="24"/>
      <c r="AL198" s="24"/>
      <c r="AM198" s="24"/>
    </row>
    <row r="199" spans="1:39" customFormat="1" ht="14.25" customHeight="1">
      <c r="A199" s="319" t="s">
        <v>27</v>
      </c>
      <c r="B199" s="33"/>
      <c r="C199" s="33"/>
      <c r="D199" s="71"/>
      <c r="E199" s="50"/>
      <c r="F199" s="12"/>
      <c r="G199" s="33"/>
      <c r="H199" s="50"/>
      <c r="I199" s="33"/>
      <c r="J199" s="50"/>
      <c r="K199" s="15"/>
      <c r="L199" s="33"/>
      <c r="M199" s="12"/>
      <c r="N199" s="33"/>
      <c r="O199" s="33"/>
      <c r="P199" s="50"/>
      <c r="Q199" s="50"/>
      <c r="R199" s="88"/>
      <c r="S199" s="33"/>
      <c r="T199" s="451"/>
      <c r="U199" s="31" t="s">
        <v>29</v>
      </c>
      <c r="V199" s="31" t="s">
        <v>31</v>
      </c>
      <c r="W199" s="24"/>
      <c r="X199" s="24"/>
      <c r="Y199" s="13"/>
      <c r="Z199" s="31" t="s">
        <v>28</v>
      </c>
      <c r="AA199" s="24"/>
      <c r="AB199" s="24"/>
      <c r="AC199" s="12"/>
      <c r="AD199" s="31" t="s">
        <v>28</v>
      </c>
      <c r="AE199" s="24"/>
      <c r="AF199" s="13"/>
      <c r="AG199" s="98"/>
      <c r="AH199" s="14"/>
      <c r="AI199" s="24"/>
      <c r="AJ199" s="24"/>
      <c r="AK199" s="24"/>
      <c r="AL199" s="24"/>
      <c r="AM199" s="24"/>
    </row>
    <row r="200" spans="1:39" customFormat="1" ht="14.25" customHeight="1">
      <c r="A200" s="319" t="s">
        <v>10</v>
      </c>
      <c r="B200" s="33"/>
      <c r="C200" s="33"/>
      <c r="D200" s="71"/>
      <c r="E200" s="50"/>
      <c r="F200" s="12"/>
      <c r="G200" s="33"/>
      <c r="H200" s="50"/>
      <c r="I200" s="33"/>
      <c r="J200" s="33"/>
      <c r="K200" s="15"/>
      <c r="L200" s="33"/>
      <c r="M200" s="12"/>
      <c r="N200" s="33"/>
      <c r="O200" s="33"/>
      <c r="P200" s="50"/>
      <c r="Q200" s="50"/>
      <c r="R200" s="88"/>
      <c r="S200" s="33"/>
      <c r="T200" s="451"/>
      <c r="U200" s="418" t="s">
        <v>746</v>
      </c>
      <c r="V200" s="418" t="s">
        <v>746</v>
      </c>
      <c r="W200" s="24"/>
      <c r="X200" s="24"/>
      <c r="Y200" s="13"/>
      <c r="Z200" s="14"/>
      <c r="AA200" s="12"/>
      <c r="AB200" s="418"/>
      <c r="AC200" s="418"/>
      <c r="AD200" s="33"/>
      <c r="AE200" s="24"/>
      <c r="AF200" s="13"/>
      <c r="AG200" s="98"/>
      <c r="AH200" s="14"/>
      <c r="AI200" s="24"/>
      <c r="AJ200" s="24"/>
      <c r="AK200" s="24"/>
      <c r="AL200" s="24"/>
      <c r="AM200" s="24"/>
    </row>
    <row r="201" spans="1:39" customFormat="1" ht="15.75">
      <c r="A201" s="320" t="s">
        <v>11</v>
      </c>
      <c r="B201" s="33"/>
      <c r="C201" s="33"/>
      <c r="D201" s="72"/>
      <c r="E201" s="50"/>
      <c r="F201" s="85"/>
      <c r="G201" s="33"/>
      <c r="H201" s="50"/>
      <c r="I201" s="33"/>
      <c r="J201" s="33"/>
      <c r="K201" s="15"/>
      <c r="L201" s="33"/>
      <c r="M201" s="85"/>
      <c r="N201" s="33"/>
      <c r="O201" s="33"/>
      <c r="P201" s="50"/>
      <c r="Q201" s="50"/>
      <c r="R201" s="88"/>
      <c r="S201" s="33"/>
      <c r="T201" s="498"/>
      <c r="U201" s="93" t="s">
        <v>969</v>
      </c>
      <c r="V201" s="93" t="s">
        <v>970</v>
      </c>
      <c r="W201" s="24"/>
      <c r="X201" s="24"/>
      <c r="Y201" s="13"/>
      <c r="Z201" s="14"/>
      <c r="AA201" s="85"/>
      <c r="AB201" s="93"/>
      <c r="AC201" s="93"/>
      <c r="AD201" s="33"/>
      <c r="AE201" s="24"/>
      <c r="AF201" s="13"/>
      <c r="AG201" s="98"/>
      <c r="AH201" s="14"/>
      <c r="AI201" s="24"/>
      <c r="AJ201" s="24"/>
      <c r="AK201" s="24"/>
      <c r="AL201" s="24"/>
      <c r="AM201" s="24"/>
    </row>
    <row r="202" spans="1:39" customFormat="1" ht="15.75">
      <c r="A202" s="321" t="s">
        <v>12</v>
      </c>
      <c r="B202" s="33"/>
      <c r="C202" s="33"/>
      <c r="D202" s="84"/>
      <c r="E202" s="50"/>
      <c r="F202" s="16"/>
      <c r="G202" s="33"/>
      <c r="H202" s="50"/>
      <c r="I202" s="33"/>
      <c r="J202" s="33"/>
      <c r="K202" s="15"/>
      <c r="L202" s="33"/>
      <c r="M202" s="16"/>
      <c r="N202" s="33"/>
      <c r="O202" s="33"/>
      <c r="P202" s="50"/>
      <c r="Q202" s="50"/>
      <c r="R202" s="88"/>
      <c r="S202" s="33"/>
      <c r="T202" s="499"/>
      <c r="U202" s="418"/>
      <c r="V202" s="418"/>
      <c r="W202" s="24"/>
      <c r="X202" s="24"/>
      <c r="Y202" s="13"/>
      <c r="Z202" s="14"/>
      <c r="AA202" s="16"/>
      <c r="AB202" s="418"/>
      <c r="AC202" s="418"/>
      <c r="AD202" s="33"/>
      <c r="AE202" s="24"/>
      <c r="AF202" s="13"/>
      <c r="AG202" s="98"/>
      <c r="AH202" s="14"/>
      <c r="AI202" s="24"/>
      <c r="AJ202" s="24"/>
      <c r="AK202" s="24"/>
      <c r="AL202" s="24"/>
      <c r="AM202" s="24"/>
    </row>
    <row r="203" spans="1:39" customFormat="1" ht="15.75">
      <c r="A203" s="322" t="s">
        <v>13</v>
      </c>
      <c r="B203" s="33"/>
      <c r="C203" s="33"/>
      <c r="D203" s="74"/>
      <c r="E203" s="50"/>
      <c r="F203" s="18"/>
      <c r="G203" s="33"/>
      <c r="H203" s="50"/>
      <c r="I203" s="33"/>
      <c r="J203" s="33"/>
      <c r="K203" s="15"/>
      <c r="L203" s="33"/>
      <c r="M203" s="18"/>
      <c r="N203" s="33"/>
      <c r="O203" s="33"/>
      <c r="P203" s="50"/>
      <c r="Q203" s="50"/>
      <c r="R203" s="88"/>
      <c r="S203" s="33"/>
      <c r="T203" s="500"/>
      <c r="U203" s="19" t="s">
        <v>1006</v>
      </c>
      <c r="V203" s="19" t="s">
        <v>1006</v>
      </c>
      <c r="W203" s="24"/>
      <c r="X203" s="24"/>
      <c r="Y203" s="13"/>
      <c r="Z203" s="14"/>
      <c r="AA203" s="18"/>
      <c r="AB203" s="19"/>
      <c r="AC203" s="19"/>
      <c r="AD203" s="33"/>
      <c r="AE203" s="24"/>
      <c r="AF203" s="13"/>
      <c r="AG203" s="98"/>
      <c r="AH203" s="14"/>
      <c r="AI203" s="24"/>
      <c r="AJ203" s="24"/>
      <c r="AK203" s="24"/>
      <c r="AL203" s="24"/>
      <c r="AM203" s="24"/>
    </row>
    <row r="204" spans="1:39" customFormat="1" ht="15.75">
      <c r="A204" s="323" t="s">
        <v>15</v>
      </c>
      <c r="B204" s="33"/>
      <c r="C204" s="33"/>
      <c r="D204" s="75"/>
      <c r="E204" s="50"/>
      <c r="F204" s="20"/>
      <c r="G204" s="33"/>
      <c r="H204" s="50"/>
      <c r="I204" s="33"/>
      <c r="J204" s="33"/>
      <c r="K204" s="15"/>
      <c r="L204" s="33"/>
      <c r="M204" s="20"/>
      <c r="N204" s="33"/>
      <c r="O204" s="33"/>
      <c r="P204" s="50"/>
      <c r="Q204" s="50"/>
      <c r="R204" s="88"/>
      <c r="S204" s="33"/>
      <c r="T204" s="501"/>
      <c r="U204" s="418" t="s">
        <v>16</v>
      </c>
      <c r="V204" s="418" t="s">
        <v>16</v>
      </c>
      <c r="W204" s="24"/>
      <c r="X204" s="24"/>
      <c r="Y204" s="13"/>
      <c r="Z204" s="14"/>
      <c r="AA204" s="20"/>
      <c r="AB204" s="418"/>
      <c r="AC204" s="418"/>
      <c r="AD204" s="33"/>
      <c r="AE204" s="24"/>
      <c r="AF204" s="13"/>
      <c r="AG204" s="98"/>
      <c r="AH204" s="14"/>
      <c r="AI204" s="24"/>
      <c r="AJ204" s="24"/>
      <c r="AK204" s="24"/>
      <c r="AL204" s="24"/>
      <c r="AM204" s="24"/>
    </row>
    <row r="205" spans="1:39" customFormat="1" ht="15.75">
      <c r="A205" s="324" t="s">
        <v>17</v>
      </c>
      <c r="B205" s="33"/>
      <c r="C205" s="33"/>
      <c r="D205" s="76"/>
      <c r="E205" s="50"/>
      <c r="F205" s="86"/>
      <c r="G205" s="33"/>
      <c r="H205" s="50"/>
      <c r="I205" s="33"/>
      <c r="J205" s="33"/>
      <c r="K205" s="15"/>
      <c r="L205" s="33"/>
      <c r="M205" s="86"/>
      <c r="N205" s="33"/>
      <c r="O205" s="33"/>
      <c r="P205" s="50"/>
      <c r="Q205" s="50"/>
      <c r="R205" s="88"/>
      <c r="S205" s="33"/>
      <c r="T205" s="502"/>
      <c r="U205" s="391" t="s">
        <v>1000</v>
      </c>
      <c r="V205" s="391" t="s">
        <v>1000</v>
      </c>
      <c r="W205" s="24"/>
      <c r="X205" s="24"/>
      <c r="Y205" s="13"/>
      <c r="Z205" s="14"/>
      <c r="AA205" s="86"/>
      <c r="AB205" s="391"/>
      <c r="AC205" s="391"/>
      <c r="AD205" s="33"/>
      <c r="AE205" s="24"/>
      <c r="AF205" s="13"/>
      <c r="AG205" s="98"/>
      <c r="AH205" s="14"/>
      <c r="AI205" s="24"/>
      <c r="AJ205" s="24"/>
      <c r="AK205" s="24"/>
      <c r="AL205" s="24"/>
      <c r="AM205" s="24"/>
    </row>
    <row r="206" spans="1:39" customFormat="1" ht="15.75">
      <c r="A206" s="325" t="s">
        <v>18</v>
      </c>
      <c r="B206" s="33"/>
      <c r="C206" s="33"/>
      <c r="D206" s="77"/>
      <c r="E206" s="50"/>
      <c r="F206" s="22"/>
      <c r="G206" s="33"/>
      <c r="H206" s="50"/>
      <c r="I206" s="33"/>
      <c r="J206" s="33"/>
      <c r="K206" s="15"/>
      <c r="L206" s="33"/>
      <c r="M206" s="22"/>
      <c r="N206" s="33"/>
      <c r="O206" s="33"/>
      <c r="P206" s="50"/>
      <c r="Q206" s="50"/>
      <c r="R206" s="88"/>
      <c r="S206" s="33"/>
      <c r="T206" s="503"/>
      <c r="U206" s="23"/>
      <c r="V206" s="23"/>
      <c r="W206" s="24"/>
      <c r="X206" s="24"/>
      <c r="Y206" s="13"/>
      <c r="Z206" s="14"/>
      <c r="AA206" s="22"/>
      <c r="AB206" s="23"/>
      <c r="AC206" s="23"/>
      <c r="AD206" s="33"/>
      <c r="AE206" s="24"/>
      <c r="AF206" s="13"/>
      <c r="AG206" s="98"/>
      <c r="AH206" s="14"/>
      <c r="AI206" s="24"/>
      <c r="AJ206" s="24"/>
      <c r="AK206" s="24"/>
      <c r="AL206" s="24"/>
      <c r="AM206" s="24"/>
    </row>
    <row r="207" spans="1:39" customFormat="1">
      <c r="A207" s="319" t="s">
        <v>20</v>
      </c>
      <c r="B207" s="33"/>
      <c r="C207" s="33"/>
      <c r="D207" s="71"/>
      <c r="E207" s="50"/>
      <c r="F207" s="12"/>
      <c r="G207" s="33"/>
      <c r="H207" s="50"/>
      <c r="I207" s="33"/>
      <c r="J207" s="33"/>
      <c r="K207" s="15"/>
      <c r="L207" s="33"/>
      <c r="M207" s="12"/>
      <c r="N207" s="33"/>
      <c r="O207" s="33"/>
      <c r="P207" s="50"/>
      <c r="Q207" s="50"/>
      <c r="R207" s="88"/>
      <c r="S207" s="33"/>
      <c r="T207" s="451"/>
      <c r="U207" s="24"/>
      <c r="V207" s="24"/>
      <c r="W207" s="24"/>
      <c r="X207" s="24"/>
      <c r="Y207" s="13"/>
      <c r="Z207" s="14"/>
      <c r="AA207" s="12"/>
      <c r="AB207" s="24"/>
      <c r="AC207" s="24"/>
      <c r="AD207" s="33"/>
      <c r="AE207" s="24"/>
      <c r="AF207" s="13"/>
      <c r="AG207" s="98"/>
      <c r="AH207" s="14"/>
      <c r="AI207" s="24"/>
      <c r="AJ207" s="24"/>
      <c r="AK207" s="24"/>
      <c r="AL207" s="24"/>
      <c r="AM207" s="24"/>
    </row>
    <row r="208" spans="1:39" customFormat="1" ht="15.75">
      <c r="A208" s="326" t="s">
        <v>21</v>
      </c>
      <c r="B208" s="33"/>
      <c r="C208" s="33"/>
      <c r="D208" s="73"/>
      <c r="E208" s="50"/>
      <c r="F208" s="25"/>
      <c r="G208" s="33"/>
      <c r="H208" s="50"/>
      <c r="I208" s="33"/>
      <c r="J208" s="33"/>
      <c r="K208" s="15"/>
      <c r="L208" s="33"/>
      <c r="M208" s="25"/>
      <c r="N208" s="33"/>
      <c r="O208" s="33"/>
      <c r="P208" s="50"/>
      <c r="Q208" s="50"/>
      <c r="R208" s="88"/>
      <c r="S208" s="33"/>
      <c r="T208" s="504"/>
      <c r="U208" s="418" t="s">
        <v>748</v>
      </c>
      <c r="V208" s="418" t="s">
        <v>748</v>
      </c>
      <c r="W208" s="24"/>
      <c r="X208" s="24"/>
      <c r="Y208" s="13"/>
      <c r="Z208" s="14"/>
      <c r="AA208" s="25"/>
      <c r="AB208" s="418"/>
      <c r="AC208" s="418"/>
      <c r="AD208" s="33"/>
      <c r="AE208" s="24"/>
      <c r="AF208" s="13"/>
      <c r="AG208" s="98"/>
      <c r="AH208" s="14"/>
      <c r="AI208" s="24"/>
      <c r="AJ208" s="24"/>
      <c r="AK208" s="24"/>
      <c r="AL208" s="24"/>
      <c r="AM208" s="24"/>
    </row>
    <row r="209" spans="1:39" customFormat="1">
      <c r="A209" s="327" t="s">
        <v>22</v>
      </c>
      <c r="B209" s="33"/>
      <c r="C209" s="33"/>
      <c r="D209" s="78"/>
      <c r="E209" s="50"/>
      <c r="F209" s="26"/>
      <c r="G209" s="33"/>
      <c r="H209" s="50"/>
      <c r="I209" s="33"/>
      <c r="J209" s="33"/>
      <c r="K209" s="15"/>
      <c r="L209" s="33"/>
      <c r="M209" s="26"/>
      <c r="N209" s="33"/>
      <c r="O209" s="33"/>
      <c r="P209" s="50"/>
      <c r="Q209" s="50"/>
      <c r="R209" s="88"/>
      <c r="S209" s="33"/>
      <c r="T209" s="505"/>
      <c r="U209" s="27"/>
      <c r="V209" s="27"/>
      <c r="W209" s="24"/>
      <c r="X209" s="24"/>
      <c r="Y209" s="13"/>
      <c r="Z209" s="14"/>
      <c r="AA209" s="26"/>
      <c r="AB209" s="27"/>
      <c r="AC209" s="27"/>
      <c r="AD209" s="33"/>
      <c r="AE209" s="24"/>
      <c r="AF209" s="13"/>
      <c r="AG209" s="98"/>
      <c r="AH209" s="14"/>
      <c r="AI209" s="24"/>
      <c r="AJ209" s="24"/>
      <c r="AK209" s="24"/>
      <c r="AL209" s="24"/>
      <c r="AM209" s="24"/>
    </row>
    <row r="210" spans="1:39" customFormat="1" ht="15.75">
      <c r="A210" s="326" t="s">
        <v>23</v>
      </c>
      <c r="B210" s="33"/>
      <c r="C210" s="33"/>
      <c r="D210" s="73"/>
      <c r="E210" s="50"/>
      <c r="F210" s="25"/>
      <c r="G210" s="33"/>
      <c r="H210" s="50"/>
      <c r="I210" s="33"/>
      <c r="J210" s="33"/>
      <c r="K210" s="15"/>
      <c r="L210" s="33"/>
      <c r="M210" s="25"/>
      <c r="N210" s="33"/>
      <c r="O210" s="33"/>
      <c r="P210" s="50"/>
      <c r="Q210" s="50"/>
      <c r="R210" s="88"/>
      <c r="S210" s="33"/>
      <c r="T210" s="504"/>
      <c r="U210" s="418">
        <v>2916</v>
      </c>
      <c r="V210" s="418">
        <v>276</v>
      </c>
      <c r="W210" s="24"/>
      <c r="X210" s="24"/>
      <c r="Y210" s="13"/>
      <c r="Z210" s="14"/>
      <c r="AA210" s="25"/>
      <c r="AB210" s="418"/>
      <c r="AC210" s="418"/>
      <c r="AD210" s="33"/>
      <c r="AE210" s="24"/>
      <c r="AF210" s="13"/>
      <c r="AG210" s="98"/>
      <c r="AH210" s="14"/>
      <c r="AI210" s="24"/>
      <c r="AJ210" s="24"/>
      <c r="AK210" s="24"/>
      <c r="AL210" s="24"/>
      <c r="AM210" s="24"/>
    </row>
    <row r="211" spans="1:39" customFormat="1" ht="13.5" customHeight="1">
      <c r="A211" s="328" t="s">
        <v>24</v>
      </c>
      <c r="B211" s="33"/>
      <c r="C211" s="33"/>
      <c r="D211" s="79"/>
      <c r="E211" s="50"/>
      <c r="F211" s="28"/>
      <c r="G211" s="33"/>
      <c r="H211" s="50"/>
      <c r="I211" s="33"/>
      <c r="J211" s="33"/>
      <c r="K211" s="15"/>
      <c r="L211" s="33"/>
      <c r="M211" s="28"/>
      <c r="N211" s="33"/>
      <c r="O211" s="33"/>
      <c r="P211" s="50"/>
      <c r="Q211" s="50"/>
      <c r="R211" s="88"/>
      <c r="S211" s="33"/>
      <c r="T211" s="506"/>
      <c r="U211" s="24"/>
      <c r="V211" s="24"/>
      <c r="W211" s="24"/>
      <c r="X211" s="24"/>
      <c r="Y211" s="13"/>
      <c r="Z211" s="14"/>
      <c r="AA211" s="28"/>
      <c r="AB211" s="24"/>
      <c r="AC211" s="24"/>
      <c r="AD211" s="33"/>
      <c r="AE211" s="24"/>
      <c r="AF211" s="13"/>
      <c r="AG211" s="98"/>
      <c r="AH211" s="14"/>
      <c r="AI211" s="24"/>
      <c r="AJ211" s="24"/>
      <c r="AK211" s="24"/>
      <c r="AL211" s="24"/>
      <c r="AM211" s="24"/>
    </row>
    <row r="212" spans="1:39" customFormat="1" ht="15.75">
      <c r="A212" s="295" t="s">
        <v>25</v>
      </c>
      <c r="B212" s="33"/>
      <c r="C212" s="33"/>
      <c r="D212" s="58"/>
      <c r="E212" s="50"/>
      <c r="F212" s="31"/>
      <c r="G212" s="33"/>
      <c r="H212" s="50"/>
      <c r="I212" s="33"/>
      <c r="J212" s="33"/>
      <c r="K212" s="15"/>
      <c r="L212" s="33"/>
      <c r="M212" s="31"/>
      <c r="N212" s="33"/>
      <c r="O212" s="33"/>
      <c r="P212" s="50"/>
      <c r="Q212" s="50"/>
      <c r="R212" s="88"/>
      <c r="S212" s="33"/>
      <c r="T212" s="107"/>
      <c r="U212" s="32">
        <v>43579</v>
      </c>
      <c r="V212" s="32">
        <v>43597</v>
      </c>
      <c r="W212" s="24"/>
      <c r="X212" s="24"/>
      <c r="Y212" s="13"/>
      <c r="Z212" s="14"/>
      <c r="AA212" s="31"/>
      <c r="AB212" s="32"/>
      <c r="AC212" s="32"/>
      <c r="AD212" s="33"/>
      <c r="AE212" s="24"/>
      <c r="AF212" s="13"/>
      <c r="AG212" s="98"/>
      <c r="AH212" s="14"/>
      <c r="AI212" s="24"/>
      <c r="AJ212" s="24"/>
      <c r="AK212" s="24"/>
      <c r="AL212" s="24"/>
      <c r="AM212" s="24"/>
    </row>
    <row r="213" spans="1:39" customFormat="1">
      <c r="A213" s="319" t="s">
        <v>27</v>
      </c>
      <c r="B213" s="33"/>
      <c r="C213" s="33"/>
      <c r="D213" s="71"/>
      <c r="E213" s="50"/>
      <c r="F213" s="12"/>
      <c r="G213" s="33"/>
      <c r="H213" s="33"/>
      <c r="I213" s="33"/>
      <c r="J213" s="33"/>
      <c r="K213" s="15"/>
      <c r="L213" s="33"/>
      <c r="M213" s="12"/>
      <c r="N213" s="33"/>
      <c r="O213" s="33"/>
      <c r="P213" s="33"/>
      <c r="Q213" s="33"/>
      <c r="R213" s="15"/>
      <c r="S213" s="33"/>
      <c r="T213" s="451"/>
      <c r="U213" s="31" t="s">
        <v>28</v>
      </c>
      <c r="V213" s="31" t="s">
        <v>28</v>
      </c>
      <c r="W213" s="24"/>
      <c r="X213" s="24"/>
      <c r="Y213" s="13"/>
      <c r="Z213" s="14"/>
      <c r="AA213" s="12"/>
      <c r="AB213" s="24"/>
      <c r="AC213" s="24"/>
      <c r="AD213" s="33"/>
      <c r="AE213" s="24"/>
      <c r="AF213" s="13"/>
      <c r="AG213" s="98"/>
      <c r="AH213" s="14"/>
      <c r="AI213" s="24"/>
      <c r="AJ213" s="24"/>
      <c r="AK213" s="24"/>
      <c r="AL213" s="24"/>
      <c r="AM213" s="24"/>
    </row>
    <row r="214" spans="1:39" customFormat="1" ht="15.75">
      <c r="A214" s="319" t="s">
        <v>10</v>
      </c>
      <c r="B214" s="33"/>
      <c r="C214" s="33"/>
      <c r="D214" s="71"/>
      <c r="E214" s="50"/>
      <c r="F214" s="50"/>
      <c r="G214" s="33"/>
      <c r="H214" s="33"/>
      <c r="I214" s="33"/>
      <c r="J214" s="33"/>
      <c r="K214" s="15"/>
      <c r="L214" s="33"/>
      <c r="M214" s="50"/>
      <c r="N214" s="33"/>
      <c r="O214" s="33"/>
      <c r="P214" s="33"/>
      <c r="Q214" s="33"/>
      <c r="R214" s="15"/>
      <c r="S214" s="33"/>
      <c r="T214" s="112"/>
      <c r="U214" s="14"/>
      <c r="V214" s="418" t="s">
        <v>746</v>
      </c>
      <c r="W214" s="24"/>
      <c r="X214" s="24"/>
      <c r="Y214" s="13"/>
      <c r="Z214" s="14"/>
      <c r="AA214" s="50"/>
      <c r="AB214" s="418"/>
      <c r="AC214" s="24"/>
      <c r="AD214" s="33"/>
      <c r="AE214" s="33"/>
      <c r="AF214" s="13"/>
      <c r="AG214" s="98"/>
      <c r="AH214" s="14"/>
      <c r="AI214" s="24"/>
      <c r="AJ214" s="24"/>
      <c r="AK214" s="24"/>
      <c r="AL214" s="24"/>
      <c r="AM214" s="24"/>
    </row>
    <row r="215" spans="1:39" customFormat="1" ht="15.75">
      <c r="A215" s="320" t="s">
        <v>11</v>
      </c>
      <c r="B215" s="33"/>
      <c r="C215" s="33"/>
      <c r="D215" s="72"/>
      <c r="E215" s="50"/>
      <c r="F215" s="50"/>
      <c r="G215" s="33"/>
      <c r="H215" s="33"/>
      <c r="I215" s="33"/>
      <c r="J215" s="33"/>
      <c r="K215" s="15"/>
      <c r="L215" s="33"/>
      <c r="M215" s="50"/>
      <c r="N215" s="33"/>
      <c r="O215" s="33"/>
      <c r="P215" s="33"/>
      <c r="Q215" s="33"/>
      <c r="R215" s="15"/>
      <c r="S215" s="33"/>
      <c r="T215" s="112"/>
      <c r="U215" s="14"/>
      <c r="V215" s="93" t="s">
        <v>966</v>
      </c>
      <c r="W215" s="24"/>
      <c r="X215" s="24"/>
      <c r="Y215" s="13"/>
      <c r="Z215" s="14"/>
      <c r="AA215" s="50"/>
      <c r="AB215" s="93"/>
      <c r="AC215" s="24"/>
      <c r="AD215" s="33"/>
      <c r="AE215" s="33"/>
      <c r="AF215" s="13"/>
      <c r="AG215" s="98"/>
      <c r="AH215" s="14"/>
      <c r="AI215" s="24"/>
      <c r="AJ215" s="24"/>
      <c r="AK215" s="24"/>
      <c r="AL215" s="24"/>
      <c r="AM215" s="24"/>
    </row>
    <row r="216" spans="1:39" customFormat="1" ht="15.75">
      <c r="A216" s="321" t="s">
        <v>12</v>
      </c>
      <c r="B216" s="33"/>
      <c r="C216" s="33"/>
      <c r="D216" s="84"/>
      <c r="E216" s="50"/>
      <c r="F216" s="50"/>
      <c r="G216" s="33"/>
      <c r="H216" s="33"/>
      <c r="I216" s="33"/>
      <c r="J216" s="33"/>
      <c r="K216" s="15"/>
      <c r="L216" s="33"/>
      <c r="M216" s="50"/>
      <c r="N216" s="33"/>
      <c r="O216" s="33"/>
      <c r="P216" s="33"/>
      <c r="Q216" s="33"/>
      <c r="R216" s="15"/>
      <c r="S216" s="33"/>
      <c r="T216" s="112"/>
      <c r="U216" s="14"/>
      <c r="V216" s="418"/>
      <c r="W216" s="24"/>
      <c r="X216" s="24"/>
      <c r="Y216" s="13"/>
      <c r="Z216" s="14"/>
      <c r="AA216" s="50"/>
      <c r="AB216" s="418"/>
      <c r="AC216" s="24"/>
      <c r="AD216" s="33"/>
      <c r="AE216" s="33"/>
      <c r="AF216" s="13"/>
      <c r="AG216" s="98"/>
      <c r="AH216" s="14"/>
      <c r="AI216" s="24"/>
      <c r="AJ216" s="24"/>
      <c r="AK216" s="24"/>
      <c r="AL216" s="24"/>
      <c r="AM216" s="24"/>
    </row>
    <row r="217" spans="1:39" customFormat="1" ht="15.75">
      <c r="A217" s="322" t="s">
        <v>13</v>
      </c>
      <c r="B217" s="33"/>
      <c r="C217" s="33"/>
      <c r="D217" s="74"/>
      <c r="E217" s="50"/>
      <c r="F217" s="50"/>
      <c r="G217" s="33"/>
      <c r="H217" s="33"/>
      <c r="I217" s="33"/>
      <c r="J217" s="33"/>
      <c r="K217" s="15"/>
      <c r="L217" s="33"/>
      <c r="M217" s="50"/>
      <c r="N217" s="33"/>
      <c r="O217" s="33"/>
      <c r="P217" s="33"/>
      <c r="Q217" s="33"/>
      <c r="R217" s="15"/>
      <c r="S217" s="33"/>
      <c r="T217" s="112"/>
      <c r="U217" s="14"/>
      <c r="V217" s="19" t="s">
        <v>1006</v>
      </c>
      <c r="W217" s="24"/>
      <c r="X217" s="24"/>
      <c r="Y217" s="13"/>
      <c r="Z217" s="14"/>
      <c r="AA217" s="50"/>
      <c r="AB217" s="19"/>
      <c r="AC217" s="24"/>
      <c r="AD217" s="33"/>
      <c r="AE217" s="33"/>
      <c r="AF217" s="13"/>
      <c r="AG217" s="98"/>
      <c r="AH217" s="14"/>
      <c r="AI217" s="24"/>
      <c r="AJ217" s="24"/>
      <c r="AK217" s="24"/>
      <c r="AL217" s="24"/>
      <c r="AM217" s="24"/>
    </row>
    <row r="218" spans="1:39" customFormat="1" ht="15.75">
      <c r="A218" s="323" t="s">
        <v>15</v>
      </c>
      <c r="B218" s="33"/>
      <c r="C218" s="33"/>
      <c r="D218" s="75"/>
      <c r="E218" s="50"/>
      <c r="F218" s="50"/>
      <c r="G218" s="33"/>
      <c r="H218" s="33"/>
      <c r="I218" s="33"/>
      <c r="J218" s="33"/>
      <c r="K218" s="15"/>
      <c r="L218" s="33"/>
      <c r="M218" s="50"/>
      <c r="N218" s="33"/>
      <c r="O218" s="33"/>
      <c r="P218" s="33"/>
      <c r="Q218" s="33"/>
      <c r="R218" s="15"/>
      <c r="S218" s="33"/>
      <c r="T218" s="112"/>
      <c r="U218" s="14"/>
      <c r="V218" s="418" t="s">
        <v>16</v>
      </c>
      <c r="W218" s="24"/>
      <c r="X218" s="24"/>
      <c r="Y218" s="13"/>
      <c r="Z218" s="14"/>
      <c r="AA218" s="50"/>
      <c r="AB218" s="418"/>
      <c r="AC218" s="24"/>
      <c r="AD218" s="33"/>
      <c r="AE218" s="33"/>
      <c r="AF218" s="13"/>
      <c r="AG218" s="98"/>
      <c r="AH218" s="14"/>
      <c r="AI218" s="24"/>
      <c r="AJ218" s="24"/>
      <c r="AK218" s="24"/>
      <c r="AL218" s="24"/>
      <c r="AM218" s="24"/>
    </row>
    <row r="219" spans="1:39" customFormat="1" ht="15.75">
      <c r="A219" s="324" t="s">
        <v>17</v>
      </c>
      <c r="B219" s="33"/>
      <c r="C219" s="33"/>
      <c r="D219" s="76"/>
      <c r="E219" s="50"/>
      <c r="F219" s="50"/>
      <c r="G219" s="33"/>
      <c r="H219" s="33"/>
      <c r="I219" s="33"/>
      <c r="J219" s="33"/>
      <c r="K219" s="15"/>
      <c r="L219" s="33"/>
      <c r="M219" s="50"/>
      <c r="N219" s="33"/>
      <c r="O219" s="33"/>
      <c r="P219" s="33"/>
      <c r="Q219" s="33"/>
      <c r="R219" s="15"/>
      <c r="S219" s="33"/>
      <c r="T219" s="112"/>
      <c r="U219" s="14"/>
      <c r="V219" s="391" t="s">
        <v>1000</v>
      </c>
      <c r="W219" s="24"/>
      <c r="X219" s="24"/>
      <c r="Y219" s="13"/>
      <c r="Z219" s="14"/>
      <c r="AA219" s="50"/>
      <c r="AB219" s="391"/>
      <c r="AC219" s="24"/>
      <c r="AD219" s="33"/>
      <c r="AE219" s="33"/>
      <c r="AF219" s="13"/>
      <c r="AG219" s="98"/>
      <c r="AH219" s="14"/>
      <c r="AI219" s="24"/>
      <c r="AJ219" s="24"/>
      <c r="AK219" s="24"/>
      <c r="AL219" s="24"/>
      <c r="AM219" s="24"/>
    </row>
    <row r="220" spans="1:39" customFormat="1" ht="15.75">
      <c r="A220" s="325" t="s">
        <v>18</v>
      </c>
      <c r="B220" s="33"/>
      <c r="C220" s="33"/>
      <c r="D220" s="77"/>
      <c r="E220" s="50"/>
      <c r="F220" s="50"/>
      <c r="G220" s="33"/>
      <c r="H220" s="33"/>
      <c r="I220" s="33"/>
      <c r="J220" s="33"/>
      <c r="K220" s="15"/>
      <c r="L220" s="33"/>
      <c r="M220" s="50"/>
      <c r="N220" s="33"/>
      <c r="O220" s="33"/>
      <c r="P220" s="33"/>
      <c r="Q220" s="33"/>
      <c r="R220" s="15"/>
      <c r="S220" s="33"/>
      <c r="T220" s="112"/>
      <c r="U220" s="14"/>
      <c r="V220" s="23"/>
      <c r="W220" s="24"/>
      <c r="X220" s="24"/>
      <c r="Y220" s="13"/>
      <c r="Z220" s="14"/>
      <c r="AA220" s="50"/>
      <c r="AB220" s="23"/>
      <c r="AC220" s="24"/>
      <c r="AD220" s="33"/>
      <c r="AE220" s="33"/>
      <c r="AF220" s="13"/>
      <c r="AG220" s="98"/>
      <c r="AH220" s="14"/>
      <c r="AI220" s="24"/>
      <c r="AJ220" s="24"/>
      <c r="AK220" s="24"/>
      <c r="AL220" s="24"/>
      <c r="AM220" s="24"/>
    </row>
    <row r="221" spans="1:39" customFormat="1">
      <c r="A221" s="319" t="s">
        <v>20</v>
      </c>
      <c r="B221" s="33"/>
      <c r="C221" s="33"/>
      <c r="D221" s="71"/>
      <c r="E221" s="50"/>
      <c r="F221" s="50"/>
      <c r="G221" s="33"/>
      <c r="H221" s="33"/>
      <c r="I221" s="33"/>
      <c r="J221" s="33"/>
      <c r="K221" s="15"/>
      <c r="L221" s="33"/>
      <c r="M221" s="50"/>
      <c r="N221" s="33"/>
      <c r="O221" s="33"/>
      <c r="P221" s="33"/>
      <c r="Q221" s="33"/>
      <c r="R221" s="15"/>
      <c r="S221" s="33"/>
      <c r="T221" s="112"/>
      <c r="U221" s="14"/>
      <c r="V221" s="24"/>
      <c r="W221" s="24"/>
      <c r="X221" s="24"/>
      <c r="Y221" s="13"/>
      <c r="Z221" s="14"/>
      <c r="AA221" s="50"/>
      <c r="AB221" s="24"/>
      <c r="AC221" s="24"/>
      <c r="AD221" s="33"/>
      <c r="AE221" s="33"/>
      <c r="AF221" s="13"/>
      <c r="AG221" s="98"/>
      <c r="AH221" s="14"/>
      <c r="AI221" s="24"/>
      <c r="AJ221" s="24"/>
      <c r="AK221" s="24"/>
      <c r="AL221" s="24"/>
      <c r="AM221" s="24"/>
    </row>
    <row r="222" spans="1:39" customFormat="1" ht="15.75">
      <c r="A222" s="326" t="s">
        <v>21</v>
      </c>
      <c r="B222" s="33"/>
      <c r="C222" s="33"/>
      <c r="D222" s="73"/>
      <c r="E222" s="50"/>
      <c r="F222" s="50"/>
      <c r="G222" s="33"/>
      <c r="H222" s="33"/>
      <c r="I222" s="33"/>
      <c r="J222" s="33"/>
      <c r="K222" s="15"/>
      <c r="L222" s="33"/>
      <c r="M222" s="50"/>
      <c r="N222" s="33"/>
      <c r="O222" s="33"/>
      <c r="P222" s="33"/>
      <c r="Q222" s="33"/>
      <c r="R222" s="15"/>
      <c r="S222" s="33"/>
      <c r="T222" s="112"/>
      <c r="U222" s="14"/>
      <c r="V222" s="418" t="s">
        <v>747</v>
      </c>
      <c r="W222" s="24"/>
      <c r="X222" s="24"/>
      <c r="Y222" s="13"/>
      <c r="Z222" s="14"/>
      <c r="AA222" s="50"/>
      <c r="AB222" s="418"/>
      <c r="AC222" s="24"/>
      <c r="AD222" s="33"/>
      <c r="AE222" s="33"/>
      <c r="AF222" s="13"/>
      <c r="AG222" s="98"/>
      <c r="AH222" s="14"/>
      <c r="AI222" s="24"/>
      <c r="AJ222" s="24"/>
      <c r="AK222" s="24"/>
      <c r="AL222" s="24"/>
      <c r="AM222" s="24"/>
    </row>
    <row r="223" spans="1:39" customFormat="1">
      <c r="A223" s="327" t="s">
        <v>22</v>
      </c>
      <c r="B223" s="33"/>
      <c r="C223" s="33"/>
      <c r="D223" s="78"/>
      <c r="E223" s="50"/>
      <c r="F223" s="50"/>
      <c r="G223" s="33"/>
      <c r="H223" s="33"/>
      <c r="I223" s="33"/>
      <c r="J223" s="33"/>
      <c r="K223" s="15"/>
      <c r="L223" s="33"/>
      <c r="M223" s="50"/>
      <c r="N223" s="33"/>
      <c r="O223" s="33"/>
      <c r="P223" s="33"/>
      <c r="Q223" s="33"/>
      <c r="R223" s="15"/>
      <c r="S223" s="33"/>
      <c r="T223" s="112"/>
      <c r="U223" s="14"/>
      <c r="V223" s="27"/>
      <c r="W223" s="24"/>
      <c r="X223" s="24"/>
      <c r="Y223" s="13"/>
      <c r="Z223" s="14"/>
      <c r="AA223" s="50"/>
      <c r="AB223" s="27"/>
      <c r="AC223" s="24"/>
      <c r="AD223" s="33"/>
      <c r="AE223" s="33"/>
      <c r="AF223" s="13"/>
      <c r="AG223" s="98"/>
      <c r="AH223" s="14"/>
      <c r="AI223" s="24"/>
      <c r="AJ223" s="24"/>
      <c r="AK223" s="24"/>
      <c r="AL223" s="24"/>
      <c r="AM223" s="24"/>
    </row>
    <row r="224" spans="1:39" customFormat="1" ht="15.75">
      <c r="A224" s="326" t="s">
        <v>23</v>
      </c>
      <c r="B224" s="33"/>
      <c r="C224" s="33"/>
      <c r="D224" s="73"/>
      <c r="E224" s="50"/>
      <c r="F224" s="50"/>
      <c r="G224" s="33"/>
      <c r="H224" s="33"/>
      <c r="I224" s="33"/>
      <c r="J224" s="33"/>
      <c r="K224" s="15"/>
      <c r="L224" s="33"/>
      <c r="M224" s="50"/>
      <c r="N224" s="33"/>
      <c r="O224" s="33"/>
      <c r="P224" s="33"/>
      <c r="Q224" s="33"/>
      <c r="R224" s="15"/>
      <c r="S224" s="33"/>
      <c r="T224" s="112"/>
      <c r="U224" s="14"/>
      <c r="V224" s="418">
        <v>3024</v>
      </c>
      <c r="W224" s="24"/>
      <c r="X224" s="24"/>
      <c r="Y224" s="13"/>
      <c r="Z224" s="14"/>
      <c r="AA224" s="50"/>
      <c r="AB224" s="418"/>
      <c r="AC224" s="24"/>
      <c r="AD224" s="33"/>
      <c r="AE224" s="33"/>
      <c r="AF224" s="13"/>
      <c r="AG224" s="98"/>
      <c r="AH224" s="14"/>
      <c r="AI224" s="24"/>
      <c r="AJ224" s="24"/>
      <c r="AK224" s="24"/>
      <c r="AL224" s="24"/>
      <c r="AM224" s="24"/>
    </row>
    <row r="225" spans="1:39" customFormat="1" ht="14.25" customHeight="1">
      <c r="A225" s="328" t="s">
        <v>24</v>
      </c>
      <c r="B225" s="33"/>
      <c r="C225" s="33"/>
      <c r="D225" s="79"/>
      <c r="E225" s="50"/>
      <c r="F225" s="50"/>
      <c r="G225" s="33"/>
      <c r="H225" s="33"/>
      <c r="I225" s="33"/>
      <c r="J225" s="33"/>
      <c r="K225" s="15"/>
      <c r="L225" s="33"/>
      <c r="M225" s="50"/>
      <c r="N225" s="33"/>
      <c r="O225" s="33"/>
      <c r="P225" s="33"/>
      <c r="Q225" s="33"/>
      <c r="R225" s="15"/>
      <c r="S225" s="33"/>
      <c r="T225" s="112"/>
      <c r="U225" s="14"/>
      <c r="V225" s="24"/>
      <c r="W225" s="24"/>
      <c r="X225" s="24"/>
      <c r="Y225" s="13"/>
      <c r="Z225" s="14"/>
      <c r="AA225" s="50"/>
      <c r="AB225" s="24"/>
      <c r="AC225" s="24"/>
      <c r="AD225" s="33"/>
      <c r="AE225" s="33"/>
      <c r="AF225" s="13"/>
      <c r="AG225" s="98"/>
      <c r="AH225" s="14"/>
      <c r="AI225" s="24"/>
      <c r="AJ225" s="24"/>
      <c r="AK225" s="24"/>
      <c r="AL225" s="24"/>
      <c r="AM225" s="24"/>
    </row>
    <row r="226" spans="1:39" customFormat="1" ht="15.75">
      <c r="A226" s="295" t="s">
        <v>25</v>
      </c>
      <c r="B226" s="33"/>
      <c r="C226" s="33"/>
      <c r="D226" s="58"/>
      <c r="E226" s="50"/>
      <c r="F226" s="50"/>
      <c r="G226" s="33"/>
      <c r="H226" s="33"/>
      <c r="I226" s="33"/>
      <c r="J226" s="33"/>
      <c r="K226" s="15"/>
      <c r="L226" s="33"/>
      <c r="M226" s="50"/>
      <c r="N226" s="33"/>
      <c r="O226" s="33"/>
      <c r="P226" s="33"/>
      <c r="Q226" s="33"/>
      <c r="R226" s="15"/>
      <c r="S226" s="33"/>
      <c r="T226" s="112"/>
      <c r="U226" s="14"/>
      <c r="V226" s="32">
        <v>43579</v>
      </c>
      <c r="W226" s="24"/>
      <c r="X226" s="24"/>
      <c r="Y226" s="13"/>
      <c r="Z226" s="14"/>
      <c r="AA226" s="50"/>
      <c r="AB226" s="32"/>
      <c r="AC226" s="24"/>
      <c r="AD226" s="33"/>
      <c r="AE226" s="33"/>
      <c r="AF226" s="13"/>
      <c r="AG226" s="98"/>
      <c r="AH226" s="14"/>
      <c r="AI226" s="24"/>
      <c r="AJ226" s="24"/>
      <c r="AK226" s="24"/>
      <c r="AL226" s="24"/>
      <c r="AM226" s="24"/>
    </row>
    <row r="227" spans="1:39" customFormat="1">
      <c r="A227" s="319" t="s">
        <v>27</v>
      </c>
      <c r="B227" s="33"/>
      <c r="C227" s="33"/>
      <c r="D227" s="71"/>
      <c r="E227" s="50"/>
      <c r="F227" s="50"/>
      <c r="G227" s="33"/>
      <c r="H227" s="33"/>
      <c r="I227" s="33"/>
      <c r="J227" s="33"/>
      <c r="K227" s="15"/>
      <c r="L227" s="33"/>
      <c r="M227" s="50"/>
      <c r="N227" s="33"/>
      <c r="O227" s="33"/>
      <c r="P227" s="33"/>
      <c r="Q227" s="33"/>
      <c r="R227" s="15"/>
      <c r="S227" s="33"/>
      <c r="T227" s="112"/>
      <c r="U227" s="14"/>
      <c r="V227" s="31" t="s">
        <v>28</v>
      </c>
      <c r="W227" s="24"/>
      <c r="X227" s="24"/>
      <c r="Y227" s="13"/>
      <c r="Z227" s="14"/>
      <c r="AA227" s="50"/>
      <c r="AB227" s="24"/>
      <c r="AC227" s="24"/>
      <c r="AD227" s="33"/>
      <c r="AE227" s="33"/>
      <c r="AF227" s="13"/>
      <c r="AG227" s="98"/>
      <c r="AH227" s="14"/>
      <c r="AI227" s="24"/>
      <c r="AJ227" s="24"/>
      <c r="AK227" s="24"/>
      <c r="AL227" s="24"/>
      <c r="AM227" s="24"/>
    </row>
    <row r="228" spans="1:39" customFormat="1" ht="15.75">
      <c r="A228" s="319" t="s">
        <v>10</v>
      </c>
      <c r="B228" s="33"/>
      <c r="C228" s="33"/>
      <c r="D228" s="15"/>
      <c r="E228" s="33"/>
      <c r="F228" s="33"/>
      <c r="G228" s="33"/>
      <c r="H228" s="33"/>
      <c r="I228" s="33"/>
      <c r="J228" s="33"/>
      <c r="K228" s="15"/>
      <c r="L228" s="33"/>
      <c r="M228" s="33"/>
      <c r="N228" s="33"/>
      <c r="O228" s="33"/>
      <c r="P228" s="33"/>
      <c r="Q228" s="33"/>
      <c r="R228" s="15"/>
      <c r="S228" s="33"/>
      <c r="T228" s="80"/>
      <c r="U228" s="14"/>
      <c r="V228" s="24"/>
      <c r="W228" s="24"/>
      <c r="X228" s="24"/>
      <c r="Y228" s="13"/>
      <c r="Z228" s="14"/>
      <c r="AA228" s="33"/>
      <c r="AB228" s="418"/>
      <c r="AC228" s="24"/>
      <c r="AD228" s="33"/>
      <c r="AE228" s="33"/>
      <c r="AF228" s="13"/>
      <c r="AG228" s="98"/>
      <c r="AH228" s="14"/>
      <c r="AI228" s="24"/>
      <c r="AJ228" s="24"/>
      <c r="AK228" s="24"/>
      <c r="AL228" s="24"/>
      <c r="AM228" s="24"/>
    </row>
    <row r="229" spans="1:39" customFormat="1" ht="15.75">
      <c r="A229" s="320" t="s">
        <v>11</v>
      </c>
      <c r="B229" s="33"/>
      <c r="C229" s="33"/>
      <c r="D229" s="15"/>
      <c r="E229" s="33"/>
      <c r="F229" s="33"/>
      <c r="G229" s="33"/>
      <c r="H229" s="33"/>
      <c r="I229" s="33"/>
      <c r="J229" s="33"/>
      <c r="K229" s="15"/>
      <c r="L229" s="33"/>
      <c r="M229" s="33"/>
      <c r="N229" s="33"/>
      <c r="O229" s="33"/>
      <c r="P229" s="33"/>
      <c r="Q229" s="33"/>
      <c r="R229" s="15"/>
      <c r="S229" s="33"/>
      <c r="T229" s="80"/>
      <c r="U229" s="14"/>
      <c r="V229" s="24"/>
      <c r="W229" s="24"/>
      <c r="X229" s="24"/>
      <c r="Y229" s="13"/>
      <c r="Z229" s="14"/>
      <c r="AA229" s="33"/>
      <c r="AB229" s="93"/>
      <c r="AC229" s="24"/>
      <c r="AD229" s="33"/>
      <c r="AE229" s="33"/>
      <c r="AF229" s="13"/>
      <c r="AG229" s="98"/>
      <c r="AH229" s="14"/>
      <c r="AI229" s="24"/>
      <c r="AJ229" s="24"/>
      <c r="AK229" s="24"/>
      <c r="AL229" s="24"/>
      <c r="AM229" s="24"/>
    </row>
    <row r="230" spans="1:39" customFormat="1" ht="15.75">
      <c r="A230" s="321" t="s">
        <v>12</v>
      </c>
      <c r="B230" s="33"/>
      <c r="C230" s="33"/>
      <c r="D230" s="15"/>
      <c r="E230" s="33"/>
      <c r="F230" s="33"/>
      <c r="G230" s="33"/>
      <c r="H230" s="33"/>
      <c r="I230" s="33"/>
      <c r="J230" s="33"/>
      <c r="K230" s="15"/>
      <c r="L230" s="33"/>
      <c r="M230" s="33"/>
      <c r="N230" s="33"/>
      <c r="O230" s="33"/>
      <c r="P230" s="33"/>
      <c r="Q230" s="33"/>
      <c r="R230" s="15"/>
      <c r="S230" s="33"/>
      <c r="T230" s="80"/>
      <c r="U230" s="14"/>
      <c r="V230" s="24"/>
      <c r="W230" s="24"/>
      <c r="X230" s="24"/>
      <c r="Y230" s="13"/>
      <c r="Z230" s="14"/>
      <c r="AA230" s="33"/>
      <c r="AB230" s="418"/>
      <c r="AC230" s="24"/>
      <c r="AD230" s="33"/>
      <c r="AE230" s="33"/>
      <c r="AF230" s="13"/>
      <c r="AG230" s="98"/>
      <c r="AH230" s="14"/>
      <c r="AI230" s="24"/>
      <c r="AJ230" s="24"/>
      <c r="AK230" s="24"/>
      <c r="AL230" s="24"/>
      <c r="AM230" s="24"/>
    </row>
    <row r="231" spans="1:39" customFormat="1" ht="15.75">
      <c r="A231" s="322" t="s">
        <v>13</v>
      </c>
      <c r="B231" s="33"/>
      <c r="C231" s="33"/>
      <c r="D231" s="15"/>
      <c r="E231" s="33"/>
      <c r="F231" s="33"/>
      <c r="G231" s="33"/>
      <c r="H231" s="33"/>
      <c r="I231" s="33"/>
      <c r="J231" s="33"/>
      <c r="K231" s="15"/>
      <c r="L231" s="33"/>
      <c r="M231" s="33"/>
      <c r="N231" s="33"/>
      <c r="O231" s="33"/>
      <c r="P231" s="33"/>
      <c r="Q231" s="33"/>
      <c r="R231" s="15"/>
      <c r="S231" s="33"/>
      <c r="T231" s="80"/>
      <c r="U231" s="14"/>
      <c r="V231" s="24"/>
      <c r="W231" s="24"/>
      <c r="X231" s="24"/>
      <c r="Y231" s="13"/>
      <c r="Z231" s="14"/>
      <c r="AA231" s="33"/>
      <c r="AB231" s="19"/>
      <c r="AC231" s="24"/>
      <c r="AD231" s="33"/>
      <c r="AE231" s="33"/>
      <c r="AF231" s="13"/>
      <c r="AG231" s="98"/>
      <c r="AH231" s="14"/>
      <c r="AI231" s="24"/>
      <c r="AJ231" s="24"/>
      <c r="AK231" s="24"/>
      <c r="AL231" s="24"/>
      <c r="AM231" s="24"/>
    </row>
    <row r="232" spans="1:39" customFormat="1" ht="15.75">
      <c r="A232" s="323" t="s">
        <v>15</v>
      </c>
      <c r="B232" s="33"/>
      <c r="C232" s="33"/>
      <c r="D232" s="15"/>
      <c r="E232" s="33"/>
      <c r="F232" s="33"/>
      <c r="G232" s="33"/>
      <c r="H232" s="33"/>
      <c r="I232" s="33"/>
      <c r="J232" s="33"/>
      <c r="K232" s="15"/>
      <c r="L232" s="33"/>
      <c r="M232" s="33"/>
      <c r="N232" s="33"/>
      <c r="O232" s="33"/>
      <c r="P232" s="33"/>
      <c r="Q232" s="33"/>
      <c r="R232" s="15"/>
      <c r="S232" s="33"/>
      <c r="T232" s="80"/>
      <c r="U232" s="14"/>
      <c r="V232" s="24"/>
      <c r="W232" s="24"/>
      <c r="X232" s="24"/>
      <c r="Y232" s="13"/>
      <c r="Z232" s="14"/>
      <c r="AA232" s="33"/>
      <c r="AB232" s="418"/>
      <c r="AC232" s="24"/>
      <c r="AD232" s="33"/>
      <c r="AE232" s="33"/>
      <c r="AF232" s="13"/>
      <c r="AG232" s="98"/>
      <c r="AH232" s="14"/>
      <c r="AI232" s="24"/>
      <c r="AJ232" s="24"/>
      <c r="AK232" s="24"/>
      <c r="AL232" s="24"/>
      <c r="AM232" s="24"/>
    </row>
    <row r="233" spans="1:39" customFormat="1" ht="15.75">
      <c r="A233" s="324" t="s">
        <v>17</v>
      </c>
      <c r="B233" s="33"/>
      <c r="C233" s="33"/>
      <c r="D233" s="15"/>
      <c r="E233" s="33"/>
      <c r="F233" s="33"/>
      <c r="G233" s="33"/>
      <c r="H233" s="33"/>
      <c r="I233" s="33"/>
      <c r="J233" s="33"/>
      <c r="K233" s="15"/>
      <c r="L233" s="33"/>
      <c r="M233" s="33"/>
      <c r="N233" s="33"/>
      <c r="O233" s="33"/>
      <c r="P233" s="33"/>
      <c r="Q233" s="33"/>
      <c r="R233" s="15"/>
      <c r="S233" s="33"/>
      <c r="T233" s="80"/>
      <c r="U233" s="14"/>
      <c r="V233" s="24"/>
      <c r="W233" s="24"/>
      <c r="X233" s="24"/>
      <c r="Y233" s="13"/>
      <c r="Z233" s="14"/>
      <c r="AA233" s="33"/>
      <c r="AB233" s="391"/>
      <c r="AC233" s="24"/>
      <c r="AD233" s="33"/>
      <c r="AE233" s="33"/>
      <c r="AF233" s="13"/>
      <c r="AG233" s="98"/>
      <c r="AH233" s="14"/>
      <c r="AI233" s="24"/>
      <c r="AJ233" s="24"/>
      <c r="AK233" s="24"/>
      <c r="AL233" s="24"/>
      <c r="AM233" s="24"/>
    </row>
    <row r="234" spans="1:39" customFormat="1" ht="15.75">
      <c r="A234" s="325" t="s">
        <v>18</v>
      </c>
      <c r="B234" s="33"/>
      <c r="C234" s="33"/>
      <c r="D234" s="15"/>
      <c r="E234" s="33"/>
      <c r="F234" s="33"/>
      <c r="G234" s="33"/>
      <c r="H234" s="33"/>
      <c r="I234" s="33"/>
      <c r="J234" s="33"/>
      <c r="K234" s="15"/>
      <c r="L234" s="33"/>
      <c r="M234" s="33"/>
      <c r="N234" s="33"/>
      <c r="O234" s="33"/>
      <c r="P234" s="33"/>
      <c r="Q234" s="33"/>
      <c r="R234" s="15"/>
      <c r="S234" s="33"/>
      <c r="T234" s="80"/>
      <c r="U234" s="14"/>
      <c r="V234" s="24"/>
      <c r="W234" s="24"/>
      <c r="X234" s="24"/>
      <c r="Y234" s="13"/>
      <c r="Z234" s="14"/>
      <c r="AA234" s="33"/>
      <c r="AB234" s="23"/>
      <c r="AC234" s="24"/>
      <c r="AD234" s="33"/>
      <c r="AE234" s="33"/>
      <c r="AF234" s="13"/>
      <c r="AG234" s="98"/>
      <c r="AH234" s="14"/>
      <c r="AI234" s="24"/>
      <c r="AJ234" s="24"/>
      <c r="AK234" s="24"/>
      <c r="AL234" s="24"/>
      <c r="AM234" s="24"/>
    </row>
    <row r="235" spans="1:39" customFormat="1">
      <c r="A235" s="319" t="s">
        <v>20</v>
      </c>
      <c r="B235" s="33"/>
      <c r="C235" s="33"/>
      <c r="D235" s="15"/>
      <c r="E235" s="33"/>
      <c r="F235" s="33"/>
      <c r="G235" s="33"/>
      <c r="H235" s="33"/>
      <c r="I235" s="33"/>
      <c r="J235" s="33"/>
      <c r="K235" s="15"/>
      <c r="L235" s="33"/>
      <c r="M235" s="33"/>
      <c r="N235" s="33"/>
      <c r="O235" s="33"/>
      <c r="P235" s="33"/>
      <c r="Q235" s="33"/>
      <c r="R235" s="15"/>
      <c r="S235" s="33"/>
      <c r="T235" s="80"/>
      <c r="U235" s="14"/>
      <c r="V235" s="24"/>
      <c r="W235" s="24"/>
      <c r="X235" s="24"/>
      <c r="Y235" s="13"/>
      <c r="Z235" s="14"/>
      <c r="AA235" s="33"/>
      <c r="AB235" s="24"/>
      <c r="AC235" s="24"/>
      <c r="AD235" s="33"/>
      <c r="AE235" s="33"/>
      <c r="AF235" s="13"/>
      <c r="AG235" s="98"/>
      <c r="AH235" s="14"/>
      <c r="AI235" s="24"/>
      <c r="AJ235" s="24"/>
      <c r="AK235" s="24"/>
      <c r="AL235" s="24"/>
      <c r="AM235" s="24"/>
    </row>
    <row r="236" spans="1:39" customFormat="1" ht="15.75">
      <c r="A236" s="326" t="s">
        <v>21</v>
      </c>
      <c r="B236" s="33"/>
      <c r="C236" s="33"/>
      <c r="D236" s="15"/>
      <c r="E236" s="33"/>
      <c r="F236" s="33"/>
      <c r="G236" s="33"/>
      <c r="H236" s="33"/>
      <c r="I236" s="33"/>
      <c r="J236" s="33"/>
      <c r="K236" s="15"/>
      <c r="L236" s="33"/>
      <c r="M236" s="33"/>
      <c r="N236" s="33"/>
      <c r="O236" s="33"/>
      <c r="P236" s="33"/>
      <c r="Q236" s="33"/>
      <c r="R236" s="15"/>
      <c r="S236" s="33"/>
      <c r="T236" s="80"/>
      <c r="U236" s="14"/>
      <c r="V236" s="24"/>
      <c r="W236" s="24"/>
      <c r="X236" s="24"/>
      <c r="Y236" s="13"/>
      <c r="Z236" s="14"/>
      <c r="AA236" s="33"/>
      <c r="AB236" s="418"/>
      <c r="AC236" s="24"/>
      <c r="AD236" s="33"/>
      <c r="AE236" s="33"/>
      <c r="AF236" s="13"/>
      <c r="AG236" s="98"/>
      <c r="AH236" s="14"/>
      <c r="AI236" s="24"/>
      <c r="AJ236" s="24"/>
      <c r="AK236" s="24"/>
      <c r="AL236" s="24"/>
      <c r="AM236" s="24"/>
    </row>
    <row r="237" spans="1:39" customFormat="1">
      <c r="A237" s="327" t="s">
        <v>22</v>
      </c>
      <c r="B237" s="33"/>
      <c r="C237" s="33"/>
      <c r="D237" s="15"/>
      <c r="E237" s="33"/>
      <c r="F237" s="33"/>
      <c r="G237" s="33"/>
      <c r="H237" s="33"/>
      <c r="I237" s="33"/>
      <c r="J237" s="33"/>
      <c r="K237" s="15"/>
      <c r="L237" s="33"/>
      <c r="M237" s="33"/>
      <c r="N237" s="33"/>
      <c r="O237" s="33"/>
      <c r="P237" s="33"/>
      <c r="Q237" s="33"/>
      <c r="R237" s="15"/>
      <c r="S237" s="33"/>
      <c r="T237" s="80"/>
      <c r="U237" s="14"/>
      <c r="V237" s="24"/>
      <c r="W237" s="24"/>
      <c r="X237" s="24"/>
      <c r="Y237" s="13"/>
      <c r="Z237" s="14"/>
      <c r="AA237" s="33"/>
      <c r="AB237" s="27"/>
      <c r="AC237" s="24"/>
      <c r="AD237" s="33"/>
      <c r="AE237" s="33"/>
      <c r="AF237" s="13"/>
      <c r="AG237" s="98"/>
      <c r="AH237" s="14"/>
      <c r="AI237" s="24"/>
      <c r="AJ237" s="24"/>
      <c r="AK237" s="24"/>
      <c r="AL237" s="24"/>
      <c r="AM237" s="24"/>
    </row>
    <row r="238" spans="1:39" customFormat="1" ht="15.75">
      <c r="A238" s="326" t="s">
        <v>23</v>
      </c>
      <c r="B238" s="33"/>
      <c r="C238" s="33"/>
      <c r="D238" s="15"/>
      <c r="E238" s="33"/>
      <c r="F238" s="33"/>
      <c r="G238" s="33"/>
      <c r="H238" s="33"/>
      <c r="I238" s="33"/>
      <c r="J238" s="33"/>
      <c r="K238" s="15"/>
      <c r="L238" s="33"/>
      <c r="M238" s="33"/>
      <c r="N238" s="33"/>
      <c r="O238" s="33"/>
      <c r="P238" s="33"/>
      <c r="Q238" s="33"/>
      <c r="R238" s="15"/>
      <c r="S238" s="33"/>
      <c r="T238" s="80"/>
      <c r="U238" s="14"/>
      <c r="V238" s="24"/>
      <c r="W238" s="24"/>
      <c r="X238" s="24"/>
      <c r="Y238" s="13"/>
      <c r="Z238" s="14"/>
      <c r="AA238" s="33"/>
      <c r="AB238" s="418"/>
      <c r="AC238" s="24"/>
      <c r="AD238" s="33"/>
      <c r="AE238" s="33"/>
      <c r="AF238" s="13"/>
      <c r="AG238" s="98"/>
      <c r="AH238" s="14"/>
      <c r="AI238" s="24"/>
      <c r="AJ238" s="24"/>
      <c r="AK238" s="24"/>
      <c r="AL238" s="24"/>
      <c r="AM238" s="24"/>
    </row>
    <row r="239" spans="1:39" customFormat="1" ht="12" customHeight="1">
      <c r="A239" s="328" t="s">
        <v>24</v>
      </c>
      <c r="B239" s="33"/>
      <c r="C239" s="33"/>
      <c r="D239" s="15"/>
      <c r="E239" s="33"/>
      <c r="F239" s="33"/>
      <c r="G239" s="33"/>
      <c r="H239" s="33"/>
      <c r="I239" s="33"/>
      <c r="J239" s="33"/>
      <c r="K239" s="15"/>
      <c r="L239" s="33"/>
      <c r="M239" s="33"/>
      <c r="N239" s="33"/>
      <c r="O239" s="33"/>
      <c r="P239" s="33"/>
      <c r="Q239" s="33"/>
      <c r="R239" s="15"/>
      <c r="S239" s="33"/>
      <c r="T239" s="80"/>
      <c r="U239" s="14"/>
      <c r="V239" s="24"/>
      <c r="W239" s="24"/>
      <c r="X239" s="24"/>
      <c r="Y239" s="13"/>
      <c r="Z239" s="14"/>
      <c r="AA239" s="33"/>
      <c r="AB239" s="24"/>
      <c r="AC239" s="24"/>
      <c r="AD239" s="33"/>
      <c r="AE239" s="33"/>
      <c r="AF239" s="13"/>
      <c r="AG239" s="98"/>
      <c r="AH239" s="14"/>
      <c r="AI239" s="24"/>
      <c r="AJ239" s="24"/>
      <c r="AK239" s="24"/>
      <c r="AL239" s="24"/>
      <c r="AM239" s="24"/>
    </row>
    <row r="240" spans="1:39" customFormat="1" ht="13.5" customHeight="1">
      <c r="A240" s="295" t="s">
        <v>25</v>
      </c>
      <c r="B240" s="33"/>
      <c r="C240" s="33"/>
      <c r="D240" s="15"/>
      <c r="E240" s="33"/>
      <c r="F240" s="33"/>
      <c r="G240" s="33"/>
      <c r="H240" s="33"/>
      <c r="I240" s="33"/>
      <c r="J240" s="33"/>
      <c r="K240" s="15"/>
      <c r="L240" s="33"/>
      <c r="M240" s="33"/>
      <c r="N240" s="33"/>
      <c r="O240" s="33"/>
      <c r="P240" s="33"/>
      <c r="Q240" s="33"/>
      <c r="R240" s="15"/>
      <c r="S240" s="33"/>
      <c r="T240" s="80"/>
      <c r="U240" s="14"/>
      <c r="V240" s="24"/>
      <c r="W240" s="24"/>
      <c r="X240" s="24"/>
      <c r="Y240" s="13"/>
      <c r="Z240" s="14"/>
      <c r="AA240" s="33"/>
      <c r="AB240" s="32"/>
      <c r="AC240" s="24"/>
      <c r="AD240" s="33"/>
      <c r="AE240" s="33"/>
      <c r="AF240" s="13"/>
      <c r="AG240" s="98"/>
      <c r="AH240" s="14"/>
      <c r="AI240" s="24"/>
      <c r="AJ240" s="24"/>
      <c r="AK240" s="24"/>
      <c r="AL240" s="24"/>
      <c r="AM240" s="24"/>
    </row>
    <row r="241" spans="1:39" customFormat="1" ht="15.75" thickBot="1">
      <c r="A241" s="319" t="s">
        <v>27</v>
      </c>
      <c r="B241" s="35"/>
      <c r="C241" s="35"/>
      <c r="D241" s="34"/>
      <c r="E241" s="35"/>
      <c r="F241" s="35"/>
      <c r="G241" s="35"/>
      <c r="H241" s="35"/>
      <c r="I241" s="35"/>
      <c r="J241" s="35"/>
      <c r="K241" s="34"/>
      <c r="L241" s="35"/>
      <c r="M241" s="35"/>
      <c r="N241" s="35"/>
      <c r="O241" s="35"/>
      <c r="P241" s="35"/>
      <c r="Q241" s="35"/>
      <c r="R241" s="34"/>
      <c r="S241" s="35"/>
      <c r="T241" s="81"/>
      <c r="U241" s="14"/>
      <c r="V241" s="24"/>
      <c r="W241" s="24"/>
      <c r="X241" s="24"/>
      <c r="Y241" s="13"/>
      <c r="Z241" s="14"/>
      <c r="AA241" s="35"/>
      <c r="AB241" s="14"/>
      <c r="AC241" s="14"/>
      <c r="AD241" s="35"/>
      <c r="AE241" s="35"/>
      <c r="AF241" s="13"/>
      <c r="AG241" s="99"/>
      <c r="AH241" s="14"/>
      <c r="AI241" s="24"/>
      <c r="AJ241" s="24"/>
      <c r="AK241" s="24"/>
      <c r="AL241" s="24"/>
      <c r="AM241" s="24"/>
    </row>
    <row r="242" spans="1:39" customFormat="1" ht="12.75" customHeight="1" thickBot="1">
      <c r="A242" s="216" t="s">
        <v>36</v>
      </c>
      <c r="B242" s="37">
        <f t="shared" ref="B242:AF242" si="11">+B238+B224+B210+B196</f>
        <v>30000</v>
      </c>
      <c r="C242" s="37">
        <f t="shared" si="11"/>
        <v>0</v>
      </c>
      <c r="D242" s="37">
        <f t="shared" si="11"/>
        <v>0</v>
      </c>
      <c r="E242" s="37">
        <f t="shared" si="11"/>
        <v>0</v>
      </c>
      <c r="F242" s="37">
        <f t="shared" si="11"/>
        <v>0</v>
      </c>
      <c r="G242" s="37">
        <f t="shared" si="11"/>
        <v>0</v>
      </c>
      <c r="H242" s="37">
        <f t="shared" si="11"/>
        <v>0</v>
      </c>
      <c r="I242" s="37">
        <f t="shared" si="11"/>
        <v>0</v>
      </c>
      <c r="J242" s="37">
        <f t="shared" si="11"/>
        <v>0</v>
      </c>
      <c r="K242" s="37">
        <f t="shared" si="11"/>
        <v>0</v>
      </c>
      <c r="L242" s="37">
        <f t="shared" si="11"/>
        <v>0</v>
      </c>
      <c r="M242" s="37">
        <f t="shared" si="11"/>
        <v>0</v>
      </c>
      <c r="N242" s="37">
        <f t="shared" si="11"/>
        <v>0</v>
      </c>
      <c r="O242" s="37">
        <f t="shared" si="11"/>
        <v>0</v>
      </c>
      <c r="P242" s="37">
        <f t="shared" si="11"/>
        <v>0</v>
      </c>
      <c r="Q242" s="37">
        <f t="shared" si="11"/>
        <v>0</v>
      </c>
      <c r="R242" s="37">
        <f t="shared" si="11"/>
        <v>0</v>
      </c>
      <c r="S242" s="37">
        <f t="shared" si="11"/>
        <v>0</v>
      </c>
      <c r="T242" s="37">
        <f t="shared" si="11"/>
        <v>0</v>
      </c>
      <c r="U242" s="37">
        <f t="shared" si="11"/>
        <v>3168</v>
      </c>
      <c r="V242" s="37">
        <f t="shared" si="11"/>
        <v>4068</v>
      </c>
      <c r="W242" s="37">
        <f t="shared" si="11"/>
        <v>0</v>
      </c>
      <c r="X242" s="37">
        <f t="shared" si="11"/>
        <v>0</v>
      </c>
      <c r="Y242" s="37">
        <f t="shared" si="11"/>
        <v>0</v>
      </c>
      <c r="Z242" s="37">
        <f t="shared" si="11"/>
        <v>4164</v>
      </c>
      <c r="AA242" s="37">
        <f t="shared" si="11"/>
        <v>0</v>
      </c>
      <c r="AB242" s="37">
        <f t="shared" si="11"/>
        <v>0</v>
      </c>
      <c r="AC242" s="37">
        <f t="shared" si="11"/>
        <v>0</v>
      </c>
      <c r="AD242" s="37">
        <f t="shared" si="11"/>
        <v>3780</v>
      </c>
      <c r="AE242" s="37">
        <f t="shared" si="11"/>
        <v>0</v>
      </c>
      <c r="AF242" s="37">
        <f t="shared" si="11"/>
        <v>0</v>
      </c>
      <c r="AG242" s="38"/>
      <c r="AH242" s="14"/>
      <c r="AI242" s="14"/>
    </row>
    <row r="243" spans="1:39" customFormat="1" ht="12.75" customHeight="1" thickTop="1" thickBot="1">
      <c r="A243" s="216" t="s">
        <v>37</v>
      </c>
      <c r="B243" s="144">
        <f t="shared" ref="B243:AF243" si="12">+B244*B5</f>
        <v>1680</v>
      </c>
      <c r="C243" s="40">
        <f t="shared" si="12"/>
        <v>1680</v>
      </c>
      <c r="D243" s="39">
        <f t="shared" si="12"/>
        <v>0</v>
      </c>
      <c r="E243" s="40">
        <f t="shared" si="12"/>
        <v>1995</v>
      </c>
      <c r="F243" s="40">
        <f t="shared" si="12"/>
        <v>1995</v>
      </c>
      <c r="G243" s="40">
        <f t="shared" si="12"/>
        <v>1995</v>
      </c>
      <c r="H243" s="40">
        <f t="shared" si="12"/>
        <v>1995</v>
      </c>
      <c r="I243" s="40">
        <f t="shared" si="12"/>
        <v>1995</v>
      </c>
      <c r="J243" s="40">
        <f t="shared" si="12"/>
        <v>1680</v>
      </c>
      <c r="K243" s="39">
        <f t="shared" si="12"/>
        <v>0</v>
      </c>
      <c r="L243" s="40">
        <f t="shared" si="12"/>
        <v>1995</v>
      </c>
      <c r="M243" s="40">
        <f t="shared" si="12"/>
        <v>1995</v>
      </c>
      <c r="N243" s="40">
        <f t="shared" si="12"/>
        <v>1995</v>
      </c>
      <c r="O243" s="40">
        <f t="shared" si="12"/>
        <v>1995</v>
      </c>
      <c r="P243" s="40">
        <f t="shared" si="12"/>
        <v>1995</v>
      </c>
      <c r="Q243" s="40">
        <f t="shared" si="12"/>
        <v>1680</v>
      </c>
      <c r="R243" s="39">
        <f t="shared" si="12"/>
        <v>0</v>
      </c>
      <c r="S243" s="40">
        <f t="shared" si="12"/>
        <v>1995</v>
      </c>
      <c r="T243" s="40">
        <f t="shared" si="12"/>
        <v>1995</v>
      </c>
      <c r="U243" s="40">
        <f t="shared" si="12"/>
        <v>1520</v>
      </c>
      <c r="V243" s="40">
        <f t="shared" si="12"/>
        <v>1520</v>
      </c>
      <c r="W243" s="40">
        <f t="shared" si="12"/>
        <v>1520</v>
      </c>
      <c r="X243" s="40">
        <f t="shared" si="12"/>
        <v>1280</v>
      </c>
      <c r="Y243" s="39">
        <f t="shared" si="12"/>
        <v>0</v>
      </c>
      <c r="Z243" s="40">
        <f t="shared" si="12"/>
        <v>1520</v>
      </c>
      <c r="AA243" s="40">
        <f t="shared" si="12"/>
        <v>1520</v>
      </c>
      <c r="AB243" s="40">
        <f t="shared" si="12"/>
        <v>1520</v>
      </c>
      <c r="AC243" s="40">
        <f t="shared" si="12"/>
        <v>1520</v>
      </c>
      <c r="AD243" s="40">
        <f t="shared" si="12"/>
        <v>1520</v>
      </c>
      <c r="AE243" s="40">
        <f t="shared" si="12"/>
        <v>1280</v>
      </c>
      <c r="AF243" s="39">
        <f t="shared" si="12"/>
        <v>0</v>
      </c>
      <c r="AG243" s="41">
        <f>SUM(B243:AF243)</f>
        <v>45380</v>
      </c>
      <c r="AH243" s="14"/>
      <c r="AI243" s="14"/>
    </row>
    <row r="244" spans="1:39" customFormat="1" ht="12.75" customHeight="1" thickTop="1" thickBot="1">
      <c r="A244" s="216" t="s">
        <v>38</v>
      </c>
      <c r="B244" s="145">
        <v>210</v>
      </c>
      <c r="C244" s="145">
        <v>210</v>
      </c>
      <c r="D244" s="42"/>
      <c r="E244" s="145">
        <v>210</v>
      </c>
      <c r="F244" s="145">
        <v>210</v>
      </c>
      <c r="G244" s="145">
        <v>210</v>
      </c>
      <c r="H244" s="145">
        <v>210</v>
      </c>
      <c r="I244" s="145">
        <v>210</v>
      </c>
      <c r="J244" s="145">
        <v>210</v>
      </c>
      <c r="K244" s="42"/>
      <c r="L244" s="145">
        <v>210</v>
      </c>
      <c r="M244" s="145">
        <v>210</v>
      </c>
      <c r="N244" s="145">
        <v>210</v>
      </c>
      <c r="O244" s="145">
        <v>210</v>
      </c>
      <c r="P244" s="145">
        <v>210</v>
      </c>
      <c r="Q244" s="145">
        <v>210</v>
      </c>
      <c r="R244" s="42"/>
      <c r="S244" s="145">
        <v>210</v>
      </c>
      <c r="T244" s="145">
        <v>210</v>
      </c>
      <c r="U244" s="43">
        <v>160</v>
      </c>
      <c r="V244" s="43">
        <v>160</v>
      </c>
      <c r="W244" s="43">
        <v>160</v>
      </c>
      <c r="X244" s="43">
        <v>160</v>
      </c>
      <c r="Y244" s="42"/>
      <c r="Z244" s="43">
        <v>160</v>
      </c>
      <c r="AA244" s="43">
        <v>160</v>
      </c>
      <c r="AB244" s="43">
        <v>160</v>
      </c>
      <c r="AC244" s="43">
        <v>160</v>
      </c>
      <c r="AD244" s="43">
        <v>160</v>
      </c>
      <c r="AE244" s="43">
        <v>160</v>
      </c>
      <c r="AF244" s="42"/>
      <c r="AG244" s="44"/>
      <c r="AH244" s="14"/>
      <c r="AI244" s="14"/>
    </row>
    <row r="245" spans="1:39" customFormat="1" ht="12.75" customHeight="1" thickTop="1" thickBot="1">
      <c r="A245" s="217"/>
      <c r="B245" s="144">
        <f t="shared" ref="B245:AF245" si="13">IF(A245+B242-B243&lt;0,0,A245+B242-B243)</f>
        <v>28320</v>
      </c>
      <c r="C245" s="40">
        <f t="shared" si="13"/>
        <v>26640</v>
      </c>
      <c r="D245" s="39">
        <f t="shared" si="13"/>
        <v>26640</v>
      </c>
      <c r="E245" s="40">
        <f t="shared" si="13"/>
        <v>24645</v>
      </c>
      <c r="F245" s="40">
        <f t="shared" si="13"/>
        <v>22650</v>
      </c>
      <c r="G245" s="40">
        <f t="shared" si="13"/>
        <v>20655</v>
      </c>
      <c r="H245" s="40">
        <f t="shared" si="13"/>
        <v>18660</v>
      </c>
      <c r="I245" s="40">
        <f t="shared" si="13"/>
        <v>16665</v>
      </c>
      <c r="J245" s="40">
        <f t="shared" si="13"/>
        <v>14985</v>
      </c>
      <c r="K245" s="39">
        <f t="shared" si="13"/>
        <v>14985</v>
      </c>
      <c r="L245" s="40">
        <f t="shared" si="13"/>
        <v>12990</v>
      </c>
      <c r="M245" s="40">
        <f t="shared" si="13"/>
        <v>10995</v>
      </c>
      <c r="N245" s="40">
        <f t="shared" si="13"/>
        <v>9000</v>
      </c>
      <c r="O245" s="40">
        <f t="shared" si="13"/>
        <v>7005</v>
      </c>
      <c r="P245" s="40">
        <f t="shared" si="13"/>
        <v>5010</v>
      </c>
      <c r="Q245" s="40">
        <f t="shared" si="13"/>
        <v>3330</v>
      </c>
      <c r="R245" s="39">
        <f t="shared" si="13"/>
        <v>3330</v>
      </c>
      <c r="S245" s="40">
        <f t="shared" si="13"/>
        <v>1335</v>
      </c>
      <c r="T245" s="40">
        <f t="shared" si="13"/>
        <v>0</v>
      </c>
      <c r="U245" s="40">
        <f t="shared" si="13"/>
        <v>1648</v>
      </c>
      <c r="V245" s="40">
        <f t="shared" si="13"/>
        <v>4196</v>
      </c>
      <c r="W245" s="40">
        <f t="shared" si="13"/>
        <v>2676</v>
      </c>
      <c r="X245" s="40">
        <f t="shared" si="13"/>
        <v>1396</v>
      </c>
      <c r="Y245" s="39">
        <f t="shared" si="13"/>
        <v>1396</v>
      </c>
      <c r="Z245" s="40">
        <f t="shared" si="13"/>
        <v>4040</v>
      </c>
      <c r="AA245" s="40">
        <f t="shared" si="13"/>
        <v>2520</v>
      </c>
      <c r="AB245" s="40">
        <f t="shared" si="13"/>
        <v>1000</v>
      </c>
      <c r="AC245" s="40">
        <f t="shared" si="13"/>
        <v>0</v>
      </c>
      <c r="AD245" s="40">
        <f t="shared" si="13"/>
        <v>2260</v>
      </c>
      <c r="AE245" s="46">
        <f t="shared" si="13"/>
        <v>980</v>
      </c>
      <c r="AF245" s="39">
        <f t="shared" si="13"/>
        <v>980</v>
      </c>
      <c r="AG245" s="47">
        <f>IF(AE245+AG242-AG243&lt;0,0,AE245+AG242-AG243)</f>
        <v>0</v>
      </c>
      <c r="AH245" s="14"/>
      <c r="AI245" s="14"/>
    </row>
    <row r="246" spans="1:39" customFormat="1" ht="17.25" customHeight="1" thickBot="1">
      <c r="A246" s="60"/>
      <c r="B246" s="60"/>
      <c r="C246" s="60"/>
      <c r="D246" s="61"/>
      <c r="E246" s="60"/>
      <c r="F246" s="60"/>
      <c r="G246" s="60"/>
      <c r="H246" s="60"/>
      <c r="I246" s="60"/>
      <c r="J246" s="60"/>
      <c r="K246" s="61"/>
      <c r="L246" s="60"/>
      <c r="M246" s="60"/>
      <c r="N246" s="60"/>
      <c r="O246" s="60"/>
      <c r="P246" s="60"/>
      <c r="Q246" s="60"/>
      <c r="R246" s="61"/>
      <c r="S246" s="60"/>
      <c r="T246" s="60"/>
      <c r="U246" s="60"/>
      <c r="V246" s="60"/>
      <c r="W246" s="60"/>
      <c r="X246" s="60"/>
      <c r="Y246" s="61"/>
      <c r="Z246" s="60"/>
      <c r="AA246" s="60"/>
      <c r="AB246" s="60"/>
      <c r="AC246" s="60"/>
      <c r="AD246" s="60"/>
      <c r="AE246" s="60"/>
      <c r="AF246" s="60"/>
      <c r="AG246" s="60"/>
      <c r="AH246" s="14"/>
      <c r="AI246" s="14"/>
    </row>
    <row r="247" spans="1:39" customFormat="1" ht="17.25" customHeight="1" thickTop="1" thickBot="1">
      <c r="A247" s="62" t="s">
        <v>56</v>
      </c>
      <c r="B247" s="43">
        <f t="shared" ref="B247:AG247" si="14">+B243+B183+B123+B63</f>
        <v>6160</v>
      </c>
      <c r="C247" s="43">
        <f t="shared" si="14"/>
        <v>6160</v>
      </c>
      <c r="D247" s="42">
        <f t="shared" si="14"/>
        <v>0</v>
      </c>
      <c r="E247" s="43">
        <f t="shared" si="14"/>
        <v>7030</v>
      </c>
      <c r="F247" s="43">
        <f t="shared" si="14"/>
        <v>6840</v>
      </c>
      <c r="G247" s="43">
        <f t="shared" si="14"/>
        <v>6745</v>
      </c>
      <c r="H247" s="43">
        <f t="shared" si="14"/>
        <v>6745</v>
      </c>
      <c r="I247" s="43">
        <f t="shared" si="14"/>
        <v>6745</v>
      </c>
      <c r="J247" s="43">
        <f t="shared" si="14"/>
        <v>6192</v>
      </c>
      <c r="K247" s="42">
        <f t="shared" si="14"/>
        <v>0</v>
      </c>
      <c r="L247" s="43">
        <f t="shared" si="14"/>
        <v>7353</v>
      </c>
      <c r="M247" s="43">
        <f>+M243+M183+M123+M63</f>
        <v>7353</v>
      </c>
      <c r="N247" s="43">
        <f t="shared" si="14"/>
        <v>7353</v>
      </c>
      <c r="O247" s="43">
        <f t="shared" si="14"/>
        <v>7353</v>
      </c>
      <c r="P247" s="43">
        <f t="shared" si="14"/>
        <v>7353</v>
      </c>
      <c r="Q247" s="43">
        <f t="shared" si="14"/>
        <v>6192</v>
      </c>
      <c r="R247" s="42">
        <f t="shared" si="14"/>
        <v>0</v>
      </c>
      <c r="S247" s="43">
        <f t="shared" si="14"/>
        <v>7353</v>
      </c>
      <c r="T247" s="43">
        <f t="shared" si="14"/>
        <v>7353</v>
      </c>
      <c r="U247" s="43">
        <f t="shared" si="14"/>
        <v>6878</v>
      </c>
      <c r="V247" s="43">
        <f t="shared" si="14"/>
        <v>6878</v>
      </c>
      <c r="W247" s="43">
        <f t="shared" si="14"/>
        <v>6878</v>
      </c>
      <c r="X247" s="43">
        <f t="shared" si="14"/>
        <v>5792</v>
      </c>
      <c r="Y247" s="42">
        <f t="shared" si="14"/>
        <v>0</v>
      </c>
      <c r="Z247" s="43">
        <f t="shared" si="14"/>
        <v>6878</v>
      </c>
      <c r="AA247" s="43">
        <f t="shared" si="14"/>
        <v>6878</v>
      </c>
      <c r="AB247" s="43">
        <f t="shared" si="14"/>
        <v>6878</v>
      </c>
      <c r="AC247" s="43">
        <f t="shared" si="14"/>
        <v>6878</v>
      </c>
      <c r="AD247" s="43">
        <f t="shared" si="14"/>
        <v>6878</v>
      </c>
      <c r="AE247" s="43">
        <f t="shared" si="14"/>
        <v>5792</v>
      </c>
      <c r="AF247" s="43">
        <f t="shared" si="14"/>
        <v>0</v>
      </c>
      <c r="AG247" s="43">
        <f t="shared" si="14"/>
        <v>176888</v>
      </c>
      <c r="AH247" s="14"/>
      <c r="AI247" s="14"/>
    </row>
    <row r="248" spans="1:39" ht="25.5" customHeight="1" thickTop="1">
      <c r="A248" s="63"/>
      <c r="B248" s="64"/>
      <c r="C248" s="65"/>
      <c r="D248" s="66" t="s">
        <v>57</v>
      </c>
      <c r="E248" s="67"/>
      <c r="F248" s="68"/>
      <c r="G248" s="68"/>
      <c r="H248" s="65"/>
      <c r="I248" s="64"/>
      <c r="J248" s="68" t="s">
        <v>58</v>
      </c>
      <c r="K248" s="68"/>
      <c r="L248" s="68"/>
      <c r="M248" s="68"/>
      <c r="N248" s="68"/>
      <c r="O248" s="65"/>
      <c r="P248" s="64"/>
      <c r="Q248" s="68"/>
      <c r="R248" s="68"/>
      <c r="S248" s="67"/>
      <c r="T248" s="65" t="s">
        <v>59</v>
      </c>
      <c r="U248" s="67"/>
      <c r="V248" s="68"/>
      <c r="W248" s="67"/>
      <c r="X248" s="64" t="s">
        <v>60</v>
      </c>
      <c r="Y248" s="69"/>
      <c r="Z248" s="68"/>
      <c r="AA248" s="65"/>
      <c r="AB248" s="68" t="s">
        <v>61</v>
      </c>
      <c r="AC248" s="68"/>
      <c r="AD248" s="64"/>
      <c r="AE248" s="68"/>
      <c r="AF248" s="65"/>
      <c r="AG248" s="69">
        <f>+[9]T03!$AG$247</f>
        <v>186375</v>
      </c>
      <c r="AH248" s="210"/>
      <c r="AI248" s="67"/>
    </row>
    <row r="249" spans="1:39">
      <c r="AG249" s="24">
        <f>+[10]T03!$AG$247</f>
        <v>180011</v>
      </c>
    </row>
    <row r="250" spans="1:39">
      <c r="AG250" s="24">
        <f>+[11]T3.2019!$AG$263</f>
        <v>209440</v>
      </c>
    </row>
    <row r="251" spans="1:39">
      <c r="AG251" s="24">
        <f>+[12]T03!$AG$247</f>
        <v>186355</v>
      </c>
    </row>
    <row r="252" spans="1:39">
      <c r="AG252" s="415">
        <f>+[13]T03!$AG$66</f>
        <v>58275</v>
      </c>
    </row>
    <row r="253" spans="1:39">
      <c r="AG253" s="24">
        <f>SUM(AG247:AG252)</f>
        <v>997344</v>
      </c>
    </row>
    <row r="254" spans="1:39">
      <c r="AG254" s="24">
        <f>+AG253/238/21</f>
        <v>199.54861944777912</v>
      </c>
    </row>
  </sheetData>
  <mergeCells count="4">
    <mergeCell ref="A1:AI1"/>
    <mergeCell ref="U2:V2"/>
    <mergeCell ref="W2:Y2"/>
    <mergeCell ref="AG3:AG4"/>
  </mergeCells>
  <conditionalFormatting sqref="K71">
    <cfRule type="cellIs" dxfId="295" priority="253" stopIfTrue="1" operator="lessThanOrEqual">
      <formula>0</formula>
    </cfRule>
  </conditionalFormatting>
  <conditionalFormatting sqref="D219 A11 A25 A39 A53 A71 A85 A99 A113 A131 A145 A159 A173 A191 A205 A219 A233 D205 D191 F205 F191">
    <cfRule type="cellIs" dxfId="294" priority="254" stopIfTrue="1" operator="lessThanOrEqual">
      <formula>0</formula>
    </cfRule>
  </conditionalFormatting>
  <conditionalFormatting sqref="M191 M205">
    <cfRule type="cellIs" dxfId="293" priority="252" stopIfTrue="1" operator="lessThanOrEqual">
      <formula>0</formula>
    </cfRule>
  </conditionalFormatting>
  <conditionalFormatting sqref="T191 T205">
    <cfRule type="cellIs" dxfId="292" priority="251" stopIfTrue="1" operator="lessThanOrEqual">
      <formula>0</formula>
    </cfRule>
  </conditionalFormatting>
  <conditionalFormatting sqref="AA205">
    <cfRule type="cellIs" dxfId="291" priority="250" stopIfTrue="1" operator="lessThanOrEqual">
      <formula>0</formula>
    </cfRule>
  </conditionalFormatting>
  <conditionalFormatting sqref="D127 C155:D155 D141">
    <cfRule type="duplicateValues" dxfId="290" priority="249"/>
  </conditionalFormatting>
  <conditionalFormatting sqref="R169 R155 R141 R127">
    <cfRule type="duplicateValues" dxfId="289" priority="256"/>
  </conditionalFormatting>
  <conditionalFormatting sqref="Y127">
    <cfRule type="duplicateValues" dxfId="288" priority="257"/>
  </conditionalFormatting>
  <conditionalFormatting sqref="P81">
    <cfRule type="duplicateValues" dxfId="287" priority="232"/>
  </conditionalFormatting>
  <conditionalFormatting sqref="P67">
    <cfRule type="duplicateValues" dxfId="286" priority="230"/>
  </conditionalFormatting>
  <conditionalFormatting sqref="J81 J67">
    <cfRule type="duplicateValues" dxfId="285" priority="228"/>
  </conditionalFormatting>
  <conditionalFormatting sqref="M67">
    <cfRule type="duplicateValues" dxfId="284" priority="227"/>
  </conditionalFormatting>
  <conditionalFormatting sqref="M81">
    <cfRule type="duplicateValues" dxfId="283" priority="226"/>
  </conditionalFormatting>
  <conditionalFormatting sqref="T67">
    <cfRule type="duplicateValues" dxfId="282" priority="222"/>
  </conditionalFormatting>
  <conditionalFormatting sqref="C127">
    <cfRule type="duplicateValues" dxfId="281" priority="216"/>
  </conditionalFormatting>
  <conditionalFormatting sqref="C141">
    <cfRule type="duplicateValues" dxfId="280" priority="215"/>
  </conditionalFormatting>
  <conditionalFormatting sqref="F21">
    <cfRule type="duplicateValues" dxfId="279" priority="211"/>
  </conditionalFormatting>
  <conditionalFormatting sqref="G21">
    <cfRule type="duplicateValues" dxfId="278" priority="210"/>
  </conditionalFormatting>
  <conditionalFormatting sqref="H35">
    <cfRule type="duplicateValues" dxfId="277" priority="195"/>
  </conditionalFormatting>
  <conditionalFormatting sqref="E67">
    <cfRule type="duplicateValues" dxfId="276" priority="197"/>
  </conditionalFormatting>
  <conditionalFormatting sqref="H21">
    <cfRule type="duplicateValues" dxfId="275" priority="196"/>
  </conditionalFormatting>
  <conditionalFormatting sqref="P21 P7">
    <cfRule type="duplicateValues" dxfId="274" priority="193"/>
  </conditionalFormatting>
  <conditionalFormatting sqref="Q49 Q35 Q21 Q7">
    <cfRule type="duplicateValues" dxfId="273" priority="192"/>
  </conditionalFormatting>
  <conditionalFormatting sqref="S21">
    <cfRule type="duplicateValues" dxfId="272" priority="191"/>
  </conditionalFormatting>
  <conditionalFormatting sqref="H7">
    <cfRule type="duplicateValues" dxfId="271" priority="189"/>
  </conditionalFormatting>
  <conditionalFormatting sqref="M21">
    <cfRule type="duplicateValues" dxfId="270" priority="188"/>
  </conditionalFormatting>
  <conditionalFormatting sqref="I21 I7">
    <cfRule type="duplicateValues" dxfId="269" priority="187"/>
  </conditionalFormatting>
  <conditionalFormatting sqref="L21 L7">
    <cfRule type="duplicateValues" dxfId="268" priority="186"/>
  </conditionalFormatting>
  <conditionalFormatting sqref="E155 E141 E127">
    <cfRule type="duplicateValues" dxfId="267" priority="182"/>
  </conditionalFormatting>
  <conditionalFormatting sqref="AB229 AB215 AB201:AC201">
    <cfRule type="duplicateValues" dxfId="266" priority="170"/>
  </conditionalFormatting>
  <conditionalFormatting sqref="Q95 Q109">
    <cfRule type="duplicateValues" dxfId="265" priority="2286"/>
  </conditionalFormatting>
  <conditionalFormatting sqref="L155 L141">
    <cfRule type="duplicateValues" dxfId="264" priority="160"/>
  </conditionalFormatting>
  <conditionalFormatting sqref="S155 S141">
    <cfRule type="duplicateValues" dxfId="263" priority="158"/>
  </conditionalFormatting>
  <conditionalFormatting sqref="Z155">
    <cfRule type="duplicateValues" dxfId="262" priority="156"/>
  </conditionalFormatting>
  <conditionalFormatting sqref="N95 N67:O67 N81:O81">
    <cfRule type="duplicateValues" dxfId="261" priority="2297"/>
  </conditionalFormatting>
  <conditionalFormatting sqref="B127">
    <cfRule type="duplicateValues" dxfId="260" priority="104"/>
  </conditionalFormatting>
  <conditionalFormatting sqref="E7 E21">
    <cfRule type="duplicateValues" dxfId="259" priority="103"/>
  </conditionalFormatting>
  <conditionalFormatting sqref="F7">
    <cfRule type="duplicateValues" dxfId="258" priority="102"/>
  </conditionalFormatting>
  <conditionalFormatting sqref="G7">
    <cfRule type="duplicateValues" dxfId="257" priority="82"/>
  </conditionalFormatting>
  <conditionalFormatting sqref="M7">
    <cfRule type="duplicateValues" dxfId="256" priority="81"/>
  </conditionalFormatting>
  <conditionalFormatting sqref="O7">
    <cfRule type="duplicateValues" dxfId="255" priority="80"/>
  </conditionalFormatting>
  <conditionalFormatting sqref="S7">
    <cfRule type="duplicateValues" dxfId="254" priority="79"/>
  </conditionalFormatting>
  <conditionalFormatting sqref="T7">
    <cfRule type="duplicateValues" dxfId="253" priority="78"/>
  </conditionalFormatting>
  <conditionalFormatting sqref="U7">
    <cfRule type="duplicateValues" dxfId="252" priority="77"/>
  </conditionalFormatting>
  <conditionalFormatting sqref="U21">
    <cfRule type="duplicateValues" dxfId="251" priority="76"/>
  </conditionalFormatting>
  <conditionalFormatting sqref="V7">
    <cfRule type="duplicateValues" dxfId="250" priority="75"/>
  </conditionalFormatting>
  <conditionalFormatting sqref="V21">
    <cfRule type="duplicateValues" dxfId="249" priority="74"/>
  </conditionalFormatting>
  <conditionalFormatting sqref="V35">
    <cfRule type="duplicateValues" dxfId="248" priority="73"/>
  </conditionalFormatting>
  <conditionalFormatting sqref="W7">
    <cfRule type="duplicateValues" dxfId="247" priority="72"/>
  </conditionalFormatting>
  <conditionalFormatting sqref="W21">
    <cfRule type="duplicateValues" dxfId="246" priority="71"/>
  </conditionalFormatting>
  <conditionalFormatting sqref="W35">
    <cfRule type="duplicateValues" dxfId="245" priority="70"/>
  </conditionalFormatting>
  <conditionalFormatting sqref="W49">
    <cfRule type="duplicateValues" dxfId="244" priority="69"/>
  </conditionalFormatting>
  <conditionalFormatting sqref="X7">
    <cfRule type="duplicateValues" dxfId="243" priority="68"/>
  </conditionalFormatting>
  <conditionalFormatting sqref="X21">
    <cfRule type="duplicateValues" dxfId="242" priority="67"/>
  </conditionalFormatting>
  <conditionalFormatting sqref="AB7">
    <cfRule type="duplicateValues" dxfId="241" priority="66"/>
  </conditionalFormatting>
  <conditionalFormatting sqref="AA7">
    <cfRule type="duplicateValues" dxfId="240" priority="65"/>
  </conditionalFormatting>
  <conditionalFormatting sqref="AA21">
    <cfRule type="duplicateValues" dxfId="239" priority="64"/>
  </conditionalFormatting>
  <conditionalFormatting sqref="AC7">
    <cfRule type="duplicateValues" dxfId="238" priority="63"/>
  </conditionalFormatting>
  <conditionalFormatting sqref="AC21">
    <cfRule type="duplicateValues" dxfId="237" priority="62"/>
  </conditionalFormatting>
  <conditionalFormatting sqref="AC35">
    <cfRule type="duplicateValues" dxfId="236" priority="61"/>
  </conditionalFormatting>
  <conditionalFormatting sqref="AD7">
    <cfRule type="duplicateValues" dxfId="235" priority="60"/>
  </conditionalFormatting>
  <conditionalFormatting sqref="AD21">
    <cfRule type="duplicateValues" dxfId="234" priority="59"/>
  </conditionalFormatting>
  <conditionalFormatting sqref="AD35">
    <cfRule type="duplicateValues" dxfId="233" priority="58"/>
  </conditionalFormatting>
  <conditionalFormatting sqref="AE7">
    <cfRule type="duplicateValues" dxfId="232" priority="57"/>
  </conditionalFormatting>
  <conditionalFormatting sqref="T81">
    <cfRule type="duplicateValues" dxfId="231" priority="56"/>
  </conditionalFormatting>
  <conditionalFormatting sqref="AA67">
    <cfRule type="duplicateValues" dxfId="230" priority="55"/>
  </conditionalFormatting>
  <conditionalFormatting sqref="AA81">
    <cfRule type="duplicateValues" dxfId="229" priority="54"/>
  </conditionalFormatting>
  <conditionalFormatting sqref="AB67">
    <cfRule type="duplicateValues" dxfId="228" priority="53"/>
  </conditionalFormatting>
  <conditionalFormatting sqref="U67">
    <cfRule type="duplicateValues" dxfId="227" priority="52"/>
  </conditionalFormatting>
  <conditionalFormatting sqref="U81">
    <cfRule type="duplicateValues" dxfId="226" priority="51"/>
  </conditionalFormatting>
  <conditionalFormatting sqref="V67">
    <cfRule type="duplicateValues" dxfId="225" priority="50"/>
  </conditionalFormatting>
  <conditionalFormatting sqref="V81">
    <cfRule type="duplicateValues" dxfId="224" priority="49"/>
  </conditionalFormatting>
  <conditionalFormatting sqref="V95">
    <cfRule type="duplicateValues" dxfId="223" priority="48"/>
  </conditionalFormatting>
  <conditionalFormatting sqref="V109">
    <cfRule type="duplicateValues" dxfId="222" priority="47"/>
  </conditionalFormatting>
  <conditionalFormatting sqref="W67">
    <cfRule type="duplicateValues" dxfId="221" priority="46"/>
  </conditionalFormatting>
  <conditionalFormatting sqref="W81">
    <cfRule type="duplicateValues" dxfId="220" priority="45"/>
  </conditionalFormatting>
  <conditionalFormatting sqref="W95">
    <cfRule type="duplicateValues" dxfId="219" priority="44"/>
  </conditionalFormatting>
  <conditionalFormatting sqref="W109">
    <cfRule type="duplicateValues" dxfId="218" priority="43"/>
  </conditionalFormatting>
  <conditionalFormatting sqref="X67">
    <cfRule type="duplicateValues" dxfId="217" priority="42"/>
  </conditionalFormatting>
  <conditionalFormatting sqref="Z67">
    <cfRule type="duplicateValues" dxfId="216" priority="41"/>
  </conditionalFormatting>
  <conditionalFormatting sqref="X81">
    <cfRule type="duplicateValues" dxfId="215" priority="40"/>
  </conditionalFormatting>
  <conditionalFormatting sqref="Z81">
    <cfRule type="duplicateValues" dxfId="214" priority="39"/>
  </conditionalFormatting>
  <conditionalFormatting sqref="X95">
    <cfRule type="duplicateValues" dxfId="213" priority="38"/>
  </conditionalFormatting>
  <conditionalFormatting sqref="Z95">
    <cfRule type="duplicateValues" dxfId="212" priority="37"/>
  </conditionalFormatting>
  <conditionalFormatting sqref="Z109">
    <cfRule type="duplicateValues" dxfId="211" priority="36"/>
  </conditionalFormatting>
  <conditionalFormatting sqref="AD67">
    <cfRule type="duplicateValues" dxfId="210" priority="35"/>
  </conditionalFormatting>
  <conditionalFormatting sqref="AD81">
    <cfRule type="duplicateValues" dxfId="209" priority="34"/>
  </conditionalFormatting>
  <conditionalFormatting sqref="AD95">
    <cfRule type="duplicateValues" dxfId="208" priority="33"/>
  </conditionalFormatting>
  <conditionalFormatting sqref="AD109">
    <cfRule type="duplicateValues" dxfId="207" priority="32"/>
  </conditionalFormatting>
  <conditionalFormatting sqref="E81">
    <cfRule type="duplicateValues" dxfId="206" priority="31"/>
  </conditionalFormatting>
  <conditionalFormatting sqref="F127">
    <cfRule type="duplicateValues" dxfId="205" priority="30"/>
  </conditionalFormatting>
  <conditionalFormatting sqref="F141">
    <cfRule type="duplicateValues" dxfId="204" priority="29"/>
  </conditionalFormatting>
  <conditionalFormatting sqref="P127">
    <cfRule type="duplicateValues" dxfId="203" priority="28"/>
  </conditionalFormatting>
  <conditionalFormatting sqref="F155">
    <cfRule type="duplicateValues" dxfId="202" priority="27"/>
  </conditionalFormatting>
  <conditionalFormatting sqref="P141">
    <cfRule type="duplicateValues" dxfId="201" priority="26"/>
  </conditionalFormatting>
  <conditionalFormatting sqref="G127">
    <cfRule type="duplicateValues" dxfId="200" priority="25"/>
  </conditionalFormatting>
  <conditionalFormatting sqref="G141">
    <cfRule type="duplicateValues" dxfId="199" priority="24"/>
  </conditionalFormatting>
  <conditionalFormatting sqref="H155">
    <cfRule type="duplicateValues" dxfId="198" priority="23"/>
  </conditionalFormatting>
  <conditionalFormatting sqref="G155">
    <cfRule type="duplicateValues" dxfId="197" priority="22"/>
  </conditionalFormatting>
  <conditionalFormatting sqref="G169">
    <cfRule type="duplicateValues" dxfId="196" priority="21"/>
  </conditionalFormatting>
  <conditionalFormatting sqref="H127">
    <cfRule type="duplicateValues" dxfId="195" priority="20"/>
  </conditionalFormatting>
  <conditionalFormatting sqref="P155">
    <cfRule type="duplicateValues" dxfId="194" priority="19"/>
  </conditionalFormatting>
  <conditionalFormatting sqref="H169">
    <cfRule type="duplicateValues" dxfId="193" priority="18"/>
  </conditionalFormatting>
  <conditionalFormatting sqref="V127">
    <cfRule type="duplicateValues" dxfId="192" priority="17"/>
  </conditionalFormatting>
  <conditionalFormatting sqref="X127">
    <cfRule type="duplicateValues" dxfId="191" priority="16"/>
  </conditionalFormatting>
  <conditionalFormatting sqref="H141">
    <cfRule type="duplicateValues" dxfId="190" priority="15"/>
  </conditionalFormatting>
  <conditionalFormatting sqref="U127">
    <cfRule type="duplicateValues" dxfId="189" priority="14"/>
  </conditionalFormatting>
  <conditionalFormatting sqref="W127">
    <cfRule type="duplicateValues" dxfId="188" priority="13"/>
  </conditionalFormatting>
  <conditionalFormatting sqref="AA127">
    <cfRule type="duplicateValues" dxfId="187" priority="12"/>
  </conditionalFormatting>
  <conditionalFormatting sqref="U187">
    <cfRule type="duplicateValues" dxfId="186" priority="11"/>
  </conditionalFormatting>
  <conditionalFormatting sqref="U201">
    <cfRule type="duplicateValues" dxfId="185" priority="10"/>
  </conditionalFormatting>
  <conditionalFormatting sqref="V187">
    <cfRule type="duplicateValues" dxfId="184" priority="9"/>
  </conditionalFormatting>
  <conditionalFormatting sqref="V201">
    <cfRule type="duplicateValues" dxfId="183" priority="8"/>
  </conditionalFormatting>
  <conditionalFormatting sqref="V215">
    <cfRule type="duplicateValues" dxfId="182" priority="7"/>
  </conditionalFormatting>
  <conditionalFormatting sqref="Z187">
    <cfRule type="duplicateValues" dxfId="181" priority="6"/>
  </conditionalFormatting>
  <conditionalFormatting sqref="AD187">
    <cfRule type="duplicateValues" dxfId="180" priority="5"/>
  </conditionalFormatting>
  <conditionalFormatting sqref="C7">
    <cfRule type="duplicateValues" dxfId="179" priority="4"/>
  </conditionalFormatting>
  <conditionalFormatting sqref="AE95">
    <cfRule type="duplicateValues" dxfId="178" priority="3"/>
  </conditionalFormatting>
  <conditionalFormatting sqref="AE81">
    <cfRule type="duplicateValues" dxfId="177" priority="2"/>
  </conditionalFormatting>
  <conditionalFormatting sqref="AE67">
    <cfRule type="duplicateValues" dxfId="176" priority="1"/>
  </conditionalFormatting>
  <pageMargins left="0" right="0" top="0" bottom="0" header="0.31496062992125984" footer="0.31496062992125984"/>
  <pageSetup paperSize="9" scale="55" orientation="landscape" r:id="rId1"/>
  <rowBreaks count="3" manualBreakCount="3">
    <brk id="65" max="16383" man="1"/>
    <brk id="125" max="16383" man="1"/>
    <brk id="185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54"/>
  <sheetViews>
    <sheetView zoomScale="70" zoomScaleNormal="70" workbookViewId="0">
      <pane xSplit="1" ySplit="5" topLeftCell="B6" activePane="bottomRight" state="frozen"/>
      <selection activeCell="P237" sqref="P237"/>
      <selection pane="topRight" activeCell="P237" sqref="P237"/>
      <selection pane="bottomLeft" activeCell="P237" sqref="P237"/>
      <selection pane="bottomRight" activeCell="J17" sqref="J17"/>
    </sheetView>
  </sheetViews>
  <sheetFormatPr defaultRowHeight="15"/>
  <cols>
    <col min="2" max="7" width="9.7109375" style="24" customWidth="1"/>
    <col min="8" max="8" width="1.5703125" style="24" customWidth="1"/>
    <col min="9" max="14" width="9.7109375" style="24" customWidth="1"/>
    <col min="15" max="16" width="1.5703125" style="24" customWidth="1"/>
    <col min="17" max="21" width="9.7109375" style="24" customWidth="1"/>
    <col min="22" max="22" width="1.5703125" style="24" customWidth="1"/>
    <col min="23" max="28" width="9.7109375" style="24" customWidth="1"/>
    <col min="29" max="29" width="1.5703125" style="24" customWidth="1"/>
    <col min="30" max="30" width="9.7109375" style="24" customWidth="1"/>
    <col min="31" max="31" width="1.5703125" style="24" customWidth="1"/>
  </cols>
  <sheetData>
    <row r="1" spans="1:35" ht="38.25" customHeight="1">
      <c r="A1" s="519" t="s">
        <v>707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</row>
    <row r="2" spans="1:35" ht="22.5" customHeight="1" thickBot="1">
      <c r="A2" s="430"/>
      <c r="B2" s="3"/>
      <c r="C2" s="3"/>
      <c r="D2" s="431" t="s">
        <v>0</v>
      </c>
      <c r="E2" s="1"/>
      <c r="F2" s="3"/>
      <c r="G2" s="1"/>
      <c r="H2" s="430" t="s">
        <v>1</v>
      </c>
      <c r="I2" s="1"/>
      <c r="J2" s="430" t="s">
        <v>2</v>
      </c>
      <c r="K2" s="5"/>
      <c r="L2" s="5"/>
      <c r="M2" s="5"/>
      <c r="N2" s="6"/>
      <c r="O2" s="432"/>
      <c r="P2" s="432"/>
      <c r="Q2" s="432"/>
      <c r="R2" s="5"/>
      <c r="S2" s="5"/>
      <c r="T2" s="5"/>
      <c r="U2" s="532" t="s">
        <v>3</v>
      </c>
      <c r="V2" s="532"/>
      <c r="W2" s="533">
        <f>+AF243+AF183+AF123+AF63</f>
        <v>161519</v>
      </c>
      <c r="X2" s="533"/>
      <c r="Y2" s="533"/>
      <c r="Z2" s="1"/>
      <c r="AA2" s="433" t="s">
        <v>4</v>
      </c>
      <c r="AB2" s="433"/>
      <c r="AC2" s="433"/>
      <c r="AD2" s="432" t="s">
        <v>5</v>
      </c>
      <c r="AE2" s="1"/>
      <c r="AF2" s="9"/>
      <c r="AG2" s="1"/>
      <c r="AH2" s="1"/>
    </row>
    <row r="3" spans="1:35" ht="23.25" thickBot="1">
      <c r="A3" s="95" t="s">
        <v>6</v>
      </c>
      <c r="B3" s="434">
        <v>43556</v>
      </c>
      <c r="C3" s="434">
        <v>43557</v>
      </c>
      <c r="D3" s="434">
        <v>43558</v>
      </c>
      <c r="E3" s="434">
        <v>43559</v>
      </c>
      <c r="F3" s="434">
        <v>43560</v>
      </c>
      <c r="G3" s="434">
        <v>43561</v>
      </c>
      <c r="H3" s="435">
        <v>43562</v>
      </c>
      <c r="I3" s="434">
        <v>43563</v>
      </c>
      <c r="J3" s="434">
        <v>43564</v>
      </c>
      <c r="K3" s="434">
        <v>43565</v>
      </c>
      <c r="L3" s="434">
        <v>43566</v>
      </c>
      <c r="M3" s="434">
        <v>43567</v>
      </c>
      <c r="N3" s="434">
        <v>43568</v>
      </c>
      <c r="O3" s="435">
        <v>43569</v>
      </c>
      <c r="P3" s="435">
        <v>43570</v>
      </c>
      <c r="Q3" s="434">
        <v>43571</v>
      </c>
      <c r="R3" s="434">
        <v>43572</v>
      </c>
      <c r="S3" s="434">
        <v>43573</v>
      </c>
      <c r="T3" s="434">
        <v>43574</v>
      </c>
      <c r="U3" s="434">
        <v>43575</v>
      </c>
      <c r="V3" s="435">
        <v>43576</v>
      </c>
      <c r="W3" s="434">
        <v>43577</v>
      </c>
      <c r="X3" s="434">
        <v>43578</v>
      </c>
      <c r="Y3" s="434">
        <v>43579</v>
      </c>
      <c r="Z3" s="434">
        <v>43580</v>
      </c>
      <c r="AA3" s="434">
        <v>43581</v>
      </c>
      <c r="AB3" s="434">
        <v>43582</v>
      </c>
      <c r="AC3" s="435">
        <v>43583</v>
      </c>
      <c r="AD3" s="434">
        <v>43584</v>
      </c>
      <c r="AE3" s="435">
        <v>43585</v>
      </c>
      <c r="AF3" s="522" t="s">
        <v>7</v>
      </c>
      <c r="AG3" s="1"/>
      <c r="AH3" s="1"/>
    </row>
    <row r="4" spans="1:35" ht="23.25" thickBot="1">
      <c r="A4" s="95" t="s">
        <v>8</v>
      </c>
      <c r="B4" s="436" t="s">
        <v>705</v>
      </c>
      <c r="C4" s="437" t="str">
        <f t="shared" ref="C4:AE4" si="0">IF(B4="日","一",IF(B4="一","二",IF(B4="二","三",IF(B4="三","四",IF(B4="四","五",IF(B4="五","六",IF(B4="六","日","")))))))</f>
        <v>二</v>
      </c>
      <c r="D4" s="436" t="str">
        <f t="shared" si="0"/>
        <v>三</v>
      </c>
      <c r="E4" s="437" t="str">
        <f t="shared" si="0"/>
        <v>四</v>
      </c>
      <c r="F4" s="437" t="str">
        <f t="shared" si="0"/>
        <v>五</v>
      </c>
      <c r="G4" s="437" t="str">
        <f t="shared" si="0"/>
        <v>六</v>
      </c>
      <c r="H4" s="438" t="str">
        <f t="shared" si="0"/>
        <v>日</v>
      </c>
      <c r="I4" s="437" t="str">
        <f t="shared" si="0"/>
        <v>一</v>
      </c>
      <c r="J4" s="437" t="str">
        <f t="shared" si="0"/>
        <v>二</v>
      </c>
      <c r="K4" s="436" t="str">
        <f t="shared" si="0"/>
        <v>三</v>
      </c>
      <c r="L4" s="437" t="str">
        <f t="shared" si="0"/>
        <v>四</v>
      </c>
      <c r="M4" s="437" t="str">
        <f t="shared" si="0"/>
        <v>五</v>
      </c>
      <c r="N4" s="437" t="str">
        <f t="shared" si="0"/>
        <v>六</v>
      </c>
      <c r="O4" s="438" t="str">
        <f t="shared" si="0"/>
        <v>日</v>
      </c>
      <c r="P4" s="438" t="str">
        <f t="shared" si="0"/>
        <v>一</v>
      </c>
      <c r="Q4" s="437" t="str">
        <f t="shared" si="0"/>
        <v>二</v>
      </c>
      <c r="R4" s="436" t="str">
        <f t="shared" si="0"/>
        <v>三</v>
      </c>
      <c r="S4" s="437" t="str">
        <f t="shared" si="0"/>
        <v>四</v>
      </c>
      <c r="T4" s="437" t="str">
        <f t="shared" si="0"/>
        <v>五</v>
      </c>
      <c r="U4" s="437" t="str">
        <f t="shared" si="0"/>
        <v>六</v>
      </c>
      <c r="V4" s="438" t="str">
        <f t="shared" si="0"/>
        <v>日</v>
      </c>
      <c r="W4" s="437" t="str">
        <f t="shared" si="0"/>
        <v>一</v>
      </c>
      <c r="X4" s="437" t="str">
        <f t="shared" si="0"/>
        <v>二</v>
      </c>
      <c r="Y4" s="436" t="str">
        <f t="shared" si="0"/>
        <v>三</v>
      </c>
      <c r="Z4" s="437" t="str">
        <f t="shared" si="0"/>
        <v>四</v>
      </c>
      <c r="AA4" s="437" t="str">
        <f t="shared" si="0"/>
        <v>五</v>
      </c>
      <c r="AB4" s="437" t="str">
        <f t="shared" si="0"/>
        <v>六</v>
      </c>
      <c r="AC4" s="438" t="str">
        <f t="shared" si="0"/>
        <v>日</v>
      </c>
      <c r="AD4" s="437" t="str">
        <f t="shared" si="0"/>
        <v>一</v>
      </c>
      <c r="AE4" s="438" t="str">
        <f t="shared" si="0"/>
        <v>二</v>
      </c>
      <c r="AF4" s="523"/>
      <c r="AG4" s="10">
        <f>+AG5*9.5</f>
        <v>180.5</v>
      </c>
      <c r="AH4" s="10">
        <f>+AH5*8</f>
        <v>40</v>
      </c>
      <c r="AI4" s="10" t="s">
        <v>9</v>
      </c>
    </row>
    <row r="5" spans="1:35" ht="15.75" thickBot="1">
      <c r="A5" s="439"/>
      <c r="B5" s="440">
        <v>9.5</v>
      </c>
      <c r="C5" s="440">
        <v>9.5</v>
      </c>
      <c r="D5" s="440">
        <v>9.5</v>
      </c>
      <c r="E5" s="440">
        <v>9.5</v>
      </c>
      <c r="F5" s="440">
        <v>9.5</v>
      </c>
      <c r="G5" s="440">
        <v>8</v>
      </c>
      <c r="H5" s="441"/>
      <c r="I5" s="440">
        <v>9.5</v>
      </c>
      <c r="J5" s="440">
        <v>9.5</v>
      </c>
      <c r="K5" s="440">
        <v>9.5</v>
      </c>
      <c r="L5" s="440">
        <v>9.5</v>
      </c>
      <c r="M5" s="440">
        <v>9.5</v>
      </c>
      <c r="N5" s="440">
        <v>8</v>
      </c>
      <c r="O5" s="441"/>
      <c r="P5" s="441"/>
      <c r="Q5" s="440">
        <v>9.5</v>
      </c>
      <c r="R5" s="440">
        <v>9.5</v>
      </c>
      <c r="S5" s="440">
        <v>9.5</v>
      </c>
      <c r="T5" s="440">
        <v>9.5</v>
      </c>
      <c r="U5" s="440">
        <v>8</v>
      </c>
      <c r="V5" s="441"/>
      <c r="W5" s="440">
        <v>9.5</v>
      </c>
      <c r="X5" s="440">
        <v>9.5</v>
      </c>
      <c r="Y5" s="440">
        <v>9.5</v>
      </c>
      <c r="Z5" s="440">
        <v>9.5</v>
      </c>
      <c r="AA5" s="440">
        <v>9.5</v>
      </c>
      <c r="AB5" s="440">
        <v>8</v>
      </c>
      <c r="AC5" s="441"/>
      <c r="AD5" s="440">
        <v>8</v>
      </c>
      <c r="AE5" s="441"/>
      <c r="AF5" s="96">
        <f>SUM(B5:AE5)</f>
        <v>220.5</v>
      </c>
      <c r="AG5" s="11">
        <f>COUNTIF(B5:AE5,9.5)</f>
        <v>19</v>
      </c>
      <c r="AH5" s="11">
        <f>COUNTIF(B5:AF5,8)</f>
        <v>5</v>
      </c>
      <c r="AI5" s="11">
        <f>COUNTA(B5:AE5)</f>
        <v>24</v>
      </c>
    </row>
    <row r="6" spans="1:35" ht="15" customHeight="1">
      <c r="A6" s="12" t="s">
        <v>10</v>
      </c>
      <c r="B6" s="418" t="s">
        <v>726</v>
      </c>
      <c r="C6" s="418" t="s">
        <v>720</v>
      </c>
      <c r="D6" s="418"/>
      <c r="E6" s="418" t="s">
        <v>720</v>
      </c>
      <c r="F6" s="418" t="s">
        <v>720</v>
      </c>
      <c r="G6" s="418" t="s">
        <v>711</v>
      </c>
      <c r="H6" s="442"/>
      <c r="I6" s="418"/>
      <c r="J6" s="418"/>
      <c r="K6" s="418"/>
      <c r="L6" s="418"/>
      <c r="N6" s="14"/>
      <c r="O6" s="442"/>
      <c r="P6" s="442"/>
      <c r="Q6" s="418"/>
      <c r="R6" s="418" t="s">
        <v>714</v>
      </c>
      <c r="S6" s="418" t="s">
        <v>714</v>
      </c>
      <c r="T6" s="51" t="s">
        <v>714</v>
      </c>
      <c r="U6" s="418" t="s">
        <v>714</v>
      </c>
      <c r="V6" s="442"/>
      <c r="W6" s="418" t="s">
        <v>714</v>
      </c>
      <c r="X6" s="418" t="s">
        <v>714</v>
      </c>
      <c r="Y6" s="418" t="s">
        <v>714</v>
      </c>
      <c r="Z6" s="418" t="s">
        <v>714</v>
      </c>
      <c r="AC6" s="442"/>
      <c r="AD6" s="418"/>
      <c r="AE6" s="442"/>
      <c r="AF6" s="97"/>
      <c r="AG6" s="14"/>
      <c r="AH6" s="14"/>
    </row>
    <row r="7" spans="1:35" ht="15" customHeight="1">
      <c r="A7" s="443" t="s">
        <v>11</v>
      </c>
      <c r="B7" s="93" t="s">
        <v>806</v>
      </c>
      <c r="C7" s="93" t="s">
        <v>808</v>
      </c>
      <c r="D7" s="93"/>
      <c r="E7" s="93" t="s">
        <v>810</v>
      </c>
      <c r="F7" s="93" t="s">
        <v>809</v>
      </c>
      <c r="G7" s="93" t="s">
        <v>811</v>
      </c>
      <c r="H7" s="72"/>
      <c r="I7" s="93"/>
      <c r="J7" s="93"/>
      <c r="K7" s="93"/>
      <c r="L7" s="93"/>
      <c r="N7" s="14"/>
      <c r="O7" s="72"/>
      <c r="P7" s="72"/>
      <c r="Q7" s="93"/>
      <c r="R7" s="93" t="s">
        <v>816</v>
      </c>
      <c r="S7" s="93" t="s">
        <v>814</v>
      </c>
      <c r="T7" s="52" t="s">
        <v>820</v>
      </c>
      <c r="U7" s="93" t="s">
        <v>825</v>
      </c>
      <c r="V7" s="72"/>
      <c r="W7" s="93" t="s">
        <v>863</v>
      </c>
      <c r="X7" s="93" t="s">
        <v>862</v>
      </c>
      <c r="Y7" s="93" t="s">
        <v>864</v>
      </c>
      <c r="Z7" s="93" t="s">
        <v>868</v>
      </c>
      <c r="AC7" s="72"/>
      <c r="AD7" s="93"/>
      <c r="AE7" s="72"/>
      <c r="AF7" s="98"/>
      <c r="AG7" s="14"/>
      <c r="AH7" s="14"/>
    </row>
    <row r="8" spans="1:35" ht="15" customHeight="1">
      <c r="A8" s="16" t="s">
        <v>12</v>
      </c>
      <c r="B8" s="418"/>
      <c r="C8" s="418"/>
      <c r="D8" s="418"/>
      <c r="E8" s="418"/>
      <c r="F8" s="418"/>
      <c r="G8" s="418"/>
      <c r="H8" s="73"/>
      <c r="I8" s="418"/>
      <c r="J8" s="418"/>
      <c r="K8" s="418"/>
      <c r="L8" s="418"/>
      <c r="N8" s="14"/>
      <c r="O8" s="73"/>
      <c r="P8" s="73"/>
      <c r="Q8" s="418"/>
      <c r="R8" s="418"/>
      <c r="S8" s="418"/>
      <c r="T8" s="127"/>
      <c r="U8" s="418"/>
      <c r="V8" s="73"/>
      <c r="W8" s="418"/>
      <c r="X8" s="418"/>
      <c r="Y8" s="418"/>
      <c r="Z8" s="418"/>
      <c r="AC8" s="73"/>
      <c r="AD8" s="418"/>
      <c r="AE8" s="73"/>
      <c r="AF8" s="98"/>
      <c r="AG8" s="14"/>
      <c r="AH8" s="14"/>
    </row>
    <row r="9" spans="1:35" ht="15" customHeight="1">
      <c r="A9" s="18" t="s">
        <v>13</v>
      </c>
      <c r="B9" s="19" t="s">
        <v>1006</v>
      </c>
      <c r="C9" s="19" t="s">
        <v>698</v>
      </c>
      <c r="D9" s="19"/>
      <c r="E9" s="19" t="s">
        <v>698</v>
      </c>
      <c r="F9" s="19" t="s">
        <v>698</v>
      </c>
      <c r="G9" s="19" t="s">
        <v>1006</v>
      </c>
      <c r="H9" s="74"/>
      <c r="I9" s="19"/>
      <c r="J9" s="19"/>
      <c r="K9" s="19"/>
      <c r="L9" s="19"/>
      <c r="N9" s="14"/>
      <c r="O9" s="74"/>
      <c r="P9" s="74"/>
      <c r="Q9" s="19"/>
      <c r="R9" s="19" t="s">
        <v>1004</v>
      </c>
      <c r="S9" s="19" t="s">
        <v>1004</v>
      </c>
      <c r="T9" s="19" t="s">
        <v>1004</v>
      </c>
      <c r="U9" s="19" t="s">
        <v>1004</v>
      </c>
      <c r="V9" s="74"/>
      <c r="W9" s="19" t="s">
        <v>1004</v>
      </c>
      <c r="X9" s="19" t="s">
        <v>1004</v>
      </c>
      <c r="Y9" s="19" t="s">
        <v>1004</v>
      </c>
      <c r="Z9" s="19" t="s">
        <v>1004</v>
      </c>
      <c r="AC9" s="74"/>
      <c r="AD9" s="19"/>
      <c r="AE9" s="74"/>
      <c r="AF9" s="98"/>
      <c r="AG9" s="14"/>
      <c r="AH9" s="14"/>
    </row>
    <row r="10" spans="1:35" ht="15" customHeight="1">
      <c r="A10" s="20" t="s">
        <v>15</v>
      </c>
      <c r="B10" s="418" t="s">
        <v>68</v>
      </c>
      <c r="C10" s="418" t="s">
        <v>16</v>
      </c>
      <c r="D10" s="418"/>
      <c r="E10" s="418" t="s">
        <v>16</v>
      </c>
      <c r="F10" s="418" t="s">
        <v>16</v>
      </c>
      <c r="G10" s="418" t="s">
        <v>16</v>
      </c>
      <c r="H10" s="75"/>
      <c r="I10" s="418"/>
      <c r="J10" s="418"/>
      <c r="K10" s="418"/>
      <c r="L10" s="418"/>
      <c r="N10" s="14"/>
      <c r="O10" s="75"/>
      <c r="P10" s="75"/>
      <c r="Q10" s="418"/>
      <c r="R10" s="418" t="s">
        <v>16</v>
      </c>
      <c r="S10" s="418" t="s">
        <v>16</v>
      </c>
      <c r="T10" s="51" t="s">
        <v>16</v>
      </c>
      <c r="U10" s="418" t="s">
        <v>16</v>
      </c>
      <c r="V10" s="75"/>
      <c r="W10" s="418" t="s">
        <v>16</v>
      </c>
      <c r="X10" s="418" t="s">
        <v>16</v>
      </c>
      <c r="Y10" s="418" t="s">
        <v>16</v>
      </c>
      <c r="Z10" s="418" t="s">
        <v>16</v>
      </c>
      <c r="AC10" s="75"/>
      <c r="AD10" s="418"/>
      <c r="AE10" s="75"/>
      <c r="AF10" s="98"/>
      <c r="AG10" s="14"/>
      <c r="AH10" s="14"/>
    </row>
    <row r="11" spans="1:35" ht="15" customHeight="1">
      <c r="A11" s="444" t="s">
        <v>17</v>
      </c>
      <c r="B11" s="391" t="s">
        <v>1000</v>
      </c>
      <c r="C11" s="391" t="s">
        <v>1000</v>
      </c>
      <c r="D11" s="391"/>
      <c r="E11" s="391" t="s">
        <v>1000</v>
      </c>
      <c r="F11" s="391" t="s">
        <v>1000</v>
      </c>
      <c r="G11" s="391" t="s">
        <v>1000</v>
      </c>
      <c r="H11" s="76"/>
      <c r="I11" s="391"/>
      <c r="J11" s="391"/>
      <c r="K11" s="391"/>
      <c r="L11" s="391"/>
      <c r="N11" s="14"/>
      <c r="O11" s="76"/>
      <c r="P11" s="76"/>
      <c r="Q11" s="391"/>
      <c r="R11" s="391" t="s">
        <v>1000</v>
      </c>
      <c r="S11" s="391" t="s">
        <v>1000</v>
      </c>
      <c r="T11" s="508" t="s">
        <v>1017</v>
      </c>
      <c r="U11" s="391" t="s">
        <v>1000</v>
      </c>
      <c r="V11" s="76"/>
      <c r="W11" s="391" t="s">
        <v>1000</v>
      </c>
      <c r="X11" s="391" t="s">
        <v>1000</v>
      </c>
      <c r="Y11" s="391" t="s">
        <v>1000</v>
      </c>
      <c r="Z11" s="391" t="s">
        <v>1000</v>
      </c>
      <c r="AC11" s="76"/>
      <c r="AD11" s="391"/>
      <c r="AE11" s="76"/>
      <c r="AF11" s="98"/>
      <c r="AG11" s="14"/>
      <c r="AH11" s="14"/>
    </row>
    <row r="12" spans="1:35" ht="15" customHeight="1">
      <c r="A12" s="22" t="s">
        <v>18</v>
      </c>
      <c r="B12" s="23"/>
      <c r="C12" s="23"/>
      <c r="D12" s="23"/>
      <c r="E12" s="23"/>
      <c r="F12" s="23"/>
      <c r="G12" s="23"/>
      <c r="H12" s="77"/>
      <c r="I12" s="23"/>
      <c r="J12" s="23"/>
      <c r="K12" s="23"/>
      <c r="L12" s="23"/>
      <c r="N12" s="14"/>
      <c r="O12" s="77"/>
      <c r="P12" s="77"/>
      <c r="Q12" s="23"/>
      <c r="R12" s="23"/>
      <c r="S12" s="23"/>
      <c r="T12" s="54"/>
      <c r="U12" s="23"/>
      <c r="V12" s="77"/>
      <c r="W12" s="23"/>
      <c r="X12" s="23"/>
      <c r="Y12" s="23"/>
      <c r="Z12" s="23"/>
      <c r="AC12" s="77"/>
      <c r="AD12" s="23"/>
      <c r="AE12" s="77"/>
      <c r="AF12" s="98"/>
      <c r="AG12" s="14"/>
      <c r="AH12" s="14"/>
    </row>
    <row r="13" spans="1:35" ht="15" customHeight="1">
      <c r="A13" s="12" t="s">
        <v>20</v>
      </c>
      <c r="H13" s="71"/>
      <c r="N13" s="14"/>
      <c r="O13" s="71"/>
      <c r="P13" s="71"/>
      <c r="R13" s="24" t="s">
        <v>107</v>
      </c>
      <c r="T13" s="55"/>
      <c r="V13" s="71"/>
      <c r="AC13" s="71"/>
      <c r="AE13" s="71"/>
      <c r="AF13" s="98"/>
      <c r="AG13" s="14"/>
      <c r="AH13" s="14"/>
    </row>
    <row r="14" spans="1:35" ht="15" customHeight="1">
      <c r="A14" s="25" t="s">
        <v>21</v>
      </c>
      <c r="B14" s="418" t="s">
        <v>730</v>
      </c>
      <c r="C14" s="418" t="s">
        <v>721</v>
      </c>
      <c r="D14" s="418"/>
      <c r="E14" s="418" t="s">
        <v>722</v>
      </c>
      <c r="F14" s="418" t="s">
        <v>722</v>
      </c>
      <c r="G14" s="418" t="s">
        <v>709</v>
      </c>
      <c r="H14" s="73"/>
      <c r="I14" s="418"/>
      <c r="J14" s="418"/>
      <c r="K14" s="418"/>
      <c r="L14" s="418"/>
      <c r="N14" s="14"/>
      <c r="O14" s="73"/>
      <c r="P14" s="73"/>
      <c r="Q14" s="418"/>
      <c r="R14" s="418" t="s">
        <v>713</v>
      </c>
      <c r="S14" s="418" t="s">
        <v>713</v>
      </c>
      <c r="T14" s="56" t="s">
        <v>715</v>
      </c>
      <c r="U14" s="418" t="s">
        <v>716</v>
      </c>
      <c r="V14" s="73"/>
      <c r="W14" s="418" t="s">
        <v>713</v>
      </c>
      <c r="X14" s="418" t="s">
        <v>713</v>
      </c>
      <c r="Y14" s="418" t="s">
        <v>715</v>
      </c>
      <c r="Z14" s="418" t="s">
        <v>715</v>
      </c>
      <c r="AC14" s="73"/>
      <c r="AD14" s="418"/>
      <c r="AE14" s="73"/>
      <c r="AF14" s="98"/>
      <c r="AG14" s="14"/>
      <c r="AH14" s="14"/>
    </row>
    <row r="15" spans="1:35" ht="15" customHeight="1">
      <c r="A15" s="26" t="s">
        <v>22</v>
      </c>
      <c r="B15" s="27"/>
      <c r="C15" s="27"/>
      <c r="D15" s="27"/>
      <c r="E15" s="27"/>
      <c r="F15" s="27"/>
      <c r="G15" s="27"/>
      <c r="H15" s="78"/>
      <c r="I15" s="27"/>
      <c r="J15" s="27"/>
      <c r="K15" s="27"/>
      <c r="L15" s="27"/>
      <c r="N15" s="14"/>
      <c r="O15" s="78"/>
      <c r="P15" s="78"/>
      <c r="Q15" s="27"/>
      <c r="R15" s="27"/>
      <c r="S15" s="27"/>
      <c r="T15" s="57"/>
      <c r="U15" s="27"/>
      <c r="V15" s="78"/>
      <c r="W15" s="27"/>
      <c r="X15" s="27"/>
      <c r="Y15" s="27"/>
      <c r="Z15" s="27"/>
      <c r="AC15" s="78"/>
      <c r="AD15" s="27"/>
      <c r="AE15" s="78"/>
      <c r="AF15" s="98"/>
      <c r="AG15" s="14"/>
      <c r="AH15" s="14"/>
    </row>
    <row r="16" spans="1:35" ht="15" customHeight="1">
      <c r="A16" s="25" t="s">
        <v>23</v>
      </c>
      <c r="B16" s="418">
        <v>252</v>
      </c>
      <c r="C16" s="418">
        <v>946</v>
      </c>
      <c r="D16" s="418"/>
      <c r="E16" s="418">
        <v>648</v>
      </c>
      <c r="F16" s="418">
        <v>2568</v>
      </c>
      <c r="G16" s="418">
        <v>12624</v>
      </c>
      <c r="H16" s="73"/>
      <c r="I16" s="418"/>
      <c r="J16" s="418"/>
      <c r="K16" s="418"/>
      <c r="L16" s="418"/>
      <c r="N16" s="14"/>
      <c r="O16" s="73"/>
      <c r="P16" s="73"/>
      <c r="Q16" s="418"/>
      <c r="R16" s="418">
        <v>576</v>
      </c>
      <c r="S16" s="418">
        <v>300</v>
      </c>
      <c r="T16" s="51">
        <v>252</v>
      </c>
      <c r="U16" s="418">
        <v>396</v>
      </c>
      <c r="V16" s="73"/>
      <c r="W16" s="418">
        <v>1356</v>
      </c>
      <c r="X16" s="418">
        <v>120</v>
      </c>
      <c r="Y16" s="418">
        <v>2256</v>
      </c>
      <c r="Z16" s="418">
        <v>120</v>
      </c>
      <c r="AC16" s="73"/>
      <c r="AD16" s="418"/>
      <c r="AE16" s="73"/>
      <c r="AF16" s="98"/>
      <c r="AG16" s="14"/>
      <c r="AH16" s="14"/>
    </row>
    <row r="17" spans="1:34" ht="15" customHeight="1">
      <c r="A17" s="28" t="s">
        <v>24</v>
      </c>
      <c r="H17" s="79"/>
      <c r="N17" s="14"/>
      <c r="O17" s="79"/>
      <c r="P17" s="79"/>
      <c r="T17" s="111"/>
      <c r="V17" s="79"/>
      <c r="AC17" s="79"/>
      <c r="AE17" s="79"/>
      <c r="AF17" s="98"/>
      <c r="AG17" s="14"/>
      <c r="AH17" s="14"/>
    </row>
    <row r="18" spans="1:34" ht="15" customHeight="1">
      <c r="A18" s="31" t="s">
        <v>25</v>
      </c>
      <c r="B18" s="32">
        <v>43590</v>
      </c>
      <c r="C18" s="32">
        <v>43590</v>
      </c>
      <c r="D18" s="32"/>
      <c r="E18" s="32">
        <v>43590</v>
      </c>
      <c r="F18" s="32">
        <v>43590</v>
      </c>
      <c r="G18" s="32">
        <v>43593</v>
      </c>
      <c r="H18" s="58"/>
      <c r="I18" s="32"/>
      <c r="J18" s="32"/>
      <c r="K18" s="32"/>
      <c r="L18" s="32"/>
      <c r="N18" s="14"/>
      <c r="O18" s="58"/>
      <c r="P18" s="58"/>
      <c r="Q18" s="32"/>
      <c r="R18" s="32">
        <v>43590</v>
      </c>
      <c r="S18" s="32">
        <v>43590</v>
      </c>
      <c r="T18" s="491">
        <v>43590</v>
      </c>
      <c r="U18" s="32">
        <v>43590</v>
      </c>
      <c r="V18" s="58"/>
      <c r="W18" s="32">
        <v>43594</v>
      </c>
      <c r="X18" s="32">
        <v>43600</v>
      </c>
      <c r="Y18" s="32">
        <v>43594</v>
      </c>
      <c r="Z18" s="32">
        <v>43600</v>
      </c>
      <c r="AC18" s="58"/>
      <c r="AD18" s="32"/>
      <c r="AE18" s="58"/>
      <c r="AF18" s="98"/>
      <c r="AG18" s="14"/>
      <c r="AH18" s="14"/>
    </row>
    <row r="19" spans="1:34" ht="15" customHeight="1">
      <c r="A19" s="12" t="s">
        <v>27</v>
      </c>
      <c r="B19" s="31" t="s">
        <v>31</v>
      </c>
      <c r="C19" s="31" t="s">
        <v>29</v>
      </c>
      <c r="E19" s="31" t="s">
        <v>29</v>
      </c>
      <c r="F19" s="31" t="s">
        <v>29</v>
      </c>
      <c r="G19" s="31" t="s">
        <v>28</v>
      </c>
      <c r="H19" s="88"/>
      <c r="L19" s="33"/>
      <c r="M19" s="50"/>
      <c r="N19" s="14"/>
      <c r="O19" s="88"/>
      <c r="P19" s="88"/>
      <c r="R19" s="31" t="s">
        <v>28</v>
      </c>
      <c r="S19" s="31" t="s">
        <v>28</v>
      </c>
      <c r="T19" s="58" t="s">
        <v>28</v>
      </c>
      <c r="U19" s="31" t="s">
        <v>28</v>
      </c>
      <c r="V19" s="88"/>
      <c r="W19" s="31" t="s">
        <v>28</v>
      </c>
      <c r="X19" s="31" t="s">
        <v>30</v>
      </c>
      <c r="Y19" s="31" t="s">
        <v>28</v>
      </c>
      <c r="Z19" s="31" t="s">
        <v>30</v>
      </c>
      <c r="AC19" s="88"/>
      <c r="AE19" s="88"/>
      <c r="AF19" s="98"/>
      <c r="AG19" s="14"/>
      <c r="AH19" s="14"/>
    </row>
    <row r="20" spans="1:34" ht="15" customHeight="1">
      <c r="A20" s="12" t="s">
        <v>10</v>
      </c>
      <c r="B20" s="418" t="s">
        <v>726</v>
      </c>
      <c r="C20" s="418" t="s">
        <v>720</v>
      </c>
      <c r="D20" s="418"/>
      <c r="H20" s="88"/>
      <c r="I20" s="418"/>
      <c r="J20" s="418"/>
      <c r="L20" s="33"/>
      <c r="M20" s="12"/>
      <c r="N20" s="14"/>
      <c r="O20" s="88"/>
      <c r="P20" s="88"/>
      <c r="Q20" s="418"/>
      <c r="R20" s="418" t="s">
        <v>714</v>
      </c>
      <c r="S20" s="418" t="s">
        <v>714</v>
      </c>
      <c r="T20" s="51" t="s">
        <v>714</v>
      </c>
      <c r="U20" s="418" t="s">
        <v>714</v>
      </c>
      <c r="V20" s="88"/>
      <c r="W20" s="418" t="s">
        <v>714</v>
      </c>
      <c r="X20" s="418" t="s">
        <v>714</v>
      </c>
      <c r="Z20" s="418" t="s">
        <v>714</v>
      </c>
      <c r="AC20" s="88"/>
      <c r="AD20" s="418"/>
      <c r="AE20" s="88"/>
      <c r="AF20" s="98"/>
      <c r="AG20" s="14"/>
      <c r="AH20" s="14"/>
    </row>
    <row r="21" spans="1:34" ht="15" customHeight="1">
      <c r="A21" s="443" t="s">
        <v>11</v>
      </c>
      <c r="B21" s="93" t="s">
        <v>805</v>
      </c>
      <c r="C21" s="93" t="s">
        <v>807</v>
      </c>
      <c r="D21" s="93"/>
      <c r="H21" s="88"/>
      <c r="I21" s="93"/>
      <c r="J21" s="93"/>
      <c r="L21" s="33"/>
      <c r="M21" s="85"/>
      <c r="N21" s="14"/>
      <c r="O21" s="88"/>
      <c r="P21" s="88"/>
      <c r="Q21" s="93"/>
      <c r="R21" s="93" t="s">
        <v>815</v>
      </c>
      <c r="S21" s="93" t="s">
        <v>813</v>
      </c>
      <c r="T21" s="52" t="s">
        <v>819</v>
      </c>
      <c r="U21" s="93" t="s">
        <v>824</v>
      </c>
      <c r="V21" s="88"/>
      <c r="W21" s="93" t="s">
        <v>861</v>
      </c>
      <c r="X21" s="93" t="s">
        <v>860</v>
      </c>
      <c r="Z21" s="93" t="s">
        <v>867</v>
      </c>
      <c r="AC21" s="88"/>
      <c r="AD21" s="93"/>
      <c r="AE21" s="88"/>
      <c r="AF21" s="98"/>
      <c r="AG21" s="14"/>
      <c r="AH21" s="14"/>
    </row>
    <row r="22" spans="1:34" ht="15" customHeight="1">
      <c r="A22" s="16" t="s">
        <v>12</v>
      </c>
      <c r="B22" s="418"/>
      <c r="C22" s="418"/>
      <c r="D22" s="418"/>
      <c r="H22" s="88"/>
      <c r="I22" s="418"/>
      <c r="J22" s="418"/>
      <c r="L22" s="33"/>
      <c r="M22" s="25"/>
      <c r="N22" s="14"/>
      <c r="O22" s="88"/>
      <c r="P22" s="88"/>
      <c r="Q22" s="418"/>
      <c r="R22" s="418"/>
      <c r="S22" s="418"/>
      <c r="T22" s="127"/>
      <c r="U22" s="418"/>
      <c r="V22" s="88"/>
      <c r="W22" s="418"/>
      <c r="X22" s="418"/>
      <c r="Z22" s="418"/>
      <c r="AC22" s="88"/>
      <c r="AD22" s="418"/>
      <c r="AE22" s="88"/>
      <c r="AF22" s="98"/>
      <c r="AG22" s="14"/>
      <c r="AH22" s="14"/>
    </row>
    <row r="23" spans="1:34" ht="15" customHeight="1">
      <c r="A23" s="18" t="s">
        <v>13</v>
      </c>
      <c r="B23" s="19" t="s">
        <v>1006</v>
      </c>
      <c r="C23" s="19" t="s">
        <v>1005</v>
      </c>
      <c r="D23" s="19"/>
      <c r="H23" s="88"/>
      <c r="I23" s="19"/>
      <c r="J23" s="19"/>
      <c r="L23" s="33"/>
      <c r="M23" s="18"/>
      <c r="N23" s="14"/>
      <c r="O23" s="88"/>
      <c r="P23" s="88"/>
      <c r="Q23" s="19"/>
      <c r="R23" s="19" t="s">
        <v>1004</v>
      </c>
      <c r="S23" s="19" t="s">
        <v>1004</v>
      </c>
      <c r="T23" s="53"/>
      <c r="U23" s="19" t="s">
        <v>1004</v>
      </c>
      <c r="V23" s="88"/>
      <c r="W23" s="19" t="s">
        <v>1004</v>
      </c>
      <c r="X23" s="19" t="s">
        <v>1004</v>
      </c>
      <c r="Z23" s="19" t="s">
        <v>1004</v>
      </c>
      <c r="AC23" s="88"/>
      <c r="AD23" s="19"/>
      <c r="AE23" s="88"/>
      <c r="AF23" s="98"/>
      <c r="AG23" s="14"/>
      <c r="AH23" s="14"/>
    </row>
    <row r="24" spans="1:34" ht="15" customHeight="1">
      <c r="A24" s="20" t="s">
        <v>15</v>
      </c>
      <c r="B24" s="418" t="s">
        <v>68</v>
      </c>
      <c r="C24" s="418" t="s">
        <v>16</v>
      </c>
      <c r="D24" s="418"/>
      <c r="H24" s="88"/>
      <c r="I24" s="418"/>
      <c r="J24" s="418"/>
      <c r="L24" s="33"/>
      <c r="M24" s="20"/>
      <c r="N24" s="14"/>
      <c r="O24" s="88"/>
      <c r="P24" s="88"/>
      <c r="Q24" s="418"/>
      <c r="R24" s="418" t="s">
        <v>16</v>
      </c>
      <c r="S24" s="418" t="s">
        <v>16</v>
      </c>
      <c r="T24" s="51" t="s">
        <v>16</v>
      </c>
      <c r="U24" s="418" t="s">
        <v>16</v>
      </c>
      <c r="V24" s="88"/>
      <c r="W24" s="418" t="s">
        <v>16</v>
      </c>
      <c r="X24" s="418" t="s">
        <v>16</v>
      </c>
      <c r="Z24" s="418" t="s">
        <v>16</v>
      </c>
      <c r="AC24" s="88"/>
      <c r="AD24" s="418"/>
      <c r="AE24" s="88"/>
      <c r="AF24" s="98"/>
      <c r="AG24" s="14"/>
      <c r="AH24" s="14"/>
    </row>
    <row r="25" spans="1:34" ht="15" customHeight="1">
      <c r="A25" s="444" t="s">
        <v>17</v>
      </c>
      <c r="B25" s="391" t="s">
        <v>1000</v>
      </c>
      <c r="C25" s="391" t="s">
        <v>1000</v>
      </c>
      <c r="D25" s="391"/>
      <c r="H25" s="88"/>
      <c r="I25" s="391"/>
      <c r="J25" s="391"/>
      <c r="L25" s="33"/>
      <c r="M25" s="86"/>
      <c r="N25" s="14"/>
      <c r="O25" s="88"/>
      <c r="P25" s="88"/>
      <c r="Q25" s="391"/>
      <c r="R25" s="391" t="s">
        <v>1000</v>
      </c>
      <c r="S25" s="391" t="s">
        <v>1000</v>
      </c>
      <c r="T25" s="508" t="s">
        <v>1017</v>
      </c>
      <c r="U25" s="391" t="s">
        <v>1000</v>
      </c>
      <c r="V25" s="88"/>
      <c r="W25" s="391" t="s">
        <v>1000</v>
      </c>
      <c r="X25" s="391" t="s">
        <v>1000</v>
      </c>
      <c r="Z25" s="391" t="s">
        <v>1000</v>
      </c>
      <c r="AC25" s="88"/>
      <c r="AD25" s="391"/>
      <c r="AE25" s="88"/>
      <c r="AF25" s="98"/>
      <c r="AG25" s="14"/>
      <c r="AH25" s="14"/>
    </row>
    <row r="26" spans="1:34" ht="15" customHeight="1">
      <c r="A26" s="22" t="s">
        <v>18</v>
      </c>
      <c r="B26" s="23"/>
      <c r="C26" s="23"/>
      <c r="D26" s="23"/>
      <c r="H26" s="88"/>
      <c r="I26" s="23"/>
      <c r="J26" s="23"/>
      <c r="L26" s="33"/>
      <c r="M26" s="22"/>
      <c r="N26" s="14"/>
      <c r="O26" s="88"/>
      <c r="P26" s="88"/>
      <c r="Q26" s="23"/>
      <c r="R26" s="23"/>
      <c r="S26" s="23"/>
      <c r="T26" s="54"/>
      <c r="U26" s="23"/>
      <c r="V26" s="88"/>
      <c r="W26" s="23"/>
      <c r="X26" s="23"/>
      <c r="Z26" s="23"/>
      <c r="AC26" s="88"/>
      <c r="AD26" s="23"/>
      <c r="AE26" s="88"/>
      <c r="AF26" s="98"/>
      <c r="AG26" s="14"/>
      <c r="AH26" s="14"/>
    </row>
    <row r="27" spans="1:34" ht="15" customHeight="1">
      <c r="A27" s="12" t="s">
        <v>20</v>
      </c>
      <c r="H27" s="88"/>
      <c r="L27" s="33"/>
      <c r="M27" s="12"/>
      <c r="N27" s="14"/>
      <c r="O27" s="88"/>
      <c r="P27" s="88"/>
      <c r="R27" s="24" t="s">
        <v>107</v>
      </c>
      <c r="T27" s="55"/>
      <c r="V27" s="88"/>
      <c r="AC27" s="88"/>
      <c r="AE27" s="88"/>
      <c r="AF27" s="98"/>
      <c r="AG27" s="14"/>
      <c r="AH27" s="14"/>
    </row>
    <row r="28" spans="1:34" ht="15" customHeight="1">
      <c r="A28" s="25" t="s">
        <v>21</v>
      </c>
      <c r="B28" s="418" t="s">
        <v>730</v>
      </c>
      <c r="C28" s="418" t="s">
        <v>719</v>
      </c>
      <c r="D28" s="418"/>
      <c r="H28" s="88"/>
      <c r="I28" s="418"/>
      <c r="J28" s="418"/>
      <c r="L28" s="33"/>
      <c r="M28" s="25"/>
      <c r="N28" s="14"/>
      <c r="O28" s="88"/>
      <c r="P28" s="88"/>
      <c r="Q28" s="418"/>
      <c r="R28" s="418" t="s">
        <v>713</v>
      </c>
      <c r="S28" s="418" t="s">
        <v>713</v>
      </c>
      <c r="T28" s="56" t="s">
        <v>715</v>
      </c>
      <c r="U28" s="418" t="s">
        <v>716</v>
      </c>
      <c r="V28" s="88"/>
      <c r="W28" s="418" t="s">
        <v>713</v>
      </c>
      <c r="X28" s="418" t="s">
        <v>713</v>
      </c>
      <c r="Z28" s="418" t="s">
        <v>715</v>
      </c>
      <c r="AC28" s="88"/>
      <c r="AD28" s="418"/>
      <c r="AE28" s="88"/>
      <c r="AF28" s="98"/>
      <c r="AG28" s="14"/>
      <c r="AH28" s="14"/>
    </row>
    <row r="29" spans="1:34" ht="15" customHeight="1">
      <c r="A29" s="26" t="s">
        <v>22</v>
      </c>
      <c r="B29" s="27"/>
      <c r="C29" s="27"/>
      <c r="D29" s="27"/>
      <c r="H29" s="88"/>
      <c r="I29" s="27"/>
      <c r="J29" s="27"/>
      <c r="L29" s="33"/>
      <c r="M29" s="26"/>
      <c r="N29" s="14"/>
      <c r="O29" s="88"/>
      <c r="P29" s="88"/>
      <c r="Q29" s="27"/>
      <c r="R29" s="27"/>
      <c r="S29" s="27"/>
      <c r="T29" s="57"/>
      <c r="U29" s="27"/>
      <c r="V29" s="88"/>
      <c r="W29" s="27"/>
      <c r="X29" s="27"/>
      <c r="Z29" s="27"/>
      <c r="AC29" s="88"/>
      <c r="AD29" s="27"/>
      <c r="AE29" s="88"/>
      <c r="AF29" s="98"/>
      <c r="AG29" s="14"/>
      <c r="AH29" s="14"/>
    </row>
    <row r="30" spans="1:34" ht="15" customHeight="1">
      <c r="A30" s="25" t="s">
        <v>23</v>
      </c>
      <c r="B30" s="418">
        <v>972</v>
      </c>
      <c r="C30" s="418">
        <v>3072</v>
      </c>
      <c r="D30" s="418"/>
      <c r="H30" s="88"/>
      <c r="I30" s="418"/>
      <c r="J30" s="418"/>
      <c r="L30" s="33"/>
      <c r="M30" s="25"/>
      <c r="N30" s="14"/>
      <c r="O30" s="88"/>
      <c r="P30" s="88"/>
      <c r="Q30" s="418"/>
      <c r="R30" s="418">
        <v>324</v>
      </c>
      <c r="S30" s="418">
        <v>312</v>
      </c>
      <c r="T30" s="51">
        <v>228</v>
      </c>
      <c r="U30" s="418">
        <v>336</v>
      </c>
      <c r="V30" s="88"/>
      <c r="W30" s="418">
        <v>264</v>
      </c>
      <c r="X30" s="418">
        <v>168</v>
      </c>
      <c r="Z30" s="418">
        <v>168</v>
      </c>
      <c r="AC30" s="88"/>
      <c r="AD30" s="418"/>
      <c r="AE30" s="88"/>
      <c r="AF30" s="98"/>
      <c r="AG30" s="14"/>
      <c r="AH30" s="14"/>
    </row>
    <row r="31" spans="1:34" ht="15" customHeight="1">
      <c r="A31" s="28" t="s">
        <v>24</v>
      </c>
      <c r="H31" s="88"/>
      <c r="L31" s="33"/>
      <c r="M31" s="28"/>
      <c r="N31" s="14"/>
      <c r="O31" s="88"/>
      <c r="P31" s="88"/>
      <c r="T31" s="111"/>
      <c r="V31" s="88"/>
      <c r="AC31" s="88"/>
      <c r="AE31" s="88"/>
      <c r="AF31" s="98"/>
      <c r="AG31" s="14"/>
      <c r="AH31" s="14"/>
    </row>
    <row r="32" spans="1:34" ht="15" customHeight="1">
      <c r="A32" s="31" t="s">
        <v>25</v>
      </c>
      <c r="B32" s="32">
        <v>43590</v>
      </c>
      <c r="C32" s="32">
        <v>43590</v>
      </c>
      <c r="D32" s="32"/>
      <c r="H32" s="88"/>
      <c r="I32" s="32"/>
      <c r="J32" s="32"/>
      <c r="L32" s="33"/>
      <c r="M32" s="31"/>
      <c r="N32" s="14"/>
      <c r="O32" s="88"/>
      <c r="P32" s="88"/>
      <c r="Q32" s="32"/>
      <c r="R32" s="32">
        <v>43590</v>
      </c>
      <c r="S32" s="32">
        <v>43590</v>
      </c>
      <c r="T32" s="491">
        <v>43590</v>
      </c>
      <c r="U32" s="32">
        <v>43590</v>
      </c>
      <c r="V32" s="88"/>
      <c r="W32" s="32">
        <v>43595</v>
      </c>
      <c r="X32" s="32">
        <v>43600</v>
      </c>
      <c r="Z32" s="32">
        <v>43600</v>
      </c>
      <c r="AC32" s="88"/>
      <c r="AD32" s="32"/>
      <c r="AE32" s="88"/>
      <c r="AF32" s="98"/>
      <c r="AG32" s="14"/>
      <c r="AH32" s="14"/>
    </row>
    <row r="33" spans="1:34" ht="15" customHeight="1">
      <c r="A33" s="12" t="s">
        <v>27</v>
      </c>
      <c r="B33" s="31" t="s">
        <v>29</v>
      </c>
      <c r="C33" s="31" t="s">
        <v>31</v>
      </c>
      <c r="H33" s="15"/>
      <c r="I33" s="33"/>
      <c r="L33" s="33"/>
      <c r="M33" s="33"/>
      <c r="N33" s="14"/>
      <c r="O33" s="15"/>
      <c r="P33" s="15"/>
      <c r="Q33" s="14"/>
      <c r="R33" s="31" t="s">
        <v>28</v>
      </c>
      <c r="S33" s="31" t="s">
        <v>28</v>
      </c>
      <c r="T33" s="58" t="s">
        <v>28</v>
      </c>
      <c r="U33" s="31" t="s">
        <v>28</v>
      </c>
      <c r="V33" s="15"/>
      <c r="W33" s="31" t="s">
        <v>28</v>
      </c>
      <c r="X33" s="31" t="s">
        <v>30</v>
      </c>
      <c r="Z33" s="31" t="s">
        <v>30</v>
      </c>
      <c r="AC33" s="15"/>
      <c r="AE33" s="15"/>
      <c r="AF33" s="98"/>
      <c r="AG33" s="14"/>
      <c r="AH33" s="14"/>
    </row>
    <row r="34" spans="1:34" ht="15" customHeight="1">
      <c r="A34" s="12" t="s">
        <v>10</v>
      </c>
      <c r="B34" s="14"/>
      <c r="C34" s="33"/>
      <c r="F34" s="418"/>
      <c r="G34" s="418"/>
      <c r="H34" s="15"/>
      <c r="I34" s="33"/>
      <c r="J34" s="418"/>
      <c r="L34" s="33"/>
      <c r="M34" s="33"/>
      <c r="N34" s="14"/>
      <c r="O34" s="15"/>
      <c r="P34" s="15"/>
      <c r="Q34" s="14"/>
      <c r="R34" s="14"/>
      <c r="S34" s="418" t="s">
        <v>714</v>
      </c>
      <c r="T34" s="418" t="s">
        <v>714</v>
      </c>
      <c r="U34" s="418" t="s">
        <v>714</v>
      </c>
      <c r="V34" s="15"/>
      <c r="X34" s="418" t="s">
        <v>714</v>
      </c>
      <c r="Z34" s="418" t="s">
        <v>714</v>
      </c>
      <c r="AC34" s="15"/>
      <c r="AD34" s="418"/>
      <c r="AE34" s="15"/>
      <c r="AF34" s="98"/>
      <c r="AG34" s="14"/>
      <c r="AH34" s="14"/>
    </row>
    <row r="35" spans="1:34" ht="15" customHeight="1">
      <c r="A35" s="443" t="s">
        <v>11</v>
      </c>
      <c r="B35" s="14"/>
      <c r="C35" s="33"/>
      <c r="F35" s="93"/>
      <c r="G35" s="93"/>
      <c r="H35" s="15"/>
      <c r="I35" s="33"/>
      <c r="J35" s="93"/>
      <c r="L35" s="33"/>
      <c r="M35" s="33"/>
      <c r="N35" s="14"/>
      <c r="O35" s="15"/>
      <c r="P35" s="15"/>
      <c r="Q35" s="14"/>
      <c r="R35" s="14"/>
      <c r="S35" s="93" t="s">
        <v>812</v>
      </c>
      <c r="T35" s="93" t="s">
        <v>818</v>
      </c>
      <c r="U35" s="93" t="s">
        <v>823</v>
      </c>
      <c r="V35" s="15"/>
      <c r="X35" s="93" t="s">
        <v>859</v>
      </c>
      <c r="Z35" s="93" t="s">
        <v>866</v>
      </c>
      <c r="AC35" s="15"/>
      <c r="AD35" s="93"/>
      <c r="AE35" s="15"/>
      <c r="AF35" s="98"/>
      <c r="AG35" s="14"/>
      <c r="AH35" s="14"/>
    </row>
    <row r="36" spans="1:34" ht="15" customHeight="1">
      <c r="A36" s="16" t="s">
        <v>12</v>
      </c>
      <c r="B36" s="14"/>
      <c r="C36" s="33"/>
      <c r="F36" s="418"/>
      <c r="G36" s="418"/>
      <c r="H36" s="15"/>
      <c r="I36" s="33"/>
      <c r="J36" s="418"/>
      <c r="L36" s="33"/>
      <c r="M36" s="33"/>
      <c r="N36" s="14"/>
      <c r="O36" s="15"/>
      <c r="P36" s="15"/>
      <c r="Q36" s="14"/>
      <c r="R36" s="14"/>
      <c r="S36" s="418"/>
      <c r="T36" s="418"/>
      <c r="U36" s="418"/>
      <c r="V36" s="15"/>
      <c r="X36" s="418"/>
      <c r="Z36" s="418"/>
      <c r="AC36" s="15"/>
      <c r="AD36" s="418"/>
      <c r="AE36" s="15"/>
      <c r="AF36" s="98"/>
      <c r="AG36" s="14"/>
      <c r="AH36" s="14"/>
    </row>
    <row r="37" spans="1:34" ht="15" customHeight="1">
      <c r="A37" s="18" t="s">
        <v>13</v>
      </c>
      <c r="B37" s="14"/>
      <c r="C37" s="33"/>
      <c r="F37" s="19"/>
      <c r="G37" s="19"/>
      <c r="H37" s="15"/>
      <c r="I37" s="33"/>
      <c r="J37" s="19"/>
      <c r="L37" s="33"/>
      <c r="M37" s="33"/>
      <c r="N37" s="14"/>
      <c r="O37" s="15"/>
      <c r="P37" s="15"/>
      <c r="Q37" s="14"/>
      <c r="R37" s="14"/>
      <c r="S37" s="19" t="s">
        <v>1004</v>
      </c>
      <c r="T37" s="19" t="s">
        <v>1004</v>
      </c>
      <c r="U37" s="19" t="s">
        <v>1004</v>
      </c>
      <c r="V37" s="15"/>
      <c r="X37" s="19" t="s">
        <v>1004</v>
      </c>
      <c r="Z37" s="19" t="s">
        <v>1004</v>
      </c>
      <c r="AC37" s="15"/>
      <c r="AD37" s="19"/>
      <c r="AE37" s="15"/>
      <c r="AF37" s="98"/>
      <c r="AG37" s="14"/>
      <c r="AH37" s="14"/>
    </row>
    <row r="38" spans="1:34" ht="15" customHeight="1">
      <c r="A38" s="20" t="s">
        <v>15</v>
      </c>
      <c r="B38" s="14"/>
      <c r="C38" s="33"/>
      <c r="F38" s="418"/>
      <c r="G38" s="418"/>
      <c r="H38" s="15"/>
      <c r="I38" s="33"/>
      <c r="J38" s="418"/>
      <c r="L38" s="33"/>
      <c r="M38" s="33"/>
      <c r="N38" s="14"/>
      <c r="O38" s="15"/>
      <c r="P38" s="15"/>
      <c r="Q38" s="14"/>
      <c r="R38" s="14"/>
      <c r="S38" s="418" t="s">
        <v>16</v>
      </c>
      <c r="T38" s="418" t="s">
        <v>16</v>
      </c>
      <c r="U38" s="418" t="s">
        <v>16</v>
      </c>
      <c r="V38" s="15"/>
      <c r="X38" s="418" t="s">
        <v>16</v>
      </c>
      <c r="Z38" s="418" t="s">
        <v>16</v>
      </c>
      <c r="AC38" s="15"/>
      <c r="AD38" s="418"/>
      <c r="AE38" s="15"/>
      <c r="AF38" s="98"/>
      <c r="AG38" s="14"/>
      <c r="AH38" s="14"/>
    </row>
    <row r="39" spans="1:34" ht="15" customHeight="1">
      <c r="A39" s="444" t="s">
        <v>17</v>
      </c>
      <c r="B39" s="14"/>
      <c r="C39" s="33"/>
      <c r="F39" s="391"/>
      <c r="G39" s="391"/>
      <c r="H39" s="15"/>
      <c r="I39" s="33"/>
      <c r="J39" s="391"/>
      <c r="L39" s="33"/>
      <c r="M39" s="33"/>
      <c r="N39" s="14"/>
      <c r="O39" s="15"/>
      <c r="P39" s="15"/>
      <c r="Q39" s="14"/>
      <c r="R39" s="14"/>
      <c r="S39" s="391" t="s">
        <v>1000</v>
      </c>
      <c r="T39" s="391" t="s">
        <v>1000</v>
      </c>
      <c r="U39" s="391" t="s">
        <v>1000</v>
      </c>
      <c r="V39" s="15"/>
      <c r="X39" s="391" t="s">
        <v>1000</v>
      </c>
      <c r="Z39" s="391" t="s">
        <v>1000</v>
      </c>
      <c r="AC39" s="15"/>
      <c r="AD39" s="391"/>
      <c r="AE39" s="15"/>
      <c r="AF39" s="98"/>
      <c r="AG39" s="14"/>
      <c r="AH39" s="14"/>
    </row>
    <row r="40" spans="1:34" ht="15" customHeight="1">
      <c r="A40" s="22" t="s">
        <v>18</v>
      </c>
      <c r="B40" s="14"/>
      <c r="C40" s="33"/>
      <c r="F40" s="23"/>
      <c r="G40" s="23"/>
      <c r="H40" s="15"/>
      <c r="I40" s="33"/>
      <c r="J40" s="23"/>
      <c r="L40" s="33"/>
      <c r="M40" s="33"/>
      <c r="N40" s="14"/>
      <c r="O40" s="15"/>
      <c r="P40" s="15"/>
      <c r="Q40" s="14"/>
      <c r="R40" s="14"/>
      <c r="S40" s="23"/>
      <c r="T40" s="23"/>
      <c r="U40" s="23"/>
      <c r="V40" s="15"/>
      <c r="X40" s="23"/>
      <c r="Z40" s="23"/>
      <c r="AC40" s="15"/>
      <c r="AD40" s="23"/>
      <c r="AE40" s="15"/>
      <c r="AF40" s="98"/>
      <c r="AG40" s="14"/>
      <c r="AH40" s="14"/>
    </row>
    <row r="41" spans="1:34" ht="15" customHeight="1">
      <c r="A41" s="12" t="s">
        <v>20</v>
      </c>
      <c r="B41" s="14"/>
      <c r="C41" s="33"/>
      <c r="H41" s="15"/>
      <c r="I41" s="33"/>
      <c r="L41" s="33"/>
      <c r="M41" s="33"/>
      <c r="N41" s="14"/>
      <c r="O41" s="15"/>
      <c r="P41" s="15"/>
      <c r="Q41" s="14"/>
      <c r="R41" s="14"/>
      <c r="T41" s="24" t="s">
        <v>107</v>
      </c>
      <c r="V41" s="15"/>
      <c r="AC41" s="15"/>
      <c r="AE41" s="15"/>
      <c r="AF41" s="98"/>
      <c r="AG41" s="14"/>
      <c r="AH41" s="14"/>
    </row>
    <row r="42" spans="1:34" ht="15" customHeight="1">
      <c r="A42" s="25" t="s">
        <v>21</v>
      </c>
      <c r="B42" s="14"/>
      <c r="C42" s="33"/>
      <c r="F42" s="418"/>
      <c r="G42" s="418"/>
      <c r="H42" s="15"/>
      <c r="I42" s="33"/>
      <c r="J42" s="418"/>
      <c r="L42" s="33"/>
      <c r="M42" s="33"/>
      <c r="N42" s="14"/>
      <c r="O42" s="15"/>
      <c r="P42" s="15"/>
      <c r="Q42" s="14"/>
      <c r="R42" s="14"/>
      <c r="S42" s="418" t="s">
        <v>713</v>
      </c>
      <c r="T42" s="418" t="s">
        <v>716</v>
      </c>
      <c r="U42" s="418" t="s">
        <v>716</v>
      </c>
      <c r="V42" s="15"/>
      <c r="X42" s="418" t="s">
        <v>713</v>
      </c>
      <c r="Z42" s="418" t="s">
        <v>715</v>
      </c>
      <c r="AC42" s="15"/>
      <c r="AD42" s="418"/>
      <c r="AE42" s="15"/>
      <c r="AF42" s="98"/>
      <c r="AG42" s="14"/>
      <c r="AH42" s="14"/>
    </row>
    <row r="43" spans="1:34" ht="15" customHeight="1">
      <c r="A43" s="26" t="s">
        <v>22</v>
      </c>
      <c r="B43" s="14"/>
      <c r="C43" s="33"/>
      <c r="F43" s="27"/>
      <c r="G43" s="27"/>
      <c r="H43" s="15"/>
      <c r="I43" s="33"/>
      <c r="J43" s="27"/>
      <c r="L43" s="33"/>
      <c r="M43" s="33"/>
      <c r="N43" s="14"/>
      <c r="O43" s="15"/>
      <c r="P43" s="15"/>
      <c r="Q43" s="14"/>
      <c r="R43" s="14"/>
      <c r="S43" s="27"/>
      <c r="T43" s="27"/>
      <c r="U43" s="27"/>
      <c r="V43" s="15"/>
      <c r="X43" s="27"/>
      <c r="Z43" s="27"/>
      <c r="AC43" s="15"/>
      <c r="AD43" s="27"/>
      <c r="AE43" s="15"/>
      <c r="AF43" s="98"/>
      <c r="AG43" s="14"/>
      <c r="AH43" s="14"/>
    </row>
    <row r="44" spans="1:34" ht="15" customHeight="1">
      <c r="A44" s="25" t="s">
        <v>23</v>
      </c>
      <c r="B44" s="14"/>
      <c r="C44" s="33"/>
      <c r="F44" s="418"/>
      <c r="G44" s="418"/>
      <c r="H44" s="15"/>
      <c r="I44" s="33"/>
      <c r="J44" s="418"/>
      <c r="L44" s="33"/>
      <c r="M44" s="33"/>
      <c r="N44" s="14"/>
      <c r="O44" s="15"/>
      <c r="P44" s="15"/>
      <c r="Q44" s="14"/>
      <c r="R44" s="14"/>
      <c r="S44" s="418">
        <v>120</v>
      </c>
      <c r="T44" s="418">
        <v>324</v>
      </c>
      <c r="U44" s="418">
        <v>120</v>
      </c>
      <c r="V44" s="15"/>
      <c r="X44" s="418">
        <v>1836</v>
      </c>
      <c r="Z44" s="418">
        <v>864</v>
      </c>
      <c r="AC44" s="15"/>
      <c r="AD44" s="418"/>
      <c r="AE44" s="15"/>
      <c r="AF44" s="98"/>
      <c r="AG44" s="14"/>
      <c r="AH44" s="14"/>
    </row>
    <row r="45" spans="1:34" ht="15" customHeight="1">
      <c r="A45" s="28" t="s">
        <v>24</v>
      </c>
      <c r="B45" s="14"/>
      <c r="C45" s="33"/>
      <c r="H45" s="15"/>
      <c r="I45" s="33"/>
      <c r="L45" s="33"/>
      <c r="M45" s="33"/>
      <c r="N45" s="14"/>
      <c r="O45" s="15"/>
      <c r="P45" s="15"/>
      <c r="Q45" s="14"/>
      <c r="R45" s="14"/>
      <c r="V45" s="15"/>
      <c r="AC45" s="15"/>
      <c r="AE45" s="15"/>
      <c r="AF45" s="98"/>
      <c r="AG45" s="14"/>
      <c r="AH45" s="14"/>
    </row>
    <row r="46" spans="1:34" ht="15" customHeight="1">
      <c r="A46" s="31" t="s">
        <v>25</v>
      </c>
      <c r="B46" s="14"/>
      <c r="C46" s="33"/>
      <c r="F46" s="32"/>
      <c r="G46" s="32"/>
      <c r="H46" s="15"/>
      <c r="I46" s="33"/>
      <c r="J46" s="32"/>
      <c r="L46" s="33"/>
      <c r="M46" s="33"/>
      <c r="N46" s="14"/>
      <c r="O46" s="15"/>
      <c r="P46" s="15"/>
      <c r="Q46" s="14"/>
      <c r="R46" s="14"/>
      <c r="S46" s="32">
        <v>43590</v>
      </c>
      <c r="T46" s="32">
        <v>43590</v>
      </c>
      <c r="U46" s="32">
        <v>43590</v>
      </c>
      <c r="V46" s="15"/>
      <c r="X46" s="32">
        <v>43620</v>
      </c>
      <c r="Z46" s="32">
        <v>43620</v>
      </c>
      <c r="AC46" s="15"/>
      <c r="AD46" s="32"/>
      <c r="AE46" s="15"/>
      <c r="AF46" s="98"/>
      <c r="AG46" s="14"/>
      <c r="AH46" s="14"/>
    </row>
    <row r="47" spans="1:34" ht="15" customHeight="1">
      <c r="A47" s="12" t="s">
        <v>27</v>
      </c>
      <c r="B47" s="14"/>
      <c r="C47" s="33"/>
      <c r="H47" s="15"/>
      <c r="I47" s="33"/>
      <c r="J47" s="33"/>
      <c r="K47" s="33"/>
      <c r="L47" s="33"/>
      <c r="M47" s="33"/>
      <c r="N47" s="14"/>
      <c r="O47" s="15"/>
      <c r="P47" s="15"/>
      <c r="Q47" s="14"/>
      <c r="R47" s="14"/>
      <c r="S47" s="31" t="s">
        <v>28</v>
      </c>
      <c r="T47" s="31" t="s">
        <v>28</v>
      </c>
      <c r="U47" s="31" t="s">
        <v>28</v>
      </c>
      <c r="V47" s="15"/>
      <c r="X47" s="31" t="s">
        <v>35</v>
      </c>
      <c r="Z47" s="31" t="s">
        <v>35</v>
      </c>
      <c r="AC47" s="15"/>
      <c r="AD47" s="14"/>
      <c r="AE47" s="15"/>
      <c r="AF47" s="98"/>
      <c r="AG47" s="14"/>
      <c r="AH47" s="14"/>
    </row>
    <row r="48" spans="1:34" ht="15" customHeight="1">
      <c r="A48" s="12" t="s">
        <v>10</v>
      </c>
      <c r="B48" s="14"/>
      <c r="C48" s="33"/>
      <c r="F48" s="418"/>
      <c r="G48" s="418"/>
      <c r="H48" s="15"/>
      <c r="I48" s="33"/>
      <c r="J48" s="33"/>
      <c r="K48" s="33"/>
      <c r="L48" s="33"/>
      <c r="M48" s="33"/>
      <c r="N48" s="14"/>
      <c r="O48" s="15"/>
      <c r="P48" s="15"/>
      <c r="Q48" s="14"/>
      <c r="R48" s="14"/>
      <c r="S48" s="418" t="s">
        <v>714</v>
      </c>
      <c r="T48" s="418" t="s">
        <v>714</v>
      </c>
      <c r="U48" s="418" t="s">
        <v>714</v>
      </c>
      <c r="V48" s="15"/>
      <c r="W48" s="14"/>
      <c r="X48" s="418"/>
      <c r="Z48" s="418" t="s">
        <v>714</v>
      </c>
      <c r="AC48" s="15"/>
      <c r="AD48" s="14"/>
      <c r="AE48" s="15"/>
      <c r="AF48" s="98"/>
      <c r="AG48" s="14"/>
      <c r="AH48" s="14"/>
    </row>
    <row r="49" spans="1:34" ht="15" customHeight="1">
      <c r="A49" s="443" t="s">
        <v>11</v>
      </c>
      <c r="B49" s="14"/>
      <c r="C49" s="33"/>
      <c r="F49" s="93"/>
      <c r="G49" s="93"/>
      <c r="H49" s="15"/>
      <c r="I49" s="33"/>
      <c r="J49" s="33"/>
      <c r="K49" s="33"/>
      <c r="L49" s="33"/>
      <c r="M49" s="33"/>
      <c r="N49" s="14"/>
      <c r="O49" s="15"/>
      <c r="P49" s="15"/>
      <c r="Q49" s="14"/>
      <c r="R49" s="14"/>
      <c r="S49" s="93" t="s">
        <v>821</v>
      </c>
      <c r="T49" s="93" t="s">
        <v>817</v>
      </c>
      <c r="U49" s="93" t="s">
        <v>822</v>
      </c>
      <c r="V49" s="15"/>
      <c r="W49" s="14"/>
      <c r="X49" s="93"/>
      <c r="Z49" s="93" t="s">
        <v>865</v>
      </c>
      <c r="AC49" s="15"/>
      <c r="AD49" s="14"/>
      <c r="AE49" s="15"/>
      <c r="AF49" s="98"/>
      <c r="AG49" s="14"/>
      <c r="AH49" s="14"/>
    </row>
    <row r="50" spans="1:34" ht="15" customHeight="1">
      <c r="A50" s="16" t="s">
        <v>12</v>
      </c>
      <c r="B50" s="14"/>
      <c r="C50" s="33"/>
      <c r="F50" s="418"/>
      <c r="G50" s="418"/>
      <c r="H50" s="15"/>
      <c r="I50" s="33"/>
      <c r="J50" s="33"/>
      <c r="K50" s="33"/>
      <c r="L50" s="33"/>
      <c r="M50" s="33"/>
      <c r="N50" s="14"/>
      <c r="O50" s="15"/>
      <c r="P50" s="15"/>
      <c r="Q50" s="14"/>
      <c r="R50" s="14"/>
      <c r="S50" s="418"/>
      <c r="T50" s="418"/>
      <c r="U50" s="418"/>
      <c r="V50" s="15"/>
      <c r="W50" s="14"/>
      <c r="X50" s="418"/>
      <c r="Z50" s="418"/>
      <c r="AC50" s="15"/>
      <c r="AD50" s="14"/>
      <c r="AE50" s="15"/>
      <c r="AF50" s="98"/>
      <c r="AG50" s="14"/>
      <c r="AH50" s="14"/>
    </row>
    <row r="51" spans="1:34" ht="15" customHeight="1">
      <c r="A51" s="18" t="s">
        <v>13</v>
      </c>
      <c r="B51" s="14"/>
      <c r="C51" s="33"/>
      <c r="F51" s="19"/>
      <c r="G51" s="19"/>
      <c r="H51" s="15"/>
      <c r="I51" s="33"/>
      <c r="J51" s="33"/>
      <c r="K51" s="33"/>
      <c r="L51" s="33"/>
      <c r="M51" s="33"/>
      <c r="N51" s="14"/>
      <c r="O51" s="15"/>
      <c r="P51" s="15"/>
      <c r="Q51" s="14"/>
      <c r="R51" s="14"/>
      <c r="S51" s="19" t="s">
        <v>1004</v>
      </c>
      <c r="T51" s="19" t="s">
        <v>1004</v>
      </c>
      <c r="U51" s="19" t="s">
        <v>1004</v>
      </c>
      <c r="V51" s="15"/>
      <c r="W51" s="14"/>
      <c r="X51" s="19"/>
      <c r="Z51" s="19" t="s">
        <v>1004</v>
      </c>
      <c r="AC51" s="15"/>
      <c r="AD51" s="14"/>
      <c r="AE51" s="15"/>
      <c r="AF51" s="98"/>
      <c r="AG51" s="14"/>
      <c r="AH51" s="14"/>
    </row>
    <row r="52" spans="1:34" ht="15" customHeight="1">
      <c r="A52" s="20" t="s">
        <v>15</v>
      </c>
      <c r="B52" s="14"/>
      <c r="C52" s="33"/>
      <c r="F52" s="418"/>
      <c r="G52" s="418"/>
      <c r="H52" s="15"/>
      <c r="I52" s="33"/>
      <c r="J52" s="33"/>
      <c r="K52" s="33"/>
      <c r="L52" s="33"/>
      <c r="M52" s="33"/>
      <c r="N52" s="14"/>
      <c r="O52" s="15"/>
      <c r="P52" s="15"/>
      <c r="Q52" s="14"/>
      <c r="R52" s="14"/>
      <c r="S52" s="418" t="s">
        <v>16</v>
      </c>
      <c r="T52" s="418" t="s">
        <v>16</v>
      </c>
      <c r="U52" s="418" t="s">
        <v>16</v>
      </c>
      <c r="V52" s="15"/>
      <c r="W52" s="14"/>
      <c r="X52" s="418"/>
      <c r="Z52" s="418" t="s">
        <v>16</v>
      </c>
      <c r="AC52" s="15"/>
      <c r="AD52" s="14"/>
      <c r="AE52" s="15"/>
      <c r="AF52" s="98"/>
      <c r="AG52" s="14"/>
      <c r="AH52" s="14"/>
    </row>
    <row r="53" spans="1:34" ht="15" customHeight="1">
      <c r="A53" s="444" t="s">
        <v>17</v>
      </c>
      <c r="B53" s="14"/>
      <c r="C53" s="33"/>
      <c r="F53" s="391"/>
      <c r="G53" s="391"/>
      <c r="H53" s="15"/>
      <c r="I53" s="33"/>
      <c r="J53" s="33"/>
      <c r="K53" s="33"/>
      <c r="L53" s="33"/>
      <c r="M53" s="33"/>
      <c r="N53" s="14"/>
      <c r="O53" s="15"/>
      <c r="P53" s="15"/>
      <c r="Q53" s="14"/>
      <c r="R53" s="14"/>
      <c r="S53" s="391" t="s">
        <v>1000</v>
      </c>
      <c r="T53" s="391" t="s">
        <v>1000</v>
      </c>
      <c r="U53" s="391" t="s">
        <v>1000</v>
      </c>
      <c r="V53" s="15"/>
      <c r="W53" s="14"/>
      <c r="X53" s="391"/>
      <c r="Z53" s="391" t="s">
        <v>1000</v>
      </c>
      <c r="AC53" s="15"/>
      <c r="AD53" s="14"/>
      <c r="AE53" s="15"/>
      <c r="AF53" s="98"/>
      <c r="AG53" s="14"/>
      <c r="AH53" s="14"/>
    </row>
    <row r="54" spans="1:34" ht="15" customHeight="1">
      <c r="A54" s="22" t="s">
        <v>18</v>
      </c>
      <c r="B54" s="14"/>
      <c r="C54" s="33"/>
      <c r="F54" s="23"/>
      <c r="G54" s="23"/>
      <c r="H54" s="15"/>
      <c r="I54" s="33"/>
      <c r="J54" s="33"/>
      <c r="K54" s="33"/>
      <c r="L54" s="33"/>
      <c r="M54" s="33"/>
      <c r="N54" s="14"/>
      <c r="O54" s="15"/>
      <c r="P54" s="15"/>
      <c r="Q54" s="14"/>
      <c r="R54" s="14"/>
      <c r="S54" s="23"/>
      <c r="T54" s="23"/>
      <c r="U54" s="23"/>
      <c r="V54" s="15"/>
      <c r="W54" s="14"/>
      <c r="X54" s="23"/>
      <c r="Z54" s="23"/>
      <c r="AC54" s="15"/>
      <c r="AD54" s="14"/>
      <c r="AE54" s="15"/>
      <c r="AF54" s="98"/>
      <c r="AG54" s="14"/>
      <c r="AH54" s="14"/>
    </row>
    <row r="55" spans="1:34" ht="15" customHeight="1">
      <c r="A55" s="12" t="s">
        <v>20</v>
      </c>
      <c r="B55" s="14"/>
      <c r="C55" s="33"/>
      <c r="H55" s="15"/>
      <c r="I55" s="33"/>
      <c r="J55" s="33"/>
      <c r="K55" s="33"/>
      <c r="L55" s="33"/>
      <c r="M55" s="33"/>
      <c r="N55" s="14"/>
      <c r="O55" s="15"/>
      <c r="P55" s="15"/>
      <c r="Q55" s="14"/>
      <c r="R55" s="14"/>
      <c r="T55" s="24" t="s">
        <v>106</v>
      </c>
      <c r="V55" s="15"/>
      <c r="W55" s="14"/>
      <c r="AC55" s="15"/>
      <c r="AD55" s="14"/>
      <c r="AE55" s="15"/>
      <c r="AF55" s="98"/>
      <c r="AG55" s="14"/>
      <c r="AH55" s="14"/>
    </row>
    <row r="56" spans="1:34" ht="15" customHeight="1">
      <c r="A56" s="25" t="s">
        <v>21</v>
      </c>
      <c r="B56" s="14"/>
      <c r="C56" s="33"/>
      <c r="F56" s="418"/>
      <c r="G56" s="418"/>
      <c r="H56" s="15"/>
      <c r="I56" s="33"/>
      <c r="J56" s="33"/>
      <c r="K56" s="33"/>
      <c r="L56" s="33"/>
      <c r="M56" s="33"/>
      <c r="N56" s="14"/>
      <c r="O56" s="15"/>
      <c r="P56" s="15"/>
      <c r="Q56" s="14"/>
      <c r="R56" s="14"/>
      <c r="S56" s="418" t="s">
        <v>713</v>
      </c>
      <c r="T56" s="418" t="s">
        <v>716</v>
      </c>
      <c r="U56" s="418" t="s">
        <v>716</v>
      </c>
      <c r="V56" s="15"/>
      <c r="W56" s="14"/>
      <c r="X56" s="418"/>
      <c r="Z56" s="418" t="s">
        <v>716</v>
      </c>
      <c r="AC56" s="15"/>
      <c r="AD56" s="14"/>
      <c r="AE56" s="15"/>
      <c r="AF56" s="98"/>
      <c r="AG56" s="14"/>
      <c r="AH56" s="14"/>
    </row>
    <row r="57" spans="1:34" ht="15" customHeight="1">
      <c r="A57" s="26" t="s">
        <v>22</v>
      </c>
      <c r="B57" s="14"/>
      <c r="C57" s="33"/>
      <c r="F57" s="27"/>
      <c r="G57" s="27"/>
      <c r="H57" s="15"/>
      <c r="I57" s="33"/>
      <c r="J57" s="33"/>
      <c r="K57" s="33"/>
      <c r="L57" s="33"/>
      <c r="M57" s="33"/>
      <c r="N57" s="14"/>
      <c r="O57" s="15"/>
      <c r="P57" s="15"/>
      <c r="Q57" s="14"/>
      <c r="R57" s="14"/>
      <c r="S57" s="27"/>
      <c r="T57" s="27"/>
      <c r="U57" s="27"/>
      <c r="V57" s="15"/>
      <c r="W57" s="14"/>
      <c r="X57" s="27"/>
      <c r="Z57" s="27"/>
      <c r="AC57" s="15"/>
      <c r="AD57" s="14"/>
      <c r="AE57" s="15"/>
      <c r="AF57" s="98"/>
      <c r="AG57" s="14"/>
      <c r="AH57" s="14"/>
    </row>
    <row r="58" spans="1:34" ht="15" customHeight="1">
      <c r="A58" s="25" t="s">
        <v>23</v>
      </c>
      <c r="B58" s="14"/>
      <c r="C58" s="33"/>
      <c r="F58" s="418"/>
      <c r="G58" s="418"/>
      <c r="H58" s="15"/>
      <c r="I58" s="33"/>
      <c r="J58" s="33"/>
      <c r="K58" s="33"/>
      <c r="L58" s="33"/>
      <c r="M58" s="33"/>
      <c r="N58" s="14"/>
      <c r="O58" s="15"/>
      <c r="P58" s="15"/>
      <c r="Q58" s="14"/>
      <c r="R58" s="14"/>
      <c r="S58" s="418">
        <v>420</v>
      </c>
      <c r="T58" s="418">
        <v>276</v>
      </c>
      <c r="U58" s="418">
        <v>456</v>
      </c>
      <c r="V58" s="15"/>
      <c r="W58" s="14"/>
      <c r="X58" s="418"/>
      <c r="Z58" s="418">
        <v>4500</v>
      </c>
      <c r="AC58" s="15"/>
      <c r="AD58" s="14"/>
      <c r="AE58" s="15"/>
      <c r="AF58" s="98"/>
      <c r="AG58" s="14"/>
      <c r="AH58" s="14"/>
    </row>
    <row r="59" spans="1:34" ht="15" customHeight="1">
      <c r="A59" s="28" t="s">
        <v>24</v>
      </c>
      <c r="B59" s="14"/>
      <c r="C59" s="33"/>
      <c r="H59" s="15"/>
      <c r="I59" s="33"/>
      <c r="J59" s="33"/>
      <c r="K59" s="33"/>
      <c r="L59" s="33"/>
      <c r="M59" s="33"/>
      <c r="N59" s="14"/>
      <c r="O59" s="15"/>
      <c r="P59" s="15"/>
      <c r="Q59" s="14"/>
      <c r="R59" s="14"/>
      <c r="V59" s="15"/>
      <c r="W59" s="14"/>
      <c r="AC59" s="15"/>
      <c r="AD59" s="14"/>
      <c r="AE59" s="15"/>
      <c r="AF59" s="98"/>
      <c r="AG59" s="14"/>
      <c r="AH59" s="14"/>
    </row>
    <row r="60" spans="1:34" ht="15" customHeight="1">
      <c r="A60" s="31" t="s">
        <v>25</v>
      </c>
      <c r="B60" s="14"/>
      <c r="C60" s="33"/>
      <c r="F60" s="32"/>
      <c r="G60" s="32"/>
      <c r="H60" s="15"/>
      <c r="I60" s="33"/>
      <c r="J60" s="33"/>
      <c r="K60" s="33"/>
      <c r="L60" s="33"/>
      <c r="M60" s="33"/>
      <c r="N60" s="14"/>
      <c r="O60" s="15"/>
      <c r="P60" s="15"/>
      <c r="Q60" s="14"/>
      <c r="R60" s="14"/>
      <c r="S60" s="32">
        <v>43590</v>
      </c>
      <c r="T60" s="32">
        <v>43581</v>
      </c>
      <c r="U60" s="32">
        <v>43590</v>
      </c>
      <c r="V60" s="15"/>
      <c r="W60" s="14"/>
      <c r="X60" s="32"/>
      <c r="Z60" s="32">
        <v>43594</v>
      </c>
      <c r="AC60" s="15"/>
      <c r="AD60" s="14"/>
      <c r="AE60" s="15"/>
      <c r="AF60" s="98"/>
      <c r="AG60" s="14"/>
      <c r="AH60" s="14"/>
    </row>
    <row r="61" spans="1:34" ht="15" customHeight="1" thickBot="1">
      <c r="A61" s="12" t="s">
        <v>27</v>
      </c>
      <c r="B61" s="14"/>
      <c r="C61" s="35"/>
      <c r="D61" s="35"/>
      <c r="E61" s="35"/>
      <c r="F61" s="35"/>
      <c r="G61" s="35"/>
      <c r="H61" s="34"/>
      <c r="I61" s="35"/>
      <c r="J61" s="35"/>
      <c r="K61" s="35"/>
      <c r="L61" s="35"/>
      <c r="M61" s="35"/>
      <c r="N61" s="14"/>
      <c r="O61" s="34"/>
      <c r="P61" s="34"/>
      <c r="Q61" s="14"/>
      <c r="R61" s="14"/>
      <c r="S61" s="31" t="s">
        <v>28</v>
      </c>
      <c r="T61" s="31" t="s">
        <v>28</v>
      </c>
      <c r="U61" s="31" t="s">
        <v>28</v>
      </c>
      <c r="V61" s="34"/>
      <c r="W61" s="14"/>
      <c r="X61" s="14"/>
      <c r="Y61" s="14"/>
      <c r="Z61" s="31" t="s">
        <v>28</v>
      </c>
      <c r="AA61" s="14"/>
      <c r="AB61" s="14"/>
      <c r="AC61" s="34"/>
      <c r="AD61" s="14"/>
      <c r="AE61" s="34"/>
      <c r="AF61" s="99"/>
      <c r="AG61" s="14"/>
      <c r="AH61" s="14"/>
    </row>
    <row r="62" spans="1:34" ht="18" customHeight="1" thickBot="1">
      <c r="A62" s="445" t="s">
        <v>36</v>
      </c>
      <c r="B62" s="37">
        <f t="shared" ref="B62:AD62" si="1">+B58+B44+B30+B16</f>
        <v>1224</v>
      </c>
      <c r="C62" s="37">
        <f t="shared" si="1"/>
        <v>4018</v>
      </c>
      <c r="D62" s="37">
        <f t="shared" si="1"/>
        <v>0</v>
      </c>
      <c r="E62" s="37">
        <f t="shared" si="1"/>
        <v>648</v>
      </c>
      <c r="F62" s="37">
        <f t="shared" si="1"/>
        <v>2568</v>
      </c>
      <c r="G62" s="37">
        <f t="shared" si="1"/>
        <v>12624</v>
      </c>
      <c r="H62" s="37">
        <f t="shared" si="1"/>
        <v>0</v>
      </c>
      <c r="I62" s="37">
        <f t="shared" si="1"/>
        <v>0</v>
      </c>
      <c r="J62" s="37">
        <f t="shared" si="1"/>
        <v>0</v>
      </c>
      <c r="K62" s="37">
        <f t="shared" si="1"/>
        <v>0</v>
      </c>
      <c r="L62" s="37">
        <f t="shared" si="1"/>
        <v>0</v>
      </c>
      <c r="M62" s="37">
        <f t="shared" si="1"/>
        <v>0</v>
      </c>
      <c r="N62" s="37">
        <f t="shared" si="1"/>
        <v>0</v>
      </c>
      <c r="O62" s="37">
        <f t="shared" si="1"/>
        <v>0</v>
      </c>
      <c r="P62" s="37">
        <f t="shared" si="1"/>
        <v>0</v>
      </c>
      <c r="Q62" s="37">
        <f t="shared" si="1"/>
        <v>0</v>
      </c>
      <c r="R62" s="37">
        <f t="shared" si="1"/>
        <v>900</v>
      </c>
      <c r="S62" s="37">
        <f t="shared" si="1"/>
        <v>1152</v>
      </c>
      <c r="T62" s="37" t="e">
        <f>+T58+T44+#REF!+#REF!</f>
        <v>#REF!</v>
      </c>
      <c r="U62" s="37">
        <f t="shared" si="1"/>
        <v>1308</v>
      </c>
      <c r="V62" s="37">
        <f t="shared" si="1"/>
        <v>0</v>
      </c>
      <c r="W62" s="37">
        <f t="shared" si="1"/>
        <v>1620</v>
      </c>
      <c r="X62" s="37">
        <f t="shared" si="1"/>
        <v>2124</v>
      </c>
      <c r="Y62" s="37">
        <f t="shared" si="1"/>
        <v>2256</v>
      </c>
      <c r="Z62" s="37">
        <f t="shared" si="1"/>
        <v>5652</v>
      </c>
      <c r="AA62" s="37">
        <f t="shared" si="1"/>
        <v>0</v>
      </c>
      <c r="AB62" s="37">
        <f t="shared" si="1"/>
        <v>0</v>
      </c>
      <c r="AC62" s="37">
        <f t="shared" si="1"/>
        <v>0</v>
      </c>
      <c r="AD62" s="37">
        <f t="shared" si="1"/>
        <v>0</v>
      </c>
      <c r="AE62" s="37">
        <f>+AE58+AE44+AE30+AE16</f>
        <v>0</v>
      </c>
      <c r="AF62" s="38"/>
      <c r="AG62" s="14"/>
      <c r="AH62" s="14"/>
    </row>
    <row r="63" spans="1:34" ht="18" customHeight="1" thickTop="1" thickBot="1">
      <c r="A63" s="445" t="s">
        <v>37</v>
      </c>
      <c r="B63" s="40">
        <f t="shared" ref="B63:AE63" si="2">+B64*B5</f>
        <v>1615</v>
      </c>
      <c r="C63" s="40">
        <f t="shared" si="2"/>
        <v>1615</v>
      </c>
      <c r="D63" s="40">
        <f t="shared" si="2"/>
        <v>1615</v>
      </c>
      <c r="E63" s="40">
        <f t="shared" si="2"/>
        <v>1615</v>
      </c>
      <c r="F63" s="40">
        <f t="shared" si="2"/>
        <v>1615</v>
      </c>
      <c r="G63" s="40">
        <f t="shared" si="2"/>
        <v>1360</v>
      </c>
      <c r="H63" s="39">
        <f t="shared" si="2"/>
        <v>0</v>
      </c>
      <c r="I63" s="40">
        <f t="shared" si="2"/>
        <v>1615</v>
      </c>
      <c r="J63" s="40">
        <f t="shared" si="2"/>
        <v>1615</v>
      </c>
      <c r="K63" s="40">
        <f t="shared" si="2"/>
        <v>1615</v>
      </c>
      <c r="L63" s="40">
        <f t="shared" si="2"/>
        <v>1615</v>
      </c>
      <c r="M63" s="40">
        <f t="shared" si="2"/>
        <v>1615</v>
      </c>
      <c r="N63" s="40">
        <f t="shared" si="2"/>
        <v>1360</v>
      </c>
      <c r="O63" s="39">
        <f t="shared" si="2"/>
        <v>0</v>
      </c>
      <c r="P63" s="39">
        <f t="shared" si="2"/>
        <v>0</v>
      </c>
      <c r="Q63" s="40">
        <f t="shared" si="2"/>
        <v>1615</v>
      </c>
      <c r="R63" s="40">
        <f t="shared" si="2"/>
        <v>1615</v>
      </c>
      <c r="S63" s="40">
        <f t="shared" si="2"/>
        <v>1615</v>
      </c>
      <c r="T63" s="40">
        <f t="shared" si="2"/>
        <v>1615</v>
      </c>
      <c r="U63" s="40">
        <f t="shared" si="2"/>
        <v>1360</v>
      </c>
      <c r="V63" s="39">
        <f t="shared" si="2"/>
        <v>0</v>
      </c>
      <c r="W63" s="40">
        <f t="shared" si="2"/>
        <v>1615</v>
      </c>
      <c r="X63" s="40">
        <f t="shared" si="2"/>
        <v>1615</v>
      </c>
      <c r="Y63" s="40">
        <f t="shared" si="2"/>
        <v>1615</v>
      </c>
      <c r="Z63" s="40">
        <f t="shared" si="2"/>
        <v>1615</v>
      </c>
      <c r="AA63" s="40">
        <f t="shared" si="2"/>
        <v>1615</v>
      </c>
      <c r="AB63" s="40">
        <f t="shared" si="2"/>
        <v>1360</v>
      </c>
      <c r="AC63" s="39">
        <f t="shared" si="2"/>
        <v>0</v>
      </c>
      <c r="AD63" s="40">
        <f t="shared" si="2"/>
        <v>1360</v>
      </c>
      <c r="AE63" s="39">
        <f t="shared" si="2"/>
        <v>0</v>
      </c>
      <c r="AF63" s="41">
        <f>SUM(B63:AE63)</f>
        <v>37485</v>
      </c>
      <c r="AG63" s="14"/>
      <c r="AH63" s="14"/>
    </row>
    <row r="64" spans="1:34" ht="18" customHeight="1" thickTop="1" thickBot="1">
      <c r="A64" s="445" t="s">
        <v>38</v>
      </c>
      <c r="B64" s="43">
        <v>170</v>
      </c>
      <c r="C64" s="43">
        <v>170</v>
      </c>
      <c r="D64" s="43">
        <v>170</v>
      </c>
      <c r="E64" s="43">
        <v>170</v>
      </c>
      <c r="F64" s="43">
        <v>170</v>
      </c>
      <c r="G64" s="43">
        <v>170</v>
      </c>
      <c r="H64" s="42"/>
      <c r="I64" s="43">
        <v>170</v>
      </c>
      <c r="J64" s="43">
        <v>170</v>
      </c>
      <c r="K64" s="43">
        <v>170</v>
      </c>
      <c r="L64" s="43">
        <v>170</v>
      </c>
      <c r="M64" s="43">
        <v>170</v>
      </c>
      <c r="N64" s="43">
        <v>170</v>
      </c>
      <c r="O64" s="42"/>
      <c r="P64" s="42"/>
      <c r="Q64" s="43">
        <v>170</v>
      </c>
      <c r="R64" s="43">
        <v>170</v>
      </c>
      <c r="S64" s="43">
        <v>170</v>
      </c>
      <c r="T64" s="43">
        <v>170</v>
      </c>
      <c r="U64" s="43">
        <v>170</v>
      </c>
      <c r="V64" s="42"/>
      <c r="W64" s="43">
        <v>170</v>
      </c>
      <c r="X64" s="43">
        <v>170</v>
      </c>
      <c r="Y64" s="43">
        <v>170</v>
      </c>
      <c r="Z64" s="43">
        <v>170</v>
      </c>
      <c r="AA64" s="43">
        <v>170</v>
      </c>
      <c r="AB64" s="43">
        <v>170</v>
      </c>
      <c r="AC64" s="42"/>
      <c r="AD64" s="43">
        <v>170</v>
      </c>
      <c r="AE64" s="42"/>
      <c r="AF64" s="44"/>
      <c r="AG64" s="14"/>
      <c r="AH64" s="14"/>
    </row>
    <row r="65" spans="1:34" ht="18" customHeight="1" thickTop="1" thickBot="1">
      <c r="A65" s="45">
        <f>+'T03'!AE65</f>
        <v>1572</v>
      </c>
      <c r="B65" s="40">
        <f t="shared" ref="B65:AF65" si="3">IF(A65+B62-B63&lt;0,0,A65+B62-B63)</f>
        <v>1181</v>
      </c>
      <c r="C65" s="40">
        <f t="shared" si="3"/>
        <v>3584</v>
      </c>
      <c r="D65" s="40">
        <f t="shared" si="3"/>
        <v>1969</v>
      </c>
      <c r="E65" s="40">
        <f t="shared" si="3"/>
        <v>1002</v>
      </c>
      <c r="F65" s="40">
        <f t="shared" si="3"/>
        <v>1955</v>
      </c>
      <c r="G65" s="40">
        <f t="shared" si="3"/>
        <v>13219</v>
      </c>
      <c r="H65" s="39">
        <f t="shared" si="3"/>
        <v>13219</v>
      </c>
      <c r="I65" s="40">
        <f t="shared" si="3"/>
        <v>11604</v>
      </c>
      <c r="J65" s="40">
        <f t="shared" si="3"/>
        <v>9989</v>
      </c>
      <c r="K65" s="40">
        <f t="shared" si="3"/>
        <v>8374</v>
      </c>
      <c r="L65" s="40">
        <f t="shared" si="3"/>
        <v>6759</v>
      </c>
      <c r="M65" s="40">
        <f t="shared" si="3"/>
        <v>5144</v>
      </c>
      <c r="N65" s="40">
        <f t="shared" si="3"/>
        <v>3784</v>
      </c>
      <c r="O65" s="39">
        <f t="shared" si="3"/>
        <v>3784</v>
      </c>
      <c r="P65" s="39">
        <f t="shared" si="3"/>
        <v>3784</v>
      </c>
      <c r="Q65" s="40">
        <f t="shared" si="3"/>
        <v>2169</v>
      </c>
      <c r="R65" s="40">
        <f t="shared" si="3"/>
        <v>1454</v>
      </c>
      <c r="S65" s="40">
        <f t="shared" si="3"/>
        <v>991</v>
      </c>
      <c r="T65" s="40" t="e">
        <f t="shared" si="3"/>
        <v>#REF!</v>
      </c>
      <c r="U65" s="40" t="e">
        <f t="shared" si="3"/>
        <v>#REF!</v>
      </c>
      <c r="V65" s="39" t="e">
        <f t="shared" si="3"/>
        <v>#REF!</v>
      </c>
      <c r="W65" s="40" t="e">
        <f t="shared" si="3"/>
        <v>#REF!</v>
      </c>
      <c r="X65" s="40" t="e">
        <f t="shared" si="3"/>
        <v>#REF!</v>
      </c>
      <c r="Y65" s="40" t="e">
        <f t="shared" si="3"/>
        <v>#REF!</v>
      </c>
      <c r="Z65" s="40" t="e">
        <f t="shared" si="3"/>
        <v>#REF!</v>
      </c>
      <c r="AA65" s="40" t="e">
        <f t="shared" si="3"/>
        <v>#REF!</v>
      </c>
      <c r="AB65" s="40" t="e">
        <f t="shared" si="3"/>
        <v>#REF!</v>
      </c>
      <c r="AC65" s="39" t="e">
        <f t="shared" si="3"/>
        <v>#REF!</v>
      </c>
      <c r="AD65" s="40" t="e">
        <f t="shared" si="3"/>
        <v>#REF!</v>
      </c>
      <c r="AE65" s="39" t="e">
        <f t="shared" si="3"/>
        <v>#REF!</v>
      </c>
      <c r="AF65" s="47" t="e">
        <f t="shared" si="3"/>
        <v>#REF!</v>
      </c>
      <c r="AG65" s="14"/>
      <c r="AH65" s="14"/>
    </row>
    <row r="66" spans="1:34" ht="15" customHeight="1">
      <c r="A66" s="12" t="s">
        <v>10</v>
      </c>
      <c r="B66" s="51" t="s">
        <v>703</v>
      </c>
      <c r="C66" s="418" t="s">
        <v>78</v>
      </c>
      <c r="F66" s="418" t="s">
        <v>78</v>
      </c>
      <c r="H66" s="83"/>
      <c r="I66" s="418" t="s">
        <v>78</v>
      </c>
      <c r="L66" s="418" t="s">
        <v>78</v>
      </c>
      <c r="M66" s="418" t="s">
        <v>78</v>
      </c>
      <c r="N66" s="418" t="s">
        <v>78</v>
      </c>
      <c r="O66" s="83"/>
      <c r="P66" s="83"/>
      <c r="Q66" s="418" t="s">
        <v>52</v>
      </c>
      <c r="R66" s="418" t="s">
        <v>52</v>
      </c>
      <c r="S66" s="418" t="s">
        <v>52</v>
      </c>
      <c r="T66" s="418" t="s">
        <v>760</v>
      </c>
      <c r="U66" s="14"/>
      <c r="V66" s="83"/>
      <c r="W66" s="418" t="s">
        <v>762</v>
      </c>
      <c r="Z66" s="418" t="s">
        <v>762</v>
      </c>
      <c r="AA66" s="418" t="s">
        <v>765</v>
      </c>
      <c r="AB66" s="418"/>
      <c r="AC66" s="83"/>
      <c r="AE66" s="83"/>
      <c r="AF66" s="97"/>
      <c r="AG66" s="14"/>
      <c r="AH66" s="14"/>
    </row>
    <row r="67" spans="1:34" ht="15" customHeight="1">
      <c r="A67" s="443" t="s">
        <v>11</v>
      </c>
      <c r="B67" s="52" t="s">
        <v>929</v>
      </c>
      <c r="C67" s="93" t="s">
        <v>922</v>
      </c>
      <c r="F67" s="93" t="s">
        <v>924</v>
      </c>
      <c r="H67" s="72"/>
      <c r="I67" s="93" t="s">
        <v>932</v>
      </c>
      <c r="L67" s="93" t="s">
        <v>926</v>
      </c>
      <c r="M67" s="93" t="s">
        <v>939</v>
      </c>
      <c r="N67" s="93" t="s">
        <v>938</v>
      </c>
      <c r="O67" s="72"/>
      <c r="P67" s="72"/>
      <c r="Q67" s="93" t="s">
        <v>941</v>
      </c>
      <c r="R67" s="93" t="s">
        <v>944</v>
      </c>
      <c r="S67" s="93" t="s">
        <v>947</v>
      </c>
      <c r="T67" s="93" t="s">
        <v>948</v>
      </c>
      <c r="U67" s="14"/>
      <c r="V67" s="72"/>
      <c r="W67" s="93" t="s">
        <v>946</v>
      </c>
      <c r="Z67" s="93" t="s">
        <v>949</v>
      </c>
      <c r="AA67" s="93" t="s">
        <v>950</v>
      </c>
      <c r="AB67" s="93"/>
      <c r="AC67" s="72"/>
      <c r="AE67" s="72"/>
      <c r="AF67" s="98"/>
      <c r="AG67" s="14"/>
      <c r="AH67" s="14"/>
    </row>
    <row r="68" spans="1:34" ht="15" customHeight="1">
      <c r="A68" s="16" t="s">
        <v>12</v>
      </c>
      <c r="B68" s="127"/>
      <c r="C68" s="418"/>
      <c r="F68" s="418"/>
      <c r="H68" s="84"/>
      <c r="I68" s="418"/>
      <c r="L68" s="418"/>
      <c r="M68" s="418"/>
      <c r="N68" s="418"/>
      <c r="O68" s="84"/>
      <c r="P68" s="84"/>
      <c r="Q68" s="418"/>
      <c r="R68" s="418"/>
      <c r="S68" s="418"/>
      <c r="T68" s="418"/>
      <c r="U68" s="14"/>
      <c r="V68" s="84"/>
      <c r="W68" s="418"/>
      <c r="Z68" s="418"/>
      <c r="AA68" s="418"/>
      <c r="AB68" s="418"/>
      <c r="AC68" s="84"/>
      <c r="AE68" s="84"/>
      <c r="AF68" s="98"/>
      <c r="AG68" s="14"/>
      <c r="AH68" s="14"/>
    </row>
    <row r="69" spans="1:34" ht="15" customHeight="1">
      <c r="A69" s="18" t="s">
        <v>13</v>
      </c>
      <c r="B69" s="19" t="s">
        <v>698</v>
      </c>
      <c r="C69" s="19" t="s">
        <v>85</v>
      </c>
      <c r="F69" s="19" t="s">
        <v>85</v>
      </c>
      <c r="H69" s="74"/>
      <c r="I69" s="19" t="s">
        <v>85</v>
      </c>
      <c r="L69" s="19" t="s">
        <v>85</v>
      </c>
      <c r="M69" s="19" t="s">
        <v>85</v>
      </c>
      <c r="N69" s="19" t="s">
        <v>85</v>
      </c>
      <c r="O69" s="74"/>
      <c r="P69" s="74"/>
      <c r="Q69" s="19" t="s">
        <v>95</v>
      </c>
      <c r="R69" s="19" t="s">
        <v>95</v>
      </c>
      <c r="S69" s="19" t="s">
        <v>95</v>
      </c>
      <c r="T69" s="19" t="s">
        <v>14</v>
      </c>
      <c r="U69" s="14"/>
      <c r="V69" s="74"/>
      <c r="W69" s="19" t="s">
        <v>14</v>
      </c>
      <c r="Z69" s="19" t="s">
        <v>14</v>
      </c>
      <c r="AA69" s="19" t="s">
        <v>753</v>
      </c>
      <c r="AB69" s="19"/>
      <c r="AC69" s="74"/>
      <c r="AE69" s="74"/>
      <c r="AF69" s="98"/>
      <c r="AG69" s="14"/>
      <c r="AH69" s="14"/>
    </row>
    <row r="70" spans="1:34" ht="15" customHeight="1">
      <c r="A70" s="20" t="s">
        <v>15</v>
      </c>
      <c r="B70" s="51" t="s">
        <v>67</v>
      </c>
      <c r="C70" s="418" t="s">
        <v>53</v>
      </c>
      <c r="F70" s="418" t="s">
        <v>53</v>
      </c>
      <c r="H70" s="75"/>
      <c r="I70" s="418" t="s">
        <v>53</v>
      </c>
      <c r="L70" s="418" t="s">
        <v>53</v>
      </c>
      <c r="M70" s="418" t="s">
        <v>53</v>
      </c>
      <c r="N70" s="418" t="s">
        <v>53</v>
      </c>
      <c r="O70" s="75"/>
      <c r="P70" s="75"/>
      <c r="Q70" s="418" t="s">
        <v>53</v>
      </c>
      <c r="R70" s="418" t="s">
        <v>53</v>
      </c>
      <c r="S70" s="418" t="s">
        <v>53</v>
      </c>
      <c r="T70" s="418" t="s">
        <v>53</v>
      </c>
      <c r="U70" s="14"/>
      <c r="V70" s="75"/>
      <c r="W70" s="418" t="s">
        <v>53</v>
      </c>
      <c r="Z70" s="418" t="s">
        <v>53</v>
      </c>
      <c r="AA70" s="418" t="s">
        <v>53</v>
      </c>
      <c r="AB70" s="418"/>
      <c r="AC70" s="75"/>
      <c r="AE70" s="75"/>
      <c r="AF70" s="98"/>
      <c r="AG70" s="14"/>
      <c r="AH70" s="14"/>
    </row>
    <row r="71" spans="1:34" ht="15" customHeight="1">
      <c r="A71" s="444" t="s">
        <v>17</v>
      </c>
      <c r="B71" s="508" t="s">
        <v>1017</v>
      </c>
      <c r="C71" s="391" t="s">
        <v>1000</v>
      </c>
      <c r="F71" s="391" t="s">
        <v>1000</v>
      </c>
      <c r="H71" s="76"/>
      <c r="I71" s="391" t="s">
        <v>1000</v>
      </c>
      <c r="L71" s="391" t="s">
        <v>1000</v>
      </c>
      <c r="M71" s="391" t="s">
        <v>1000</v>
      </c>
      <c r="N71" s="391" t="s">
        <v>1000</v>
      </c>
      <c r="O71" s="76"/>
      <c r="P71" s="76"/>
      <c r="Q71" s="391" t="s">
        <v>1000</v>
      </c>
      <c r="R71" s="391" t="s">
        <v>1000</v>
      </c>
      <c r="S71" s="391" t="s">
        <v>1000</v>
      </c>
      <c r="T71" s="391" t="s">
        <v>1000</v>
      </c>
      <c r="U71" s="14"/>
      <c r="V71" s="76"/>
      <c r="W71" s="391" t="s">
        <v>1000</v>
      </c>
      <c r="Z71" s="391" t="s">
        <v>1000</v>
      </c>
      <c r="AA71" s="391" t="s">
        <v>1000</v>
      </c>
      <c r="AB71" s="391"/>
      <c r="AC71" s="76"/>
      <c r="AE71" s="76"/>
      <c r="AF71" s="98"/>
      <c r="AG71" s="14"/>
      <c r="AH71" s="14"/>
    </row>
    <row r="72" spans="1:34" ht="15" customHeight="1">
      <c r="A72" s="22" t="s">
        <v>18</v>
      </c>
      <c r="B72" s="54"/>
      <c r="C72" s="23"/>
      <c r="F72" s="23"/>
      <c r="H72" s="77"/>
      <c r="I72" s="23"/>
      <c r="L72" s="23"/>
      <c r="M72" s="23"/>
      <c r="N72" s="23"/>
      <c r="O72" s="77"/>
      <c r="P72" s="77"/>
      <c r="Q72" s="23"/>
      <c r="R72" s="23"/>
      <c r="S72" s="23"/>
      <c r="T72" s="23"/>
      <c r="U72" s="14"/>
      <c r="V72" s="77"/>
      <c r="W72" s="23"/>
      <c r="Z72" s="23"/>
      <c r="AA72" s="23"/>
      <c r="AB72" s="23"/>
      <c r="AC72" s="77"/>
      <c r="AE72" s="77"/>
      <c r="AF72" s="98"/>
      <c r="AG72" s="14"/>
      <c r="AH72" s="14"/>
    </row>
    <row r="73" spans="1:34" ht="15" customHeight="1">
      <c r="A73" s="12" t="s">
        <v>20</v>
      </c>
      <c r="B73" s="55"/>
      <c r="H73" s="71"/>
      <c r="I73" s="24" t="s">
        <v>602</v>
      </c>
      <c r="O73" s="71"/>
      <c r="P73" s="71"/>
      <c r="U73" s="14"/>
      <c r="V73" s="71"/>
      <c r="AC73" s="71"/>
      <c r="AE73" s="71"/>
      <c r="AF73" s="98"/>
      <c r="AG73" s="14"/>
      <c r="AH73" s="14"/>
    </row>
    <row r="74" spans="1:34" ht="15" customHeight="1">
      <c r="A74" s="25" t="s">
        <v>21</v>
      </c>
      <c r="B74" s="56" t="s">
        <v>701</v>
      </c>
      <c r="C74" s="418" t="s">
        <v>99</v>
      </c>
      <c r="F74" s="418" t="s">
        <v>99</v>
      </c>
      <c r="H74" s="73"/>
      <c r="I74" s="418" t="s">
        <v>77</v>
      </c>
      <c r="L74" s="418" t="s">
        <v>99</v>
      </c>
      <c r="M74" s="418" t="s">
        <v>77</v>
      </c>
      <c r="N74" s="418" t="s">
        <v>77</v>
      </c>
      <c r="O74" s="73"/>
      <c r="P74" s="73"/>
      <c r="Q74" s="418" t="s">
        <v>54</v>
      </c>
      <c r="R74" s="418" t="s">
        <v>54</v>
      </c>
      <c r="S74" s="418" t="s">
        <v>54</v>
      </c>
      <c r="T74" s="418" t="s">
        <v>759</v>
      </c>
      <c r="U74" s="14"/>
      <c r="V74" s="73"/>
      <c r="W74" s="418" t="s">
        <v>761</v>
      </c>
      <c r="Z74" s="418" t="s">
        <v>764</v>
      </c>
      <c r="AA74" s="418" t="s">
        <v>763</v>
      </c>
      <c r="AB74" s="418"/>
      <c r="AC74" s="73"/>
      <c r="AE74" s="73"/>
      <c r="AF74" s="98"/>
      <c r="AG74" s="14"/>
      <c r="AH74" s="14"/>
    </row>
    <row r="75" spans="1:34" ht="15" customHeight="1">
      <c r="A75" s="26" t="s">
        <v>22</v>
      </c>
      <c r="B75" s="57"/>
      <c r="C75" s="27"/>
      <c r="F75" s="27"/>
      <c r="H75" s="78"/>
      <c r="I75" s="27"/>
      <c r="L75" s="27"/>
      <c r="M75" s="27"/>
      <c r="N75" s="27"/>
      <c r="O75" s="78"/>
      <c r="P75" s="78"/>
      <c r="Q75" s="27"/>
      <c r="R75" s="27"/>
      <c r="S75" s="27"/>
      <c r="T75" s="27"/>
      <c r="U75" s="14"/>
      <c r="V75" s="78"/>
      <c r="W75" s="27"/>
      <c r="Z75" s="27"/>
      <c r="AA75" s="27"/>
      <c r="AB75" s="27"/>
      <c r="AC75" s="78"/>
      <c r="AE75" s="78"/>
      <c r="AF75" s="98"/>
      <c r="AG75" s="14"/>
      <c r="AH75" s="14"/>
    </row>
    <row r="76" spans="1:34" ht="15" customHeight="1">
      <c r="A76" s="25" t="s">
        <v>23</v>
      </c>
      <c r="B76" s="51">
        <v>456</v>
      </c>
      <c r="C76" s="418">
        <v>480</v>
      </c>
      <c r="F76" s="418">
        <v>1428</v>
      </c>
      <c r="H76" s="73"/>
      <c r="I76" s="418">
        <v>360</v>
      </c>
      <c r="L76" s="418">
        <v>360</v>
      </c>
      <c r="M76" s="418">
        <v>240</v>
      </c>
      <c r="N76" s="418">
        <v>264</v>
      </c>
      <c r="O76" s="73"/>
      <c r="P76" s="73"/>
      <c r="Q76" s="418">
        <v>2940</v>
      </c>
      <c r="R76" s="418">
        <v>180</v>
      </c>
      <c r="S76" s="418">
        <v>900</v>
      </c>
      <c r="T76" s="418">
        <v>3996</v>
      </c>
      <c r="U76" s="14"/>
      <c r="V76" s="73"/>
      <c r="W76" s="418">
        <v>4800</v>
      </c>
      <c r="Z76" s="418">
        <v>1908</v>
      </c>
      <c r="AA76" s="418">
        <v>3636</v>
      </c>
      <c r="AB76" s="418"/>
      <c r="AC76" s="73"/>
      <c r="AE76" s="73"/>
      <c r="AF76" s="98"/>
      <c r="AG76" s="14"/>
      <c r="AH76" s="14"/>
    </row>
    <row r="77" spans="1:34" ht="15" customHeight="1">
      <c r="A77" s="28" t="s">
        <v>24</v>
      </c>
      <c r="B77" s="111"/>
      <c r="H77" s="79"/>
      <c r="O77" s="79"/>
      <c r="P77" s="79"/>
      <c r="U77" s="14"/>
      <c r="V77" s="79"/>
      <c r="AC77" s="79"/>
      <c r="AE77" s="79"/>
      <c r="AF77" s="98"/>
      <c r="AG77" s="14"/>
      <c r="AH77" s="14"/>
    </row>
    <row r="78" spans="1:34" ht="15" customHeight="1">
      <c r="A78" s="31" t="s">
        <v>25</v>
      </c>
      <c r="B78" s="491">
        <v>43576</v>
      </c>
      <c r="C78" s="32">
        <v>43566</v>
      </c>
      <c r="F78" s="32">
        <v>43569</v>
      </c>
      <c r="H78" s="58"/>
      <c r="I78" s="32">
        <v>43575</v>
      </c>
      <c r="L78" s="32">
        <v>43578</v>
      </c>
      <c r="M78" s="32">
        <v>43581</v>
      </c>
      <c r="N78" s="32">
        <v>43581</v>
      </c>
      <c r="O78" s="58"/>
      <c r="P78" s="58"/>
      <c r="Q78" s="32">
        <v>43574</v>
      </c>
      <c r="R78" s="32">
        <v>43581</v>
      </c>
      <c r="S78" s="32">
        <v>43612</v>
      </c>
      <c r="T78" s="32">
        <v>43588</v>
      </c>
      <c r="U78" s="14"/>
      <c r="V78" s="58"/>
      <c r="W78" s="32">
        <v>43593</v>
      </c>
      <c r="Z78" s="32">
        <v>43593</v>
      </c>
      <c r="AA78" s="32">
        <v>43593</v>
      </c>
      <c r="AB78" s="32"/>
      <c r="AC78" s="58"/>
      <c r="AE78" s="58"/>
      <c r="AF78" s="98"/>
      <c r="AG78" s="14"/>
      <c r="AH78" s="14"/>
    </row>
    <row r="79" spans="1:34" ht="15" customHeight="1">
      <c r="A79" s="12" t="s">
        <v>27</v>
      </c>
      <c r="B79" s="58" t="s">
        <v>29</v>
      </c>
      <c r="C79" s="31" t="s">
        <v>29</v>
      </c>
      <c r="F79" s="31" t="s">
        <v>29</v>
      </c>
      <c r="H79" s="71"/>
      <c r="I79" s="31" t="s">
        <v>28</v>
      </c>
      <c r="L79" s="31" t="s">
        <v>29</v>
      </c>
      <c r="M79" s="31" t="s">
        <v>28</v>
      </c>
      <c r="N79" s="31" t="s">
        <v>28</v>
      </c>
      <c r="O79" s="71"/>
      <c r="P79" s="71"/>
      <c r="Q79" s="31" t="s">
        <v>28</v>
      </c>
      <c r="R79" s="31" t="s">
        <v>28</v>
      </c>
      <c r="S79" s="31" t="s">
        <v>30</v>
      </c>
      <c r="T79" s="31" t="s">
        <v>28</v>
      </c>
      <c r="U79" s="14"/>
      <c r="V79" s="71"/>
      <c r="W79" s="31" t="s">
        <v>28</v>
      </c>
      <c r="Z79" s="31" t="s">
        <v>28</v>
      </c>
      <c r="AA79" s="31" t="s">
        <v>28</v>
      </c>
      <c r="AC79" s="71"/>
      <c r="AE79" s="71"/>
      <c r="AF79" s="98"/>
      <c r="AG79" s="14"/>
      <c r="AH79" s="14"/>
    </row>
    <row r="80" spans="1:34" ht="15" customHeight="1">
      <c r="A80" s="12" t="s">
        <v>10</v>
      </c>
      <c r="B80" s="51" t="s">
        <v>703</v>
      </c>
      <c r="C80" s="418" t="s">
        <v>78</v>
      </c>
      <c r="E80" s="418"/>
      <c r="F80" s="418" t="s">
        <v>78</v>
      </c>
      <c r="G80" s="418"/>
      <c r="H80" s="15"/>
      <c r="I80" s="418" t="s">
        <v>78</v>
      </c>
      <c r="M80" s="418" t="s">
        <v>78</v>
      </c>
      <c r="N80" s="418" t="s">
        <v>78</v>
      </c>
      <c r="O80" s="15"/>
      <c r="P80" s="15"/>
      <c r="R80" s="418" t="s">
        <v>52</v>
      </c>
      <c r="S80" s="418" t="s">
        <v>52</v>
      </c>
      <c r="U80" s="14"/>
      <c r="V80" s="15"/>
      <c r="X80" s="14"/>
      <c r="Y80" s="14"/>
      <c r="Z80" s="418"/>
      <c r="AC80" s="15"/>
      <c r="AE80" s="15"/>
      <c r="AF80" s="98"/>
      <c r="AG80" s="14"/>
      <c r="AH80" s="14"/>
    </row>
    <row r="81" spans="1:34" ht="15" customHeight="1">
      <c r="A81" s="443" t="s">
        <v>11</v>
      </c>
      <c r="B81" s="52" t="s">
        <v>928</v>
      </c>
      <c r="C81" s="93" t="s">
        <v>921</v>
      </c>
      <c r="E81" s="93"/>
      <c r="F81" s="93" t="s">
        <v>923</v>
      </c>
      <c r="G81" s="93"/>
      <c r="H81" s="15"/>
      <c r="I81" s="93" t="s">
        <v>925</v>
      </c>
      <c r="M81" s="93" t="s">
        <v>937</v>
      </c>
      <c r="N81" s="93" t="s">
        <v>936</v>
      </c>
      <c r="O81" s="15"/>
      <c r="P81" s="15"/>
      <c r="R81" s="93" t="s">
        <v>943</v>
      </c>
      <c r="S81" s="93" t="s">
        <v>945</v>
      </c>
      <c r="U81" s="14"/>
      <c r="V81" s="15"/>
      <c r="X81" s="14"/>
      <c r="Y81" s="14"/>
      <c r="Z81" s="93"/>
      <c r="AC81" s="15"/>
      <c r="AE81" s="15"/>
      <c r="AF81" s="98"/>
      <c r="AG81" s="14"/>
      <c r="AH81" s="14"/>
    </row>
    <row r="82" spans="1:34" ht="15" customHeight="1">
      <c r="A82" s="16" t="s">
        <v>12</v>
      </c>
      <c r="B82" s="127"/>
      <c r="C82" s="418"/>
      <c r="E82" s="418"/>
      <c r="F82" s="418"/>
      <c r="G82" s="418"/>
      <c r="H82" s="15"/>
      <c r="I82" s="418"/>
      <c r="M82" s="418"/>
      <c r="N82" s="418"/>
      <c r="O82" s="15"/>
      <c r="P82" s="15"/>
      <c r="R82" s="418"/>
      <c r="S82" s="418"/>
      <c r="U82" s="14"/>
      <c r="V82" s="15"/>
      <c r="X82" s="14"/>
      <c r="Y82" s="14"/>
      <c r="Z82" s="418"/>
      <c r="AC82" s="15"/>
      <c r="AE82" s="15"/>
      <c r="AF82" s="98"/>
      <c r="AG82" s="14"/>
      <c r="AH82" s="14"/>
    </row>
    <row r="83" spans="1:34" ht="15" customHeight="1">
      <c r="A83" s="18" t="s">
        <v>13</v>
      </c>
      <c r="B83" s="19" t="s">
        <v>698</v>
      </c>
      <c r="C83" s="19" t="s">
        <v>85</v>
      </c>
      <c r="E83" s="19"/>
      <c r="F83" s="19" t="s">
        <v>85</v>
      </c>
      <c r="G83" s="19"/>
      <c r="H83" s="15"/>
      <c r="I83" s="19" t="s">
        <v>85</v>
      </c>
      <c r="M83" s="19" t="s">
        <v>85</v>
      </c>
      <c r="N83" s="19" t="s">
        <v>85</v>
      </c>
      <c r="O83" s="15"/>
      <c r="P83" s="15"/>
      <c r="R83" s="19" t="s">
        <v>95</v>
      </c>
      <c r="S83" s="19" t="s">
        <v>95</v>
      </c>
      <c r="U83" s="14"/>
      <c r="V83" s="15"/>
      <c r="X83" s="14"/>
      <c r="Y83" s="14"/>
      <c r="Z83" s="19"/>
      <c r="AC83" s="15"/>
      <c r="AE83" s="15"/>
      <c r="AF83" s="98"/>
      <c r="AG83" s="14"/>
      <c r="AH83" s="14"/>
    </row>
    <row r="84" spans="1:34" ht="15" customHeight="1">
      <c r="A84" s="20" t="s">
        <v>15</v>
      </c>
      <c r="B84" s="51" t="s">
        <v>67</v>
      </c>
      <c r="C84" s="418" t="s">
        <v>53</v>
      </c>
      <c r="E84" s="418"/>
      <c r="F84" s="418" t="s">
        <v>53</v>
      </c>
      <c r="G84" s="418"/>
      <c r="H84" s="15"/>
      <c r="I84" s="418" t="s">
        <v>53</v>
      </c>
      <c r="M84" s="418" t="s">
        <v>53</v>
      </c>
      <c r="N84" s="418" t="s">
        <v>53</v>
      </c>
      <c r="O84" s="15"/>
      <c r="P84" s="15"/>
      <c r="R84" s="418" t="s">
        <v>53</v>
      </c>
      <c r="S84" s="418" t="s">
        <v>53</v>
      </c>
      <c r="U84" s="14"/>
      <c r="V84" s="15"/>
      <c r="X84" s="14"/>
      <c r="Y84" s="14"/>
      <c r="Z84" s="418"/>
      <c r="AC84" s="15"/>
      <c r="AE84" s="15"/>
      <c r="AF84" s="98"/>
      <c r="AG84" s="14"/>
      <c r="AH84" s="14"/>
    </row>
    <row r="85" spans="1:34" ht="15" customHeight="1">
      <c r="A85" s="444" t="s">
        <v>17</v>
      </c>
      <c r="B85" s="508" t="s">
        <v>1017</v>
      </c>
      <c r="C85" s="391" t="s">
        <v>1000</v>
      </c>
      <c r="E85" s="391"/>
      <c r="F85" s="391" t="s">
        <v>1000</v>
      </c>
      <c r="G85" s="391"/>
      <c r="H85" s="15"/>
      <c r="I85" s="391" t="s">
        <v>1000</v>
      </c>
      <c r="M85" s="391" t="s">
        <v>1000</v>
      </c>
      <c r="N85" s="391" t="s">
        <v>1000</v>
      </c>
      <c r="O85" s="15"/>
      <c r="P85" s="15"/>
      <c r="R85" s="391" t="s">
        <v>1000</v>
      </c>
      <c r="S85" s="391" t="s">
        <v>1000</v>
      </c>
      <c r="U85" s="14"/>
      <c r="V85" s="15"/>
      <c r="X85" s="14"/>
      <c r="Y85" s="14"/>
      <c r="Z85" s="391"/>
      <c r="AC85" s="15"/>
      <c r="AE85" s="15"/>
      <c r="AF85" s="98"/>
      <c r="AG85" s="14"/>
      <c r="AH85" s="14"/>
    </row>
    <row r="86" spans="1:34" ht="15" customHeight="1">
      <c r="A86" s="22" t="s">
        <v>18</v>
      </c>
      <c r="B86" s="54"/>
      <c r="C86" s="23"/>
      <c r="E86" s="23"/>
      <c r="F86" s="23"/>
      <c r="G86" s="23"/>
      <c r="H86" s="15"/>
      <c r="I86" s="23"/>
      <c r="M86" s="23"/>
      <c r="N86" s="23"/>
      <c r="O86" s="15"/>
      <c r="P86" s="15"/>
      <c r="R86" s="23"/>
      <c r="S86" s="23"/>
      <c r="U86" s="14"/>
      <c r="V86" s="15"/>
      <c r="X86" s="14"/>
      <c r="Y86" s="14"/>
      <c r="Z86" s="23"/>
      <c r="AC86" s="15"/>
      <c r="AE86" s="15"/>
      <c r="AF86" s="98"/>
      <c r="AG86" s="14"/>
      <c r="AH86" s="14"/>
    </row>
    <row r="87" spans="1:34" ht="15" customHeight="1">
      <c r="A87" s="12" t="s">
        <v>20</v>
      </c>
      <c r="B87" s="55"/>
      <c r="C87" s="24" t="s">
        <v>104</v>
      </c>
      <c r="F87" s="24" t="s">
        <v>107</v>
      </c>
      <c r="H87" s="15"/>
      <c r="O87" s="15"/>
      <c r="P87" s="15"/>
      <c r="U87" s="14"/>
      <c r="V87" s="15"/>
      <c r="X87" s="14"/>
      <c r="Y87" s="14"/>
      <c r="AC87" s="15"/>
      <c r="AE87" s="15"/>
      <c r="AF87" s="98"/>
      <c r="AG87" s="14"/>
      <c r="AH87" s="14"/>
    </row>
    <row r="88" spans="1:34" ht="15" customHeight="1">
      <c r="A88" s="25" t="s">
        <v>21</v>
      </c>
      <c r="B88" s="56" t="s">
        <v>701</v>
      </c>
      <c r="C88" s="418" t="s">
        <v>99</v>
      </c>
      <c r="E88" s="418"/>
      <c r="F88" s="418" t="s">
        <v>99</v>
      </c>
      <c r="G88" s="418"/>
      <c r="H88" s="15"/>
      <c r="I88" s="418" t="s">
        <v>99</v>
      </c>
      <c r="M88" s="418" t="s">
        <v>77</v>
      </c>
      <c r="N88" s="418" t="s">
        <v>77</v>
      </c>
      <c r="O88" s="15"/>
      <c r="P88" s="15"/>
      <c r="R88" s="418" t="s">
        <v>54</v>
      </c>
      <c r="S88" s="418" t="s">
        <v>54</v>
      </c>
      <c r="U88" s="14"/>
      <c r="V88" s="15"/>
      <c r="X88" s="14"/>
      <c r="Y88" s="14"/>
      <c r="Z88" s="418"/>
      <c r="AC88" s="15"/>
      <c r="AE88" s="15"/>
      <c r="AF88" s="98"/>
      <c r="AG88" s="14"/>
      <c r="AH88" s="14"/>
    </row>
    <row r="89" spans="1:34" ht="15" customHeight="1">
      <c r="A89" s="26" t="s">
        <v>22</v>
      </c>
      <c r="B89" s="57"/>
      <c r="C89" s="27"/>
      <c r="E89" s="27"/>
      <c r="F89" s="27"/>
      <c r="G89" s="27"/>
      <c r="H89" s="15"/>
      <c r="I89" s="27"/>
      <c r="M89" s="27"/>
      <c r="N89" s="27"/>
      <c r="O89" s="15"/>
      <c r="P89" s="15"/>
      <c r="R89" s="27"/>
      <c r="S89" s="27"/>
      <c r="U89" s="14"/>
      <c r="V89" s="15"/>
      <c r="X89" s="14"/>
      <c r="Y89" s="14"/>
      <c r="Z89" s="27"/>
      <c r="AC89" s="15"/>
      <c r="AE89" s="15"/>
      <c r="AF89" s="98"/>
      <c r="AG89" s="14"/>
      <c r="AH89" s="14"/>
    </row>
    <row r="90" spans="1:34" ht="15" customHeight="1">
      <c r="A90" s="25" t="s">
        <v>23</v>
      </c>
      <c r="B90" s="51">
        <v>900</v>
      </c>
      <c r="C90" s="418">
        <v>6816</v>
      </c>
      <c r="E90" s="418"/>
      <c r="F90" s="418">
        <v>3780</v>
      </c>
      <c r="G90" s="418"/>
      <c r="H90" s="15"/>
      <c r="I90" s="418">
        <v>5676</v>
      </c>
      <c r="M90" s="418">
        <v>240</v>
      </c>
      <c r="N90" s="418">
        <v>120</v>
      </c>
      <c r="O90" s="15"/>
      <c r="P90" s="15"/>
      <c r="R90" s="418">
        <v>156</v>
      </c>
      <c r="S90" s="418">
        <v>900</v>
      </c>
      <c r="U90" s="14"/>
      <c r="V90" s="15"/>
      <c r="X90" s="14"/>
      <c r="Y90" s="14"/>
      <c r="Z90" s="418"/>
      <c r="AC90" s="15"/>
      <c r="AE90" s="15"/>
      <c r="AF90" s="98"/>
      <c r="AG90" s="14"/>
      <c r="AH90" s="14"/>
    </row>
    <row r="91" spans="1:34" ht="15" customHeight="1">
      <c r="A91" s="28" t="s">
        <v>24</v>
      </c>
      <c r="B91" s="111"/>
      <c r="H91" s="15"/>
      <c r="O91" s="15"/>
      <c r="P91" s="15"/>
      <c r="U91" s="14"/>
      <c r="V91" s="15"/>
      <c r="X91" s="14"/>
      <c r="Y91" s="14"/>
      <c r="AC91" s="15"/>
      <c r="AE91" s="15"/>
      <c r="AF91" s="98"/>
      <c r="AG91" s="14"/>
      <c r="AH91" s="14"/>
    </row>
    <row r="92" spans="1:34" ht="15" customHeight="1">
      <c r="A92" s="31" t="s">
        <v>25</v>
      </c>
      <c r="B92" s="491">
        <v>43576</v>
      </c>
      <c r="C92" s="32">
        <v>43569</v>
      </c>
      <c r="E92" s="32"/>
      <c r="F92" s="32">
        <v>43569</v>
      </c>
      <c r="G92" s="32"/>
      <c r="H92" s="15"/>
      <c r="I92" s="32">
        <v>43577</v>
      </c>
      <c r="M92" s="32">
        <v>43581</v>
      </c>
      <c r="N92" s="32">
        <v>43581</v>
      </c>
      <c r="O92" s="15"/>
      <c r="P92" s="15"/>
      <c r="R92" s="32">
        <v>43581</v>
      </c>
      <c r="S92" s="32">
        <v>43612</v>
      </c>
      <c r="U92" s="14"/>
      <c r="V92" s="15"/>
      <c r="X92" s="14"/>
      <c r="Y92" s="14"/>
      <c r="Z92" s="32"/>
      <c r="AC92" s="15"/>
      <c r="AE92" s="15"/>
      <c r="AF92" s="98"/>
      <c r="AG92" s="14"/>
      <c r="AH92" s="14"/>
    </row>
    <row r="93" spans="1:34" ht="15" customHeight="1">
      <c r="A93" s="12" t="s">
        <v>27</v>
      </c>
      <c r="B93" s="58" t="s">
        <v>29</v>
      </c>
      <c r="C93" s="31" t="s">
        <v>29</v>
      </c>
      <c r="D93" s="14"/>
      <c r="E93" s="14"/>
      <c r="F93" s="31" t="s">
        <v>29</v>
      </c>
      <c r="G93" s="33"/>
      <c r="H93" s="15"/>
      <c r="I93" s="31" t="s">
        <v>29</v>
      </c>
      <c r="M93" s="31" t="s">
        <v>28</v>
      </c>
      <c r="N93" s="31" t="s">
        <v>28</v>
      </c>
      <c r="O93" s="15"/>
      <c r="P93" s="15"/>
      <c r="R93" s="31" t="s">
        <v>28</v>
      </c>
      <c r="S93" s="31" t="s">
        <v>30</v>
      </c>
      <c r="U93" s="14"/>
      <c r="V93" s="15"/>
      <c r="X93" s="14"/>
      <c r="Y93" s="14"/>
      <c r="Z93" s="14"/>
      <c r="AA93" s="33"/>
      <c r="AB93" s="14"/>
      <c r="AC93" s="15"/>
      <c r="AE93" s="15"/>
      <c r="AF93" s="98"/>
      <c r="AG93" s="14"/>
      <c r="AH93" s="14"/>
    </row>
    <row r="94" spans="1:34" ht="15" customHeight="1">
      <c r="A94" s="12" t="s">
        <v>10</v>
      </c>
      <c r="B94" s="51" t="s">
        <v>703</v>
      </c>
      <c r="C94" s="14"/>
      <c r="D94" s="14"/>
      <c r="E94" s="14"/>
      <c r="F94" s="33"/>
      <c r="G94" s="33"/>
      <c r="H94" s="15"/>
      <c r="I94" s="33"/>
      <c r="J94" s="33"/>
      <c r="M94" s="418" t="s">
        <v>78</v>
      </c>
      <c r="N94" s="418" t="s">
        <v>78</v>
      </c>
      <c r="O94" s="15"/>
      <c r="P94" s="15"/>
      <c r="Q94" s="14"/>
      <c r="R94" s="418" t="s">
        <v>52</v>
      </c>
      <c r="S94" s="14"/>
      <c r="T94" s="33"/>
      <c r="U94" s="14"/>
      <c r="V94" s="15"/>
      <c r="W94" s="14"/>
      <c r="X94" s="14"/>
      <c r="Y94" s="14"/>
      <c r="Z94" s="14"/>
      <c r="AA94" s="33"/>
      <c r="AB94" s="14"/>
      <c r="AC94" s="15"/>
      <c r="AE94" s="15"/>
      <c r="AF94" s="98"/>
      <c r="AG94" s="14"/>
      <c r="AH94" s="14"/>
    </row>
    <row r="95" spans="1:34" ht="15" customHeight="1">
      <c r="A95" s="443" t="s">
        <v>11</v>
      </c>
      <c r="B95" s="52" t="s">
        <v>927</v>
      </c>
      <c r="C95" s="14"/>
      <c r="D95" s="14"/>
      <c r="E95" s="14"/>
      <c r="F95" s="33"/>
      <c r="G95" s="33"/>
      <c r="H95" s="15"/>
      <c r="I95" s="33"/>
      <c r="J95" s="33"/>
      <c r="M95" s="93" t="s">
        <v>935</v>
      </c>
      <c r="N95" s="93" t="s">
        <v>934</v>
      </c>
      <c r="O95" s="15"/>
      <c r="P95" s="15"/>
      <c r="Q95" s="14"/>
      <c r="R95" s="93" t="s">
        <v>942</v>
      </c>
      <c r="S95" s="14"/>
      <c r="T95" s="33"/>
      <c r="U95" s="14"/>
      <c r="V95" s="15"/>
      <c r="W95" s="14"/>
      <c r="X95" s="14"/>
      <c r="Y95" s="14"/>
      <c r="Z95" s="14"/>
      <c r="AA95" s="33"/>
      <c r="AB95" s="14"/>
      <c r="AC95" s="15"/>
      <c r="AE95" s="15"/>
      <c r="AF95" s="98"/>
      <c r="AG95" s="14"/>
      <c r="AH95" s="14"/>
    </row>
    <row r="96" spans="1:34" ht="15" customHeight="1">
      <c r="A96" s="16" t="s">
        <v>12</v>
      </c>
      <c r="B96" s="127"/>
      <c r="C96" s="14"/>
      <c r="D96" s="14"/>
      <c r="E96" s="14"/>
      <c r="F96" s="33"/>
      <c r="G96" s="33"/>
      <c r="H96" s="15"/>
      <c r="I96" s="33"/>
      <c r="J96" s="33"/>
      <c r="M96" s="418"/>
      <c r="N96" s="418"/>
      <c r="O96" s="15"/>
      <c r="P96" s="15"/>
      <c r="Q96" s="14"/>
      <c r="R96" s="418"/>
      <c r="S96" s="14"/>
      <c r="T96" s="33"/>
      <c r="U96" s="14"/>
      <c r="V96" s="15"/>
      <c r="W96" s="14"/>
      <c r="X96" s="14"/>
      <c r="Y96" s="14"/>
      <c r="Z96" s="14"/>
      <c r="AA96" s="33"/>
      <c r="AB96" s="14"/>
      <c r="AC96" s="15"/>
      <c r="AE96" s="15"/>
      <c r="AF96" s="98"/>
      <c r="AG96" s="14"/>
      <c r="AH96" s="14"/>
    </row>
    <row r="97" spans="1:34" ht="15" customHeight="1">
      <c r="A97" s="18" t="s">
        <v>13</v>
      </c>
      <c r="B97" s="19" t="s">
        <v>698</v>
      </c>
      <c r="C97" s="14"/>
      <c r="D97" s="14"/>
      <c r="E97" s="14"/>
      <c r="F97" s="33"/>
      <c r="G97" s="33"/>
      <c r="H97" s="15"/>
      <c r="I97" s="33"/>
      <c r="J97" s="33"/>
      <c r="M97" s="19" t="s">
        <v>85</v>
      </c>
      <c r="N97" s="19" t="s">
        <v>85</v>
      </c>
      <c r="O97" s="15"/>
      <c r="P97" s="15"/>
      <c r="Q97" s="14"/>
      <c r="R97" s="19" t="s">
        <v>95</v>
      </c>
      <c r="S97" s="14"/>
      <c r="T97" s="33"/>
      <c r="U97" s="14"/>
      <c r="V97" s="15"/>
      <c r="W97" s="14"/>
      <c r="X97" s="14"/>
      <c r="Y97" s="14"/>
      <c r="Z97" s="14"/>
      <c r="AA97" s="33"/>
      <c r="AB97" s="14"/>
      <c r="AC97" s="15"/>
      <c r="AE97" s="15"/>
      <c r="AF97" s="98"/>
      <c r="AG97" s="14"/>
      <c r="AH97" s="14"/>
    </row>
    <row r="98" spans="1:34" ht="15" customHeight="1">
      <c r="A98" s="20" t="s">
        <v>15</v>
      </c>
      <c r="B98" s="51" t="s">
        <v>67</v>
      </c>
      <c r="C98" s="14"/>
      <c r="D98" s="14"/>
      <c r="E98" s="14"/>
      <c r="F98" s="33"/>
      <c r="G98" s="33"/>
      <c r="H98" s="15"/>
      <c r="I98" s="33"/>
      <c r="J98" s="33"/>
      <c r="M98" s="418" t="s">
        <v>53</v>
      </c>
      <c r="N98" s="418" t="s">
        <v>53</v>
      </c>
      <c r="O98" s="15"/>
      <c r="P98" s="15"/>
      <c r="Q98" s="14"/>
      <c r="R98" s="418" t="s">
        <v>53</v>
      </c>
      <c r="S98" s="14"/>
      <c r="T98" s="33"/>
      <c r="U98" s="14"/>
      <c r="V98" s="15"/>
      <c r="W98" s="14"/>
      <c r="X98" s="14"/>
      <c r="Y98" s="14"/>
      <c r="Z98" s="14"/>
      <c r="AA98" s="33"/>
      <c r="AB98" s="14"/>
      <c r="AC98" s="15"/>
      <c r="AE98" s="15"/>
      <c r="AF98" s="98"/>
      <c r="AG98" s="14"/>
      <c r="AH98" s="14"/>
    </row>
    <row r="99" spans="1:34" ht="15" customHeight="1">
      <c r="A99" s="444" t="s">
        <v>17</v>
      </c>
      <c r="B99" s="508" t="s">
        <v>1017</v>
      </c>
      <c r="C99" s="14"/>
      <c r="D99" s="14"/>
      <c r="E99" s="14"/>
      <c r="F99" s="33"/>
      <c r="G99" s="33"/>
      <c r="H99" s="15"/>
      <c r="I99" s="33"/>
      <c r="J99" s="33"/>
      <c r="M99" s="391" t="s">
        <v>1000</v>
      </c>
      <c r="N99" s="391" t="s">
        <v>1000</v>
      </c>
      <c r="O99" s="15"/>
      <c r="P99" s="15"/>
      <c r="Q99" s="14"/>
      <c r="R99" s="391" t="s">
        <v>1000</v>
      </c>
      <c r="S99" s="14"/>
      <c r="T99" s="33"/>
      <c r="U99" s="14"/>
      <c r="V99" s="15"/>
      <c r="W99" s="14"/>
      <c r="X99" s="14"/>
      <c r="Y99" s="14"/>
      <c r="Z99" s="14"/>
      <c r="AA99" s="33"/>
      <c r="AB99" s="14"/>
      <c r="AC99" s="15"/>
      <c r="AE99" s="15"/>
      <c r="AF99" s="98"/>
      <c r="AG99" s="14"/>
      <c r="AH99" s="14"/>
    </row>
    <row r="100" spans="1:34" ht="15" customHeight="1">
      <c r="A100" s="22" t="s">
        <v>18</v>
      </c>
      <c r="B100" s="54"/>
      <c r="C100" s="14"/>
      <c r="D100" s="14"/>
      <c r="E100" s="14"/>
      <c r="F100" s="33"/>
      <c r="G100" s="33"/>
      <c r="H100" s="15"/>
      <c r="I100" s="33"/>
      <c r="J100" s="33"/>
      <c r="M100" s="23"/>
      <c r="N100" s="23"/>
      <c r="O100" s="15"/>
      <c r="P100" s="15"/>
      <c r="Q100" s="14"/>
      <c r="R100" s="23"/>
      <c r="S100" s="14"/>
      <c r="T100" s="33"/>
      <c r="U100" s="14"/>
      <c r="V100" s="15"/>
      <c r="W100" s="14"/>
      <c r="X100" s="14"/>
      <c r="Y100" s="14"/>
      <c r="Z100" s="14"/>
      <c r="AA100" s="33"/>
      <c r="AB100" s="14"/>
      <c r="AC100" s="15"/>
      <c r="AE100" s="15"/>
      <c r="AF100" s="98"/>
      <c r="AG100" s="14"/>
      <c r="AH100" s="14"/>
    </row>
    <row r="101" spans="1:34" ht="15" customHeight="1">
      <c r="A101" s="12" t="s">
        <v>20</v>
      </c>
      <c r="B101" s="55"/>
      <c r="C101" s="14"/>
      <c r="D101" s="14"/>
      <c r="E101" s="14"/>
      <c r="F101" s="33"/>
      <c r="G101" s="33"/>
      <c r="H101" s="15"/>
      <c r="I101" s="33"/>
      <c r="J101" s="33"/>
      <c r="O101" s="15"/>
      <c r="P101" s="15"/>
      <c r="Q101" s="14"/>
      <c r="S101" s="14"/>
      <c r="T101" s="33"/>
      <c r="U101" s="14"/>
      <c r="V101" s="15"/>
      <c r="W101" s="14"/>
      <c r="X101" s="14"/>
      <c r="Y101" s="14"/>
      <c r="Z101" s="14"/>
      <c r="AA101" s="33"/>
      <c r="AB101" s="14"/>
      <c r="AC101" s="15"/>
      <c r="AE101" s="15"/>
      <c r="AF101" s="98"/>
      <c r="AG101" s="14"/>
      <c r="AH101" s="14"/>
    </row>
    <row r="102" spans="1:34" ht="15" customHeight="1">
      <c r="A102" s="25" t="s">
        <v>21</v>
      </c>
      <c r="B102" s="56" t="s">
        <v>701</v>
      </c>
      <c r="C102" s="14"/>
      <c r="D102" s="14"/>
      <c r="E102" s="14"/>
      <c r="F102" s="33"/>
      <c r="G102" s="33"/>
      <c r="H102" s="15"/>
      <c r="I102" s="33"/>
      <c r="J102" s="33"/>
      <c r="M102" s="418" t="s">
        <v>77</v>
      </c>
      <c r="N102" s="418" t="s">
        <v>77</v>
      </c>
      <c r="O102" s="15"/>
      <c r="P102" s="15"/>
      <c r="Q102" s="14"/>
      <c r="R102" s="418" t="s">
        <v>54</v>
      </c>
      <c r="S102" s="14"/>
      <c r="T102" s="33"/>
      <c r="U102" s="14"/>
      <c r="V102" s="15"/>
      <c r="W102" s="14"/>
      <c r="X102" s="14"/>
      <c r="Y102" s="14"/>
      <c r="Z102" s="14"/>
      <c r="AA102" s="33"/>
      <c r="AB102" s="14"/>
      <c r="AC102" s="15"/>
      <c r="AE102" s="15"/>
      <c r="AF102" s="98"/>
      <c r="AG102" s="14"/>
      <c r="AH102" s="14"/>
    </row>
    <row r="103" spans="1:34" ht="15" customHeight="1">
      <c r="A103" s="26" t="s">
        <v>22</v>
      </c>
      <c r="B103" s="57"/>
      <c r="C103" s="14"/>
      <c r="D103" s="14"/>
      <c r="E103" s="14"/>
      <c r="F103" s="33"/>
      <c r="G103" s="33"/>
      <c r="H103" s="15"/>
      <c r="I103" s="33"/>
      <c r="J103" s="33"/>
      <c r="M103" s="27"/>
      <c r="N103" s="27"/>
      <c r="O103" s="15"/>
      <c r="P103" s="15"/>
      <c r="Q103" s="14"/>
      <c r="R103" s="27"/>
      <c r="S103" s="14"/>
      <c r="T103" s="33"/>
      <c r="U103" s="14"/>
      <c r="V103" s="15"/>
      <c r="W103" s="14"/>
      <c r="X103" s="14"/>
      <c r="Y103" s="14"/>
      <c r="Z103" s="14"/>
      <c r="AA103" s="33"/>
      <c r="AB103" s="14"/>
      <c r="AC103" s="15"/>
      <c r="AE103" s="15"/>
      <c r="AF103" s="98"/>
      <c r="AG103" s="14"/>
      <c r="AH103" s="14"/>
    </row>
    <row r="104" spans="1:34" ht="15" customHeight="1">
      <c r="A104" s="25" t="s">
        <v>23</v>
      </c>
      <c r="B104" s="51">
        <v>948</v>
      </c>
      <c r="C104" s="14"/>
      <c r="D104" s="14"/>
      <c r="E104" s="14"/>
      <c r="F104" s="33"/>
      <c r="G104" s="33"/>
      <c r="H104" s="15"/>
      <c r="I104" s="33"/>
      <c r="J104" s="33"/>
      <c r="M104" s="418">
        <v>120</v>
      </c>
      <c r="N104" s="418">
        <v>384</v>
      </c>
      <c r="O104" s="15"/>
      <c r="P104" s="15"/>
      <c r="Q104" s="14"/>
      <c r="R104" s="418">
        <v>780</v>
      </c>
      <c r="S104" s="14"/>
      <c r="T104" s="33"/>
      <c r="U104" s="14"/>
      <c r="V104" s="15"/>
      <c r="W104" s="14"/>
      <c r="X104" s="14"/>
      <c r="Y104" s="14"/>
      <c r="Z104" s="14"/>
      <c r="AA104" s="33"/>
      <c r="AB104" s="14"/>
      <c r="AC104" s="15"/>
      <c r="AE104" s="15"/>
      <c r="AF104" s="98"/>
      <c r="AG104" s="14"/>
      <c r="AH104" s="14"/>
    </row>
    <row r="105" spans="1:34" ht="15" customHeight="1">
      <c r="A105" s="28" t="s">
        <v>24</v>
      </c>
      <c r="B105" s="111"/>
      <c r="C105" s="14"/>
      <c r="D105" s="14"/>
      <c r="E105" s="14"/>
      <c r="F105" s="33"/>
      <c r="G105" s="33"/>
      <c r="H105" s="15"/>
      <c r="I105" s="33"/>
      <c r="J105" s="33"/>
      <c r="O105" s="15"/>
      <c r="P105" s="15"/>
      <c r="Q105" s="14"/>
      <c r="S105" s="14"/>
      <c r="T105" s="33"/>
      <c r="U105" s="14"/>
      <c r="V105" s="15"/>
      <c r="W105" s="14"/>
      <c r="X105" s="14"/>
      <c r="Y105" s="14"/>
      <c r="Z105" s="14"/>
      <c r="AA105" s="33"/>
      <c r="AB105" s="14"/>
      <c r="AC105" s="15"/>
      <c r="AE105" s="15"/>
      <c r="AF105" s="98"/>
      <c r="AG105" s="14"/>
      <c r="AH105" s="14"/>
    </row>
    <row r="106" spans="1:34" ht="15" customHeight="1">
      <c r="A106" s="31" t="s">
        <v>25</v>
      </c>
      <c r="B106" s="491">
        <v>43576</v>
      </c>
      <c r="C106" s="14"/>
      <c r="D106" s="14"/>
      <c r="E106" s="14"/>
      <c r="F106" s="33"/>
      <c r="G106" s="33"/>
      <c r="H106" s="15"/>
      <c r="I106" s="33"/>
      <c r="J106" s="33"/>
      <c r="M106" s="32">
        <v>43581</v>
      </c>
      <c r="N106" s="32">
        <v>43581</v>
      </c>
      <c r="O106" s="15"/>
      <c r="P106" s="15"/>
      <c r="Q106" s="14"/>
      <c r="R106" s="32">
        <v>43590</v>
      </c>
      <c r="S106" s="14"/>
      <c r="T106" s="33"/>
      <c r="U106" s="14"/>
      <c r="V106" s="15"/>
      <c r="W106" s="14"/>
      <c r="X106" s="14"/>
      <c r="Y106" s="14"/>
      <c r="Z106" s="14"/>
      <c r="AA106" s="33"/>
      <c r="AB106" s="14"/>
      <c r="AC106" s="15"/>
      <c r="AE106" s="15"/>
      <c r="AF106" s="98"/>
      <c r="AG106" s="14"/>
      <c r="AH106" s="14"/>
    </row>
    <row r="107" spans="1:34" ht="15" customHeight="1">
      <c r="A107" s="12" t="s">
        <v>27</v>
      </c>
      <c r="B107" s="58" t="s">
        <v>29</v>
      </c>
      <c r="C107" s="14"/>
      <c r="D107" s="14"/>
      <c r="E107" s="14"/>
      <c r="F107" s="33"/>
      <c r="G107" s="33"/>
      <c r="H107" s="15"/>
      <c r="I107" s="33"/>
      <c r="J107" s="33"/>
      <c r="M107" s="31" t="s">
        <v>28</v>
      </c>
      <c r="N107" s="31" t="s">
        <v>28</v>
      </c>
      <c r="O107" s="15"/>
      <c r="P107" s="15"/>
      <c r="Q107" s="14"/>
      <c r="R107" s="31" t="s">
        <v>28</v>
      </c>
      <c r="S107" s="14"/>
      <c r="T107" s="33"/>
      <c r="U107" s="14"/>
      <c r="V107" s="15"/>
      <c r="W107" s="14"/>
      <c r="X107" s="14"/>
      <c r="Y107" s="14"/>
      <c r="Z107" s="14"/>
      <c r="AA107" s="33"/>
      <c r="AB107" s="14"/>
      <c r="AC107" s="15"/>
      <c r="AE107" s="15"/>
      <c r="AF107" s="98"/>
      <c r="AG107" s="14"/>
      <c r="AH107" s="14"/>
    </row>
    <row r="108" spans="1:34" ht="15" customHeight="1">
      <c r="A108" s="12" t="s">
        <v>10</v>
      </c>
      <c r="B108" s="14"/>
      <c r="C108" s="14"/>
      <c r="D108" s="14"/>
      <c r="E108" s="14"/>
      <c r="F108" s="33"/>
      <c r="G108" s="33"/>
      <c r="H108" s="15"/>
      <c r="I108" s="33"/>
      <c r="J108" s="33"/>
      <c r="K108" s="33"/>
      <c r="L108" s="33"/>
      <c r="M108" s="418" t="s">
        <v>78</v>
      </c>
      <c r="O108" s="15"/>
      <c r="P108" s="15"/>
      <c r="Q108" s="14"/>
      <c r="R108" s="14"/>
      <c r="S108" s="14"/>
      <c r="T108" s="33"/>
      <c r="U108" s="14"/>
      <c r="V108" s="15"/>
      <c r="W108" s="14"/>
      <c r="X108" s="14"/>
      <c r="Y108" s="14"/>
      <c r="Z108" s="14"/>
      <c r="AA108" s="33"/>
      <c r="AB108" s="14"/>
      <c r="AC108" s="15"/>
      <c r="AE108" s="15"/>
      <c r="AF108" s="98"/>
      <c r="AG108" s="14"/>
      <c r="AH108" s="14"/>
    </row>
    <row r="109" spans="1:34" ht="15" customHeight="1">
      <c r="A109" s="443" t="s">
        <v>11</v>
      </c>
      <c r="B109" s="14"/>
      <c r="C109" s="14"/>
      <c r="D109" s="14"/>
      <c r="E109" s="14"/>
      <c r="F109" s="33"/>
      <c r="G109" s="33"/>
      <c r="H109" s="15"/>
      <c r="I109" s="33"/>
      <c r="J109" s="33"/>
      <c r="K109" s="33"/>
      <c r="L109" s="33"/>
      <c r="M109" s="93" t="s">
        <v>933</v>
      </c>
      <c r="O109" s="15"/>
      <c r="P109" s="15"/>
      <c r="Q109" s="14"/>
      <c r="R109" s="14"/>
      <c r="S109" s="14"/>
      <c r="T109" s="33"/>
      <c r="U109" s="14"/>
      <c r="V109" s="15"/>
      <c r="W109" s="14"/>
      <c r="X109" s="14"/>
      <c r="Y109" s="14"/>
      <c r="Z109" s="14"/>
      <c r="AA109" s="33"/>
      <c r="AB109" s="14"/>
      <c r="AC109" s="15"/>
      <c r="AE109" s="15"/>
      <c r="AF109" s="98"/>
      <c r="AG109" s="14"/>
      <c r="AH109" s="14"/>
    </row>
    <row r="110" spans="1:34" ht="15" customHeight="1">
      <c r="A110" s="16" t="s">
        <v>12</v>
      </c>
      <c r="B110" s="14"/>
      <c r="C110" s="14"/>
      <c r="D110" s="14"/>
      <c r="E110" s="14"/>
      <c r="F110" s="33"/>
      <c r="G110" s="33"/>
      <c r="H110" s="15"/>
      <c r="I110" s="33"/>
      <c r="J110" s="33"/>
      <c r="K110" s="33"/>
      <c r="L110" s="33"/>
      <c r="M110" s="418"/>
      <c r="O110" s="15"/>
      <c r="P110" s="15"/>
      <c r="Q110" s="14"/>
      <c r="R110" s="14"/>
      <c r="S110" s="14"/>
      <c r="T110" s="33"/>
      <c r="U110" s="14"/>
      <c r="V110" s="15"/>
      <c r="W110" s="14"/>
      <c r="X110" s="14"/>
      <c r="Y110" s="14"/>
      <c r="Z110" s="14"/>
      <c r="AA110" s="33"/>
      <c r="AB110" s="14"/>
      <c r="AC110" s="15"/>
      <c r="AE110" s="15"/>
      <c r="AF110" s="98"/>
      <c r="AG110" s="14"/>
      <c r="AH110" s="14"/>
    </row>
    <row r="111" spans="1:34" ht="15" customHeight="1">
      <c r="A111" s="18" t="s">
        <v>13</v>
      </c>
      <c r="B111" s="14"/>
      <c r="C111" s="14"/>
      <c r="D111" s="14"/>
      <c r="E111" s="14"/>
      <c r="F111" s="33"/>
      <c r="G111" s="33"/>
      <c r="H111" s="15"/>
      <c r="I111" s="33"/>
      <c r="J111" s="33"/>
      <c r="K111" s="33"/>
      <c r="L111" s="33"/>
      <c r="M111" s="19" t="s">
        <v>85</v>
      </c>
      <c r="O111" s="15"/>
      <c r="P111" s="15"/>
      <c r="Q111" s="14"/>
      <c r="R111" s="14"/>
      <c r="S111" s="14"/>
      <c r="T111" s="33"/>
      <c r="U111" s="14"/>
      <c r="V111" s="15"/>
      <c r="W111" s="14"/>
      <c r="X111" s="14"/>
      <c r="Y111" s="14"/>
      <c r="Z111" s="14"/>
      <c r="AA111" s="33"/>
      <c r="AB111" s="14"/>
      <c r="AC111" s="15"/>
      <c r="AE111" s="15"/>
      <c r="AF111" s="98"/>
      <c r="AG111" s="14"/>
      <c r="AH111" s="14"/>
    </row>
    <row r="112" spans="1:34" ht="15" customHeight="1">
      <c r="A112" s="20" t="s">
        <v>15</v>
      </c>
      <c r="B112" s="14"/>
      <c r="C112" s="14"/>
      <c r="D112" s="14"/>
      <c r="E112" s="14"/>
      <c r="F112" s="33"/>
      <c r="G112" s="33"/>
      <c r="H112" s="15"/>
      <c r="I112" s="33"/>
      <c r="J112" s="33"/>
      <c r="K112" s="33"/>
      <c r="L112" s="33"/>
      <c r="M112" s="418" t="s">
        <v>53</v>
      </c>
      <c r="O112" s="15"/>
      <c r="P112" s="15"/>
      <c r="Q112" s="14"/>
      <c r="R112" s="14"/>
      <c r="S112" s="14"/>
      <c r="T112" s="33"/>
      <c r="U112" s="14"/>
      <c r="V112" s="15"/>
      <c r="W112" s="14"/>
      <c r="X112" s="14"/>
      <c r="Y112" s="14"/>
      <c r="Z112" s="14"/>
      <c r="AA112" s="33"/>
      <c r="AB112" s="14"/>
      <c r="AC112" s="15"/>
      <c r="AE112" s="15"/>
      <c r="AF112" s="98"/>
      <c r="AG112" s="14"/>
      <c r="AH112" s="14"/>
    </row>
    <row r="113" spans="1:34" ht="15" customHeight="1">
      <c r="A113" s="444" t="s">
        <v>17</v>
      </c>
      <c r="B113" s="14"/>
      <c r="C113" s="14"/>
      <c r="D113" s="14"/>
      <c r="E113" s="14"/>
      <c r="F113" s="33"/>
      <c r="G113" s="33"/>
      <c r="H113" s="15"/>
      <c r="I113" s="33"/>
      <c r="J113" s="33"/>
      <c r="K113" s="33"/>
      <c r="L113" s="33"/>
      <c r="M113" s="391" t="s">
        <v>1000</v>
      </c>
      <c r="O113" s="15"/>
      <c r="P113" s="15"/>
      <c r="Q113" s="14"/>
      <c r="R113" s="14"/>
      <c r="S113" s="14"/>
      <c r="T113" s="33"/>
      <c r="U113" s="14"/>
      <c r="V113" s="15"/>
      <c r="W113" s="14"/>
      <c r="X113" s="14"/>
      <c r="Y113" s="14"/>
      <c r="Z113" s="14"/>
      <c r="AA113" s="33"/>
      <c r="AB113" s="14"/>
      <c r="AC113" s="15"/>
      <c r="AE113" s="15"/>
      <c r="AF113" s="98"/>
      <c r="AG113" s="14"/>
      <c r="AH113" s="14"/>
    </row>
    <row r="114" spans="1:34" ht="15" customHeight="1">
      <c r="A114" s="22" t="s">
        <v>18</v>
      </c>
      <c r="B114" s="14"/>
      <c r="C114" s="14"/>
      <c r="D114" s="14"/>
      <c r="E114" s="14"/>
      <c r="F114" s="33"/>
      <c r="G114" s="33"/>
      <c r="H114" s="15"/>
      <c r="I114" s="33"/>
      <c r="J114" s="33"/>
      <c r="K114" s="33"/>
      <c r="L114" s="33"/>
      <c r="M114" s="23"/>
      <c r="O114" s="15"/>
      <c r="P114" s="15"/>
      <c r="Q114" s="14"/>
      <c r="R114" s="14"/>
      <c r="S114" s="14"/>
      <c r="T114" s="33"/>
      <c r="U114" s="14"/>
      <c r="V114" s="15"/>
      <c r="W114" s="14"/>
      <c r="X114" s="14"/>
      <c r="Y114" s="14"/>
      <c r="Z114" s="14"/>
      <c r="AA114" s="33"/>
      <c r="AB114" s="14"/>
      <c r="AC114" s="15"/>
      <c r="AE114" s="15"/>
      <c r="AF114" s="98"/>
      <c r="AG114" s="14"/>
      <c r="AH114" s="14"/>
    </row>
    <row r="115" spans="1:34" ht="15" customHeight="1">
      <c r="A115" s="12" t="s">
        <v>20</v>
      </c>
      <c r="B115" s="14"/>
      <c r="C115" s="14"/>
      <c r="D115" s="14"/>
      <c r="E115" s="14"/>
      <c r="F115" s="33"/>
      <c r="G115" s="33"/>
      <c r="H115" s="15"/>
      <c r="I115" s="33"/>
      <c r="J115" s="33"/>
      <c r="K115" s="33"/>
      <c r="L115" s="33"/>
      <c r="M115" s="24" t="s">
        <v>105</v>
      </c>
      <c r="O115" s="15"/>
      <c r="P115" s="15"/>
      <c r="Q115" s="14"/>
      <c r="R115" s="14"/>
      <c r="S115" s="14"/>
      <c r="T115" s="33"/>
      <c r="U115" s="14"/>
      <c r="V115" s="15"/>
      <c r="W115" s="14"/>
      <c r="X115" s="14"/>
      <c r="Y115" s="14"/>
      <c r="Z115" s="14"/>
      <c r="AA115" s="33"/>
      <c r="AB115" s="14"/>
      <c r="AC115" s="15"/>
      <c r="AE115" s="15"/>
      <c r="AF115" s="98"/>
      <c r="AG115" s="14"/>
      <c r="AH115" s="14"/>
    </row>
    <row r="116" spans="1:34" ht="15" customHeight="1">
      <c r="A116" s="25" t="s">
        <v>21</v>
      </c>
      <c r="B116" s="14"/>
      <c r="C116" s="14"/>
      <c r="D116" s="14"/>
      <c r="E116" s="14"/>
      <c r="F116" s="33"/>
      <c r="G116" s="33"/>
      <c r="H116" s="15"/>
      <c r="I116" s="33"/>
      <c r="J116" s="33"/>
      <c r="K116" s="33"/>
      <c r="L116" s="33"/>
      <c r="M116" s="418" t="s">
        <v>77</v>
      </c>
      <c r="O116" s="15"/>
      <c r="P116" s="15"/>
      <c r="Q116" s="14"/>
      <c r="R116" s="14"/>
      <c r="S116" s="14"/>
      <c r="T116" s="33"/>
      <c r="U116" s="14"/>
      <c r="V116" s="15"/>
      <c r="W116" s="14"/>
      <c r="X116" s="14"/>
      <c r="Y116" s="14"/>
      <c r="Z116" s="14"/>
      <c r="AA116" s="33"/>
      <c r="AB116" s="14"/>
      <c r="AC116" s="15"/>
      <c r="AE116" s="15"/>
      <c r="AF116" s="98"/>
      <c r="AG116" s="14"/>
      <c r="AH116" s="14"/>
    </row>
    <row r="117" spans="1:34" ht="15" customHeight="1">
      <c r="A117" s="26" t="s">
        <v>22</v>
      </c>
      <c r="B117" s="14"/>
      <c r="C117" s="14"/>
      <c r="D117" s="14"/>
      <c r="E117" s="14"/>
      <c r="F117" s="33"/>
      <c r="G117" s="33"/>
      <c r="H117" s="15"/>
      <c r="I117" s="33"/>
      <c r="J117" s="33"/>
      <c r="K117" s="33"/>
      <c r="L117" s="33"/>
      <c r="M117" s="27"/>
      <c r="O117" s="15"/>
      <c r="P117" s="15"/>
      <c r="Q117" s="14"/>
      <c r="R117" s="14"/>
      <c r="S117" s="14"/>
      <c r="T117" s="33"/>
      <c r="U117" s="14"/>
      <c r="V117" s="15"/>
      <c r="W117" s="14"/>
      <c r="X117" s="14"/>
      <c r="Y117" s="14"/>
      <c r="Z117" s="14"/>
      <c r="AA117" s="33"/>
      <c r="AB117" s="14"/>
      <c r="AC117" s="15"/>
      <c r="AE117" s="15"/>
      <c r="AF117" s="98"/>
      <c r="AG117" s="14"/>
      <c r="AH117" s="14"/>
    </row>
    <row r="118" spans="1:34" ht="15" customHeight="1">
      <c r="A118" s="25" t="s">
        <v>23</v>
      </c>
      <c r="B118" s="14"/>
      <c r="C118" s="14"/>
      <c r="D118" s="14"/>
      <c r="E118" s="14"/>
      <c r="F118" s="33"/>
      <c r="G118" s="33"/>
      <c r="H118" s="15"/>
      <c r="I118" s="33"/>
      <c r="J118" s="33"/>
      <c r="K118" s="33"/>
      <c r="L118" s="33"/>
      <c r="M118" s="418">
        <v>120</v>
      </c>
      <c r="O118" s="15"/>
      <c r="P118" s="15"/>
      <c r="Q118" s="14"/>
      <c r="R118" s="14"/>
      <c r="S118" s="14"/>
      <c r="T118" s="33"/>
      <c r="U118" s="14"/>
      <c r="V118" s="15"/>
      <c r="W118" s="14"/>
      <c r="X118" s="14"/>
      <c r="Y118" s="14"/>
      <c r="Z118" s="14"/>
      <c r="AA118" s="33"/>
      <c r="AB118" s="14"/>
      <c r="AC118" s="15"/>
      <c r="AE118" s="15"/>
      <c r="AF118" s="98"/>
      <c r="AG118" s="14"/>
      <c r="AH118" s="14"/>
    </row>
    <row r="119" spans="1:34" ht="15" customHeight="1">
      <c r="A119" s="28" t="s">
        <v>24</v>
      </c>
      <c r="B119" s="14"/>
      <c r="C119" s="14"/>
      <c r="D119" s="14"/>
      <c r="E119" s="14"/>
      <c r="F119" s="33"/>
      <c r="G119" s="33"/>
      <c r="H119" s="15"/>
      <c r="I119" s="33"/>
      <c r="J119" s="33"/>
      <c r="K119" s="33"/>
      <c r="L119" s="33"/>
      <c r="O119" s="15"/>
      <c r="P119" s="15"/>
      <c r="Q119" s="14"/>
      <c r="R119" s="14"/>
      <c r="S119" s="14"/>
      <c r="T119" s="33"/>
      <c r="U119" s="14"/>
      <c r="V119" s="15"/>
      <c r="W119" s="14"/>
      <c r="X119" s="14"/>
      <c r="Y119" s="14"/>
      <c r="Z119" s="14"/>
      <c r="AA119" s="33"/>
      <c r="AB119" s="14"/>
      <c r="AC119" s="15"/>
      <c r="AE119" s="15"/>
      <c r="AF119" s="98"/>
      <c r="AG119" s="14"/>
      <c r="AH119" s="14"/>
    </row>
    <row r="120" spans="1:34" ht="15" customHeight="1">
      <c r="A120" s="31" t="s">
        <v>25</v>
      </c>
      <c r="B120" s="14"/>
      <c r="C120" s="14"/>
      <c r="D120" s="14"/>
      <c r="E120" s="14"/>
      <c r="F120" s="33"/>
      <c r="G120" s="33"/>
      <c r="H120" s="15"/>
      <c r="I120" s="33"/>
      <c r="J120" s="33"/>
      <c r="K120" s="33"/>
      <c r="L120" s="33"/>
      <c r="M120" s="32">
        <v>43581</v>
      </c>
      <c r="O120" s="15"/>
      <c r="P120" s="15"/>
      <c r="Q120" s="14"/>
      <c r="R120" s="14"/>
      <c r="S120" s="14"/>
      <c r="T120" s="33"/>
      <c r="U120" s="14"/>
      <c r="V120" s="15"/>
      <c r="W120" s="14"/>
      <c r="X120" s="14"/>
      <c r="Y120" s="14"/>
      <c r="Z120" s="14"/>
      <c r="AA120" s="33"/>
      <c r="AB120" s="14"/>
      <c r="AC120" s="15"/>
      <c r="AE120" s="15"/>
      <c r="AF120" s="98"/>
      <c r="AG120" s="14"/>
      <c r="AH120" s="14"/>
    </row>
    <row r="121" spans="1:34" ht="15" customHeight="1" thickBot="1">
      <c r="A121" s="12" t="s">
        <v>27</v>
      </c>
      <c r="B121" s="14"/>
      <c r="C121" s="14"/>
      <c r="D121" s="14"/>
      <c r="E121" s="14"/>
      <c r="F121" s="35"/>
      <c r="G121" s="35"/>
      <c r="H121" s="34"/>
      <c r="I121" s="35"/>
      <c r="J121" s="35"/>
      <c r="K121" s="35"/>
      <c r="L121" s="35"/>
      <c r="M121" s="31" t="s">
        <v>28</v>
      </c>
      <c r="O121" s="34"/>
      <c r="P121" s="34"/>
      <c r="Q121" s="14"/>
      <c r="R121" s="14"/>
      <c r="S121" s="14"/>
      <c r="T121" s="35"/>
      <c r="U121" s="14"/>
      <c r="V121" s="34"/>
      <c r="W121" s="14"/>
      <c r="X121" s="14"/>
      <c r="Y121" s="14"/>
      <c r="Z121" s="14"/>
      <c r="AA121" s="35"/>
      <c r="AB121" s="14"/>
      <c r="AC121" s="34"/>
      <c r="AD121" s="14"/>
      <c r="AE121" s="34"/>
      <c r="AF121" s="99"/>
      <c r="AG121" s="14"/>
      <c r="AH121" s="14"/>
    </row>
    <row r="122" spans="1:34" ht="18" customHeight="1" thickBot="1">
      <c r="A122" s="445" t="s">
        <v>36</v>
      </c>
      <c r="B122" s="37" t="e">
        <f>+B118+#REF!+#REF!+#REF!</f>
        <v>#REF!</v>
      </c>
      <c r="C122" s="37">
        <f t="shared" ref="C122:AA122" si="4">+C118+C104+C90+C76</f>
        <v>7296</v>
      </c>
      <c r="D122" s="37">
        <f t="shared" si="4"/>
        <v>0</v>
      </c>
      <c r="E122" s="37">
        <f t="shared" si="4"/>
        <v>0</v>
      </c>
      <c r="F122" s="37">
        <f t="shared" si="4"/>
        <v>5208</v>
      </c>
      <c r="G122" s="37">
        <f t="shared" si="4"/>
        <v>0</v>
      </c>
      <c r="H122" s="37">
        <f t="shared" si="4"/>
        <v>0</v>
      </c>
      <c r="I122" s="37">
        <f t="shared" si="4"/>
        <v>6036</v>
      </c>
      <c r="J122" s="37">
        <f t="shared" si="4"/>
        <v>0</v>
      </c>
      <c r="K122" s="37">
        <f t="shared" si="4"/>
        <v>0</v>
      </c>
      <c r="L122" s="37">
        <f t="shared" si="4"/>
        <v>360</v>
      </c>
      <c r="M122" s="37">
        <f t="shared" si="4"/>
        <v>720</v>
      </c>
      <c r="N122" s="37">
        <f t="shared" si="4"/>
        <v>768</v>
      </c>
      <c r="O122" s="37">
        <f t="shared" si="4"/>
        <v>0</v>
      </c>
      <c r="P122" s="37">
        <f t="shared" si="4"/>
        <v>0</v>
      </c>
      <c r="Q122" s="37">
        <f t="shared" si="4"/>
        <v>2940</v>
      </c>
      <c r="R122" s="37">
        <f t="shared" si="4"/>
        <v>1116</v>
      </c>
      <c r="S122" s="37">
        <f t="shared" si="4"/>
        <v>1800</v>
      </c>
      <c r="T122" s="37">
        <f t="shared" si="4"/>
        <v>3996</v>
      </c>
      <c r="U122" s="37">
        <f t="shared" si="4"/>
        <v>0</v>
      </c>
      <c r="V122" s="37">
        <f t="shared" si="4"/>
        <v>0</v>
      </c>
      <c r="W122" s="37">
        <f t="shared" si="4"/>
        <v>4800</v>
      </c>
      <c r="X122" s="37">
        <f t="shared" si="4"/>
        <v>0</v>
      </c>
      <c r="Y122" s="37">
        <f t="shared" si="4"/>
        <v>0</v>
      </c>
      <c r="Z122" s="37">
        <f t="shared" si="4"/>
        <v>1908</v>
      </c>
      <c r="AA122" s="37">
        <f t="shared" si="4"/>
        <v>3636</v>
      </c>
      <c r="AB122" s="37">
        <f t="shared" ref="AB122:AC122" si="5">+AB118+AB104+AB90+AB76</f>
        <v>0</v>
      </c>
      <c r="AC122" s="37">
        <f t="shared" si="5"/>
        <v>0</v>
      </c>
      <c r="AD122" s="37">
        <f t="shared" ref="AD122:AE122" si="6">+AD118+AD104+AD90+AD76</f>
        <v>0</v>
      </c>
      <c r="AE122" s="37">
        <f t="shared" si="6"/>
        <v>0</v>
      </c>
      <c r="AF122" s="38"/>
      <c r="AG122" s="14"/>
      <c r="AH122" s="14"/>
    </row>
    <row r="123" spans="1:34" ht="18" customHeight="1" thickTop="1" thickBot="1">
      <c r="A123" s="445" t="s">
        <v>37</v>
      </c>
      <c r="B123" s="40">
        <f t="shared" ref="B123:AE123" si="7">+B124*B5</f>
        <v>2128</v>
      </c>
      <c r="C123" s="40">
        <f t="shared" si="7"/>
        <v>2128</v>
      </c>
      <c r="D123" s="40">
        <f t="shared" si="7"/>
        <v>2128</v>
      </c>
      <c r="E123" s="40">
        <f t="shared" si="7"/>
        <v>2128</v>
      </c>
      <c r="F123" s="40">
        <f t="shared" si="7"/>
        <v>2128</v>
      </c>
      <c r="G123" s="40">
        <f t="shared" si="7"/>
        <v>1792</v>
      </c>
      <c r="H123" s="39">
        <f t="shared" si="7"/>
        <v>0</v>
      </c>
      <c r="I123" s="40">
        <f t="shared" si="7"/>
        <v>2128</v>
      </c>
      <c r="J123" s="40">
        <f t="shared" si="7"/>
        <v>2128</v>
      </c>
      <c r="K123" s="40">
        <f t="shared" si="7"/>
        <v>2128</v>
      </c>
      <c r="L123" s="40">
        <f t="shared" si="7"/>
        <v>2128</v>
      </c>
      <c r="M123" s="40">
        <f t="shared" si="7"/>
        <v>2128</v>
      </c>
      <c r="N123" s="40">
        <f t="shared" si="7"/>
        <v>1792</v>
      </c>
      <c r="O123" s="39">
        <f t="shared" si="7"/>
        <v>0</v>
      </c>
      <c r="P123" s="39">
        <f t="shared" si="7"/>
        <v>0</v>
      </c>
      <c r="Q123" s="40">
        <f t="shared" si="7"/>
        <v>1710</v>
      </c>
      <c r="R123" s="40">
        <f t="shared" si="7"/>
        <v>1710</v>
      </c>
      <c r="S123" s="40">
        <f t="shared" si="7"/>
        <v>1710</v>
      </c>
      <c r="T123" s="40">
        <f t="shared" si="7"/>
        <v>1710</v>
      </c>
      <c r="U123" s="40">
        <f t="shared" si="7"/>
        <v>1440</v>
      </c>
      <c r="V123" s="39">
        <f t="shared" si="7"/>
        <v>0</v>
      </c>
      <c r="W123" s="40">
        <f t="shared" si="7"/>
        <v>1710</v>
      </c>
      <c r="X123" s="40">
        <f t="shared" si="7"/>
        <v>1710</v>
      </c>
      <c r="Y123" s="40">
        <f t="shared" si="7"/>
        <v>1710</v>
      </c>
      <c r="Z123" s="40">
        <f t="shared" si="7"/>
        <v>1710</v>
      </c>
      <c r="AA123" s="40">
        <f t="shared" si="7"/>
        <v>1710</v>
      </c>
      <c r="AB123" s="40">
        <f t="shared" si="7"/>
        <v>1440</v>
      </c>
      <c r="AC123" s="39">
        <f t="shared" si="7"/>
        <v>0</v>
      </c>
      <c r="AD123" s="40">
        <f t="shared" si="7"/>
        <v>1360</v>
      </c>
      <c r="AE123" s="39">
        <f t="shared" si="7"/>
        <v>0</v>
      </c>
      <c r="AF123" s="41">
        <f>SUM(B123:AE123)</f>
        <v>44494</v>
      </c>
      <c r="AG123" s="14"/>
      <c r="AH123" s="14"/>
    </row>
    <row r="124" spans="1:34" ht="18" customHeight="1" thickTop="1" thickBot="1">
      <c r="A124" s="445" t="s">
        <v>38</v>
      </c>
      <c r="B124" s="145">
        <v>224</v>
      </c>
      <c r="C124" s="145">
        <v>224</v>
      </c>
      <c r="D124" s="145">
        <v>224</v>
      </c>
      <c r="E124" s="145">
        <v>224</v>
      </c>
      <c r="F124" s="145">
        <v>224</v>
      </c>
      <c r="G124" s="145">
        <v>224</v>
      </c>
      <c r="H124" s="39"/>
      <c r="I124" s="145">
        <v>224</v>
      </c>
      <c r="J124" s="145">
        <v>224</v>
      </c>
      <c r="K124" s="145">
        <v>224</v>
      </c>
      <c r="L124" s="145">
        <v>224</v>
      </c>
      <c r="M124" s="145">
        <v>224</v>
      </c>
      <c r="N124" s="145">
        <v>224</v>
      </c>
      <c r="O124" s="39"/>
      <c r="P124" s="39"/>
      <c r="Q124" s="145">
        <v>180</v>
      </c>
      <c r="R124" s="145">
        <v>180</v>
      </c>
      <c r="S124" s="145">
        <v>180</v>
      </c>
      <c r="T124" s="145">
        <v>180</v>
      </c>
      <c r="U124" s="145">
        <v>180</v>
      </c>
      <c r="V124" s="39"/>
      <c r="W124" s="145">
        <v>180</v>
      </c>
      <c r="X124" s="145">
        <v>180</v>
      </c>
      <c r="Y124" s="145">
        <v>180</v>
      </c>
      <c r="Z124" s="145">
        <v>180</v>
      </c>
      <c r="AA124" s="145">
        <v>180</v>
      </c>
      <c r="AB124" s="145">
        <v>180</v>
      </c>
      <c r="AC124" s="39"/>
      <c r="AD124" s="145">
        <v>170</v>
      </c>
      <c r="AE124" s="39"/>
      <c r="AF124" s="44"/>
      <c r="AG124" s="14"/>
      <c r="AH124" s="14"/>
    </row>
    <row r="125" spans="1:34" ht="18" customHeight="1" thickTop="1" thickBot="1">
      <c r="A125" s="45" t="e">
        <f>+'T03'!AE125</f>
        <v>#REF!</v>
      </c>
      <c r="B125" s="40" t="e">
        <f t="shared" ref="B125:AF125" si="8">IF(A125+B122-B123&lt;0,0,A125+B122-B123)</f>
        <v>#REF!</v>
      </c>
      <c r="C125" s="40" t="e">
        <f t="shared" si="8"/>
        <v>#REF!</v>
      </c>
      <c r="D125" s="40" t="e">
        <f t="shared" si="8"/>
        <v>#REF!</v>
      </c>
      <c r="E125" s="40" t="e">
        <f t="shared" si="8"/>
        <v>#REF!</v>
      </c>
      <c r="F125" s="40" t="e">
        <f t="shared" si="8"/>
        <v>#REF!</v>
      </c>
      <c r="G125" s="40" t="e">
        <f t="shared" si="8"/>
        <v>#REF!</v>
      </c>
      <c r="H125" s="39" t="e">
        <f t="shared" si="8"/>
        <v>#REF!</v>
      </c>
      <c r="I125" s="40" t="e">
        <f t="shared" si="8"/>
        <v>#REF!</v>
      </c>
      <c r="J125" s="40" t="e">
        <f t="shared" si="8"/>
        <v>#REF!</v>
      </c>
      <c r="K125" s="40" t="e">
        <f t="shared" si="8"/>
        <v>#REF!</v>
      </c>
      <c r="L125" s="40" t="e">
        <f t="shared" si="8"/>
        <v>#REF!</v>
      </c>
      <c r="M125" s="40" t="e">
        <f t="shared" si="8"/>
        <v>#REF!</v>
      </c>
      <c r="N125" s="40" t="e">
        <f t="shared" si="8"/>
        <v>#REF!</v>
      </c>
      <c r="O125" s="39" t="e">
        <f t="shared" si="8"/>
        <v>#REF!</v>
      </c>
      <c r="P125" s="39" t="e">
        <f t="shared" si="8"/>
        <v>#REF!</v>
      </c>
      <c r="Q125" s="40" t="e">
        <f t="shared" si="8"/>
        <v>#REF!</v>
      </c>
      <c r="R125" s="40" t="e">
        <f t="shared" si="8"/>
        <v>#REF!</v>
      </c>
      <c r="S125" s="40" t="e">
        <f t="shared" si="8"/>
        <v>#REF!</v>
      </c>
      <c r="T125" s="40" t="e">
        <f t="shared" si="8"/>
        <v>#REF!</v>
      </c>
      <c r="U125" s="40" t="e">
        <f t="shared" si="8"/>
        <v>#REF!</v>
      </c>
      <c r="V125" s="39" t="e">
        <f t="shared" si="8"/>
        <v>#REF!</v>
      </c>
      <c r="W125" s="40" t="e">
        <f t="shared" si="8"/>
        <v>#REF!</v>
      </c>
      <c r="X125" s="40" t="e">
        <f t="shared" si="8"/>
        <v>#REF!</v>
      </c>
      <c r="Y125" s="40" t="e">
        <f t="shared" si="8"/>
        <v>#REF!</v>
      </c>
      <c r="Z125" s="40" t="e">
        <f t="shared" si="8"/>
        <v>#REF!</v>
      </c>
      <c r="AA125" s="40" t="e">
        <f t="shared" si="8"/>
        <v>#REF!</v>
      </c>
      <c r="AB125" s="40" t="e">
        <f t="shared" si="8"/>
        <v>#REF!</v>
      </c>
      <c r="AC125" s="39" t="e">
        <f t="shared" si="8"/>
        <v>#REF!</v>
      </c>
      <c r="AD125" s="40" t="e">
        <f t="shared" si="8"/>
        <v>#REF!</v>
      </c>
      <c r="AE125" s="39" t="e">
        <f t="shared" si="8"/>
        <v>#REF!</v>
      </c>
      <c r="AF125" s="47" t="e">
        <f t="shared" si="8"/>
        <v>#REF!</v>
      </c>
      <c r="AG125" s="14"/>
      <c r="AH125" s="14"/>
    </row>
    <row r="126" spans="1:34" ht="15" customHeight="1">
      <c r="A126" s="12" t="s">
        <v>10</v>
      </c>
      <c r="C126" s="51" t="s">
        <v>711</v>
      </c>
      <c r="E126" s="51" t="s">
        <v>711</v>
      </c>
      <c r="F126" s="51" t="s">
        <v>711</v>
      </c>
      <c r="G126" s="418" t="s">
        <v>711</v>
      </c>
      <c r="H126" s="48"/>
      <c r="I126" s="418" t="s">
        <v>711</v>
      </c>
      <c r="J126" s="418" t="s">
        <v>711</v>
      </c>
      <c r="K126" s="82"/>
      <c r="L126" s="82"/>
      <c r="M126" s="418"/>
      <c r="N126" s="418" t="s">
        <v>711</v>
      </c>
      <c r="O126" s="48"/>
      <c r="P126" s="48"/>
      <c r="Q126" s="418" t="s">
        <v>711</v>
      </c>
      <c r="R126" s="418"/>
      <c r="S126" s="418"/>
      <c r="T126" s="418" t="s">
        <v>711</v>
      </c>
      <c r="U126" s="418" t="s">
        <v>711</v>
      </c>
      <c r="V126" s="48"/>
      <c r="W126" s="418" t="s">
        <v>711</v>
      </c>
      <c r="X126" s="418" t="s">
        <v>711</v>
      </c>
      <c r="Y126" s="418" t="s">
        <v>734</v>
      </c>
      <c r="Z126" s="418" t="s">
        <v>732</v>
      </c>
      <c r="AA126" s="418" t="s">
        <v>732</v>
      </c>
      <c r="AB126" s="418" t="s">
        <v>91</v>
      </c>
      <c r="AC126" s="48"/>
      <c r="AD126" s="418"/>
      <c r="AE126" s="82"/>
      <c r="AF126" s="97"/>
      <c r="AG126" s="14"/>
      <c r="AH126" s="14"/>
    </row>
    <row r="127" spans="1:34" ht="15" customHeight="1">
      <c r="A127" s="443" t="s">
        <v>11</v>
      </c>
      <c r="C127" s="52" t="s">
        <v>1018</v>
      </c>
      <c r="E127" s="52" t="s">
        <v>1019</v>
      </c>
      <c r="F127" s="52" t="s">
        <v>675</v>
      </c>
      <c r="G127" s="93" t="s">
        <v>829</v>
      </c>
      <c r="H127" s="15"/>
      <c r="I127" s="93" t="s">
        <v>828</v>
      </c>
      <c r="J127" s="93" t="s">
        <v>832</v>
      </c>
      <c r="K127" s="33"/>
      <c r="L127" s="33"/>
      <c r="M127" s="93"/>
      <c r="N127" s="93" t="s">
        <v>834</v>
      </c>
      <c r="O127" s="15"/>
      <c r="P127" s="15"/>
      <c r="Q127" s="93" t="s">
        <v>836</v>
      </c>
      <c r="R127" s="93"/>
      <c r="S127" s="93"/>
      <c r="T127" s="93" t="s">
        <v>853</v>
      </c>
      <c r="U127" s="93" t="s">
        <v>852</v>
      </c>
      <c r="V127" s="15"/>
      <c r="W127" s="93" t="s">
        <v>1013</v>
      </c>
      <c r="X127" s="93" t="s">
        <v>858</v>
      </c>
      <c r="Y127" s="93" t="s">
        <v>879</v>
      </c>
      <c r="Z127" s="93" t="s">
        <v>886</v>
      </c>
      <c r="AA127" s="93" t="s">
        <v>885</v>
      </c>
      <c r="AB127" s="93" t="s">
        <v>884</v>
      </c>
      <c r="AC127" s="15"/>
      <c r="AD127" s="93"/>
      <c r="AE127" s="33"/>
      <c r="AF127" s="98"/>
      <c r="AG127" s="14"/>
      <c r="AH127" s="14"/>
    </row>
    <row r="128" spans="1:34" ht="15" customHeight="1">
      <c r="A128" s="16" t="s">
        <v>12</v>
      </c>
      <c r="C128" s="127"/>
      <c r="E128" s="127"/>
      <c r="F128" s="127"/>
      <c r="G128" s="418"/>
      <c r="H128" s="15"/>
      <c r="I128" s="418"/>
      <c r="J128" s="418"/>
      <c r="K128" s="33"/>
      <c r="L128" s="33"/>
      <c r="M128" s="418"/>
      <c r="N128" s="418"/>
      <c r="O128" s="15"/>
      <c r="P128" s="15"/>
      <c r="Q128" s="418"/>
      <c r="R128" s="418"/>
      <c r="S128" s="418"/>
      <c r="T128" s="418"/>
      <c r="U128" s="418"/>
      <c r="V128" s="15"/>
      <c r="W128" s="418"/>
      <c r="X128" s="418"/>
      <c r="Y128" s="418"/>
      <c r="Z128" s="418"/>
      <c r="AA128" s="418"/>
      <c r="AB128" s="418"/>
      <c r="AC128" s="15"/>
      <c r="AD128" s="418"/>
      <c r="AE128" s="33"/>
      <c r="AF128" s="98"/>
      <c r="AG128" s="14"/>
      <c r="AH128" s="14"/>
    </row>
    <row r="129" spans="1:34" ht="15" customHeight="1">
      <c r="A129" s="18" t="s">
        <v>13</v>
      </c>
      <c r="C129" s="53"/>
      <c r="E129" s="53"/>
      <c r="F129" s="53"/>
      <c r="G129" s="19" t="s">
        <v>1006</v>
      </c>
      <c r="H129" s="15"/>
      <c r="I129" s="19" t="s">
        <v>1006</v>
      </c>
      <c r="J129" s="19" t="s">
        <v>1006</v>
      </c>
      <c r="K129" s="33"/>
      <c r="L129" s="33"/>
      <c r="M129" s="19"/>
      <c r="N129" s="19" t="s">
        <v>1006</v>
      </c>
      <c r="O129" s="15"/>
      <c r="P129" s="15"/>
      <c r="Q129" s="19" t="s">
        <v>1006</v>
      </c>
      <c r="R129" s="19"/>
      <c r="S129" s="19"/>
      <c r="T129" s="19" t="s">
        <v>1006</v>
      </c>
      <c r="U129" s="19" t="s">
        <v>1006</v>
      </c>
      <c r="V129" s="15"/>
      <c r="W129" s="19" t="s">
        <v>1006</v>
      </c>
      <c r="X129" s="19" t="s">
        <v>1006</v>
      </c>
      <c r="Y129" s="19" t="s">
        <v>710</v>
      </c>
      <c r="Z129" s="19" t="s">
        <v>1004</v>
      </c>
      <c r="AA129" s="19" t="s">
        <v>1004</v>
      </c>
      <c r="AB129" s="19" t="s">
        <v>14</v>
      </c>
      <c r="AC129" s="15"/>
      <c r="AD129" s="19"/>
      <c r="AE129" s="33"/>
      <c r="AF129" s="98"/>
      <c r="AG129" s="14"/>
      <c r="AH129" s="14"/>
    </row>
    <row r="130" spans="1:34" ht="15" customHeight="1">
      <c r="A130" s="20" t="s">
        <v>15</v>
      </c>
      <c r="C130" s="51" t="s">
        <v>16</v>
      </c>
      <c r="E130" s="51" t="s">
        <v>16</v>
      </c>
      <c r="F130" s="51" t="s">
        <v>16</v>
      </c>
      <c r="G130" s="418" t="s">
        <v>16</v>
      </c>
      <c r="H130" s="15"/>
      <c r="I130" s="418" t="s">
        <v>16</v>
      </c>
      <c r="J130" s="418" t="s">
        <v>16</v>
      </c>
      <c r="K130" s="33"/>
      <c r="L130" s="33"/>
      <c r="M130" s="418"/>
      <c r="N130" s="418" t="s">
        <v>16</v>
      </c>
      <c r="O130" s="15"/>
      <c r="P130" s="15"/>
      <c r="Q130" s="418" t="s">
        <v>16</v>
      </c>
      <c r="R130" s="418"/>
      <c r="S130" s="418"/>
      <c r="T130" s="418" t="s">
        <v>16</v>
      </c>
      <c r="U130" s="418" t="s">
        <v>16</v>
      </c>
      <c r="V130" s="15"/>
      <c r="W130" s="418" t="s">
        <v>16</v>
      </c>
      <c r="X130" s="418" t="s">
        <v>16</v>
      </c>
      <c r="Y130" s="418" t="s">
        <v>16</v>
      </c>
      <c r="Z130" s="418" t="s">
        <v>68</v>
      </c>
      <c r="AA130" s="418" t="s">
        <v>68</v>
      </c>
      <c r="AB130" s="418" t="s">
        <v>68</v>
      </c>
      <c r="AC130" s="15"/>
      <c r="AD130" s="418"/>
      <c r="AE130" s="33"/>
      <c r="AF130" s="98"/>
      <c r="AG130" s="14"/>
      <c r="AH130" s="14"/>
    </row>
    <row r="131" spans="1:34" ht="15" customHeight="1">
      <c r="A131" s="444" t="s">
        <v>17</v>
      </c>
      <c r="C131" s="508" t="s">
        <v>1017</v>
      </c>
      <c r="E131" s="508" t="s">
        <v>1017</v>
      </c>
      <c r="F131" s="508" t="s">
        <v>1017</v>
      </c>
      <c r="G131" s="391" t="s">
        <v>1000</v>
      </c>
      <c r="H131" s="15"/>
      <c r="I131" s="391" t="s">
        <v>1000</v>
      </c>
      <c r="J131" s="391" t="s">
        <v>1000</v>
      </c>
      <c r="K131" s="33"/>
      <c r="L131" s="33"/>
      <c r="M131" s="391"/>
      <c r="N131" s="391" t="s">
        <v>1000</v>
      </c>
      <c r="O131" s="15"/>
      <c r="P131" s="15"/>
      <c r="Q131" s="391" t="s">
        <v>1000</v>
      </c>
      <c r="R131" s="391"/>
      <c r="S131" s="391"/>
      <c r="T131" s="391" t="s">
        <v>1000</v>
      </c>
      <c r="U131" s="391" t="s">
        <v>1000</v>
      </c>
      <c r="V131" s="15"/>
      <c r="W131" s="391" t="s">
        <v>1000</v>
      </c>
      <c r="X131" s="391" t="s">
        <v>1000</v>
      </c>
      <c r="Y131" s="391" t="s">
        <v>1000</v>
      </c>
      <c r="Z131" s="391" t="s">
        <v>1000</v>
      </c>
      <c r="AA131" s="391" t="s">
        <v>1000</v>
      </c>
      <c r="AB131" s="391" t="s">
        <v>1000</v>
      </c>
      <c r="AC131" s="15"/>
      <c r="AD131" s="391"/>
      <c r="AE131" s="33"/>
      <c r="AF131" s="98"/>
      <c r="AG131" s="14"/>
      <c r="AH131" s="14"/>
    </row>
    <row r="132" spans="1:34" ht="15" customHeight="1">
      <c r="A132" s="22" t="s">
        <v>18</v>
      </c>
      <c r="C132" s="54"/>
      <c r="E132" s="54"/>
      <c r="F132" s="54"/>
      <c r="G132" s="23"/>
      <c r="H132" s="15"/>
      <c r="I132" s="23"/>
      <c r="J132" s="23"/>
      <c r="K132" s="33"/>
      <c r="L132" s="33"/>
      <c r="M132" s="23"/>
      <c r="N132" s="23"/>
      <c r="O132" s="15"/>
      <c r="P132" s="15"/>
      <c r="Q132" s="23"/>
      <c r="R132" s="23"/>
      <c r="S132" s="23"/>
      <c r="T132" s="23"/>
      <c r="U132" s="23"/>
      <c r="V132" s="15"/>
      <c r="W132" s="23"/>
      <c r="X132" s="23"/>
      <c r="Y132" s="23"/>
      <c r="Z132" s="23"/>
      <c r="AA132" s="23"/>
      <c r="AB132" s="23"/>
      <c r="AC132" s="15"/>
      <c r="AD132" s="23"/>
      <c r="AE132" s="33"/>
      <c r="AF132" s="98"/>
      <c r="AG132" s="14"/>
      <c r="AH132" s="14"/>
    </row>
    <row r="133" spans="1:34" ht="15" customHeight="1">
      <c r="A133" s="12" t="s">
        <v>20</v>
      </c>
      <c r="C133" s="55"/>
      <c r="E133" s="55"/>
      <c r="F133" s="55"/>
      <c r="H133" s="15"/>
      <c r="K133" s="33"/>
      <c r="L133" s="33"/>
      <c r="O133" s="15"/>
      <c r="P133" s="15"/>
      <c r="Q133" s="24" t="s">
        <v>107</v>
      </c>
      <c r="V133" s="15"/>
      <c r="AB133" s="24" t="s">
        <v>107</v>
      </c>
      <c r="AC133" s="15"/>
      <c r="AE133" s="33"/>
      <c r="AF133" s="98"/>
      <c r="AG133" s="14"/>
      <c r="AH133" s="14"/>
    </row>
    <row r="134" spans="1:34" ht="15" customHeight="1">
      <c r="A134" s="25" t="s">
        <v>21</v>
      </c>
      <c r="C134" s="56" t="s">
        <v>659</v>
      </c>
      <c r="E134" s="56" t="s">
        <v>659</v>
      </c>
      <c r="F134" s="56" t="s">
        <v>659</v>
      </c>
      <c r="G134" s="418" t="s">
        <v>712</v>
      </c>
      <c r="H134" s="15"/>
      <c r="I134" s="418" t="s">
        <v>712</v>
      </c>
      <c r="J134" s="418" t="s">
        <v>709</v>
      </c>
      <c r="K134" s="33"/>
      <c r="L134" s="33"/>
      <c r="M134" s="418"/>
      <c r="N134" s="418" t="s">
        <v>709</v>
      </c>
      <c r="O134" s="15"/>
      <c r="P134" s="15"/>
      <c r="Q134" s="418" t="s">
        <v>709</v>
      </c>
      <c r="R134" s="418"/>
      <c r="S134" s="418"/>
      <c r="T134" s="418" t="s">
        <v>712</v>
      </c>
      <c r="U134" s="418" t="s">
        <v>712</v>
      </c>
      <c r="V134" s="15"/>
      <c r="W134" s="418" t="s">
        <v>659</v>
      </c>
      <c r="X134" s="418" t="s">
        <v>709</v>
      </c>
      <c r="Y134" s="418" t="s">
        <v>733</v>
      </c>
      <c r="Z134" s="418" t="s">
        <v>731</v>
      </c>
      <c r="AA134" s="418" t="s">
        <v>731</v>
      </c>
      <c r="AB134" s="418" t="s">
        <v>92</v>
      </c>
      <c r="AC134" s="15"/>
      <c r="AD134" s="418"/>
      <c r="AE134" s="33"/>
      <c r="AF134" s="98"/>
      <c r="AG134" s="14"/>
      <c r="AH134" s="14"/>
    </row>
    <row r="135" spans="1:34" ht="15" customHeight="1">
      <c r="A135" s="26" t="s">
        <v>22</v>
      </c>
      <c r="C135" s="57"/>
      <c r="E135" s="57"/>
      <c r="F135" s="57"/>
      <c r="G135" s="27"/>
      <c r="H135" s="15"/>
      <c r="I135" s="27"/>
      <c r="J135" s="27"/>
      <c r="K135" s="33"/>
      <c r="L135" s="33"/>
      <c r="M135" s="27"/>
      <c r="N135" s="27"/>
      <c r="O135" s="15"/>
      <c r="P135" s="15"/>
      <c r="Q135" s="27"/>
      <c r="R135" s="27"/>
      <c r="S135" s="27"/>
      <c r="T135" s="27"/>
      <c r="U135" s="27"/>
      <c r="V135" s="15"/>
      <c r="W135" s="27"/>
      <c r="X135" s="27"/>
      <c r="Y135" s="27"/>
      <c r="Z135" s="27"/>
      <c r="AA135" s="27"/>
      <c r="AB135" s="27"/>
      <c r="AC135" s="15"/>
      <c r="AD135" s="27"/>
      <c r="AE135" s="33"/>
      <c r="AF135" s="98"/>
      <c r="AG135" s="14"/>
      <c r="AH135" s="14"/>
    </row>
    <row r="136" spans="1:34" ht="15" customHeight="1">
      <c r="A136" s="25" t="s">
        <v>23</v>
      </c>
      <c r="C136" s="51">
        <v>2580</v>
      </c>
      <c r="E136" s="51">
        <v>900</v>
      </c>
      <c r="F136" s="51">
        <v>2820</v>
      </c>
      <c r="G136" s="418">
        <v>396</v>
      </c>
      <c r="H136" s="15"/>
      <c r="I136" s="418">
        <v>996</v>
      </c>
      <c r="J136" s="418">
        <v>5256</v>
      </c>
      <c r="K136" s="33"/>
      <c r="L136" s="33"/>
      <c r="M136" s="418"/>
      <c r="N136" s="418">
        <v>876</v>
      </c>
      <c r="O136" s="15"/>
      <c r="P136" s="15"/>
      <c r="Q136" s="418">
        <v>300</v>
      </c>
      <c r="R136" s="418"/>
      <c r="S136" s="418"/>
      <c r="T136" s="418">
        <v>360</v>
      </c>
      <c r="U136" s="418">
        <v>360</v>
      </c>
      <c r="V136" s="15"/>
      <c r="W136" s="418">
        <v>360</v>
      </c>
      <c r="X136" s="418">
        <v>360</v>
      </c>
      <c r="Y136" s="418">
        <v>1800</v>
      </c>
      <c r="Z136" s="418">
        <v>240</v>
      </c>
      <c r="AA136" s="418">
        <v>192</v>
      </c>
      <c r="AB136" s="418">
        <v>240</v>
      </c>
      <c r="AC136" s="15"/>
      <c r="AD136" s="418"/>
      <c r="AE136" s="33"/>
      <c r="AF136" s="98"/>
      <c r="AG136" s="14"/>
      <c r="AH136" s="14"/>
    </row>
    <row r="137" spans="1:34" ht="15" customHeight="1">
      <c r="A137" s="28" t="s">
        <v>24</v>
      </c>
      <c r="C137" s="111"/>
      <c r="E137" s="111"/>
      <c r="F137" s="111"/>
      <c r="H137" s="15"/>
      <c r="K137" s="33"/>
      <c r="L137" s="33"/>
      <c r="O137" s="15"/>
      <c r="P137" s="15"/>
      <c r="V137" s="15"/>
      <c r="AC137" s="15"/>
      <c r="AE137" s="33"/>
      <c r="AF137" s="98"/>
      <c r="AG137" s="14"/>
      <c r="AH137" s="14"/>
    </row>
    <row r="138" spans="1:34" ht="15" customHeight="1">
      <c r="A138" s="31" t="s">
        <v>25</v>
      </c>
      <c r="C138" s="491">
        <v>43576</v>
      </c>
      <c r="E138" s="491">
        <v>43576</v>
      </c>
      <c r="F138" s="491">
        <v>43582</v>
      </c>
      <c r="G138" s="32">
        <v>43593</v>
      </c>
      <c r="H138" s="15"/>
      <c r="I138" s="32">
        <v>43593</v>
      </c>
      <c r="J138" s="32">
        <v>43593</v>
      </c>
      <c r="K138" s="33"/>
      <c r="L138" s="33"/>
      <c r="M138" s="32"/>
      <c r="N138" s="32">
        <v>43593</v>
      </c>
      <c r="O138" s="15"/>
      <c r="P138" s="15"/>
      <c r="Q138" s="32">
        <v>43593</v>
      </c>
      <c r="R138" s="32"/>
      <c r="S138" s="32"/>
      <c r="T138" s="32">
        <v>43597</v>
      </c>
      <c r="U138" s="32">
        <v>43597</v>
      </c>
      <c r="V138" s="15"/>
      <c r="W138" s="32">
        <v>43597</v>
      </c>
      <c r="X138" s="32">
        <v>43597</v>
      </c>
      <c r="Y138" s="32">
        <v>43594</v>
      </c>
      <c r="Z138" s="32">
        <v>43593</v>
      </c>
      <c r="AA138" s="32">
        <v>43595</v>
      </c>
      <c r="AB138" s="32">
        <v>43600</v>
      </c>
      <c r="AC138" s="15"/>
      <c r="AD138" s="32"/>
      <c r="AE138" s="33"/>
      <c r="AF138" s="98"/>
      <c r="AG138" s="14"/>
      <c r="AH138" s="14"/>
    </row>
    <row r="139" spans="1:34" ht="15" customHeight="1">
      <c r="A139" s="12" t="s">
        <v>27</v>
      </c>
      <c r="C139" s="58" t="s">
        <v>31</v>
      </c>
      <c r="E139" s="58" t="s">
        <v>29</v>
      </c>
      <c r="F139" s="58" t="s">
        <v>29</v>
      </c>
      <c r="G139" s="31" t="s">
        <v>31</v>
      </c>
      <c r="H139" s="15"/>
      <c r="I139" s="31" t="s">
        <v>29</v>
      </c>
      <c r="J139" s="31" t="s">
        <v>31</v>
      </c>
      <c r="K139" s="33"/>
      <c r="L139" s="33"/>
      <c r="N139" s="31" t="s">
        <v>29</v>
      </c>
      <c r="O139" s="15"/>
      <c r="P139" s="15"/>
      <c r="Q139" s="31" t="s">
        <v>1003</v>
      </c>
      <c r="T139" s="31" t="s">
        <v>28</v>
      </c>
      <c r="U139" s="31" t="s">
        <v>28</v>
      </c>
      <c r="V139" s="15"/>
      <c r="W139" s="31" t="s">
        <v>28</v>
      </c>
      <c r="X139" s="31" t="s">
        <v>28</v>
      </c>
      <c r="Y139" s="31" t="s">
        <v>28</v>
      </c>
      <c r="Z139" s="31" t="s">
        <v>30</v>
      </c>
      <c r="AA139" s="31" t="s">
        <v>28</v>
      </c>
      <c r="AB139" s="31" t="s">
        <v>48</v>
      </c>
      <c r="AC139" s="15"/>
      <c r="AE139" s="33"/>
      <c r="AF139" s="98"/>
      <c r="AG139" s="14"/>
      <c r="AH139" s="14"/>
    </row>
    <row r="140" spans="1:34" ht="15" customHeight="1">
      <c r="A140" s="12" t="s">
        <v>10</v>
      </c>
      <c r="G140" s="418" t="s">
        <v>711</v>
      </c>
      <c r="H140" s="15"/>
      <c r="I140" s="418" t="s">
        <v>711</v>
      </c>
      <c r="J140" s="33"/>
      <c r="K140" s="33"/>
      <c r="L140" s="33"/>
      <c r="M140" s="418"/>
      <c r="N140" s="418" t="s">
        <v>711</v>
      </c>
      <c r="O140" s="15"/>
      <c r="P140" s="15"/>
      <c r="Q140" s="418" t="s">
        <v>711</v>
      </c>
      <c r="R140" s="418"/>
      <c r="S140" s="418"/>
      <c r="U140" s="418" t="s">
        <v>711</v>
      </c>
      <c r="V140" s="15"/>
      <c r="W140" s="418" t="s">
        <v>711</v>
      </c>
      <c r="X140" s="418" t="s">
        <v>711</v>
      </c>
      <c r="Z140" s="418" t="s">
        <v>732</v>
      </c>
      <c r="AA140" s="418" t="s">
        <v>729</v>
      </c>
      <c r="AB140" s="418" t="s">
        <v>726</v>
      </c>
      <c r="AC140" s="15"/>
      <c r="AD140" s="418"/>
      <c r="AE140" s="33"/>
      <c r="AF140" s="98"/>
      <c r="AG140" s="14"/>
      <c r="AH140" s="14"/>
    </row>
    <row r="141" spans="1:34" ht="15" customHeight="1">
      <c r="A141" s="443" t="s">
        <v>11</v>
      </c>
      <c r="G141" s="93" t="s">
        <v>827</v>
      </c>
      <c r="H141" s="15"/>
      <c r="I141" s="93" t="s">
        <v>826</v>
      </c>
      <c r="J141" s="33"/>
      <c r="K141" s="33"/>
      <c r="L141" s="33"/>
      <c r="M141" s="93"/>
      <c r="N141" s="93" t="s">
        <v>833</v>
      </c>
      <c r="O141" s="15"/>
      <c r="P141" s="15"/>
      <c r="Q141" s="93" t="s">
        <v>835</v>
      </c>
      <c r="R141" s="93"/>
      <c r="S141" s="93"/>
      <c r="U141" s="93" t="s">
        <v>851</v>
      </c>
      <c r="V141" s="15"/>
      <c r="W141" s="93" t="s">
        <v>1014</v>
      </c>
      <c r="X141" s="93" t="s">
        <v>857</v>
      </c>
      <c r="Z141" s="93" t="s">
        <v>883</v>
      </c>
      <c r="AA141" s="93" t="s">
        <v>882</v>
      </c>
      <c r="AB141" s="93" t="s">
        <v>881</v>
      </c>
      <c r="AC141" s="15"/>
      <c r="AD141" s="93"/>
      <c r="AE141" s="33"/>
      <c r="AF141" s="98"/>
      <c r="AG141" s="14"/>
      <c r="AH141" s="14"/>
    </row>
    <row r="142" spans="1:34" ht="15" customHeight="1">
      <c r="A142" s="16" t="s">
        <v>12</v>
      </c>
      <c r="G142" s="418"/>
      <c r="H142" s="15"/>
      <c r="I142" s="418"/>
      <c r="J142" s="33"/>
      <c r="K142" s="33"/>
      <c r="L142" s="33"/>
      <c r="M142" s="418"/>
      <c r="N142" s="418"/>
      <c r="O142" s="15"/>
      <c r="P142" s="15"/>
      <c r="Q142" s="418"/>
      <c r="R142" s="418"/>
      <c r="S142" s="418"/>
      <c r="U142" s="418"/>
      <c r="V142" s="15"/>
      <c r="W142" s="418"/>
      <c r="X142" s="418"/>
      <c r="Z142" s="418"/>
      <c r="AA142" s="418"/>
      <c r="AB142" s="418"/>
      <c r="AC142" s="15"/>
      <c r="AD142" s="418"/>
      <c r="AE142" s="33"/>
      <c r="AF142" s="98"/>
      <c r="AG142" s="14"/>
      <c r="AH142" s="14"/>
    </row>
    <row r="143" spans="1:34" ht="15" customHeight="1">
      <c r="A143" s="18" t="s">
        <v>13</v>
      </c>
      <c r="G143" s="19" t="s">
        <v>1006</v>
      </c>
      <c r="H143" s="15"/>
      <c r="I143" s="19" t="s">
        <v>1006</v>
      </c>
      <c r="J143" s="33"/>
      <c r="K143" s="33"/>
      <c r="L143" s="33"/>
      <c r="M143" s="19"/>
      <c r="N143" s="19" t="s">
        <v>1006</v>
      </c>
      <c r="O143" s="15"/>
      <c r="P143" s="15"/>
      <c r="Q143" s="19" t="s">
        <v>1006</v>
      </c>
      <c r="R143" s="19"/>
      <c r="S143" s="19"/>
      <c r="U143" s="19" t="s">
        <v>1006</v>
      </c>
      <c r="V143" s="15"/>
      <c r="W143" s="19" t="s">
        <v>1006</v>
      </c>
      <c r="X143" s="19" t="s">
        <v>1006</v>
      </c>
      <c r="Z143" s="19" t="s">
        <v>1004</v>
      </c>
      <c r="AA143" s="19" t="s">
        <v>1005</v>
      </c>
      <c r="AB143" s="19" t="s">
        <v>1006</v>
      </c>
      <c r="AC143" s="15"/>
      <c r="AD143" s="19"/>
      <c r="AE143" s="33"/>
      <c r="AF143" s="98"/>
      <c r="AG143" s="14"/>
      <c r="AH143" s="14"/>
    </row>
    <row r="144" spans="1:34" ht="15" customHeight="1">
      <c r="A144" s="20" t="s">
        <v>15</v>
      </c>
      <c r="G144" s="418" t="s">
        <v>16</v>
      </c>
      <c r="H144" s="15"/>
      <c r="I144" s="418" t="s">
        <v>16</v>
      </c>
      <c r="J144" s="33"/>
      <c r="K144" s="33"/>
      <c r="L144" s="33"/>
      <c r="M144" s="418"/>
      <c r="N144" s="418" t="s">
        <v>16</v>
      </c>
      <c r="O144" s="15"/>
      <c r="P144" s="15"/>
      <c r="Q144" s="418" t="s">
        <v>16</v>
      </c>
      <c r="R144" s="418"/>
      <c r="S144" s="418"/>
      <c r="U144" s="418" t="s">
        <v>16</v>
      </c>
      <c r="V144" s="15"/>
      <c r="W144" s="418" t="s">
        <v>16</v>
      </c>
      <c r="X144" s="418" t="s">
        <v>16</v>
      </c>
      <c r="Z144" s="418" t="s">
        <v>68</v>
      </c>
      <c r="AA144" s="418" t="s">
        <v>68</v>
      </c>
      <c r="AB144" s="418" t="s">
        <v>68</v>
      </c>
      <c r="AC144" s="15"/>
      <c r="AD144" s="418"/>
      <c r="AE144" s="33"/>
      <c r="AF144" s="98"/>
      <c r="AG144" s="14"/>
      <c r="AH144" s="14"/>
    </row>
    <row r="145" spans="1:34" ht="15" customHeight="1">
      <c r="A145" s="444" t="s">
        <v>17</v>
      </c>
      <c r="G145" s="391" t="s">
        <v>1000</v>
      </c>
      <c r="H145" s="15"/>
      <c r="I145" s="391" t="s">
        <v>1000</v>
      </c>
      <c r="J145" s="33"/>
      <c r="K145" s="33"/>
      <c r="L145" s="33"/>
      <c r="M145" s="391"/>
      <c r="N145" s="391" t="s">
        <v>1000</v>
      </c>
      <c r="O145" s="15"/>
      <c r="P145" s="15"/>
      <c r="Q145" s="391" t="s">
        <v>1000</v>
      </c>
      <c r="R145" s="391"/>
      <c r="S145" s="391"/>
      <c r="U145" s="391" t="s">
        <v>1000</v>
      </c>
      <c r="V145" s="15"/>
      <c r="W145" s="391" t="s">
        <v>1000</v>
      </c>
      <c r="X145" s="391" t="s">
        <v>1000</v>
      </c>
      <c r="Z145" s="391" t="s">
        <v>1000</v>
      </c>
      <c r="AA145" s="391" t="s">
        <v>1000</v>
      </c>
      <c r="AB145" s="391" t="s">
        <v>1000</v>
      </c>
      <c r="AC145" s="15"/>
      <c r="AD145" s="391"/>
      <c r="AE145" s="33"/>
      <c r="AF145" s="98"/>
      <c r="AG145" s="14"/>
      <c r="AH145" s="14"/>
    </row>
    <row r="146" spans="1:34" ht="15" customHeight="1">
      <c r="A146" s="22" t="s">
        <v>18</v>
      </c>
      <c r="G146" s="23"/>
      <c r="H146" s="15"/>
      <c r="I146" s="23"/>
      <c r="J146" s="33"/>
      <c r="K146" s="33"/>
      <c r="L146" s="33"/>
      <c r="M146" s="23"/>
      <c r="N146" s="23"/>
      <c r="O146" s="15"/>
      <c r="P146" s="15"/>
      <c r="Q146" s="23"/>
      <c r="R146" s="23"/>
      <c r="S146" s="23"/>
      <c r="U146" s="23"/>
      <c r="V146" s="15"/>
      <c r="W146" s="23"/>
      <c r="X146" s="23"/>
      <c r="Z146" s="23"/>
      <c r="AA146" s="23"/>
      <c r="AB146" s="23"/>
      <c r="AC146" s="15"/>
      <c r="AD146" s="23"/>
      <c r="AE146" s="33"/>
      <c r="AF146" s="98"/>
      <c r="AG146" s="14"/>
      <c r="AH146" s="14"/>
    </row>
    <row r="147" spans="1:34" ht="15" customHeight="1">
      <c r="A147" s="12" t="s">
        <v>20</v>
      </c>
      <c r="H147" s="15"/>
      <c r="J147" s="33"/>
      <c r="K147" s="33"/>
      <c r="L147" s="33"/>
      <c r="O147" s="15"/>
      <c r="P147" s="15"/>
      <c r="V147" s="15"/>
      <c r="AC147" s="15"/>
      <c r="AE147" s="33"/>
      <c r="AF147" s="98"/>
      <c r="AG147" s="14"/>
      <c r="AH147" s="14"/>
    </row>
    <row r="148" spans="1:34" ht="15" customHeight="1">
      <c r="A148" s="25" t="s">
        <v>21</v>
      </c>
      <c r="G148" s="418" t="s">
        <v>712</v>
      </c>
      <c r="H148" s="15"/>
      <c r="I148" s="418" t="s">
        <v>712</v>
      </c>
      <c r="J148" s="33"/>
      <c r="K148" s="33"/>
      <c r="L148" s="33"/>
      <c r="M148" s="418"/>
      <c r="N148" s="418" t="s">
        <v>709</v>
      </c>
      <c r="O148" s="15"/>
      <c r="P148" s="15"/>
      <c r="Q148" s="418" t="s">
        <v>709</v>
      </c>
      <c r="R148" s="418"/>
      <c r="S148" s="418"/>
      <c r="U148" s="418" t="s">
        <v>712</v>
      </c>
      <c r="V148" s="15"/>
      <c r="W148" s="418" t="s">
        <v>659</v>
      </c>
      <c r="X148" s="418" t="s">
        <v>709</v>
      </c>
      <c r="Z148" s="418" t="s">
        <v>731</v>
      </c>
      <c r="AA148" s="418" t="s">
        <v>735</v>
      </c>
      <c r="AB148" s="418" t="s">
        <v>730</v>
      </c>
      <c r="AC148" s="15"/>
      <c r="AD148" s="418"/>
      <c r="AE148" s="33"/>
      <c r="AF148" s="98"/>
      <c r="AG148" s="14"/>
      <c r="AH148" s="14"/>
    </row>
    <row r="149" spans="1:34" ht="15" customHeight="1">
      <c r="A149" s="26" t="s">
        <v>22</v>
      </c>
      <c r="G149" s="27"/>
      <c r="H149" s="15"/>
      <c r="I149" s="27"/>
      <c r="J149" s="33"/>
      <c r="K149" s="33"/>
      <c r="L149" s="33"/>
      <c r="M149" s="27"/>
      <c r="N149" s="27"/>
      <c r="O149" s="15"/>
      <c r="P149" s="15"/>
      <c r="Q149" s="27"/>
      <c r="R149" s="27"/>
      <c r="S149" s="27"/>
      <c r="U149" s="27"/>
      <c r="V149" s="15"/>
      <c r="W149" s="27"/>
      <c r="X149" s="27"/>
      <c r="Z149" s="27"/>
      <c r="AA149" s="27"/>
      <c r="AB149" s="27"/>
      <c r="AC149" s="15"/>
      <c r="AD149" s="27"/>
      <c r="AE149" s="33"/>
      <c r="AF149" s="98"/>
      <c r="AG149" s="14"/>
      <c r="AH149" s="14"/>
    </row>
    <row r="150" spans="1:34" ht="15" customHeight="1">
      <c r="A150" s="25" t="s">
        <v>23</v>
      </c>
      <c r="G150" s="418">
        <v>1008</v>
      </c>
      <c r="H150" s="15"/>
      <c r="I150" s="418">
        <v>984</v>
      </c>
      <c r="J150" s="33"/>
      <c r="K150" s="33"/>
      <c r="L150" s="33"/>
      <c r="M150" s="418"/>
      <c r="N150" s="418">
        <v>360</v>
      </c>
      <c r="O150" s="15"/>
      <c r="P150" s="15"/>
      <c r="Q150" s="418">
        <v>924</v>
      </c>
      <c r="R150" s="418"/>
      <c r="S150" s="418"/>
      <c r="U150" s="418">
        <v>360</v>
      </c>
      <c r="V150" s="15"/>
      <c r="W150" s="418">
        <v>576</v>
      </c>
      <c r="X150" s="418">
        <v>360</v>
      </c>
      <c r="Z150" s="418">
        <v>1356</v>
      </c>
      <c r="AA150" s="418">
        <v>1020</v>
      </c>
      <c r="AB150" s="418">
        <v>4344</v>
      </c>
      <c r="AC150" s="15"/>
      <c r="AD150" s="418"/>
      <c r="AE150" s="33"/>
      <c r="AF150" s="98"/>
      <c r="AG150" s="14"/>
      <c r="AH150" s="14"/>
    </row>
    <row r="151" spans="1:34" ht="15" customHeight="1">
      <c r="A151" s="28" t="s">
        <v>24</v>
      </c>
      <c r="H151" s="15"/>
      <c r="J151" s="33"/>
      <c r="K151" s="33"/>
      <c r="L151" s="33"/>
      <c r="O151" s="15"/>
      <c r="P151" s="15"/>
      <c r="V151" s="15"/>
      <c r="AC151" s="15"/>
      <c r="AE151" s="33"/>
      <c r="AF151" s="98"/>
      <c r="AG151" s="14"/>
      <c r="AH151" s="14"/>
    </row>
    <row r="152" spans="1:34" ht="15" customHeight="1">
      <c r="A152" s="31" t="s">
        <v>25</v>
      </c>
      <c r="G152" s="32">
        <v>43593</v>
      </c>
      <c r="H152" s="15"/>
      <c r="I152" s="32">
        <v>43593</v>
      </c>
      <c r="J152" s="33"/>
      <c r="K152" s="33"/>
      <c r="L152" s="33"/>
      <c r="M152" s="32"/>
      <c r="N152" s="32">
        <v>43593</v>
      </c>
      <c r="O152" s="15"/>
      <c r="P152" s="15"/>
      <c r="Q152" s="32">
        <v>43593</v>
      </c>
      <c r="R152" s="32"/>
      <c r="S152" s="32"/>
      <c r="U152" s="32">
        <v>43597</v>
      </c>
      <c r="V152" s="15"/>
      <c r="W152" s="32">
        <v>43597</v>
      </c>
      <c r="X152" s="32">
        <v>43597</v>
      </c>
      <c r="Z152" s="32">
        <v>43594</v>
      </c>
      <c r="AA152" s="32">
        <v>43594</v>
      </c>
      <c r="AB152" s="32">
        <v>43593</v>
      </c>
      <c r="AC152" s="15"/>
      <c r="AD152" s="32"/>
      <c r="AE152" s="33"/>
      <c r="AF152" s="98"/>
      <c r="AG152" s="14"/>
      <c r="AH152" s="14"/>
    </row>
    <row r="153" spans="1:34" ht="15" customHeight="1">
      <c r="A153" s="12" t="s">
        <v>27</v>
      </c>
      <c r="G153" s="31" t="s">
        <v>29</v>
      </c>
      <c r="H153" s="15"/>
      <c r="I153" s="31" t="s">
        <v>31</v>
      </c>
      <c r="J153" s="33"/>
      <c r="K153" s="33"/>
      <c r="L153" s="33"/>
      <c r="M153" s="14"/>
      <c r="N153" s="31" t="s">
        <v>1003</v>
      </c>
      <c r="O153" s="15"/>
      <c r="P153" s="15"/>
      <c r="Q153" s="31" t="s">
        <v>31</v>
      </c>
      <c r="U153" s="31" t="s">
        <v>28</v>
      </c>
      <c r="V153" s="15"/>
      <c r="W153" s="31" t="s">
        <v>28</v>
      </c>
      <c r="X153" s="31" t="s">
        <v>28</v>
      </c>
      <c r="Z153" s="31" t="s">
        <v>28</v>
      </c>
      <c r="AA153" s="31" t="s">
        <v>28</v>
      </c>
      <c r="AB153" s="31" t="s">
        <v>28</v>
      </c>
      <c r="AC153" s="15"/>
      <c r="AD153" s="14"/>
      <c r="AE153" s="33"/>
      <c r="AF153" s="98"/>
      <c r="AG153" s="14"/>
      <c r="AH153" s="14"/>
    </row>
    <row r="154" spans="1:34" ht="15" customHeight="1">
      <c r="A154" s="12" t="s">
        <v>10</v>
      </c>
      <c r="B154" s="14"/>
      <c r="C154" s="14"/>
      <c r="D154" s="14"/>
      <c r="E154" s="14"/>
      <c r="F154" s="14"/>
      <c r="G154" s="33"/>
      <c r="H154" s="15"/>
      <c r="I154" s="33"/>
      <c r="J154" s="33"/>
      <c r="K154" s="33"/>
      <c r="L154" s="33"/>
      <c r="M154" s="14"/>
      <c r="N154" s="418"/>
      <c r="O154" s="15"/>
      <c r="P154" s="15"/>
      <c r="Q154" s="418" t="s">
        <v>711</v>
      </c>
      <c r="R154" s="418"/>
      <c r="S154" s="418"/>
      <c r="U154" s="418" t="s">
        <v>711</v>
      </c>
      <c r="V154" s="15"/>
      <c r="W154" s="418" t="s">
        <v>711</v>
      </c>
      <c r="X154" s="418" t="s">
        <v>711</v>
      </c>
      <c r="Y154" s="14"/>
      <c r="AA154" s="418" t="s">
        <v>729</v>
      </c>
      <c r="AC154" s="15"/>
      <c r="AD154" s="14"/>
      <c r="AE154" s="33"/>
      <c r="AF154" s="98"/>
      <c r="AG154" s="14"/>
      <c r="AH154" s="14"/>
    </row>
    <row r="155" spans="1:34" ht="15" customHeight="1">
      <c r="A155" s="443" t="s">
        <v>11</v>
      </c>
      <c r="B155" s="14"/>
      <c r="C155" s="14"/>
      <c r="D155" s="14"/>
      <c r="E155" s="14"/>
      <c r="F155" s="14"/>
      <c r="G155" s="33"/>
      <c r="H155" s="15"/>
      <c r="I155" s="33"/>
      <c r="J155" s="33"/>
      <c r="K155" s="33"/>
      <c r="L155" s="33"/>
      <c r="M155" s="14"/>
      <c r="N155" s="93"/>
      <c r="O155" s="15"/>
      <c r="P155" s="15"/>
      <c r="Q155" s="93" t="s">
        <v>850</v>
      </c>
      <c r="R155" s="93"/>
      <c r="S155" s="93"/>
      <c r="U155" s="93" t="s">
        <v>1015</v>
      </c>
      <c r="V155" s="15"/>
      <c r="W155" s="93" t="s">
        <v>856</v>
      </c>
      <c r="X155" s="93" t="s">
        <v>855</v>
      </c>
      <c r="Y155" s="14"/>
      <c r="AA155" s="93" t="s">
        <v>880</v>
      </c>
      <c r="AC155" s="15"/>
      <c r="AD155" s="14"/>
      <c r="AE155" s="33"/>
      <c r="AF155" s="98"/>
      <c r="AG155" s="14"/>
      <c r="AH155" s="14"/>
    </row>
    <row r="156" spans="1:34" ht="15" customHeight="1">
      <c r="A156" s="16" t="s">
        <v>12</v>
      </c>
      <c r="B156" s="14"/>
      <c r="C156" s="14"/>
      <c r="D156" s="14"/>
      <c r="E156" s="14"/>
      <c r="F156" s="14"/>
      <c r="G156" s="33"/>
      <c r="H156" s="15"/>
      <c r="I156" s="33"/>
      <c r="J156" s="33"/>
      <c r="K156" s="33"/>
      <c r="L156" s="33"/>
      <c r="M156" s="14"/>
      <c r="N156" s="418"/>
      <c r="O156" s="15"/>
      <c r="P156" s="15"/>
      <c r="Q156" s="418"/>
      <c r="R156" s="418"/>
      <c r="S156" s="418"/>
      <c r="U156" s="418"/>
      <c r="V156" s="15"/>
      <c r="W156" s="418"/>
      <c r="X156" s="418"/>
      <c r="Y156" s="14"/>
      <c r="AA156" s="418"/>
      <c r="AC156" s="15"/>
      <c r="AD156" s="14"/>
      <c r="AE156" s="33"/>
      <c r="AF156" s="98"/>
      <c r="AG156" s="14"/>
      <c r="AH156" s="14"/>
    </row>
    <row r="157" spans="1:34" ht="15" customHeight="1">
      <c r="A157" s="18" t="s">
        <v>13</v>
      </c>
      <c r="B157" s="14"/>
      <c r="C157" s="14"/>
      <c r="D157" s="14"/>
      <c r="E157" s="14"/>
      <c r="F157" s="14"/>
      <c r="G157" s="33"/>
      <c r="H157" s="15"/>
      <c r="I157" s="33"/>
      <c r="J157" s="33"/>
      <c r="K157" s="33"/>
      <c r="L157" s="33"/>
      <c r="M157" s="14"/>
      <c r="N157" s="19"/>
      <c r="O157" s="15"/>
      <c r="P157" s="15"/>
      <c r="Q157" s="19" t="s">
        <v>1006</v>
      </c>
      <c r="R157" s="19"/>
      <c r="S157" s="19"/>
      <c r="U157" s="19" t="s">
        <v>1006</v>
      </c>
      <c r="V157" s="15"/>
      <c r="W157" s="19" t="s">
        <v>1006</v>
      </c>
      <c r="X157" s="19" t="s">
        <v>1006</v>
      </c>
      <c r="Y157" s="14"/>
      <c r="AA157" s="19" t="s">
        <v>1005</v>
      </c>
      <c r="AC157" s="15"/>
      <c r="AD157" s="14"/>
      <c r="AE157" s="33"/>
      <c r="AF157" s="98"/>
      <c r="AG157" s="14"/>
      <c r="AH157" s="14"/>
    </row>
    <row r="158" spans="1:34" ht="15" customHeight="1">
      <c r="A158" s="20" t="s">
        <v>15</v>
      </c>
      <c r="B158" s="14"/>
      <c r="C158" s="14"/>
      <c r="D158" s="14"/>
      <c r="E158" s="14"/>
      <c r="F158" s="14"/>
      <c r="G158" s="33"/>
      <c r="H158" s="15"/>
      <c r="I158" s="33"/>
      <c r="J158" s="33"/>
      <c r="K158" s="33"/>
      <c r="L158" s="33"/>
      <c r="M158" s="14"/>
      <c r="N158" s="418"/>
      <c r="O158" s="15"/>
      <c r="P158" s="15"/>
      <c r="Q158" s="418" t="s">
        <v>16</v>
      </c>
      <c r="R158" s="418"/>
      <c r="S158" s="418"/>
      <c r="U158" s="418" t="s">
        <v>16</v>
      </c>
      <c r="V158" s="15"/>
      <c r="W158" s="418" t="s">
        <v>16</v>
      </c>
      <c r="X158" s="418" t="s">
        <v>16</v>
      </c>
      <c r="Y158" s="14"/>
      <c r="AA158" s="418" t="s">
        <v>68</v>
      </c>
      <c r="AC158" s="15"/>
      <c r="AD158" s="14"/>
      <c r="AE158" s="33"/>
      <c r="AF158" s="98"/>
      <c r="AG158" s="14"/>
      <c r="AH158" s="14"/>
    </row>
    <row r="159" spans="1:34" ht="15" customHeight="1">
      <c r="A159" s="444" t="s">
        <v>17</v>
      </c>
      <c r="B159" s="14"/>
      <c r="C159" s="14"/>
      <c r="D159" s="14"/>
      <c r="E159" s="14"/>
      <c r="F159" s="14"/>
      <c r="G159" s="33"/>
      <c r="H159" s="15"/>
      <c r="I159" s="33"/>
      <c r="J159" s="33"/>
      <c r="K159" s="33"/>
      <c r="L159" s="33"/>
      <c r="M159" s="14"/>
      <c r="N159" s="391"/>
      <c r="O159" s="15"/>
      <c r="P159" s="15"/>
      <c r="Q159" s="391" t="s">
        <v>1000</v>
      </c>
      <c r="R159" s="391"/>
      <c r="S159" s="391"/>
      <c r="U159" s="391" t="s">
        <v>1000</v>
      </c>
      <c r="V159" s="15"/>
      <c r="W159" s="391" t="s">
        <v>1000</v>
      </c>
      <c r="X159" s="391" t="s">
        <v>1000</v>
      </c>
      <c r="Y159" s="14"/>
      <c r="AA159" s="391" t="s">
        <v>1000</v>
      </c>
      <c r="AC159" s="15"/>
      <c r="AD159" s="14"/>
      <c r="AE159" s="33"/>
      <c r="AF159" s="98"/>
      <c r="AG159" s="14"/>
      <c r="AH159" s="14"/>
    </row>
    <row r="160" spans="1:34" ht="15" customHeight="1">
      <c r="A160" s="22" t="s">
        <v>18</v>
      </c>
      <c r="B160" s="14"/>
      <c r="C160" s="14"/>
      <c r="D160" s="14"/>
      <c r="E160" s="14"/>
      <c r="F160" s="14"/>
      <c r="G160" s="33"/>
      <c r="H160" s="15"/>
      <c r="I160" s="33"/>
      <c r="J160" s="33"/>
      <c r="K160" s="33"/>
      <c r="L160" s="33"/>
      <c r="M160" s="14"/>
      <c r="N160" s="23"/>
      <c r="O160" s="15"/>
      <c r="P160" s="15"/>
      <c r="Q160" s="23"/>
      <c r="R160" s="23"/>
      <c r="S160" s="23"/>
      <c r="U160" s="23"/>
      <c r="V160" s="15"/>
      <c r="W160" s="23"/>
      <c r="X160" s="23"/>
      <c r="Y160" s="14"/>
      <c r="AA160" s="23"/>
      <c r="AC160" s="15"/>
      <c r="AD160" s="14"/>
      <c r="AE160" s="33"/>
      <c r="AF160" s="98"/>
      <c r="AG160" s="14"/>
      <c r="AH160" s="14"/>
    </row>
    <row r="161" spans="1:34" ht="15" customHeight="1">
      <c r="A161" s="12" t="s">
        <v>20</v>
      </c>
      <c r="B161" s="14"/>
      <c r="C161" s="14"/>
      <c r="D161" s="14"/>
      <c r="E161" s="14"/>
      <c r="F161" s="14"/>
      <c r="G161" s="33"/>
      <c r="H161" s="15"/>
      <c r="I161" s="33"/>
      <c r="J161" s="33"/>
      <c r="K161" s="33"/>
      <c r="L161" s="33"/>
      <c r="M161" s="14"/>
      <c r="O161" s="15"/>
      <c r="P161" s="15"/>
      <c r="V161" s="15"/>
      <c r="Y161" s="14"/>
      <c r="AC161" s="15"/>
      <c r="AD161" s="14"/>
      <c r="AE161" s="33"/>
      <c r="AF161" s="98"/>
      <c r="AG161" s="14"/>
      <c r="AH161" s="14"/>
    </row>
    <row r="162" spans="1:34" ht="15" customHeight="1">
      <c r="A162" s="25" t="s">
        <v>21</v>
      </c>
      <c r="B162" s="14"/>
      <c r="C162" s="14"/>
      <c r="D162" s="14"/>
      <c r="E162" s="14"/>
      <c r="F162" s="14"/>
      <c r="G162" s="33"/>
      <c r="H162" s="15"/>
      <c r="I162" s="33"/>
      <c r="J162" s="33"/>
      <c r="K162" s="33"/>
      <c r="L162" s="33"/>
      <c r="M162" s="14"/>
      <c r="N162" s="418"/>
      <c r="O162" s="15"/>
      <c r="P162" s="15"/>
      <c r="Q162" s="418" t="s">
        <v>712</v>
      </c>
      <c r="R162" s="418"/>
      <c r="S162" s="418"/>
      <c r="U162" s="418" t="s">
        <v>659</v>
      </c>
      <c r="V162" s="15"/>
      <c r="W162" s="418" t="s">
        <v>709</v>
      </c>
      <c r="X162" s="418" t="s">
        <v>709</v>
      </c>
      <c r="Y162" s="14"/>
      <c r="AA162" s="418" t="s">
        <v>735</v>
      </c>
      <c r="AC162" s="15"/>
      <c r="AD162" s="14"/>
      <c r="AE162" s="33"/>
      <c r="AF162" s="98"/>
      <c r="AG162" s="14"/>
      <c r="AH162" s="14"/>
    </row>
    <row r="163" spans="1:34" ht="15" customHeight="1">
      <c r="A163" s="26" t="s">
        <v>22</v>
      </c>
      <c r="B163" s="14"/>
      <c r="C163" s="14"/>
      <c r="D163" s="14"/>
      <c r="E163" s="14"/>
      <c r="F163" s="14"/>
      <c r="G163" s="33"/>
      <c r="H163" s="15"/>
      <c r="I163" s="33"/>
      <c r="J163" s="33"/>
      <c r="K163" s="33"/>
      <c r="L163" s="33"/>
      <c r="M163" s="14"/>
      <c r="N163" s="27"/>
      <c r="O163" s="15"/>
      <c r="P163" s="15"/>
      <c r="Q163" s="27"/>
      <c r="R163" s="27"/>
      <c r="S163" s="27"/>
      <c r="U163" s="27"/>
      <c r="V163" s="15"/>
      <c r="W163" s="27"/>
      <c r="X163" s="27"/>
      <c r="Y163" s="14"/>
      <c r="AA163" s="27"/>
      <c r="AC163" s="15"/>
      <c r="AD163" s="14"/>
      <c r="AE163" s="33"/>
      <c r="AF163" s="98"/>
      <c r="AG163" s="14"/>
      <c r="AH163" s="14"/>
    </row>
    <row r="164" spans="1:34" ht="15" customHeight="1">
      <c r="A164" s="25" t="s">
        <v>23</v>
      </c>
      <c r="B164" s="14"/>
      <c r="C164" s="14"/>
      <c r="D164" s="14"/>
      <c r="E164" s="14"/>
      <c r="F164" s="14"/>
      <c r="G164" s="33"/>
      <c r="H164" s="15"/>
      <c r="I164" s="33"/>
      <c r="J164" s="33"/>
      <c r="K164" s="33"/>
      <c r="L164" s="33"/>
      <c r="M164" s="14"/>
      <c r="N164" s="418"/>
      <c r="O164" s="15"/>
      <c r="P164" s="15"/>
      <c r="Q164" s="418">
        <v>4644</v>
      </c>
      <c r="R164" s="418"/>
      <c r="S164" s="418"/>
      <c r="U164" s="418">
        <v>444</v>
      </c>
      <c r="V164" s="15"/>
      <c r="W164" s="418">
        <v>420</v>
      </c>
      <c r="X164" s="418">
        <v>1320</v>
      </c>
      <c r="Y164" s="14"/>
      <c r="AA164" s="418">
        <v>504</v>
      </c>
      <c r="AC164" s="15"/>
      <c r="AD164" s="14"/>
      <c r="AE164" s="33"/>
      <c r="AF164" s="98"/>
      <c r="AG164" s="14"/>
      <c r="AH164" s="14"/>
    </row>
    <row r="165" spans="1:34" ht="15" customHeight="1">
      <c r="A165" s="28" t="s">
        <v>24</v>
      </c>
      <c r="B165" s="14"/>
      <c r="C165" s="14"/>
      <c r="D165" s="14"/>
      <c r="E165" s="14"/>
      <c r="F165" s="14"/>
      <c r="G165" s="33"/>
      <c r="H165" s="15"/>
      <c r="I165" s="33"/>
      <c r="J165" s="33"/>
      <c r="K165" s="33"/>
      <c r="L165" s="33"/>
      <c r="M165" s="14"/>
      <c r="O165" s="15"/>
      <c r="P165" s="15"/>
      <c r="V165" s="15"/>
      <c r="Y165" s="14"/>
      <c r="AC165" s="15"/>
      <c r="AD165" s="14"/>
      <c r="AE165" s="33"/>
      <c r="AF165" s="98"/>
      <c r="AG165" s="14"/>
      <c r="AH165" s="14"/>
    </row>
    <row r="166" spans="1:34" ht="15" customHeight="1">
      <c r="A166" s="31" t="s">
        <v>25</v>
      </c>
      <c r="B166" s="14"/>
      <c r="C166" s="14"/>
      <c r="D166" s="14"/>
      <c r="E166" s="14"/>
      <c r="F166" s="14"/>
      <c r="G166" s="33"/>
      <c r="H166" s="15"/>
      <c r="I166" s="33"/>
      <c r="J166" s="33"/>
      <c r="K166" s="33"/>
      <c r="L166" s="33"/>
      <c r="M166" s="14"/>
      <c r="N166" s="32"/>
      <c r="O166" s="15"/>
      <c r="P166" s="15"/>
      <c r="Q166" s="32">
        <v>43594</v>
      </c>
      <c r="R166" s="32"/>
      <c r="S166" s="32"/>
      <c r="U166" s="32">
        <v>43596</v>
      </c>
      <c r="V166" s="15"/>
      <c r="W166" s="32">
        <v>43596</v>
      </c>
      <c r="X166" s="32">
        <v>43639</v>
      </c>
      <c r="Y166" s="14"/>
      <c r="AA166" s="32">
        <v>43597</v>
      </c>
      <c r="AC166" s="15"/>
      <c r="AD166" s="14"/>
      <c r="AE166" s="33"/>
      <c r="AF166" s="98"/>
      <c r="AG166" s="14"/>
      <c r="AH166" s="14"/>
    </row>
    <row r="167" spans="1:34" ht="15" customHeight="1">
      <c r="A167" s="12" t="s">
        <v>27</v>
      </c>
      <c r="B167" s="14"/>
      <c r="C167" s="14"/>
      <c r="D167" s="14"/>
      <c r="E167" s="14"/>
      <c r="F167" s="14"/>
      <c r="G167" s="33"/>
      <c r="H167" s="15"/>
      <c r="I167" s="33"/>
      <c r="J167" s="33"/>
      <c r="K167" s="33"/>
      <c r="L167" s="33"/>
      <c r="M167" s="14"/>
      <c r="O167" s="15"/>
      <c r="P167" s="15"/>
      <c r="Q167" s="31" t="s">
        <v>28</v>
      </c>
      <c r="U167" s="31" t="s">
        <v>28</v>
      </c>
      <c r="V167" s="15"/>
      <c r="W167" s="31" t="s">
        <v>28</v>
      </c>
      <c r="X167" s="31" t="s">
        <v>29</v>
      </c>
      <c r="Y167" s="14"/>
      <c r="AA167" s="31" t="s">
        <v>28</v>
      </c>
      <c r="AC167" s="15"/>
      <c r="AD167" s="14"/>
      <c r="AE167" s="33"/>
      <c r="AF167" s="98"/>
      <c r="AG167" s="14"/>
      <c r="AH167" s="14"/>
    </row>
    <row r="168" spans="1:34" ht="15" customHeight="1">
      <c r="A168" s="12" t="s">
        <v>10</v>
      </c>
      <c r="B168" s="14"/>
      <c r="C168" s="14"/>
      <c r="D168" s="14"/>
      <c r="E168" s="14"/>
      <c r="F168" s="14"/>
      <c r="G168" s="33"/>
      <c r="H168" s="15"/>
      <c r="I168" s="33"/>
      <c r="J168" s="33"/>
      <c r="K168" s="33"/>
      <c r="L168" s="33"/>
      <c r="M168" s="14"/>
      <c r="N168" s="418"/>
      <c r="O168" s="15"/>
      <c r="P168" s="15"/>
      <c r="Q168" s="418"/>
      <c r="R168" s="418"/>
      <c r="S168" s="418"/>
      <c r="U168" s="418" t="s">
        <v>711</v>
      </c>
      <c r="V168" s="15"/>
      <c r="W168" s="418" t="s">
        <v>711</v>
      </c>
      <c r="Y168" s="14"/>
      <c r="Z168" s="14"/>
      <c r="AA168" s="14"/>
      <c r="AB168" s="14"/>
      <c r="AC168" s="15"/>
      <c r="AD168" s="14"/>
      <c r="AE168" s="33"/>
      <c r="AF168" s="98"/>
      <c r="AG168" s="14"/>
      <c r="AH168" s="14"/>
    </row>
    <row r="169" spans="1:34" ht="15" customHeight="1">
      <c r="A169" s="443" t="s">
        <v>11</v>
      </c>
      <c r="B169" s="14"/>
      <c r="C169" s="14"/>
      <c r="D169" s="14"/>
      <c r="E169" s="14"/>
      <c r="F169" s="14"/>
      <c r="G169" s="33"/>
      <c r="H169" s="15"/>
      <c r="I169" s="33"/>
      <c r="J169" s="33"/>
      <c r="K169" s="33"/>
      <c r="L169" s="33"/>
      <c r="M169" s="14"/>
      <c r="N169" s="93"/>
      <c r="O169" s="15"/>
      <c r="P169" s="15"/>
      <c r="Q169" s="93"/>
      <c r="R169" s="93"/>
      <c r="S169" s="93"/>
      <c r="U169" s="93" t="s">
        <v>1016</v>
      </c>
      <c r="V169" s="15"/>
      <c r="W169" s="93" t="s">
        <v>854</v>
      </c>
      <c r="Y169" s="14"/>
      <c r="Z169" s="14"/>
      <c r="AA169" s="14"/>
      <c r="AB169" s="14"/>
      <c r="AC169" s="15"/>
      <c r="AD169" s="14"/>
      <c r="AE169" s="33"/>
      <c r="AF169" s="98"/>
      <c r="AG169" s="14"/>
      <c r="AH169" s="14"/>
    </row>
    <row r="170" spans="1:34" ht="15" customHeight="1">
      <c r="A170" s="16" t="s">
        <v>12</v>
      </c>
      <c r="B170" s="14"/>
      <c r="C170" s="14"/>
      <c r="D170" s="14"/>
      <c r="E170" s="14"/>
      <c r="F170" s="14"/>
      <c r="G170" s="33"/>
      <c r="H170" s="15"/>
      <c r="I170" s="33"/>
      <c r="J170" s="33"/>
      <c r="K170" s="33"/>
      <c r="L170" s="33"/>
      <c r="M170" s="14"/>
      <c r="N170" s="418"/>
      <c r="O170" s="15"/>
      <c r="P170" s="15"/>
      <c r="Q170" s="418"/>
      <c r="R170" s="418"/>
      <c r="S170" s="418"/>
      <c r="U170" s="418"/>
      <c r="V170" s="15"/>
      <c r="W170" s="418"/>
      <c r="Y170" s="14"/>
      <c r="Z170" s="14"/>
      <c r="AA170" s="14"/>
      <c r="AB170" s="14"/>
      <c r="AC170" s="15"/>
      <c r="AD170" s="14"/>
      <c r="AE170" s="33"/>
      <c r="AF170" s="98"/>
      <c r="AG170" s="14"/>
      <c r="AH170" s="14"/>
    </row>
    <row r="171" spans="1:34" ht="15" customHeight="1">
      <c r="A171" s="18" t="s">
        <v>13</v>
      </c>
      <c r="B171" s="14"/>
      <c r="C171" s="14"/>
      <c r="D171" s="14"/>
      <c r="E171" s="14"/>
      <c r="F171" s="14"/>
      <c r="G171" s="33"/>
      <c r="H171" s="15"/>
      <c r="I171" s="33"/>
      <c r="J171" s="33"/>
      <c r="K171" s="33"/>
      <c r="L171" s="33"/>
      <c r="M171" s="14"/>
      <c r="N171" s="19"/>
      <c r="O171" s="15"/>
      <c r="P171" s="15"/>
      <c r="Q171" s="19"/>
      <c r="R171" s="19"/>
      <c r="S171" s="19"/>
      <c r="U171" s="19" t="s">
        <v>1006</v>
      </c>
      <c r="V171" s="15"/>
      <c r="W171" s="19" t="s">
        <v>1006</v>
      </c>
      <c r="Y171" s="14"/>
      <c r="Z171" s="14"/>
      <c r="AA171" s="14"/>
      <c r="AB171" s="14"/>
      <c r="AC171" s="15"/>
      <c r="AD171" s="14"/>
      <c r="AE171" s="33"/>
      <c r="AF171" s="98"/>
      <c r="AG171" s="14"/>
      <c r="AH171" s="14"/>
    </row>
    <row r="172" spans="1:34" ht="15" customHeight="1">
      <c r="A172" s="20" t="s">
        <v>15</v>
      </c>
      <c r="B172" s="14"/>
      <c r="C172" s="14"/>
      <c r="D172" s="14"/>
      <c r="E172" s="14"/>
      <c r="F172" s="14"/>
      <c r="G172" s="33"/>
      <c r="H172" s="15"/>
      <c r="I172" s="33"/>
      <c r="J172" s="33"/>
      <c r="K172" s="33"/>
      <c r="L172" s="33"/>
      <c r="M172" s="14"/>
      <c r="N172" s="418"/>
      <c r="O172" s="15"/>
      <c r="P172" s="15"/>
      <c r="Q172" s="418"/>
      <c r="R172" s="418"/>
      <c r="S172" s="418"/>
      <c r="U172" s="418" t="s">
        <v>16</v>
      </c>
      <c r="V172" s="15"/>
      <c r="W172" s="418" t="s">
        <v>16</v>
      </c>
      <c r="Y172" s="14"/>
      <c r="Z172" s="14"/>
      <c r="AA172" s="14"/>
      <c r="AB172" s="14"/>
      <c r="AC172" s="15"/>
      <c r="AD172" s="14"/>
      <c r="AE172" s="33"/>
      <c r="AF172" s="98"/>
      <c r="AG172" s="14"/>
      <c r="AH172" s="14"/>
    </row>
    <row r="173" spans="1:34" ht="15" customHeight="1">
      <c r="A173" s="444" t="s">
        <v>17</v>
      </c>
      <c r="B173" s="14"/>
      <c r="C173" s="14"/>
      <c r="D173" s="14"/>
      <c r="E173" s="14"/>
      <c r="F173" s="14"/>
      <c r="G173" s="33"/>
      <c r="H173" s="15"/>
      <c r="I173" s="33"/>
      <c r="J173" s="33"/>
      <c r="K173" s="33"/>
      <c r="L173" s="33"/>
      <c r="M173" s="14"/>
      <c r="N173" s="391"/>
      <c r="O173" s="15"/>
      <c r="P173" s="15"/>
      <c r="Q173" s="391"/>
      <c r="R173" s="391"/>
      <c r="S173" s="391"/>
      <c r="U173" s="391" t="s">
        <v>1000</v>
      </c>
      <c r="V173" s="15"/>
      <c r="W173" s="391" t="s">
        <v>1000</v>
      </c>
      <c r="Y173" s="14"/>
      <c r="Z173" s="14"/>
      <c r="AA173" s="14"/>
      <c r="AB173" s="14"/>
      <c r="AC173" s="15"/>
      <c r="AD173" s="14"/>
      <c r="AE173" s="33"/>
      <c r="AF173" s="98"/>
      <c r="AG173" s="14"/>
      <c r="AH173" s="14"/>
    </row>
    <row r="174" spans="1:34" ht="15" customHeight="1">
      <c r="A174" s="22" t="s">
        <v>18</v>
      </c>
      <c r="B174" s="14"/>
      <c r="C174" s="14"/>
      <c r="D174" s="14"/>
      <c r="E174" s="14"/>
      <c r="F174" s="14"/>
      <c r="G174" s="33"/>
      <c r="H174" s="15"/>
      <c r="I174" s="33"/>
      <c r="J174" s="33"/>
      <c r="K174" s="33"/>
      <c r="L174" s="33"/>
      <c r="M174" s="14"/>
      <c r="N174" s="23"/>
      <c r="O174" s="15"/>
      <c r="P174" s="15"/>
      <c r="Q174" s="23"/>
      <c r="R174" s="23"/>
      <c r="S174" s="23"/>
      <c r="U174" s="23"/>
      <c r="V174" s="15"/>
      <c r="W174" s="23"/>
      <c r="Y174" s="14"/>
      <c r="Z174" s="14"/>
      <c r="AA174" s="14"/>
      <c r="AB174" s="14"/>
      <c r="AC174" s="15"/>
      <c r="AD174" s="14"/>
      <c r="AE174" s="33"/>
      <c r="AF174" s="98"/>
      <c r="AG174" s="14"/>
      <c r="AH174" s="14"/>
    </row>
    <row r="175" spans="1:34" ht="15" customHeight="1">
      <c r="A175" s="12" t="s">
        <v>20</v>
      </c>
      <c r="B175" s="14"/>
      <c r="C175" s="14"/>
      <c r="D175" s="14"/>
      <c r="E175" s="14"/>
      <c r="F175" s="14"/>
      <c r="G175" s="33"/>
      <c r="H175" s="15"/>
      <c r="I175" s="33"/>
      <c r="J175" s="33"/>
      <c r="K175" s="33"/>
      <c r="L175" s="33"/>
      <c r="M175" s="14"/>
      <c r="O175" s="15"/>
      <c r="P175" s="15"/>
      <c r="V175" s="15"/>
      <c r="Y175" s="14"/>
      <c r="Z175" s="14"/>
      <c r="AA175" s="14"/>
      <c r="AB175" s="14"/>
      <c r="AC175" s="15"/>
      <c r="AD175" s="14"/>
      <c r="AE175" s="33"/>
      <c r="AF175" s="98"/>
      <c r="AG175" s="14"/>
      <c r="AH175" s="14"/>
    </row>
    <row r="176" spans="1:34" ht="15" customHeight="1">
      <c r="A176" s="25" t="s">
        <v>21</v>
      </c>
      <c r="B176" s="14"/>
      <c r="C176" s="14"/>
      <c r="D176" s="14"/>
      <c r="E176" s="14"/>
      <c r="F176" s="14"/>
      <c r="G176" s="33"/>
      <c r="H176" s="15"/>
      <c r="I176" s="33"/>
      <c r="J176" s="33"/>
      <c r="K176" s="33"/>
      <c r="L176" s="33"/>
      <c r="M176" s="14"/>
      <c r="N176" s="418"/>
      <c r="O176" s="15"/>
      <c r="P176" s="15"/>
      <c r="Q176" s="418"/>
      <c r="R176" s="418"/>
      <c r="S176" s="418"/>
      <c r="U176" s="418" t="s">
        <v>659</v>
      </c>
      <c r="V176" s="15"/>
      <c r="W176" s="418" t="s">
        <v>709</v>
      </c>
      <c r="Y176" s="14"/>
      <c r="Z176" s="14"/>
      <c r="AA176" s="14"/>
      <c r="AB176" s="14"/>
      <c r="AC176" s="15"/>
      <c r="AD176" s="14"/>
      <c r="AE176" s="33"/>
      <c r="AF176" s="98"/>
      <c r="AG176" s="14"/>
      <c r="AH176" s="14"/>
    </row>
    <row r="177" spans="1:34" ht="15" customHeight="1">
      <c r="A177" s="26" t="s">
        <v>22</v>
      </c>
      <c r="B177" s="14"/>
      <c r="C177" s="14"/>
      <c r="D177" s="14"/>
      <c r="E177" s="14"/>
      <c r="F177" s="14"/>
      <c r="G177" s="33"/>
      <c r="H177" s="15"/>
      <c r="I177" s="33"/>
      <c r="J177" s="33"/>
      <c r="K177" s="33"/>
      <c r="L177" s="33"/>
      <c r="M177" s="14"/>
      <c r="N177" s="27"/>
      <c r="O177" s="15"/>
      <c r="P177" s="15"/>
      <c r="Q177" s="27"/>
      <c r="R177" s="27"/>
      <c r="S177" s="27"/>
      <c r="U177" s="27"/>
      <c r="V177" s="15"/>
      <c r="W177" s="27"/>
      <c r="Y177" s="14"/>
      <c r="Z177" s="14"/>
      <c r="AA177" s="14"/>
      <c r="AB177" s="14"/>
      <c r="AC177" s="15"/>
      <c r="AD177" s="14"/>
      <c r="AE177" s="33"/>
      <c r="AF177" s="98"/>
      <c r="AG177" s="14"/>
      <c r="AH177" s="14"/>
    </row>
    <row r="178" spans="1:34" ht="15" customHeight="1">
      <c r="A178" s="25" t="s">
        <v>23</v>
      </c>
      <c r="B178" s="14"/>
      <c r="C178" s="14"/>
      <c r="D178" s="14"/>
      <c r="E178" s="14"/>
      <c r="F178" s="14"/>
      <c r="G178" s="33"/>
      <c r="H178" s="15"/>
      <c r="I178" s="33"/>
      <c r="J178" s="33"/>
      <c r="K178" s="33"/>
      <c r="L178" s="33"/>
      <c r="M178" s="14"/>
      <c r="N178" s="418"/>
      <c r="O178" s="15"/>
      <c r="P178" s="15"/>
      <c r="Q178" s="418"/>
      <c r="R178" s="418"/>
      <c r="S178" s="418"/>
      <c r="U178" s="418">
        <v>360</v>
      </c>
      <c r="V178" s="15"/>
      <c r="W178" s="418">
        <v>360</v>
      </c>
      <c r="Y178" s="14"/>
      <c r="Z178" s="14"/>
      <c r="AA178" s="14"/>
      <c r="AB178" s="14"/>
      <c r="AC178" s="15"/>
      <c r="AD178" s="14"/>
      <c r="AE178" s="33"/>
      <c r="AF178" s="98"/>
      <c r="AG178" s="14"/>
      <c r="AH178" s="14"/>
    </row>
    <row r="179" spans="1:34" ht="15" customHeight="1">
      <c r="A179" s="28" t="s">
        <v>24</v>
      </c>
      <c r="B179" s="14"/>
      <c r="C179" s="14"/>
      <c r="D179" s="14"/>
      <c r="E179" s="14"/>
      <c r="F179" s="14"/>
      <c r="G179" s="33"/>
      <c r="H179" s="15"/>
      <c r="I179" s="33"/>
      <c r="J179" s="33"/>
      <c r="K179" s="33"/>
      <c r="L179" s="33"/>
      <c r="M179" s="14"/>
      <c r="O179" s="15"/>
      <c r="P179" s="15"/>
      <c r="V179" s="15"/>
      <c r="Y179" s="14"/>
      <c r="Z179" s="14"/>
      <c r="AA179" s="14"/>
      <c r="AB179" s="14"/>
      <c r="AC179" s="15"/>
      <c r="AD179" s="14"/>
      <c r="AE179" s="33"/>
      <c r="AF179" s="98"/>
      <c r="AG179" s="14"/>
      <c r="AH179" s="14"/>
    </row>
    <row r="180" spans="1:34" ht="15" customHeight="1">
      <c r="A180" s="31" t="s">
        <v>25</v>
      </c>
      <c r="B180" s="14"/>
      <c r="C180" s="14"/>
      <c r="D180" s="14"/>
      <c r="E180" s="14"/>
      <c r="F180" s="14"/>
      <c r="G180" s="33"/>
      <c r="H180" s="15"/>
      <c r="I180" s="33"/>
      <c r="J180" s="33"/>
      <c r="K180" s="33"/>
      <c r="L180" s="33"/>
      <c r="M180" s="14"/>
      <c r="N180" s="32"/>
      <c r="O180" s="15"/>
      <c r="P180" s="15"/>
      <c r="Q180" s="32"/>
      <c r="R180" s="32"/>
      <c r="S180" s="32"/>
      <c r="U180" s="32">
        <v>43597</v>
      </c>
      <c r="V180" s="15"/>
      <c r="W180" s="32">
        <v>43597</v>
      </c>
      <c r="Y180" s="14"/>
      <c r="Z180" s="14"/>
      <c r="AA180" s="14"/>
      <c r="AB180" s="14"/>
      <c r="AC180" s="15"/>
      <c r="AD180" s="14"/>
      <c r="AE180" s="33"/>
      <c r="AF180" s="98"/>
      <c r="AG180" s="14"/>
      <c r="AH180" s="14"/>
    </row>
    <row r="181" spans="1:34" ht="15.75" thickBot="1">
      <c r="A181" s="12" t="s">
        <v>27</v>
      </c>
      <c r="B181" s="14"/>
      <c r="C181" s="14"/>
      <c r="D181" s="14"/>
      <c r="E181" s="14"/>
      <c r="F181" s="14"/>
      <c r="G181" s="35"/>
      <c r="H181" s="34"/>
      <c r="I181" s="35"/>
      <c r="J181" s="35"/>
      <c r="K181" s="35"/>
      <c r="L181" s="35"/>
      <c r="M181" s="14"/>
      <c r="N181" s="14"/>
      <c r="O181" s="34"/>
      <c r="P181" s="34"/>
      <c r="Q181" s="14"/>
      <c r="R181" s="14"/>
      <c r="S181" s="14"/>
      <c r="U181" s="31" t="s">
        <v>28</v>
      </c>
      <c r="V181" s="34"/>
      <c r="W181" s="31" t="s">
        <v>28</v>
      </c>
      <c r="Y181" s="14"/>
      <c r="Z181" s="14"/>
      <c r="AA181" s="14"/>
      <c r="AB181" s="14"/>
      <c r="AC181" s="34"/>
      <c r="AD181" s="14"/>
      <c r="AE181" s="35"/>
      <c r="AF181" s="99"/>
      <c r="AG181" s="14"/>
      <c r="AH181" s="14"/>
    </row>
    <row r="182" spans="1:34" ht="16.5" customHeight="1" thickBot="1">
      <c r="A182" s="445" t="s">
        <v>36</v>
      </c>
      <c r="B182" s="37">
        <f t="shared" ref="B182:AD182" si="9">+B178+B164+B150+B136</f>
        <v>0</v>
      </c>
      <c r="C182" s="37" t="e">
        <f>+C178+C164+C150+#REF!</f>
        <v>#REF!</v>
      </c>
      <c r="D182" s="37">
        <f t="shared" si="9"/>
        <v>0</v>
      </c>
      <c r="E182" s="37" t="e">
        <f>+E178+E164+E150+#REF!</f>
        <v>#REF!</v>
      </c>
      <c r="F182" s="37" t="e">
        <f>+F178+F164+F150+#REF!</f>
        <v>#REF!</v>
      </c>
      <c r="G182" s="37">
        <f t="shared" si="9"/>
        <v>1404</v>
      </c>
      <c r="H182" s="37">
        <f t="shared" si="9"/>
        <v>0</v>
      </c>
      <c r="I182" s="37">
        <f t="shared" si="9"/>
        <v>1980</v>
      </c>
      <c r="J182" s="37">
        <f t="shared" si="9"/>
        <v>5256</v>
      </c>
      <c r="K182" s="37">
        <f t="shared" si="9"/>
        <v>0</v>
      </c>
      <c r="L182" s="37">
        <f t="shared" si="9"/>
        <v>0</v>
      </c>
      <c r="M182" s="37">
        <f t="shared" si="9"/>
        <v>0</v>
      </c>
      <c r="N182" s="37">
        <f t="shared" si="9"/>
        <v>1236</v>
      </c>
      <c r="O182" s="37">
        <f t="shared" si="9"/>
        <v>0</v>
      </c>
      <c r="P182" s="37">
        <f t="shared" si="9"/>
        <v>0</v>
      </c>
      <c r="Q182" s="37">
        <f t="shared" si="9"/>
        <v>5868</v>
      </c>
      <c r="R182" s="37">
        <f t="shared" si="9"/>
        <v>0</v>
      </c>
      <c r="S182" s="37">
        <f t="shared" si="9"/>
        <v>0</v>
      </c>
      <c r="T182" s="37">
        <f t="shared" si="9"/>
        <v>360</v>
      </c>
      <c r="U182" s="37">
        <f t="shared" si="9"/>
        <v>1524</v>
      </c>
      <c r="V182" s="37">
        <f t="shared" si="9"/>
        <v>0</v>
      </c>
      <c r="W182" s="37">
        <f t="shared" si="9"/>
        <v>1716</v>
      </c>
      <c r="X182" s="37">
        <f t="shared" si="9"/>
        <v>2040</v>
      </c>
      <c r="Y182" s="37">
        <f t="shared" si="9"/>
        <v>1800</v>
      </c>
      <c r="Z182" s="37">
        <f t="shared" si="9"/>
        <v>1596</v>
      </c>
      <c r="AA182" s="37">
        <f t="shared" si="9"/>
        <v>1716</v>
      </c>
      <c r="AB182" s="37">
        <f t="shared" si="9"/>
        <v>4584</v>
      </c>
      <c r="AC182" s="37">
        <f t="shared" si="9"/>
        <v>0</v>
      </c>
      <c r="AD182" s="37">
        <f t="shared" si="9"/>
        <v>0</v>
      </c>
      <c r="AE182" s="37">
        <f>+AE178+AE164+AE150+AE136</f>
        <v>0</v>
      </c>
      <c r="AF182" s="38"/>
      <c r="AG182" s="14"/>
      <c r="AH182" s="14"/>
    </row>
    <row r="183" spans="1:34" ht="16.5" customHeight="1" thickTop="1" thickBot="1">
      <c r="A183" s="445" t="s">
        <v>37</v>
      </c>
      <c r="B183" s="40">
        <f t="shared" ref="B183:AE183" si="10">+B184*B5</f>
        <v>1615</v>
      </c>
      <c r="C183" s="40">
        <f t="shared" si="10"/>
        <v>1615</v>
      </c>
      <c r="D183" s="40">
        <f t="shared" si="10"/>
        <v>1615</v>
      </c>
      <c r="E183" s="40">
        <f t="shared" si="10"/>
        <v>1615</v>
      </c>
      <c r="F183" s="40">
        <f t="shared" si="10"/>
        <v>1615</v>
      </c>
      <c r="G183" s="40">
        <f t="shared" si="10"/>
        <v>1360</v>
      </c>
      <c r="H183" s="39">
        <f t="shared" si="10"/>
        <v>0</v>
      </c>
      <c r="I183" s="40">
        <f t="shared" si="10"/>
        <v>1615</v>
      </c>
      <c r="J183" s="40">
        <f t="shared" si="10"/>
        <v>1615</v>
      </c>
      <c r="K183" s="40">
        <f t="shared" si="10"/>
        <v>1615</v>
      </c>
      <c r="L183" s="40">
        <f t="shared" si="10"/>
        <v>1615</v>
      </c>
      <c r="M183" s="40">
        <f t="shared" si="10"/>
        <v>1615</v>
      </c>
      <c r="N183" s="40">
        <f t="shared" si="10"/>
        <v>1360</v>
      </c>
      <c r="O183" s="39">
        <f t="shared" si="10"/>
        <v>0</v>
      </c>
      <c r="P183" s="39">
        <f t="shared" si="10"/>
        <v>0</v>
      </c>
      <c r="Q183" s="40">
        <f t="shared" si="10"/>
        <v>1615</v>
      </c>
      <c r="R183" s="40">
        <f t="shared" si="10"/>
        <v>1615</v>
      </c>
      <c r="S183" s="40">
        <f t="shared" si="10"/>
        <v>1615</v>
      </c>
      <c r="T183" s="40">
        <f t="shared" si="10"/>
        <v>1615</v>
      </c>
      <c r="U183" s="40">
        <f t="shared" si="10"/>
        <v>1360</v>
      </c>
      <c r="V183" s="39">
        <f t="shared" si="10"/>
        <v>0</v>
      </c>
      <c r="W183" s="40">
        <f t="shared" si="10"/>
        <v>1615</v>
      </c>
      <c r="X183" s="40">
        <f t="shared" si="10"/>
        <v>1615</v>
      </c>
      <c r="Y183" s="40">
        <f t="shared" si="10"/>
        <v>1615</v>
      </c>
      <c r="Z183" s="40">
        <f t="shared" si="10"/>
        <v>1615</v>
      </c>
      <c r="AA183" s="40">
        <f t="shared" si="10"/>
        <v>1615</v>
      </c>
      <c r="AB183" s="40">
        <f t="shared" si="10"/>
        <v>1360</v>
      </c>
      <c r="AC183" s="39">
        <f t="shared" si="10"/>
        <v>0</v>
      </c>
      <c r="AD183" s="40">
        <f t="shared" si="10"/>
        <v>1360</v>
      </c>
      <c r="AE183" s="39">
        <f t="shared" si="10"/>
        <v>0</v>
      </c>
      <c r="AF183" s="41">
        <f>SUM(B183:AE183)</f>
        <v>37485</v>
      </c>
      <c r="AG183" s="14"/>
      <c r="AH183" s="14"/>
    </row>
    <row r="184" spans="1:34" ht="16.5" customHeight="1" thickTop="1" thickBot="1">
      <c r="A184" s="445" t="s">
        <v>38</v>
      </c>
      <c r="B184" s="43">
        <v>170</v>
      </c>
      <c r="C184" s="43">
        <v>170</v>
      </c>
      <c r="D184" s="43">
        <v>170</v>
      </c>
      <c r="E184" s="43">
        <v>170</v>
      </c>
      <c r="F184" s="43">
        <v>170</v>
      </c>
      <c r="G184" s="43">
        <v>170</v>
      </c>
      <c r="H184" s="42"/>
      <c r="I184" s="43">
        <v>170</v>
      </c>
      <c r="J184" s="43">
        <v>170</v>
      </c>
      <c r="K184" s="43">
        <v>170</v>
      </c>
      <c r="L184" s="43">
        <v>170</v>
      </c>
      <c r="M184" s="43">
        <v>170</v>
      </c>
      <c r="N184" s="43">
        <v>170</v>
      </c>
      <c r="O184" s="42"/>
      <c r="P184" s="42"/>
      <c r="Q184" s="43">
        <v>170</v>
      </c>
      <c r="R184" s="43">
        <v>170</v>
      </c>
      <c r="S184" s="43">
        <v>170</v>
      </c>
      <c r="T184" s="43">
        <v>170</v>
      </c>
      <c r="U184" s="43">
        <v>170</v>
      </c>
      <c r="V184" s="42"/>
      <c r="W184" s="43">
        <v>170</v>
      </c>
      <c r="X184" s="43">
        <v>170</v>
      </c>
      <c r="Y184" s="43">
        <v>170</v>
      </c>
      <c r="Z184" s="43">
        <v>170</v>
      </c>
      <c r="AA184" s="43">
        <v>170</v>
      </c>
      <c r="AB184" s="43">
        <v>170</v>
      </c>
      <c r="AC184" s="42"/>
      <c r="AD184" s="43">
        <v>170</v>
      </c>
      <c r="AE184" s="42"/>
      <c r="AF184" s="44"/>
      <c r="AG184" s="14"/>
      <c r="AH184" s="14"/>
    </row>
    <row r="185" spans="1:34" ht="16.5" customHeight="1" thickTop="1" thickBot="1">
      <c r="A185" s="45">
        <f>+'T03'!AE185</f>
        <v>2482</v>
      </c>
      <c r="B185" s="40">
        <f t="shared" ref="B185:AF185" si="11">IF(A185+B182-B183&lt;0,0,A185+B182-B183)</f>
        <v>867</v>
      </c>
      <c r="C185" s="40" t="e">
        <f t="shared" si="11"/>
        <v>#REF!</v>
      </c>
      <c r="D185" s="40" t="e">
        <f t="shared" si="11"/>
        <v>#REF!</v>
      </c>
      <c r="E185" s="40" t="e">
        <f t="shared" si="11"/>
        <v>#REF!</v>
      </c>
      <c r="F185" s="40" t="e">
        <f t="shared" si="11"/>
        <v>#REF!</v>
      </c>
      <c r="G185" s="40" t="e">
        <f t="shared" si="11"/>
        <v>#REF!</v>
      </c>
      <c r="H185" s="39" t="e">
        <f t="shared" si="11"/>
        <v>#REF!</v>
      </c>
      <c r="I185" s="40" t="e">
        <f t="shared" si="11"/>
        <v>#REF!</v>
      </c>
      <c r="J185" s="40" t="e">
        <f t="shared" si="11"/>
        <v>#REF!</v>
      </c>
      <c r="K185" s="40" t="e">
        <f t="shared" si="11"/>
        <v>#REF!</v>
      </c>
      <c r="L185" s="40" t="e">
        <f t="shared" si="11"/>
        <v>#REF!</v>
      </c>
      <c r="M185" s="40" t="e">
        <f t="shared" si="11"/>
        <v>#REF!</v>
      </c>
      <c r="N185" s="40" t="e">
        <f t="shared" si="11"/>
        <v>#REF!</v>
      </c>
      <c r="O185" s="39" t="e">
        <f t="shared" si="11"/>
        <v>#REF!</v>
      </c>
      <c r="P185" s="39" t="e">
        <f t="shared" si="11"/>
        <v>#REF!</v>
      </c>
      <c r="Q185" s="40" t="e">
        <f t="shared" si="11"/>
        <v>#REF!</v>
      </c>
      <c r="R185" s="40" t="e">
        <f t="shared" si="11"/>
        <v>#REF!</v>
      </c>
      <c r="S185" s="40" t="e">
        <f t="shared" si="11"/>
        <v>#REF!</v>
      </c>
      <c r="T185" s="40" t="e">
        <f t="shared" si="11"/>
        <v>#REF!</v>
      </c>
      <c r="U185" s="40" t="e">
        <f t="shared" si="11"/>
        <v>#REF!</v>
      </c>
      <c r="V185" s="39" t="e">
        <f t="shared" si="11"/>
        <v>#REF!</v>
      </c>
      <c r="W185" s="40" t="e">
        <f t="shared" si="11"/>
        <v>#REF!</v>
      </c>
      <c r="X185" s="40" t="e">
        <f t="shared" si="11"/>
        <v>#REF!</v>
      </c>
      <c r="Y185" s="40" t="e">
        <f t="shared" si="11"/>
        <v>#REF!</v>
      </c>
      <c r="Z185" s="40" t="e">
        <f t="shared" si="11"/>
        <v>#REF!</v>
      </c>
      <c r="AA185" s="40" t="e">
        <f t="shared" si="11"/>
        <v>#REF!</v>
      </c>
      <c r="AB185" s="40" t="e">
        <f t="shared" si="11"/>
        <v>#REF!</v>
      </c>
      <c r="AC185" s="39" t="e">
        <f t="shared" si="11"/>
        <v>#REF!</v>
      </c>
      <c r="AD185" s="40" t="e">
        <f t="shared" si="11"/>
        <v>#REF!</v>
      </c>
      <c r="AE185" s="39" t="e">
        <f t="shared" si="11"/>
        <v>#REF!</v>
      </c>
      <c r="AF185" s="47" t="e">
        <f t="shared" si="11"/>
        <v>#REF!</v>
      </c>
      <c r="AG185" s="14"/>
      <c r="AH185" s="14"/>
    </row>
    <row r="186" spans="1:34" ht="15" customHeight="1">
      <c r="A186" s="12" t="s">
        <v>10</v>
      </c>
      <c r="B186" s="418" t="s">
        <v>746</v>
      </c>
      <c r="C186" s="418" t="s">
        <v>746</v>
      </c>
      <c r="D186" s="418" t="s">
        <v>754</v>
      </c>
      <c r="E186" s="418" t="s">
        <v>750</v>
      </c>
      <c r="G186" s="418" t="s">
        <v>754</v>
      </c>
      <c r="H186" s="48"/>
      <c r="I186" s="418" t="s">
        <v>754</v>
      </c>
      <c r="K186" s="418" t="s">
        <v>39</v>
      </c>
      <c r="N186" s="418" t="s">
        <v>39</v>
      </c>
      <c r="O186" s="48"/>
      <c r="P186" s="48"/>
      <c r="Q186" s="418" t="s">
        <v>39</v>
      </c>
      <c r="S186" s="418" t="s">
        <v>39</v>
      </c>
      <c r="U186" s="418" t="s">
        <v>39</v>
      </c>
      <c r="V186" s="48"/>
      <c r="X186" s="418" t="s">
        <v>741</v>
      </c>
      <c r="Y186" s="418" t="s">
        <v>741</v>
      </c>
      <c r="Z186" s="418" t="s">
        <v>741</v>
      </c>
      <c r="AA186" s="418" t="s">
        <v>741</v>
      </c>
      <c r="AC186" s="48"/>
      <c r="AD186" s="14"/>
      <c r="AE186" s="48"/>
      <c r="AF186" s="97"/>
      <c r="AG186" s="14"/>
      <c r="AH186" s="14"/>
    </row>
    <row r="187" spans="1:34" ht="15" customHeight="1">
      <c r="A187" s="443" t="s">
        <v>11</v>
      </c>
      <c r="B187" s="93" t="s">
        <v>967</v>
      </c>
      <c r="C187" s="93" t="s">
        <v>972</v>
      </c>
      <c r="D187" s="93" t="s">
        <v>973</v>
      </c>
      <c r="E187" s="93" t="s">
        <v>979</v>
      </c>
      <c r="G187" s="93" t="s">
        <v>978</v>
      </c>
      <c r="H187" s="15"/>
      <c r="I187" s="93" t="s">
        <v>977</v>
      </c>
      <c r="K187" s="93" t="s">
        <v>955</v>
      </c>
      <c r="N187" s="93" t="s">
        <v>961</v>
      </c>
      <c r="O187" s="15"/>
      <c r="P187" s="15"/>
      <c r="Q187" s="93" t="s">
        <v>960</v>
      </c>
      <c r="S187" s="93" t="s">
        <v>962</v>
      </c>
      <c r="U187" s="93" t="s">
        <v>963</v>
      </c>
      <c r="V187" s="15"/>
      <c r="X187" s="93" t="s">
        <v>983</v>
      </c>
      <c r="Y187" s="93" t="s">
        <v>982</v>
      </c>
      <c r="Z187" s="93" t="s">
        <v>986</v>
      </c>
      <c r="AA187" s="93" t="s">
        <v>987</v>
      </c>
      <c r="AC187" s="15"/>
      <c r="AD187" s="14"/>
      <c r="AE187" s="15"/>
      <c r="AF187" s="98"/>
      <c r="AG187" s="14"/>
      <c r="AH187" s="14"/>
    </row>
    <row r="188" spans="1:34" ht="15" customHeight="1">
      <c r="A188" s="16" t="s">
        <v>12</v>
      </c>
      <c r="B188" s="418"/>
      <c r="C188" s="418"/>
      <c r="D188" s="418"/>
      <c r="E188" s="418"/>
      <c r="G188" s="418"/>
      <c r="H188" s="15"/>
      <c r="I188" s="418"/>
      <c r="K188" s="418"/>
      <c r="N188" s="418"/>
      <c r="O188" s="15"/>
      <c r="P188" s="15"/>
      <c r="Q188" s="418"/>
      <c r="S188" s="418"/>
      <c r="U188" s="418"/>
      <c r="V188" s="15"/>
      <c r="X188" s="418"/>
      <c r="Y188" s="418"/>
      <c r="Z188" s="418"/>
      <c r="AA188" s="418"/>
      <c r="AC188" s="15"/>
      <c r="AD188" s="14"/>
      <c r="AE188" s="15"/>
      <c r="AF188" s="98"/>
      <c r="AG188" s="14"/>
      <c r="AH188" s="14"/>
    </row>
    <row r="189" spans="1:34" ht="15" customHeight="1">
      <c r="A189" s="18" t="s">
        <v>13</v>
      </c>
      <c r="B189" s="19" t="s">
        <v>1006</v>
      </c>
      <c r="C189" s="19" t="s">
        <v>1006</v>
      </c>
      <c r="D189" s="19" t="s">
        <v>1006</v>
      </c>
      <c r="E189" s="19" t="s">
        <v>14</v>
      </c>
      <c r="G189" s="19" t="s">
        <v>1006</v>
      </c>
      <c r="H189" s="15"/>
      <c r="I189" s="19" t="s">
        <v>1006</v>
      </c>
      <c r="K189" s="19" t="s">
        <v>95</v>
      </c>
      <c r="N189" s="19" t="s">
        <v>95</v>
      </c>
      <c r="O189" s="15"/>
      <c r="P189" s="15"/>
      <c r="Q189" s="19" t="s">
        <v>95</v>
      </c>
      <c r="S189" s="19" t="s">
        <v>14</v>
      </c>
      <c r="U189" s="19" t="s">
        <v>14</v>
      </c>
      <c r="V189" s="15"/>
      <c r="X189" s="19" t="s">
        <v>710</v>
      </c>
      <c r="Y189" s="19" t="s">
        <v>710</v>
      </c>
      <c r="Z189" s="19" t="s">
        <v>710</v>
      </c>
      <c r="AA189" s="19" t="s">
        <v>1004</v>
      </c>
      <c r="AC189" s="15"/>
      <c r="AD189" s="14"/>
      <c r="AE189" s="15"/>
      <c r="AF189" s="98"/>
      <c r="AG189" s="14"/>
      <c r="AH189" s="14"/>
    </row>
    <row r="190" spans="1:34" ht="15" customHeight="1">
      <c r="A190" s="20" t="s">
        <v>15</v>
      </c>
      <c r="B190" s="418" t="s">
        <v>16</v>
      </c>
      <c r="C190" s="418" t="s">
        <v>16</v>
      </c>
      <c r="D190" s="418" t="s">
        <v>68</v>
      </c>
      <c r="E190" s="418" t="s">
        <v>71</v>
      </c>
      <c r="G190" s="418" t="s">
        <v>68</v>
      </c>
      <c r="H190" s="15"/>
      <c r="I190" s="418" t="s">
        <v>68</v>
      </c>
      <c r="K190" s="418" t="s">
        <v>71</v>
      </c>
      <c r="N190" s="418" t="s">
        <v>71</v>
      </c>
      <c r="O190" s="15"/>
      <c r="P190" s="15"/>
      <c r="Q190" s="418" t="s">
        <v>71</v>
      </c>
      <c r="S190" s="418" t="s">
        <v>71</v>
      </c>
      <c r="U190" s="418" t="s">
        <v>67</v>
      </c>
      <c r="V190" s="15"/>
      <c r="X190" s="418" t="s">
        <v>67</v>
      </c>
      <c r="Y190" s="418" t="s">
        <v>67</v>
      </c>
      <c r="Z190" s="418" t="s">
        <v>67</v>
      </c>
      <c r="AA190" s="418" t="s">
        <v>67</v>
      </c>
      <c r="AC190" s="15"/>
      <c r="AD190" s="14"/>
      <c r="AE190" s="15"/>
      <c r="AF190" s="98"/>
      <c r="AG190" s="14"/>
      <c r="AH190" s="14"/>
    </row>
    <row r="191" spans="1:34" ht="15" customHeight="1">
      <c r="A191" s="444" t="s">
        <v>17</v>
      </c>
      <c r="B191" s="391" t="s">
        <v>1000</v>
      </c>
      <c r="C191" s="391" t="s">
        <v>1000</v>
      </c>
      <c r="D191" s="391" t="s">
        <v>1000</v>
      </c>
      <c r="E191" s="391" t="s">
        <v>1000</v>
      </c>
      <c r="G191" s="391" t="s">
        <v>1000</v>
      </c>
      <c r="H191" s="15"/>
      <c r="I191" s="391" t="s">
        <v>1000</v>
      </c>
      <c r="K191" s="391" t="s">
        <v>1000</v>
      </c>
      <c r="N191" s="391" t="s">
        <v>1000</v>
      </c>
      <c r="O191" s="15"/>
      <c r="P191" s="15"/>
      <c r="Q191" s="391" t="s">
        <v>1000</v>
      </c>
      <c r="S191" s="391" t="s">
        <v>1000</v>
      </c>
      <c r="U191" s="391" t="s">
        <v>1000</v>
      </c>
      <c r="V191" s="15"/>
      <c r="X191" s="391" t="s">
        <v>1000</v>
      </c>
      <c r="Y191" s="391" t="s">
        <v>1000</v>
      </c>
      <c r="Z191" s="391" t="s">
        <v>1000</v>
      </c>
      <c r="AA191" s="391" t="s">
        <v>1000</v>
      </c>
      <c r="AC191" s="15"/>
      <c r="AD191" s="14"/>
      <c r="AE191" s="15"/>
      <c r="AF191" s="98"/>
      <c r="AG191" s="14"/>
      <c r="AH191" s="14"/>
    </row>
    <row r="192" spans="1:34" ht="15" customHeight="1">
      <c r="A192" s="22" t="s">
        <v>18</v>
      </c>
      <c r="B192" s="23"/>
      <c r="C192" s="23"/>
      <c r="D192" s="23"/>
      <c r="E192" s="23"/>
      <c r="G192" s="23"/>
      <c r="H192" s="15"/>
      <c r="I192" s="23"/>
      <c r="K192" s="23"/>
      <c r="N192" s="23"/>
      <c r="O192" s="15"/>
      <c r="P192" s="15"/>
      <c r="Q192" s="23"/>
      <c r="S192" s="23"/>
      <c r="U192" s="23"/>
      <c r="V192" s="15"/>
      <c r="X192" s="23"/>
      <c r="Y192" s="23"/>
      <c r="Z192" s="23"/>
      <c r="AA192" s="23"/>
      <c r="AC192" s="15"/>
      <c r="AD192" s="14"/>
      <c r="AE192" s="15"/>
      <c r="AF192" s="98"/>
      <c r="AG192" s="14"/>
      <c r="AH192" s="14"/>
    </row>
    <row r="193" spans="1:34" ht="15" customHeight="1">
      <c r="A193" s="12" t="s">
        <v>20</v>
      </c>
      <c r="H193" s="15"/>
      <c r="O193" s="15"/>
      <c r="P193" s="15"/>
      <c r="V193" s="15"/>
      <c r="AC193" s="15"/>
      <c r="AD193" s="14"/>
      <c r="AE193" s="15"/>
      <c r="AF193" s="98"/>
      <c r="AG193" s="14"/>
      <c r="AH193" s="14"/>
    </row>
    <row r="194" spans="1:34" ht="15" customHeight="1">
      <c r="A194" s="25" t="s">
        <v>21</v>
      </c>
      <c r="B194" s="418" t="s">
        <v>745</v>
      </c>
      <c r="C194" s="418" t="s">
        <v>747</v>
      </c>
      <c r="D194" s="418" t="s">
        <v>755</v>
      </c>
      <c r="E194" s="418" t="s">
        <v>749</v>
      </c>
      <c r="G194" s="418" t="s">
        <v>752</v>
      </c>
      <c r="H194" s="15"/>
      <c r="I194" s="418" t="s">
        <v>751</v>
      </c>
      <c r="K194" s="418" t="s">
        <v>43</v>
      </c>
      <c r="N194" s="418" t="s">
        <v>43</v>
      </c>
      <c r="O194" s="15"/>
      <c r="P194" s="15"/>
      <c r="Q194" s="418" t="s">
        <v>43</v>
      </c>
      <c r="S194" s="418" t="s">
        <v>738</v>
      </c>
      <c r="U194" s="418" t="s">
        <v>739</v>
      </c>
      <c r="V194" s="15"/>
      <c r="X194" s="418" t="s">
        <v>740</v>
      </c>
      <c r="Y194" s="418" t="s">
        <v>740</v>
      </c>
      <c r="Z194" s="418" t="s">
        <v>756</v>
      </c>
      <c r="AA194" s="418" t="s">
        <v>758</v>
      </c>
      <c r="AC194" s="15"/>
      <c r="AD194" s="14"/>
      <c r="AE194" s="15"/>
      <c r="AF194" s="98"/>
      <c r="AG194" s="14"/>
      <c r="AH194" s="14"/>
    </row>
    <row r="195" spans="1:34" ht="15" customHeight="1">
      <c r="A195" s="26" t="s">
        <v>22</v>
      </c>
      <c r="B195" s="27"/>
      <c r="C195" s="27"/>
      <c r="D195" s="27"/>
      <c r="E195" s="27"/>
      <c r="G195" s="27"/>
      <c r="H195" s="15"/>
      <c r="I195" s="27"/>
      <c r="K195" s="27"/>
      <c r="N195" s="27"/>
      <c r="O195" s="15"/>
      <c r="P195" s="15"/>
      <c r="Q195" s="27"/>
      <c r="S195" s="27"/>
      <c r="U195" s="27"/>
      <c r="V195" s="15"/>
      <c r="X195" s="27"/>
      <c r="Y195" s="27"/>
      <c r="Z195" s="27"/>
      <c r="AA195" s="27"/>
      <c r="AC195" s="15"/>
      <c r="AD195" s="14"/>
      <c r="AE195" s="15"/>
      <c r="AF195" s="98"/>
      <c r="AG195" s="14"/>
      <c r="AH195" s="14"/>
    </row>
    <row r="196" spans="1:34" ht="15" customHeight="1">
      <c r="A196" s="25" t="s">
        <v>23</v>
      </c>
      <c r="B196" s="418">
        <v>1800</v>
      </c>
      <c r="C196" s="418">
        <v>180</v>
      </c>
      <c r="D196" s="418">
        <v>2172</v>
      </c>
      <c r="E196" s="418">
        <v>3756</v>
      </c>
      <c r="G196" s="418">
        <v>1800</v>
      </c>
      <c r="H196" s="15"/>
      <c r="I196" s="418">
        <v>144</v>
      </c>
      <c r="K196" s="418">
        <v>4368</v>
      </c>
      <c r="N196" s="418">
        <v>204</v>
      </c>
      <c r="O196" s="15"/>
      <c r="P196" s="15"/>
      <c r="Q196" s="418">
        <v>420</v>
      </c>
      <c r="S196" s="418">
        <v>2748</v>
      </c>
      <c r="U196" s="418">
        <v>3228</v>
      </c>
      <c r="V196" s="15"/>
      <c r="X196" s="418">
        <v>1848</v>
      </c>
      <c r="Y196" s="418">
        <v>252</v>
      </c>
      <c r="Z196" s="418">
        <v>252</v>
      </c>
      <c r="AA196" s="418">
        <v>1800</v>
      </c>
      <c r="AC196" s="15"/>
      <c r="AD196" s="14"/>
      <c r="AE196" s="15"/>
      <c r="AF196" s="98"/>
      <c r="AG196" s="14"/>
      <c r="AH196" s="14"/>
    </row>
    <row r="197" spans="1:34" ht="15" customHeight="1">
      <c r="A197" s="28" t="s">
        <v>24</v>
      </c>
      <c r="H197" s="15"/>
      <c r="O197" s="15"/>
      <c r="P197" s="15"/>
      <c r="V197" s="15"/>
      <c r="AC197" s="15"/>
      <c r="AD197" s="14"/>
      <c r="AE197" s="15"/>
      <c r="AF197" s="98"/>
      <c r="AG197" s="14"/>
      <c r="AH197" s="14"/>
    </row>
    <row r="198" spans="1:34" ht="15" customHeight="1">
      <c r="A198" s="31" t="s">
        <v>25</v>
      </c>
      <c r="B198" s="32">
        <v>43594</v>
      </c>
      <c r="C198" s="32">
        <v>43586</v>
      </c>
      <c r="D198" s="32">
        <v>43594</v>
      </c>
      <c r="E198" s="32">
        <v>43588</v>
      </c>
      <c r="G198" s="32">
        <v>43594</v>
      </c>
      <c r="H198" s="15"/>
      <c r="I198" s="32">
        <v>43586</v>
      </c>
      <c r="K198" s="32">
        <v>43574</v>
      </c>
      <c r="N198" s="32">
        <v>43581</v>
      </c>
      <c r="O198" s="15"/>
      <c r="P198" s="15"/>
      <c r="Q198" s="32">
        <v>43593</v>
      </c>
      <c r="S198" s="32">
        <v>43593</v>
      </c>
      <c r="U198" s="32">
        <v>43588</v>
      </c>
      <c r="V198" s="15"/>
      <c r="X198" s="32">
        <v>43593</v>
      </c>
      <c r="Y198" s="32">
        <v>43596</v>
      </c>
      <c r="Z198" s="32">
        <v>43596</v>
      </c>
      <c r="AA198" s="32">
        <v>43593</v>
      </c>
      <c r="AC198" s="15"/>
      <c r="AD198" s="14"/>
      <c r="AE198" s="15"/>
      <c r="AF198" s="98"/>
      <c r="AG198" s="14"/>
      <c r="AH198" s="14"/>
    </row>
    <row r="199" spans="1:34" ht="15" customHeight="1">
      <c r="A199" s="12" t="s">
        <v>27</v>
      </c>
      <c r="B199" s="31" t="s">
        <v>28</v>
      </c>
      <c r="C199" s="31" t="s">
        <v>31</v>
      </c>
      <c r="D199" s="31" t="s">
        <v>28</v>
      </c>
      <c r="E199" s="31" t="s">
        <v>28</v>
      </c>
      <c r="G199" s="31" t="s">
        <v>28</v>
      </c>
      <c r="H199" s="15"/>
      <c r="I199" s="31" t="s">
        <v>31</v>
      </c>
      <c r="K199" s="31" t="s">
        <v>28</v>
      </c>
      <c r="N199" s="31" t="s">
        <v>28</v>
      </c>
      <c r="O199" s="15"/>
      <c r="P199" s="15"/>
      <c r="Q199" s="31" t="s">
        <v>30</v>
      </c>
      <c r="S199" s="31" t="s">
        <v>28</v>
      </c>
      <c r="U199" s="31" t="s">
        <v>28</v>
      </c>
      <c r="V199" s="15"/>
      <c r="W199" s="14"/>
      <c r="X199" s="31" t="s">
        <v>28</v>
      </c>
      <c r="Y199" s="31" t="s">
        <v>28</v>
      </c>
      <c r="Z199" s="31" t="s">
        <v>28</v>
      </c>
      <c r="AA199" s="31" t="s">
        <v>28</v>
      </c>
      <c r="AB199" s="14"/>
      <c r="AC199" s="15"/>
      <c r="AD199" s="14"/>
      <c r="AE199" s="15"/>
      <c r="AF199" s="98"/>
      <c r="AG199" s="14"/>
      <c r="AH199" s="14"/>
    </row>
    <row r="200" spans="1:34" ht="15" customHeight="1">
      <c r="A200" s="12" t="s">
        <v>10</v>
      </c>
      <c r="B200" s="418"/>
      <c r="C200" s="418" t="s">
        <v>754</v>
      </c>
      <c r="D200" s="418"/>
      <c r="H200" s="15"/>
      <c r="I200" s="418" t="s">
        <v>754</v>
      </c>
      <c r="N200" s="418" t="s">
        <v>39</v>
      </c>
      <c r="O200" s="15"/>
      <c r="P200" s="15"/>
      <c r="Q200" s="418" t="s">
        <v>39</v>
      </c>
      <c r="T200" s="12"/>
      <c r="U200" s="14"/>
      <c r="V200" s="15"/>
      <c r="W200" s="14"/>
      <c r="Y200" s="418" t="s">
        <v>741</v>
      </c>
      <c r="Z200" s="418" t="s">
        <v>741</v>
      </c>
      <c r="AA200" s="103"/>
      <c r="AB200" s="14"/>
      <c r="AC200" s="15"/>
      <c r="AD200" s="14"/>
      <c r="AE200" s="15"/>
      <c r="AF200" s="98"/>
      <c r="AG200" s="14"/>
      <c r="AH200" s="14"/>
    </row>
    <row r="201" spans="1:34" ht="15" customHeight="1">
      <c r="A201" s="443" t="s">
        <v>11</v>
      </c>
      <c r="B201" s="93"/>
      <c r="C201" s="93" t="s">
        <v>975</v>
      </c>
      <c r="D201" s="93"/>
      <c r="H201" s="15"/>
      <c r="I201" s="93" t="s">
        <v>976</v>
      </c>
      <c r="N201" s="93" t="s">
        <v>959</v>
      </c>
      <c r="O201" s="15"/>
      <c r="P201" s="15"/>
      <c r="Q201" s="93" t="s">
        <v>958</v>
      </c>
      <c r="T201" s="85"/>
      <c r="U201" s="14"/>
      <c r="V201" s="15"/>
      <c r="W201" s="14"/>
      <c r="Y201" s="93" t="s">
        <v>981</v>
      </c>
      <c r="Z201" s="93" t="s">
        <v>985</v>
      </c>
      <c r="AA201" s="101"/>
      <c r="AB201" s="14"/>
      <c r="AC201" s="15"/>
      <c r="AD201" s="14"/>
      <c r="AE201" s="15"/>
      <c r="AF201" s="98"/>
      <c r="AG201" s="14"/>
      <c r="AH201" s="14"/>
    </row>
    <row r="202" spans="1:34" ht="15" customHeight="1">
      <c r="A202" s="16" t="s">
        <v>12</v>
      </c>
      <c r="B202" s="418"/>
      <c r="C202" s="418"/>
      <c r="D202" s="418"/>
      <c r="H202" s="15"/>
      <c r="I202" s="418"/>
      <c r="N202" s="418"/>
      <c r="O202" s="15"/>
      <c r="P202" s="15"/>
      <c r="Q202" s="418"/>
      <c r="T202" s="16"/>
      <c r="U202" s="14"/>
      <c r="V202" s="15"/>
      <c r="W202" s="14"/>
      <c r="Y202" s="418"/>
      <c r="Z202" s="418"/>
      <c r="AA202" s="103"/>
      <c r="AB202" s="14"/>
      <c r="AC202" s="15"/>
      <c r="AD202" s="14"/>
      <c r="AE202" s="15"/>
      <c r="AF202" s="98"/>
      <c r="AG202" s="14"/>
      <c r="AH202" s="14"/>
    </row>
    <row r="203" spans="1:34" ht="15" customHeight="1">
      <c r="A203" s="18" t="s">
        <v>13</v>
      </c>
      <c r="B203" s="19"/>
      <c r="C203" s="19" t="s">
        <v>1006</v>
      </c>
      <c r="D203" s="19"/>
      <c r="H203" s="15"/>
      <c r="I203" s="19" t="s">
        <v>1006</v>
      </c>
      <c r="N203" s="19" t="s">
        <v>95</v>
      </c>
      <c r="O203" s="15"/>
      <c r="P203" s="15"/>
      <c r="Q203" s="19" t="s">
        <v>14</v>
      </c>
      <c r="T203" s="18"/>
      <c r="U203" s="14"/>
      <c r="V203" s="15"/>
      <c r="W203" s="14"/>
      <c r="Y203" s="19" t="s">
        <v>710</v>
      </c>
      <c r="Z203" s="19" t="s">
        <v>710</v>
      </c>
      <c r="AA203" s="102"/>
      <c r="AB203" s="14"/>
      <c r="AC203" s="15"/>
      <c r="AD203" s="14"/>
      <c r="AE203" s="15"/>
      <c r="AF203" s="98"/>
      <c r="AG203" s="14"/>
      <c r="AH203" s="14"/>
    </row>
    <row r="204" spans="1:34" ht="15" customHeight="1">
      <c r="A204" s="20" t="s">
        <v>15</v>
      </c>
      <c r="B204" s="418"/>
      <c r="C204" s="418" t="s">
        <v>68</v>
      </c>
      <c r="D204" s="418"/>
      <c r="H204" s="15"/>
      <c r="I204" s="418" t="s">
        <v>68</v>
      </c>
      <c r="N204" s="418" t="s">
        <v>71</v>
      </c>
      <c r="O204" s="15"/>
      <c r="P204" s="15"/>
      <c r="Q204" s="418" t="s">
        <v>71</v>
      </c>
      <c r="T204" s="20"/>
      <c r="U204" s="14"/>
      <c r="V204" s="15"/>
      <c r="W204" s="14"/>
      <c r="Y204" s="418" t="s">
        <v>67</v>
      </c>
      <c r="Z204" s="418" t="s">
        <v>67</v>
      </c>
      <c r="AA204" s="103"/>
      <c r="AB204" s="14"/>
      <c r="AC204" s="15"/>
      <c r="AD204" s="14"/>
      <c r="AE204" s="15"/>
      <c r="AF204" s="98"/>
      <c r="AG204" s="14"/>
      <c r="AH204" s="14"/>
    </row>
    <row r="205" spans="1:34" ht="15" customHeight="1">
      <c r="A205" s="444" t="s">
        <v>17</v>
      </c>
      <c r="B205" s="391"/>
      <c r="C205" s="391" t="s">
        <v>1000</v>
      </c>
      <c r="D205" s="391"/>
      <c r="H205" s="15"/>
      <c r="I205" s="391" t="s">
        <v>1000</v>
      </c>
      <c r="N205" s="391" t="s">
        <v>1000</v>
      </c>
      <c r="O205" s="15"/>
      <c r="P205" s="15"/>
      <c r="Q205" s="391" t="s">
        <v>1000</v>
      </c>
      <c r="T205" s="86"/>
      <c r="U205" s="14"/>
      <c r="V205" s="15"/>
      <c r="W205" s="14"/>
      <c r="Y205" s="391" t="s">
        <v>1000</v>
      </c>
      <c r="Z205" s="391" t="s">
        <v>1000</v>
      </c>
      <c r="AA205" s="464"/>
      <c r="AB205" s="14"/>
      <c r="AC205" s="15"/>
      <c r="AD205" s="14"/>
      <c r="AE205" s="15"/>
      <c r="AF205" s="98"/>
      <c r="AG205" s="14"/>
      <c r="AH205" s="14"/>
    </row>
    <row r="206" spans="1:34" ht="15" customHeight="1">
      <c r="A206" s="22" t="s">
        <v>18</v>
      </c>
      <c r="B206" s="23"/>
      <c r="C206" s="23"/>
      <c r="D206" s="23"/>
      <c r="H206" s="15"/>
      <c r="I206" s="23"/>
      <c r="N206" s="23"/>
      <c r="O206" s="15"/>
      <c r="P206" s="15"/>
      <c r="Q206" s="23"/>
      <c r="T206" s="22"/>
      <c r="U206" s="14"/>
      <c r="V206" s="15"/>
      <c r="W206" s="14"/>
      <c r="Y206" s="23"/>
      <c r="Z206" s="23"/>
      <c r="AA206" s="109"/>
      <c r="AB206" s="14"/>
      <c r="AC206" s="15"/>
      <c r="AD206" s="14"/>
      <c r="AE206" s="15"/>
      <c r="AF206" s="98"/>
      <c r="AG206" s="14"/>
      <c r="AH206" s="14"/>
    </row>
    <row r="207" spans="1:34" ht="15" customHeight="1">
      <c r="A207" s="12" t="s">
        <v>20</v>
      </c>
      <c r="H207" s="15"/>
      <c r="O207" s="15"/>
      <c r="P207" s="15"/>
      <c r="T207" s="12"/>
      <c r="U207" s="14"/>
      <c r="V207" s="15"/>
      <c r="W207" s="14"/>
      <c r="AA207" s="112"/>
      <c r="AB207" s="14"/>
      <c r="AC207" s="15"/>
      <c r="AD207" s="14"/>
      <c r="AE207" s="15"/>
      <c r="AF207" s="98"/>
      <c r="AG207" s="14"/>
      <c r="AH207" s="14"/>
    </row>
    <row r="208" spans="1:34" ht="15" customHeight="1">
      <c r="A208" s="25" t="s">
        <v>21</v>
      </c>
      <c r="B208" s="418"/>
      <c r="C208" s="418" t="s">
        <v>755</v>
      </c>
      <c r="D208" s="418"/>
      <c r="H208" s="15"/>
      <c r="I208" s="418" t="s">
        <v>751</v>
      </c>
      <c r="N208" s="418" t="s">
        <v>43</v>
      </c>
      <c r="O208" s="15"/>
      <c r="P208" s="15"/>
      <c r="Q208" s="418" t="s">
        <v>737</v>
      </c>
      <c r="T208" s="25"/>
      <c r="U208" s="14"/>
      <c r="V208" s="15"/>
      <c r="W208" s="14"/>
      <c r="Y208" s="418" t="s">
        <v>740</v>
      </c>
      <c r="Z208" s="418" t="s">
        <v>756</v>
      </c>
      <c r="AA208" s="103"/>
      <c r="AB208" s="14"/>
      <c r="AC208" s="15"/>
      <c r="AD208" s="14"/>
      <c r="AE208" s="15"/>
      <c r="AF208" s="98"/>
      <c r="AG208" s="14"/>
      <c r="AH208" s="14"/>
    </row>
    <row r="209" spans="1:34" ht="15" customHeight="1">
      <c r="A209" s="26" t="s">
        <v>22</v>
      </c>
      <c r="B209" s="27"/>
      <c r="C209" s="27"/>
      <c r="D209" s="27"/>
      <c r="H209" s="15"/>
      <c r="I209" s="27"/>
      <c r="N209" s="27"/>
      <c r="O209" s="15"/>
      <c r="P209" s="15"/>
      <c r="Q209" s="27"/>
      <c r="T209" s="26"/>
      <c r="U209" s="14"/>
      <c r="V209" s="15"/>
      <c r="W209" s="14"/>
      <c r="Y209" s="27"/>
      <c r="Z209" s="27"/>
      <c r="AA209" s="105"/>
      <c r="AB209" s="14"/>
      <c r="AC209" s="15"/>
      <c r="AD209" s="14"/>
      <c r="AE209" s="15"/>
      <c r="AF209" s="98"/>
      <c r="AG209" s="14"/>
      <c r="AH209" s="14"/>
    </row>
    <row r="210" spans="1:34" ht="15" customHeight="1">
      <c r="A210" s="25" t="s">
        <v>23</v>
      </c>
      <c r="B210" s="418"/>
      <c r="C210" s="418">
        <v>120</v>
      </c>
      <c r="D210" s="418"/>
      <c r="H210" s="15"/>
      <c r="I210" s="418">
        <v>2496</v>
      </c>
      <c r="N210" s="418">
        <v>192</v>
      </c>
      <c r="O210" s="15"/>
      <c r="P210" s="15"/>
      <c r="Q210" s="418">
        <v>4992</v>
      </c>
      <c r="T210" s="25"/>
      <c r="U210" s="14"/>
      <c r="V210" s="15"/>
      <c r="W210" s="14"/>
      <c r="Y210" s="418">
        <v>168</v>
      </c>
      <c r="Z210" s="418">
        <v>168</v>
      </c>
      <c r="AA210" s="103"/>
      <c r="AB210" s="14"/>
      <c r="AC210" s="15"/>
      <c r="AD210" s="14"/>
      <c r="AE210" s="15"/>
      <c r="AF210" s="98"/>
      <c r="AG210" s="14"/>
      <c r="AH210" s="14"/>
    </row>
    <row r="211" spans="1:34" ht="15" customHeight="1">
      <c r="A211" s="28" t="s">
        <v>24</v>
      </c>
      <c r="H211" s="15"/>
      <c r="O211" s="15"/>
      <c r="P211" s="15"/>
      <c r="T211" s="28"/>
      <c r="U211" s="14"/>
      <c r="V211" s="15"/>
      <c r="W211" s="14"/>
      <c r="AA211" s="112"/>
      <c r="AB211" s="14"/>
      <c r="AC211" s="15"/>
      <c r="AD211" s="14"/>
      <c r="AE211" s="15"/>
      <c r="AF211" s="98"/>
      <c r="AG211" s="14"/>
      <c r="AH211" s="14"/>
    </row>
    <row r="212" spans="1:34" ht="15" customHeight="1">
      <c r="A212" s="31" t="s">
        <v>25</v>
      </c>
      <c r="B212" s="32"/>
      <c r="C212" s="32">
        <v>43578</v>
      </c>
      <c r="D212" s="32"/>
      <c r="H212" s="15"/>
      <c r="I212" s="32">
        <v>43594</v>
      </c>
      <c r="N212" s="32">
        <v>43581</v>
      </c>
      <c r="O212" s="15"/>
      <c r="P212" s="15"/>
      <c r="Q212" s="32">
        <v>43593</v>
      </c>
      <c r="T212" s="31"/>
      <c r="U212" s="14"/>
      <c r="V212" s="15"/>
      <c r="W212" s="14"/>
      <c r="Y212" s="32">
        <v>43597</v>
      </c>
      <c r="Z212" s="32">
        <v>43597</v>
      </c>
      <c r="AA212" s="106"/>
      <c r="AB212" s="14"/>
      <c r="AC212" s="15"/>
      <c r="AD212" s="14"/>
      <c r="AE212" s="15"/>
      <c r="AF212" s="98"/>
      <c r="AG212" s="14"/>
      <c r="AH212" s="14"/>
    </row>
    <row r="213" spans="1:34" ht="15" customHeight="1">
      <c r="A213" s="12" t="s">
        <v>27</v>
      </c>
      <c r="B213" s="14"/>
      <c r="C213" s="31" t="s">
        <v>29</v>
      </c>
      <c r="D213" s="12"/>
      <c r="H213" s="15"/>
      <c r="I213" s="31" t="s">
        <v>28</v>
      </c>
      <c r="N213" s="31" t="s">
        <v>28</v>
      </c>
      <c r="O213" s="15"/>
      <c r="P213" s="15"/>
      <c r="Q213" s="31" t="s">
        <v>28</v>
      </c>
      <c r="T213" s="12"/>
      <c r="U213" s="14"/>
      <c r="V213" s="15"/>
      <c r="W213" s="14"/>
      <c r="Y213" s="31" t="s">
        <v>28</v>
      </c>
      <c r="Z213" s="31" t="s">
        <v>28</v>
      </c>
      <c r="AA213" s="451"/>
      <c r="AB213" s="14"/>
      <c r="AC213" s="15"/>
      <c r="AD213" s="14"/>
      <c r="AE213" s="15"/>
      <c r="AF213" s="98"/>
      <c r="AG213" s="14"/>
      <c r="AH213" s="14"/>
    </row>
    <row r="214" spans="1:34" ht="15" customHeight="1">
      <c r="A214" s="12" t="s">
        <v>10</v>
      </c>
      <c r="B214" s="14"/>
      <c r="C214" s="418" t="s">
        <v>754</v>
      </c>
      <c r="D214" s="12"/>
      <c r="H214" s="15"/>
      <c r="I214" s="14"/>
      <c r="N214" s="418" t="s">
        <v>39</v>
      </c>
      <c r="O214" s="15"/>
      <c r="P214" s="15"/>
      <c r="Q214" s="50"/>
      <c r="T214" s="50"/>
      <c r="U214" s="14"/>
      <c r="V214" s="15"/>
      <c r="W214" s="14"/>
      <c r="Y214" s="418" t="s">
        <v>741</v>
      </c>
      <c r="Z214" s="418" t="s">
        <v>741</v>
      </c>
      <c r="AA214" s="112"/>
      <c r="AB214" s="14"/>
      <c r="AC214" s="15"/>
      <c r="AD214" s="14"/>
      <c r="AE214" s="15"/>
      <c r="AF214" s="98"/>
      <c r="AG214" s="14"/>
      <c r="AH214" s="14"/>
    </row>
    <row r="215" spans="1:34" ht="15" customHeight="1">
      <c r="A215" s="443" t="s">
        <v>11</v>
      </c>
      <c r="B215" s="14"/>
      <c r="C215" s="93" t="s">
        <v>974</v>
      </c>
      <c r="D215" s="85"/>
      <c r="H215" s="15"/>
      <c r="I215" s="14"/>
      <c r="N215" s="93" t="s">
        <v>957</v>
      </c>
      <c r="O215" s="15"/>
      <c r="P215" s="15"/>
      <c r="Q215" s="50"/>
      <c r="T215" s="50"/>
      <c r="U215" s="14"/>
      <c r="V215" s="15"/>
      <c r="W215" s="14"/>
      <c r="Y215" s="93" t="s">
        <v>980</v>
      </c>
      <c r="Z215" s="93" t="s">
        <v>984</v>
      </c>
      <c r="AA215" s="112"/>
      <c r="AB215" s="14"/>
      <c r="AC215" s="15"/>
      <c r="AD215" s="14"/>
      <c r="AE215" s="15"/>
      <c r="AF215" s="98"/>
      <c r="AG215" s="14"/>
      <c r="AH215" s="14"/>
    </row>
    <row r="216" spans="1:34" ht="15" customHeight="1">
      <c r="A216" s="16" t="s">
        <v>12</v>
      </c>
      <c r="B216" s="14"/>
      <c r="C216" s="418"/>
      <c r="D216" s="16"/>
      <c r="H216" s="15"/>
      <c r="I216" s="14"/>
      <c r="N216" s="418"/>
      <c r="O216" s="15"/>
      <c r="P216" s="15"/>
      <c r="Q216" s="50"/>
      <c r="T216" s="50"/>
      <c r="U216" s="14"/>
      <c r="V216" s="15"/>
      <c r="W216" s="14"/>
      <c r="Y216" s="418"/>
      <c r="Z216" s="418"/>
      <c r="AA216" s="112"/>
      <c r="AB216" s="14"/>
      <c r="AC216" s="15"/>
      <c r="AD216" s="14"/>
      <c r="AE216" s="15"/>
      <c r="AF216" s="98"/>
      <c r="AG216" s="14"/>
      <c r="AH216" s="14"/>
    </row>
    <row r="217" spans="1:34" ht="15" customHeight="1">
      <c r="A217" s="18" t="s">
        <v>13</v>
      </c>
      <c r="B217" s="14"/>
      <c r="C217" s="19" t="s">
        <v>1006</v>
      </c>
      <c r="D217" s="18"/>
      <c r="H217" s="15"/>
      <c r="I217" s="14"/>
      <c r="N217" s="19" t="s">
        <v>95</v>
      </c>
      <c r="O217" s="15"/>
      <c r="P217" s="15"/>
      <c r="Q217" s="50"/>
      <c r="T217" s="50"/>
      <c r="U217" s="14"/>
      <c r="V217" s="15"/>
      <c r="W217" s="14"/>
      <c r="Y217" s="19" t="s">
        <v>710</v>
      </c>
      <c r="Z217" s="19" t="s">
        <v>1004</v>
      </c>
      <c r="AA217" s="112"/>
      <c r="AB217" s="14"/>
      <c r="AC217" s="15"/>
      <c r="AD217" s="14"/>
      <c r="AE217" s="15"/>
      <c r="AF217" s="98"/>
      <c r="AG217" s="14"/>
      <c r="AH217" s="14"/>
    </row>
    <row r="218" spans="1:34" ht="15" customHeight="1">
      <c r="A218" s="20" t="s">
        <v>15</v>
      </c>
      <c r="B218" s="14"/>
      <c r="C218" s="418" t="s">
        <v>68</v>
      </c>
      <c r="D218" s="20"/>
      <c r="H218" s="15"/>
      <c r="I218" s="14"/>
      <c r="N218" s="418" t="s">
        <v>71</v>
      </c>
      <c r="O218" s="15"/>
      <c r="P218" s="15"/>
      <c r="Q218" s="50"/>
      <c r="T218" s="50"/>
      <c r="U218" s="14"/>
      <c r="V218" s="15"/>
      <c r="W218" s="14"/>
      <c r="Y218" s="418" t="s">
        <v>67</v>
      </c>
      <c r="Z218" s="418" t="s">
        <v>67</v>
      </c>
      <c r="AA218" s="112"/>
      <c r="AB218" s="14"/>
      <c r="AC218" s="15"/>
      <c r="AD218" s="14"/>
      <c r="AE218" s="15"/>
      <c r="AF218" s="98"/>
      <c r="AG218" s="14"/>
      <c r="AH218" s="14"/>
    </row>
    <row r="219" spans="1:34" ht="15" customHeight="1">
      <c r="A219" s="444" t="s">
        <v>17</v>
      </c>
      <c r="B219" s="14"/>
      <c r="C219" s="391" t="s">
        <v>1000</v>
      </c>
      <c r="D219" s="86"/>
      <c r="H219" s="15"/>
      <c r="I219" s="14"/>
      <c r="N219" s="391" t="s">
        <v>1000</v>
      </c>
      <c r="O219" s="15"/>
      <c r="P219" s="15"/>
      <c r="Q219" s="50"/>
      <c r="T219" s="50"/>
      <c r="U219" s="14"/>
      <c r="V219" s="15"/>
      <c r="W219" s="14"/>
      <c r="Y219" s="391" t="s">
        <v>1000</v>
      </c>
      <c r="Z219" s="391" t="s">
        <v>1000</v>
      </c>
      <c r="AA219" s="112"/>
      <c r="AB219" s="14"/>
      <c r="AC219" s="15"/>
      <c r="AD219" s="14"/>
      <c r="AE219" s="15"/>
      <c r="AF219" s="98"/>
      <c r="AG219" s="14"/>
      <c r="AH219" s="14"/>
    </row>
    <row r="220" spans="1:34" ht="15" customHeight="1">
      <c r="A220" s="22" t="s">
        <v>18</v>
      </c>
      <c r="B220" s="14"/>
      <c r="C220" s="23"/>
      <c r="D220" s="22"/>
      <c r="H220" s="15"/>
      <c r="I220" s="14"/>
      <c r="N220" s="23"/>
      <c r="O220" s="15"/>
      <c r="P220" s="15"/>
      <c r="Q220" s="50"/>
      <c r="T220" s="50"/>
      <c r="U220" s="14"/>
      <c r="V220" s="15"/>
      <c r="W220" s="14"/>
      <c r="Y220" s="23"/>
      <c r="Z220" s="23"/>
      <c r="AA220" s="112"/>
      <c r="AB220" s="14"/>
      <c r="AC220" s="15"/>
      <c r="AD220" s="14"/>
      <c r="AE220" s="15"/>
      <c r="AF220" s="98"/>
      <c r="AG220" s="14"/>
      <c r="AH220" s="14"/>
    </row>
    <row r="221" spans="1:34" ht="15" customHeight="1">
      <c r="A221" s="12" t="s">
        <v>20</v>
      </c>
      <c r="B221" s="14"/>
      <c r="D221" s="12"/>
      <c r="H221" s="15"/>
      <c r="I221" s="14"/>
      <c r="O221" s="15"/>
      <c r="P221" s="15"/>
      <c r="Q221" s="50"/>
      <c r="T221" s="50"/>
      <c r="U221" s="14"/>
      <c r="V221" s="15"/>
      <c r="W221" s="14"/>
      <c r="AA221" s="112"/>
      <c r="AB221" s="14"/>
      <c r="AC221" s="15"/>
      <c r="AD221" s="14"/>
      <c r="AE221" s="15"/>
      <c r="AF221" s="98"/>
      <c r="AG221" s="14"/>
      <c r="AH221" s="14"/>
    </row>
    <row r="222" spans="1:34" ht="15" customHeight="1">
      <c r="A222" s="25" t="s">
        <v>21</v>
      </c>
      <c r="B222" s="14"/>
      <c r="C222" s="418" t="s">
        <v>755</v>
      </c>
      <c r="D222" s="25"/>
      <c r="H222" s="15"/>
      <c r="I222" s="14"/>
      <c r="N222" s="418" t="s">
        <v>43</v>
      </c>
      <c r="O222" s="15"/>
      <c r="P222" s="15"/>
      <c r="Q222" s="50"/>
      <c r="T222" s="50"/>
      <c r="U222" s="14"/>
      <c r="V222" s="15"/>
      <c r="W222" s="14"/>
      <c r="Y222" s="418" t="s">
        <v>756</v>
      </c>
      <c r="Z222" s="418" t="s">
        <v>757</v>
      </c>
      <c r="AA222" s="112"/>
      <c r="AB222" s="14"/>
      <c r="AC222" s="15"/>
      <c r="AD222" s="14"/>
      <c r="AE222" s="15"/>
      <c r="AF222" s="98"/>
      <c r="AG222" s="14"/>
      <c r="AH222" s="14"/>
    </row>
    <row r="223" spans="1:34" ht="15" customHeight="1">
      <c r="A223" s="26" t="s">
        <v>22</v>
      </c>
      <c r="B223" s="14"/>
      <c r="C223" s="27"/>
      <c r="D223" s="26"/>
      <c r="H223" s="15"/>
      <c r="I223" s="14"/>
      <c r="N223" s="27"/>
      <c r="O223" s="15"/>
      <c r="P223" s="15"/>
      <c r="Q223" s="50"/>
      <c r="T223" s="50"/>
      <c r="U223" s="14"/>
      <c r="V223" s="15"/>
      <c r="W223" s="14"/>
      <c r="Y223" s="27"/>
      <c r="Z223" s="27"/>
      <c r="AA223" s="112"/>
      <c r="AB223" s="14"/>
      <c r="AC223" s="15"/>
      <c r="AD223" s="14"/>
      <c r="AE223" s="15"/>
      <c r="AF223" s="98"/>
      <c r="AG223" s="14"/>
      <c r="AH223" s="14"/>
    </row>
    <row r="224" spans="1:34" ht="15" customHeight="1">
      <c r="A224" s="25" t="s">
        <v>23</v>
      </c>
      <c r="B224" s="14"/>
      <c r="C224" s="418">
        <v>840</v>
      </c>
      <c r="D224" s="25"/>
      <c r="H224" s="15"/>
      <c r="I224" s="14"/>
      <c r="N224" s="418">
        <v>360</v>
      </c>
      <c r="O224" s="15"/>
      <c r="P224" s="15"/>
      <c r="Q224" s="50"/>
      <c r="T224" s="50"/>
      <c r="U224" s="14"/>
      <c r="V224" s="15"/>
      <c r="W224" s="14"/>
      <c r="Y224" s="418">
        <v>1380</v>
      </c>
      <c r="Z224" s="418">
        <v>1800</v>
      </c>
      <c r="AA224" s="112"/>
      <c r="AB224" s="14"/>
      <c r="AC224" s="15"/>
      <c r="AD224" s="14"/>
      <c r="AE224" s="15"/>
      <c r="AF224" s="98"/>
      <c r="AG224" s="14"/>
      <c r="AH224" s="14"/>
    </row>
    <row r="225" spans="1:34" ht="15" customHeight="1">
      <c r="A225" s="28" t="s">
        <v>24</v>
      </c>
      <c r="B225" s="14"/>
      <c r="D225" s="28"/>
      <c r="H225" s="15"/>
      <c r="I225" s="14"/>
      <c r="O225" s="15"/>
      <c r="P225" s="15"/>
      <c r="Q225" s="50"/>
      <c r="T225" s="50"/>
      <c r="U225" s="14"/>
      <c r="V225" s="15"/>
      <c r="W225" s="14"/>
      <c r="AA225" s="112"/>
      <c r="AB225" s="14"/>
      <c r="AC225" s="15"/>
      <c r="AD225" s="14"/>
      <c r="AE225" s="15"/>
      <c r="AF225" s="98"/>
      <c r="AG225" s="14"/>
      <c r="AH225" s="14"/>
    </row>
    <row r="226" spans="1:34" ht="15" customHeight="1">
      <c r="A226" s="31" t="s">
        <v>25</v>
      </c>
      <c r="B226" s="14"/>
      <c r="C226" s="32">
        <v>43579</v>
      </c>
      <c r="D226" s="31"/>
      <c r="H226" s="15"/>
      <c r="I226" s="14"/>
      <c r="N226" s="32">
        <v>43590</v>
      </c>
      <c r="O226" s="15"/>
      <c r="P226" s="15"/>
      <c r="Q226" s="50"/>
      <c r="T226" s="50"/>
      <c r="U226" s="14"/>
      <c r="V226" s="15"/>
      <c r="W226" s="14"/>
      <c r="Y226" s="32">
        <v>43593</v>
      </c>
      <c r="Z226" s="32">
        <v>43593</v>
      </c>
      <c r="AA226" s="112"/>
      <c r="AB226" s="14"/>
      <c r="AC226" s="15"/>
      <c r="AD226" s="14"/>
      <c r="AE226" s="15"/>
      <c r="AF226" s="98"/>
      <c r="AG226" s="14"/>
      <c r="AH226" s="14"/>
    </row>
    <row r="227" spans="1:34" ht="15" customHeight="1">
      <c r="A227" s="12" t="s">
        <v>27</v>
      </c>
      <c r="B227" s="14"/>
      <c r="C227" s="31" t="s">
        <v>31</v>
      </c>
      <c r="D227" s="12"/>
      <c r="H227" s="15"/>
      <c r="I227" s="14"/>
      <c r="N227" s="31" t="s">
        <v>28</v>
      </c>
      <c r="O227" s="15"/>
      <c r="P227" s="15"/>
      <c r="Q227" s="50"/>
      <c r="T227" s="50"/>
      <c r="U227" s="14"/>
      <c r="V227" s="15"/>
      <c r="W227" s="14"/>
      <c r="Y227" s="31" t="s">
        <v>28</v>
      </c>
      <c r="Z227" s="31" t="s">
        <v>28</v>
      </c>
      <c r="AA227" s="112"/>
      <c r="AB227" s="14"/>
      <c r="AC227" s="15"/>
      <c r="AD227" s="14"/>
      <c r="AE227" s="15"/>
      <c r="AF227" s="98"/>
      <c r="AG227" s="14"/>
      <c r="AH227" s="14"/>
    </row>
    <row r="228" spans="1:34" ht="15" customHeight="1">
      <c r="A228" s="12" t="s">
        <v>10</v>
      </c>
      <c r="B228" s="14"/>
      <c r="D228" s="33"/>
      <c r="H228" s="15"/>
      <c r="I228" s="14"/>
      <c r="N228" s="418" t="s">
        <v>39</v>
      </c>
      <c r="O228" s="15"/>
      <c r="P228" s="15"/>
      <c r="Q228" s="33"/>
      <c r="T228" s="33"/>
      <c r="U228" s="14"/>
      <c r="V228" s="15"/>
      <c r="W228" s="14"/>
      <c r="X228" s="33"/>
      <c r="Y228" s="33"/>
      <c r="Z228" s="33"/>
      <c r="AA228" s="80"/>
      <c r="AB228" s="14"/>
      <c r="AC228" s="15"/>
      <c r="AD228" s="14"/>
      <c r="AE228" s="15"/>
      <c r="AF228" s="98"/>
      <c r="AG228" s="14"/>
      <c r="AH228" s="14"/>
    </row>
    <row r="229" spans="1:34" ht="15" customHeight="1">
      <c r="A229" s="443" t="s">
        <v>11</v>
      </c>
      <c r="B229" s="14"/>
      <c r="D229" s="33"/>
      <c r="H229" s="15"/>
      <c r="I229" s="14"/>
      <c r="N229" s="93" t="s">
        <v>956</v>
      </c>
      <c r="O229" s="15"/>
      <c r="P229" s="15"/>
      <c r="Q229" s="33"/>
      <c r="T229" s="33"/>
      <c r="U229" s="14"/>
      <c r="V229" s="15"/>
      <c r="W229" s="14"/>
      <c r="X229" s="33"/>
      <c r="Y229" s="33"/>
      <c r="Z229" s="33"/>
      <c r="AA229" s="80"/>
      <c r="AB229" s="14"/>
      <c r="AC229" s="15"/>
      <c r="AD229" s="14"/>
      <c r="AE229" s="15"/>
      <c r="AF229" s="98"/>
      <c r="AG229" s="14"/>
      <c r="AH229" s="14"/>
    </row>
    <row r="230" spans="1:34" ht="15" customHeight="1">
      <c r="A230" s="16" t="s">
        <v>12</v>
      </c>
      <c r="B230" s="14"/>
      <c r="D230" s="33"/>
      <c r="H230" s="15"/>
      <c r="I230" s="14"/>
      <c r="N230" s="418"/>
      <c r="O230" s="15"/>
      <c r="P230" s="15"/>
      <c r="Q230" s="33"/>
      <c r="T230" s="33"/>
      <c r="U230" s="14"/>
      <c r="V230" s="15"/>
      <c r="W230" s="14"/>
      <c r="X230" s="33"/>
      <c r="Y230" s="33"/>
      <c r="Z230" s="33"/>
      <c r="AA230" s="80"/>
      <c r="AB230" s="14"/>
      <c r="AC230" s="15"/>
      <c r="AD230" s="14"/>
      <c r="AE230" s="15"/>
      <c r="AF230" s="98"/>
      <c r="AG230" s="14"/>
      <c r="AH230" s="14"/>
    </row>
    <row r="231" spans="1:34" ht="15" customHeight="1">
      <c r="A231" s="18" t="s">
        <v>13</v>
      </c>
      <c r="B231" s="14"/>
      <c r="D231" s="33"/>
      <c r="H231" s="15"/>
      <c r="I231" s="14"/>
      <c r="N231" s="19" t="s">
        <v>95</v>
      </c>
      <c r="O231" s="15"/>
      <c r="P231" s="15"/>
      <c r="Q231" s="33"/>
      <c r="T231" s="33"/>
      <c r="U231" s="14"/>
      <c r="V231" s="15"/>
      <c r="W231" s="14"/>
      <c r="X231" s="33"/>
      <c r="Y231" s="33"/>
      <c r="Z231" s="33"/>
      <c r="AA231" s="80"/>
      <c r="AB231" s="14"/>
      <c r="AC231" s="15"/>
      <c r="AD231" s="14"/>
      <c r="AE231" s="15"/>
      <c r="AF231" s="98"/>
      <c r="AG231" s="14"/>
      <c r="AH231" s="14"/>
    </row>
    <row r="232" spans="1:34" ht="15" customHeight="1">
      <c r="A232" s="20" t="s">
        <v>15</v>
      </c>
      <c r="B232" s="14"/>
      <c r="D232" s="33"/>
      <c r="H232" s="15"/>
      <c r="I232" s="14"/>
      <c r="N232" s="418" t="s">
        <v>71</v>
      </c>
      <c r="O232" s="15"/>
      <c r="P232" s="15"/>
      <c r="Q232" s="33"/>
      <c r="T232" s="33"/>
      <c r="U232" s="14"/>
      <c r="V232" s="15"/>
      <c r="W232" s="14"/>
      <c r="X232" s="33"/>
      <c r="Y232" s="33"/>
      <c r="Z232" s="33"/>
      <c r="AA232" s="80"/>
      <c r="AB232" s="14"/>
      <c r="AC232" s="15"/>
      <c r="AD232" s="14"/>
      <c r="AE232" s="15"/>
      <c r="AF232" s="98"/>
      <c r="AG232" s="14"/>
      <c r="AH232" s="14"/>
    </row>
    <row r="233" spans="1:34" ht="15" customHeight="1">
      <c r="A233" s="444" t="s">
        <v>17</v>
      </c>
      <c r="B233" s="14"/>
      <c r="D233" s="33"/>
      <c r="H233" s="15"/>
      <c r="I233" s="14"/>
      <c r="N233" s="391" t="s">
        <v>1000</v>
      </c>
      <c r="O233" s="15"/>
      <c r="P233" s="15"/>
      <c r="Q233" s="33"/>
      <c r="T233" s="33"/>
      <c r="U233" s="14"/>
      <c r="V233" s="15"/>
      <c r="W233" s="14"/>
      <c r="X233" s="33"/>
      <c r="Y233" s="33"/>
      <c r="Z233" s="33"/>
      <c r="AA233" s="80"/>
      <c r="AB233" s="14"/>
      <c r="AC233" s="15"/>
      <c r="AD233" s="14"/>
      <c r="AE233" s="15"/>
      <c r="AF233" s="98"/>
      <c r="AG233" s="14"/>
      <c r="AH233" s="14"/>
    </row>
    <row r="234" spans="1:34" ht="15" customHeight="1">
      <c r="A234" s="22" t="s">
        <v>18</v>
      </c>
      <c r="B234" s="14"/>
      <c r="D234" s="33"/>
      <c r="H234" s="15"/>
      <c r="I234" s="14"/>
      <c r="N234" s="23"/>
      <c r="O234" s="15"/>
      <c r="P234" s="15"/>
      <c r="Q234" s="33"/>
      <c r="T234" s="33"/>
      <c r="U234" s="14"/>
      <c r="V234" s="15"/>
      <c r="W234" s="14"/>
      <c r="X234" s="33"/>
      <c r="Y234" s="33"/>
      <c r="Z234" s="33"/>
      <c r="AA234" s="80"/>
      <c r="AB234" s="14"/>
      <c r="AC234" s="15"/>
      <c r="AD234" s="14"/>
      <c r="AE234" s="15"/>
      <c r="AF234" s="98"/>
      <c r="AG234" s="14"/>
      <c r="AH234" s="14"/>
    </row>
    <row r="235" spans="1:34" ht="15" customHeight="1">
      <c r="A235" s="12" t="s">
        <v>20</v>
      </c>
      <c r="B235" s="14"/>
      <c r="D235" s="33"/>
      <c r="H235" s="15"/>
      <c r="I235" s="14"/>
      <c r="O235" s="15"/>
      <c r="P235" s="15"/>
      <c r="Q235" s="33"/>
      <c r="T235" s="33"/>
      <c r="U235" s="14"/>
      <c r="V235" s="15"/>
      <c r="W235" s="14"/>
      <c r="X235" s="33"/>
      <c r="Y235" s="33"/>
      <c r="Z235" s="33"/>
      <c r="AA235" s="80"/>
      <c r="AB235" s="14"/>
      <c r="AC235" s="15"/>
      <c r="AD235" s="14"/>
      <c r="AE235" s="15"/>
      <c r="AF235" s="98"/>
      <c r="AG235" s="14"/>
      <c r="AH235" s="14"/>
    </row>
    <row r="236" spans="1:34" ht="15" customHeight="1">
      <c r="A236" s="25" t="s">
        <v>21</v>
      </c>
      <c r="B236" s="14"/>
      <c r="D236" s="33"/>
      <c r="H236" s="15"/>
      <c r="I236" s="14"/>
      <c r="N236" s="418" t="s">
        <v>43</v>
      </c>
      <c r="O236" s="15"/>
      <c r="P236" s="15"/>
      <c r="Q236" s="33"/>
      <c r="T236" s="33"/>
      <c r="U236" s="14"/>
      <c r="V236" s="15"/>
      <c r="W236" s="14"/>
      <c r="X236" s="33"/>
      <c r="Y236" s="33"/>
      <c r="Z236" s="33"/>
      <c r="AA236" s="80"/>
      <c r="AB236" s="14"/>
      <c r="AC236" s="15"/>
      <c r="AD236" s="14"/>
      <c r="AE236" s="15"/>
      <c r="AF236" s="98"/>
      <c r="AG236" s="14"/>
      <c r="AH236" s="14"/>
    </row>
    <row r="237" spans="1:34" ht="15" customHeight="1">
      <c r="A237" s="26" t="s">
        <v>22</v>
      </c>
      <c r="B237" s="14"/>
      <c r="D237" s="33"/>
      <c r="H237" s="15"/>
      <c r="I237" s="14"/>
      <c r="N237" s="27"/>
      <c r="O237" s="15"/>
      <c r="P237" s="15"/>
      <c r="Q237" s="33"/>
      <c r="T237" s="33"/>
      <c r="U237" s="14"/>
      <c r="V237" s="15"/>
      <c r="W237" s="14"/>
      <c r="X237" s="33"/>
      <c r="Y237" s="33"/>
      <c r="Z237" s="33"/>
      <c r="AA237" s="80"/>
      <c r="AB237" s="14"/>
      <c r="AC237" s="15"/>
      <c r="AD237" s="14"/>
      <c r="AE237" s="15"/>
      <c r="AF237" s="98"/>
      <c r="AG237" s="14"/>
      <c r="AH237" s="14"/>
    </row>
    <row r="238" spans="1:34" ht="15" customHeight="1">
      <c r="A238" s="25" t="s">
        <v>23</v>
      </c>
      <c r="B238" s="14"/>
      <c r="D238" s="33"/>
      <c r="H238" s="15"/>
      <c r="I238" s="14"/>
      <c r="N238" s="418">
        <v>348</v>
      </c>
      <c r="O238" s="15"/>
      <c r="P238" s="15"/>
      <c r="Q238" s="33"/>
      <c r="T238" s="33"/>
      <c r="U238" s="14"/>
      <c r="V238" s="15"/>
      <c r="W238" s="14"/>
      <c r="X238" s="33"/>
      <c r="Y238" s="33"/>
      <c r="Z238" s="33"/>
      <c r="AA238" s="80"/>
      <c r="AB238" s="14"/>
      <c r="AC238" s="15"/>
      <c r="AD238" s="14"/>
      <c r="AE238" s="15"/>
      <c r="AF238" s="98"/>
      <c r="AG238" s="14"/>
      <c r="AH238" s="14"/>
    </row>
    <row r="239" spans="1:34" ht="15" customHeight="1">
      <c r="A239" s="28" t="s">
        <v>24</v>
      </c>
      <c r="B239" s="14"/>
      <c r="D239" s="33"/>
      <c r="H239" s="15"/>
      <c r="I239" s="14"/>
      <c r="O239" s="15"/>
      <c r="P239" s="15"/>
      <c r="Q239" s="33"/>
      <c r="T239" s="33"/>
      <c r="U239" s="14"/>
      <c r="V239" s="15"/>
      <c r="W239" s="14"/>
      <c r="X239" s="33"/>
      <c r="Y239" s="33"/>
      <c r="Z239" s="33"/>
      <c r="AA239" s="80"/>
      <c r="AB239" s="14"/>
      <c r="AC239" s="15"/>
      <c r="AD239" s="14"/>
      <c r="AE239" s="15"/>
      <c r="AF239" s="98"/>
      <c r="AG239" s="14"/>
      <c r="AH239" s="14"/>
    </row>
    <row r="240" spans="1:34" ht="15" customHeight="1">
      <c r="A240" s="31" t="s">
        <v>25</v>
      </c>
      <c r="B240" s="14"/>
      <c r="D240" s="33"/>
      <c r="H240" s="15"/>
      <c r="I240" s="14"/>
      <c r="N240" s="32">
        <v>43593</v>
      </c>
      <c r="O240" s="15"/>
      <c r="P240" s="15"/>
      <c r="Q240" s="33"/>
      <c r="T240" s="33"/>
      <c r="U240" s="14"/>
      <c r="V240" s="15"/>
      <c r="W240" s="14"/>
      <c r="X240" s="33"/>
      <c r="Y240" s="33"/>
      <c r="Z240" s="33"/>
      <c r="AA240" s="80"/>
      <c r="AB240" s="14"/>
      <c r="AC240" s="15"/>
      <c r="AD240" s="14"/>
      <c r="AE240" s="15"/>
      <c r="AF240" s="98"/>
      <c r="AG240" s="14"/>
      <c r="AH240" s="14"/>
    </row>
    <row r="241" spans="1:34" ht="15" customHeight="1" thickBot="1">
      <c r="A241" s="12" t="s">
        <v>27</v>
      </c>
      <c r="B241" s="14"/>
      <c r="D241" s="35"/>
      <c r="H241" s="34"/>
      <c r="I241" s="14"/>
      <c r="N241" s="31" t="s">
        <v>30</v>
      </c>
      <c r="O241" s="34"/>
      <c r="P241" s="34"/>
      <c r="Q241" s="35"/>
      <c r="T241" s="35"/>
      <c r="U241" s="14"/>
      <c r="V241" s="34"/>
      <c r="W241" s="14"/>
      <c r="X241" s="35"/>
      <c r="Y241" s="35"/>
      <c r="Z241" s="35"/>
      <c r="AA241" s="81"/>
      <c r="AB241" s="14"/>
      <c r="AC241" s="34"/>
      <c r="AD241" s="14"/>
      <c r="AE241" s="34"/>
      <c r="AF241" s="99"/>
      <c r="AG241" s="14"/>
      <c r="AH241" s="14"/>
    </row>
    <row r="242" spans="1:34" ht="18" customHeight="1" thickBot="1">
      <c r="A242" s="445" t="s">
        <v>36</v>
      </c>
      <c r="B242" s="37">
        <f t="shared" ref="B242:AA242" si="12">+B238+B224+B210+B196</f>
        <v>1800</v>
      </c>
      <c r="C242" s="37">
        <f t="shared" si="12"/>
        <v>1140</v>
      </c>
      <c r="D242" s="37">
        <f t="shared" si="12"/>
        <v>2172</v>
      </c>
      <c r="E242" s="37">
        <f t="shared" si="12"/>
        <v>3756</v>
      </c>
      <c r="F242" s="37">
        <f t="shared" si="12"/>
        <v>0</v>
      </c>
      <c r="G242" s="37">
        <f t="shared" si="12"/>
        <v>1800</v>
      </c>
      <c r="H242" s="37">
        <f t="shared" si="12"/>
        <v>0</v>
      </c>
      <c r="I242" s="37">
        <f t="shared" si="12"/>
        <v>2640</v>
      </c>
      <c r="J242" s="37">
        <f t="shared" si="12"/>
        <v>0</v>
      </c>
      <c r="K242" s="37">
        <f t="shared" si="12"/>
        <v>4368</v>
      </c>
      <c r="L242" s="37">
        <f t="shared" si="12"/>
        <v>0</v>
      </c>
      <c r="M242" s="37">
        <f t="shared" si="12"/>
        <v>0</v>
      </c>
      <c r="N242" s="37">
        <f t="shared" si="12"/>
        <v>1104</v>
      </c>
      <c r="O242" s="37">
        <f t="shared" si="12"/>
        <v>0</v>
      </c>
      <c r="P242" s="37">
        <f t="shared" si="12"/>
        <v>0</v>
      </c>
      <c r="Q242" s="37">
        <f t="shared" si="12"/>
        <v>5412</v>
      </c>
      <c r="R242" s="37">
        <f t="shared" si="12"/>
        <v>0</v>
      </c>
      <c r="S242" s="37">
        <f t="shared" si="12"/>
        <v>2748</v>
      </c>
      <c r="T242" s="37">
        <f t="shared" si="12"/>
        <v>0</v>
      </c>
      <c r="U242" s="37">
        <f t="shared" si="12"/>
        <v>3228</v>
      </c>
      <c r="V242" s="37">
        <f t="shared" si="12"/>
        <v>0</v>
      </c>
      <c r="W242" s="37">
        <f t="shared" si="12"/>
        <v>0</v>
      </c>
      <c r="X242" s="37">
        <f t="shared" si="12"/>
        <v>1848</v>
      </c>
      <c r="Y242" s="37">
        <f t="shared" si="12"/>
        <v>1800</v>
      </c>
      <c r="Z242" s="37">
        <f t="shared" si="12"/>
        <v>2220</v>
      </c>
      <c r="AA242" s="37">
        <f t="shared" si="12"/>
        <v>1800</v>
      </c>
      <c r="AB242" s="37">
        <f t="shared" ref="AB242:AC242" si="13">+AB238+AB224+AB210+AB196</f>
        <v>0</v>
      </c>
      <c r="AC242" s="37">
        <f t="shared" si="13"/>
        <v>0</v>
      </c>
      <c r="AD242" s="37">
        <f>+AD238+AD224+AD210+AD196</f>
        <v>0</v>
      </c>
      <c r="AE242" s="36">
        <f>+AE238+AE224+AE210+AE196</f>
        <v>0</v>
      </c>
      <c r="AF242" s="38"/>
      <c r="AG242" s="14"/>
      <c r="AH242" s="14"/>
    </row>
    <row r="243" spans="1:34" ht="18" customHeight="1" thickTop="1" thickBot="1">
      <c r="A243" s="445" t="s">
        <v>37</v>
      </c>
      <c r="B243" s="40">
        <f t="shared" ref="B243:AE243" si="14">+B244*B5</f>
        <v>1520</v>
      </c>
      <c r="C243" s="40">
        <f t="shared" si="14"/>
        <v>1900</v>
      </c>
      <c r="D243" s="40">
        <f t="shared" si="14"/>
        <v>1615</v>
      </c>
      <c r="E243" s="40">
        <f t="shared" si="14"/>
        <v>1615</v>
      </c>
      <c r="F243" s="40">
        <f t="shared" si="14"/>
        <v>1615</v>
      </c>
      <c r="G243" s="40">
        <f t="shared" si="14"/>
        <v>1360</v>
      </c>
      <c r="H243" s="39">
        <f t="shared" si="14"/>
        <v>0</v>
      </c>
      <c r="I243" s="40">
        <f t="shared" si="14"/>
        <v>1615</v>
      </c>
      <c r="J243" s="40">
        <f t="shared" si="14"/>
        <v>1615</v>
      </c>
      <c r="K243" s="40">
        <f t="shared" si="14"/>
        <v>1900</v>
      </c>
      <c r="L243" s="40">
        <f t="shared" si="14"/>
        <v>1900</v>
      </c>
      <c r="M243" s="40">
        <f t="shared" si="14"/>
        <v>1900</v>
      </c>
      <c r="N243" s="40">
        <f t="shared" si="14"/>
        <v>1600</v>
      </c>
      <c r="O243" s="39">
        <f t="shared" si="14"/>
        <v>0</v>
      </c>
      <c r="P243" s="39">
        <f t="shared" si="14"/>
        <v>0</v>
      </c>
      <c r="Q243" s="40">
        <f t="shared" si="14"/>
        <v>1900</v>
      </c>
      <c r="R243" s="40">
        <f t="shared" si="14"/>
        <v>1900</v>
      </c>
      <c r="S243" s="40">
        <f t="shared" si="14"/>
        <v>1900</v>
      </c>
      <c r="T243" s="40">
        <f t="shared" si="14"/>
        <v>1900</v>
      </c>
      <c r="U243" s="40">
        <f t="shared" si="14"/>
        <v>1600</v>
      </c>
      <c r="V243" s="39">
        <f t="shared" si="14"/>
        <v>0</v>
      </c>
      <c r="W243" s="40">
        <f t="shared" si="14"/>
        <v>1900</v>
      </c>
      <c r="X243" s="40">
        <f t="shared" si="14"/>
        <v>1900</v>
      </c>
      <c r="Y243" s="40">
        <f t="shared" si="14"/>
        <v>1900</v>
      </c>
      <c r="Z243" s="40">
        <f t="shared" si="14"/>
        <v>1900</v>
      </c>
      <c r="AA243" s="40">
        <f t="shared" si="14"/>
        <v>1900</v>
      </c>
      <c r="AB243" s="40">
        <f t="shared" si="14"/>
        <v>1600</v>
      </c>
      <c r="AC243" s="39">
        <f t="shared" si="14"/>
        <v>0</v>
      </c>
      <c r="AD243" s="40">
        <f t="shared" si="14"/>
        <v>1600</v>
      </c>
      <c r="AE243" s="39">
        <f t="shared" si="14"/>
        <v>0</v>
      </c>
      <c r="AF243" s="41">
        <f>SUM(B243:AE243)</f>
        <v>42055</v>
      </c>
      <c r="AG243" s="14"/>
      <c r="AH243" s="14"/>
    </row>
    <row r="244" spans="1:34" ht="18" customHeight="1" thickTop="1" thickBot="1">
      <c r="A244" s="445" t="s">
        <v>38</v>
      </c>
      <c r="B244" s="43">
        <v>160</v>
      </c>
      <c r="C244" s="43">
        <v>200</v>
      </c>
      <c r="D244" s="43">
        <v>170</v>
      </c>
      <c r="E244" s="43">
        <v>170</v>
      </c>
      <c r="F244" s="43">
        <v>170</v>
      </c>
      <c r="G244" s="43">
        <v>170</v>
      </c>
      <c r="H244" s="42"/>
      <c r="I244" s="43">
        <v>170</v>
      </c>
      <c r="J244" s="43">
        <v>170</v>
      </c>
      <c r="K244" s="43">
        <v>200</v>
      </c>
      <c r="L244" s="43">
        <v>200</v>
      </c>
      <c r="M244" s="43">
        <v>200</v>
      </c>
      <c r="N244" s="43">
        <v>200</v>
      </c>
      <c r="O244" s="43">
        <v>200</v>
      </c>
      <c r="P244" s="42"/>
      <c r="Q244" s="43">
        <v>200</v>
      </c>
      <c r="R244" s="43">
        <v>200</v>
      </c>
      <c r="S244" s="43">
        <v>200</v>
      </c>
      <c r="T244" s="43">
        <v>200</v>
      </c>
      <c r="U244" s="43">
        <v>200</v>
      </c>
      <c r="V244" s="42"/>
      <c r="W244" s="43">
        <v>200</v>
      </c>
      <c r="X244" s="43">
        <v>200</v>
      </c>
      <c r="Y244" s="43">
        <v>200</v>
      </c>
      <c r="Z244" s="43">
        <v>200</v>
      </c>
      <c r="AA244" s="43">
        <v>200</v>
      </c>
      <c r="AB244" s="43">
        <v>200</v>
      </c>
      <c r="AC244" s="42"/>
      <c r="AD244" s="43">
        <v>200</v>
      </c>
      <c r="AE244" s="42"/>
      <c r="AF244" s="44"/>
      <c r="AG244" s="14"/>
      <c r="AH244" s="14"/>
    </row>
    <row r="245" spans="1:34" ht="18" customHeight="1" thickTop="1" thickBot="1">
      <c r="A245" s="45">
        <f>+'T03'!AE245</f>
        <v>980</v>
      </c>
      <c r="B245" s="40">
        <f t="shared" ref="B245:AF245" si="15">IF(A245+B242-B243&lt;0,0,A245+B242-B243)</f>
        <v>1260</v>
      </c>
      <c r="C245" s="40">
        <f t="shared" si="15"/>
        <v>500</v>
      </c>
      <c r="D245" s="40">
        <f t="shared" si="15"/>
        <v>1057</v>
      </c>
      <c r="E245" s="40">
        <f t="shared" si="15"/>
        <v>3198</v>
      </c>
      <c r="F245" s="40">
        <f t="shared" si="15"/>
        <v>1583</v>
      </c>
      <c r="G245" s="40">
        <f t="shared" si="15"/>
        <v>2023</v>
      </c>
      <c r="H245" s="39">
        <f t="shared" si="15"/>
        <v>2023</v>
      </c>
      <c r="I245" s="40">
        <f t="shared" si="15"/>
        <v>3048</v>
      </c>
      <c r="J245" s="40">
        <f t="shared" si="15"/>
        <v>1433</v>
      </c>
      <c r="K245" s="40">
        <f t="shared" si="15"/>
        <v>3901</v>
      </c>
      <c r="L245" s="40">
        <f t="shared" si="15"/>
        <v>2001</v>
      </c>
      <c r="M245" s="40">
        <f t="shared" si="15"/>
        <v>101</v>
      </c>
      <c r="N245" s="40">
        <f t="shared" si="15"/>
        <v>0</v>
      </c>
      <c r="O245" s="39">
        <f t="shared" si="15"/>
        <v>0</v>
      </c>
      <c r="P245" s="39">
        <f t="shared" si="15"/>
        <v>0</v>
      </c>
      <c r="Q245" s="40">
        <f t="shared" si="15"/>
        <v>3512</v>
      </c>
      <c r="R245" s="40">
        <f t="shared" si="15"/>
        <v>1612</v>
      </c>
      <c r="S245" s="40">
        <f t="shared" si="15"/>
        <v>2460</v>
      </c>
      <c r="T245" s="40">
        <f t="shared" si="15"/>
        <v>560</v>
      </c>
      <c r="U245" s="40">
        <f t="shared" si="15"/>
        <v>2188</v>
      </c>
      <c r="V245" s="39">
        <f t="shared" si="15"/>
        <v>2188</v>
      </c>
      <c r="W245" s="40">
        <f t="shared" si="15"/>
        <v>288</v>
      </c>
      <c r="X245" s="40">
        <f t="shared" si="15"/>
        <v>236</v>
      </c>
      <c r="Y245" s="40">
        <f t="shared" si="15"/>
        <v>136</v>
      </c>
      <c r="Z245" s="40">
        <f t="shared" si="15"/>
        <v>456</v>
      </c>
      <c r="AA245" s="40">
        <f t="shared" si="15"/>
        <v>356</v>
      </c>
      <c r="AB245" s="40">
        <f t="shared" si="15"/>
        <v>0</v>
      </c>
      <c r="AC245" s="39">
        <f t="shared" si="15"/>
        <v>0</v>
      </c>
      <c r="AD245" s="40">
        <f t="shared" si="15"/>
        <v>0</v>
      </c>
      <c r="AE245" s="39">
        <f t="shared" si="15"/>
        <v>0</v>
      </c>
      <c r="AF245" s="47">
        <f t="shared" si="15"/>
        <v>0</v>
      </c>
      <c r="AG245" s="14"/>
      <c r="AH245" s="14"/>
    </row>
    <row r="246" spans="1:34" ht="20.25" thickBot="1">
      <c r="A246" s="60"/>
      <c r="B246" s="60"/>
      <c r="C246" s="60"/>
      <c r="D246" s="60"/>
      <c r="E246" s="60"/>
      <c r="F246" s="60"/>
      <c r="G246" s="60"/>
      <c r="H246" s="61"/>
      <c r="I246" s="60"/>
      <c r="J246" s="60"/>
      <c r="K246" s="60"/>
      <c r="L246" s="60"/>
      <c r="M246" s="60"/>
      <c r="N246" s="60"/>
      <c r="O246" s="61"/>
      <c r="P246" s="61"/>
      <c r="Q246" s="60"/>
      <c r="R246" s="60"/>
      <c r="S246" s="60"/>
      <c r="T246" s="60"/>
      <c r="U246" s="60"/>
      <c r="V246" s="61"/>
      <c r="W246" s="60"/>
      <c r="X246" s="60"/>
      <c r="Y246" s="60"/>
      <c r="Z246" s="60"/>
      <c r="AA246" s="60"/>
      <c r="AB246" s="60"/>
      <c r="AC246" s="61"/>
      <c r="AD246" s="60"/>
      <c r="AE246" s="61"/>
      <c r="AF246" s="60"/>
      <c r="AG246" s="14"/>
      <c r="AH246" s="14"/>
    </row>
    <row r="247" spans="1:34" ht="21" thickTop="1" thickBot="1">
      <c r="A247" s="62" t="s">
        <v>56</v>
      </c>
      <c r="B247" s="43">
        <f>+B243+B183+B123+B63</f>
        <v>6878</v>
      </c>
      <c r="C247" s="43">
        <f t="shared" ref="C247:AE247" si="16">+C243+C183+C123+C63</f>
        <v>7258</v>
      </c>
      <c r="D247" s="43">
        <f t="shared" si="16"/>
        <v>6973</v>
      </c>
      <c r="E247" s="43">
        <f t="shared" si="16"/>
        <v>6973</v>
      </c>
      <c r="F247" s="43">
        <f t="shared" si="16"/>
        <v>6973</v>
      </c>
      <c r="G247" s="43">
        <f t="shared" si="16"/>
        <v>5872</v>
      </c>
      <c r="H247" s="43">
        <f t="shared" si="16"/>
        <v>0</v>
      </c>
      <c r="I247" s="43">
        <f t="shared" si="16"/>
        <v>6973</v>
      </c>
      <c r="J247" s="43">
        <f t="shared" si="16"/>
        <v>6973</v>
      </c>
      <c r="K247" s="43">
        <f t="shared" si="16"/>
        <v>7258</v>
      </c>
      <c r="L247" s="43">
        <f t="shared" si="16"/>
        <v>7258</v>
      </c>
      <c r="M247" s="43">
        <f t="shared" si="16"/>
        <v>7258</v>
      </c>
      <c r="N247" s="43">
        <f t="shared" si="16"/>
        <v>6112</v>
      </c>
      <c r="O247" s="43">
        <f t="shared" si="16"/>
        <v>0</v>
      </c>
      <c r="P247" s="43">
        <f t="shared" si="16"/>
        <v>0</v>
      </c>
      <c r="Q247" s="43">
        <f t="shared" si="16"/>
        <v>6840</v>
      </c>
      <c r="R247" s="43">
        <f t="shared" si="16"/>
        <v>6840</v>
      </c>
      <c r="S247" s="43">
        <f t="shared" si="16"/>
        <v>6840</v>
      </c>
      <c r="T247" s="43">
        <f t="shared" si="16"/>
        <v>6840</v>
      </c>
      <c r="U247" s="43">
        <f t="shared" si="16"/>
        <v>5760</v>
      </c>
      <c r="V247" s="43">
        <f t="shared" si="16"/>
        <v>0</v>
      </c>
      <c r="W247" s="43">
        <f t="shared" si="16"/>
        <v>6840</v>
      </c>
      <c r="X247" s="43">
        <f t="shared" si="16"/>
        <v>6840</v>
      </c>
      <c r="Y247" s="43">
        <f t="shared" si="16"/>
        <v>6840</v>
      </c>
      <c r="Z247" s="43">
        <f t="shared" si="16"/>
        <v>6840</v>
      </c>
      <c r="AA247" s="43">
        <f t="shared" si="16"/>
        <v>6840</v>
      </c>
      <c r="AB247" s="43">
        <f t="shared" si="16"/>
        <v>5760</v>
      </c>
      <c r="AC247" s="43">
        <f t="shared" si="16"/>
        <v>0</v>
      </c>
      <c r="AD247" s="43">
        <f t="shared" si="16"/>
        <v>5680</v>
      </c>
      <c r="AE247" s="43">
        <f t="shared" si="16"/>
        <v>0</v>
      </c>
      <c r="AF247" s="43">
        <f>SUM(B247:AE247)</f>
        <v>161519</v>
      </c>
      <c r="AG247" s="14"/>
      <c r="AH247" s="14"/>
    </row>
    <row r="248" spans="1:34" ht="29.25" thickTop="1">
      <c r="A248" s="63"/>
      <c r="B248" s="64"/>
      <c r="C248" s="65"/>
      <c r="D248" s="66" t="s">
        <v>57</v>
      </c>
      <c r="E248" s="67"/>
      <c r="F248" s="68"/>
      <c r="G248" s="68"/>
      <c r="H248" s="65"/>
      <c r="I248" s="64"/>
      <c r="J248" s="68" t="s">
        <v>58</v>
      </c>
      <c r="K248" s="68"/>
      <c r="L248" s="68"/>
      <c r="M248" s="68"/>
      <c r="N248" s="68"/>
      <c r="O248" s="65"/>
      <c r="P248" s="64"/>
      <c r="Q248" s="68"/>
      <c r="R248" s="68"/>
      <c r="S248" s="67"/>
      <c r="T248" s="65" t="s">
        <v>59</v>
      </c>
      <c r="U248" s="67"/>
      <c r="V248" s="68"/>
      <c r="W248" s="67"/>
      <c r="X248" s="64" t="s">
        <v>60</v>
      </c>
      <c r="Y248" s="69"/>
      <c r="Z248" s="68"/>
      <c r="AA248" s="65"/>
      <c r="AB248" s="68" t="s">
        <v>61</v>
      </c>
      <c r="AC248" s="68"/>
      <c r="AD248" s="64"/>
      <c r="AE248" s="68"/>
      <c r="AF248" s="69">
        <f>+[9]T04!$AF$247</f>
        <v>163672</v>
      </c>
      <c r="AG248" s="70"/>
      <c r="AH248" s="67"/>
    </row>
    <row r="249" spans="1:34">
      <c r="AF249">
        <f>+[10]T04!$AF$247</f>
        <v>149813</v>
      </c>
    </row>
    <row r="250" spans="1:34">
      <c r="AF250">
        <f>+[11]T4.2019!$AF$263</f>
        <v>194040</v>
      </c>
    </row>
    <row r="251" spans="1:34">
      <c r="AF251">
        <f>+[12]T04!$AF$247</f>
        <v>174195</v>
      </c>
    </row>
    <row r="252" spans="1:34">
      <c r="AF252" s="465">
        <f>+[13]T4!$AF$66</f>
        <v>77175</v>
      </c>
    </row>
    <row r="253" spans="1:34">
      <c r="AF253">
        <f>SUM(AF247:AF252)</f>
        <v>920414</v>
      </c>
    </row>
    <row r="254" spans="1:34">
      <c r="AF254">
        <f>+AF253/220.5/21</f>
        <v>198.77205485368754</v>
      </c>
    </row>
  </sheetData>
  <mergeCells count="4">
    <mergeCell ref="A1:AH1"/>
    <mergeCell ref="U2:V2"/>
    <mergeCell ref="W2:Y2"/>
    <mergeCell ref="AF3:AF4"/>
  </mergeCells>
  <conditionalFormatting sqref="M25">
    <cfRule type="cellIs" dxfId="175" priority="242" stopIfTrue="1" operator="lessThanOrEqual">
      <formula>0</formula>
    </cfRule>
  </conditionalFormatting>
  <conditionalFormatting sqref="H71 D219 A11 A25 A39 A53 A71 A85 A99 A113 A131 A145 A159 A173 A191 A205 A219 A233 H11">
    <cfRule type="cellIs" dxfId="174" priority="244" stopIfTrue="1" operator="lessThanOrEqual">
      <formula>0</formula>
    </cfRule>
  </conditionalFormatting>
  <conditionalFormatting sqref="T205">
    <cfRule type="cellIs" dxfId="173" priority="241" stopIfTrue="1" operator="lessThanOrEqual">
      <formula>0</formula>
    </cfRule>
  </conditionalFormatting>
  <conditionalFormatting sqref="O71 O11">
    <cfRule type="cellIs" dxfId="172" priority="239" stopIfTrue="1" operator="lessThanOrEqual">
      <formula>0</formula>
    </cfRule>
  </conditionalFormatting>
  <conditionalFormatting sqref="P71 P11">
    <cfRule type="cellIs" dxfId="171" priority="238" stopIfTrue="1" operator="lessThanOrEqual">
      <formula>0</formula>
    </cfRule>
  </conditionalFormatting>
  <conditionalFormatting sqref="V71 V11">
    <cfRule type="cellIs" dxfId="170" priority="237" stopIfTrue="1" operator="lessThanOrEqual">
      <formula>0</formula>
    </cfRule>
  </conditionalFormatting>
  <conditionalFormatting sqref="AC71 AC11">
    <cfRule type="cellIs" dxfId="169" priority="236" stopIfTrue="1" operator="lessThanOrEqual">
      <formula>0</formula>
    </cfRule>
  </conditionalFormatting>
  <conditionalFormatting sqref="AE71 AE11">
    <cfRule type="cellIs" dxfId="168" priority="235" stopIfTrue="1" operator="lessThanOrEqual">
      <formula>0</formula>
    </cfRule>
  </conditionalFormatting>
  <conditionalFormatting sqref="G49 G35">
    <cfRule type="duplicateValues" dxfId="167" priority="234"/>
  </conditionalFormatting>
  <conditionalFormatting sqref="J35 J21 J7:K7">
    <cfRule type="duplicateValues" dxfId="166" priority="233"/>
  </conditionalFormatting>
  <conditionalFormatting sqref="F49 F35">
    <cfRule type="duplicateValues" dxfId="165" priority="229"/>
  </conditionalFormatting>
  <conditionalFormatting sqref="D21 D7">
    <cfRule type="duplicateValues" dxfId="164" priority="227"/>
  </conditionalFormatting>
  <conditionalFormatting sqref="I21 I7">
    <cfRule type="duplicateValues" dxfId="163" priority="225"/>
  </conditionalFormatting>
  <conditionalFormatting sqref="Q21">
    <cfRule type="duplicateValues" dxfId="162" priority="224"/>
  </conditionalFormatting>
  <conditionalFormatting sqref="L7">
    <cfRule type="duplicateValues" dxfId="161" priority="216"/>
  </conditionalFormatting>
  <conditionalFormatting sqref="Q7">
    <cfRule type="duplicateValues" dxfId="160" priority="215"/>
  </conditionalFormatting>
  <conditionalFormatting sqref="R169:S169 R127:S127 R155:S155 R141:S141">
    <cfRule type="duplicateValues" dxfId="159" priority="206"/>
  </conditionalFormatting>
  <conditionalFormatting sqref="Q169 N169 M127 N155 M141">
    <cfRule type="duplicateValues" dxfId="158" priority="2300"/>
  </conditionalFormatting>
  <conditionalFormatting sqref="X49">
    <cfRule type="duplicateValues" dxfId="157" priority="200"/>
  </conditionalFormatting>
  <conditionalFormatting sqref="AD35 AD21 AD7">
    <cfRule type="duplicateValues" dxfId="156" priority="198"/>
  </conditionalFormatting>
  <conditionalFormatting sqref="AD127 AD141">
    <cfRule type="duplicateValues" dxfId="155" priority="194"/>
  </conditionalFormatting>
  <conditionalFormatting sqref="B201">
    <cfRule type="duplicateValues" dxfId="154" priority="190"/>
  </conditionalFormatting>
  <conditionalFormatting sqref="D201">
    <cfRule type="duplicateValues" dxfId="153" priority="189"/>
  </conditionalFormatting>
  <conditionalFormatting sqref="AA201">
    <cfRule type="duplicateValues" dxfId="152" priority="184"/>
  </conditionalFormatting>
  <conditionalFormatting sqref="E81">
    <cfRule type="duplicateValues" dxfId="151" priority="183"/>
  </conditionalFormatting>
  <conditionalFormatting sqref="G81">
    <cfRule type="duplicateValues" dxfId="150" priority="182"/>
  </conditionalFormatting>
  <conditionalFormatting sqref="AB67 Z81">
    <cfRule type="duplicateValues" dxfId="149" priority="175"/>
  </conditionalFormatting>
  <conditionalFormatting sqref="F81">
    <cfRule type="duplicateValues" dxfId="148" priority="84"/>
  </conditionalFormatting>
  <conditionalFormatting sqref="I81">
    <cfRule type="duplicateValues" dxfId="147" priority="82"/>
  </conditionalFormatting>
  <conditionalFormatting sqref="L67">
    <cfRule type="duplicateValues" dxfId="146" priority="81"/>
  </conditionalFormatting>
  <conditionalFormatting sqref="C81">
    <cfRule type="duplicateValues" dxfId="145" priority="86"/>
  </conditionalFormatting>
  <conditionalFormatting sqref="I67">
    <cfRule type="duplicateValues" dxfId="144" priority="83"/>
  </conditionalFormatting>
  <conditionalFormatting sqref="N95">
    <cfRule type="duplicateValues" dxfId="143" priority="74"/>
  </conditionalFormatting>
  <conditionalFormatting sqref="Q67">
    <cfRule type="duplicateValues" dxfId="142" priority="73"/>
  </conditionalFormatting>
  <conditionalFormatting sqref="AB127">
    <cfRule type="duplicateValues" dxfId="141" priority="117"/>
  </conditionalFormatting>
  <conditionalFormatting sqref="B7">
    <cfRule type="duplicateValues" dxfId="140" priority="116"/>
  </conditionalFormatting>
  <conditionalFormatting sqref="B21">
    <cfRule type="duplicateValues" dxfId="139" priority="115"/>
  </conditionalFormatting>
  <conditionalFormatting sqref="C7">
    <cfRule type="duplicateValues" dxfId="138" priority="114"/>
  </conditionalFormatting>
  <conditionalFormatting sqref="C21">
    <cfRule type="duplicateValues" dxfId="137" priority="113"/>
  </conditionalFormatting>
  <conditionalFormatting sqref="E7">
    <cfRule type="duplicateValues" dxfId="136" priority="112"/>
  </conditionalFormatting>
  <conditionalFormatting sqref="F7">
    <cfRule type="duplicateValues" dxfId="135" priority="111"/>
  </conditionalFormatting>
  <conditionalFormatting sqref="G7">
    <cfRule type="duplicateValues" dxfId="134" priority="110"/>
  </conditionalFormatting>
  <conditionalFormatting sqref="R7">
    <cfRule type="duplicateValues" dxfId="133" priority="109"/>
  </conditionalFormatting>
  <conditionalFormatting sqref="R21">
    <cfRule type="duplicateValues" dxfId="132" priority="108"/>
  </conditionalFormatting>
  <conditionalFormatting sqref="S7">
    <cfRule type="duplicateValues" dxfId="131" priority="107"/>
  </conditionalFormatting>
  <conditionalFormatting sqref="S21">
    <cfRule type="duplicateValues" dxfId="130" priority="106"/>
  </conditionalFormatting>
  <conditionalFormatting sqref="S35">
    <cfRule type="duplicateValues" dxfId="129" priority="105"/>
  </conditionalFormatting>
  <conditionalFormatting sqref="S49">
    <cfRule type="duplicateValues" dxfId="128" priority="104"/>
  </conditionalFormatting>
  <conditionalFormatting sqref="T35">
    <cfRule type="duplicateValues" dxfId="127" priority="103"/>
  </conditionalFormatting>
  <conditionalFormatting sqref="T49">
    <cfRule type="duplicateValues" dxfId="126" priority="102"/>
  </conditionalFormatting>
  <conditionalFormatting sqref="U7">
    <cfRule type="duplicateValues" dxfId="125" priority="101"/>
  </conditionalFormatting>
  <conditionalFormatting sqref="U21">
    <cfRule type="duplicateValues" dxfId="124" priority="100"/>
  </conditionalFormatting>
  <conditionalFormatting sqref="U35">
    <cfRule type="duplicateValues" dxfId="123" priority="99"/>
  </conditionalFormatting>
  <conditionalFormatting sqref="U49">
    <cfRule type="duplicateValues" dxfId="122" priority="98"/>
  </conditionalFormatting>
  <conditionalFormatting sqref="W7">
    <cfRule type="duplicateValues" dxfId="121" priority="97"/>
  </conditionalFormatting>
  <conditionalFormatting sqref="W21">
    <cfRule type="duplicateValues" dxfId="120" priority="96"/>
  </conditionalFormatting>
  <conditionalFormatting sqref="X7">
    <cfRule type="duplicateValues" dxfId="119" priority="95"/>
  </conditionalFormatting>
  <conditionalFormatting sqref="X21">
    <cfRule type="duplicateValues" dxfId="118" priority="94"/>
  </conditionalFormatting>
  <conditionalFormatting sqref="Y7">
    <cfRule type="duplicateValues" dxfId="117" priority="93"/>
  </conditionalFormatting>
  <conditionalFormatting sqref="Z7">
    <cfRule type="duplicateValues" dxfId="116" priority="92"/>
  </conditionalFormatting>
  <conditionalFormatting sqref="Z21">
    <cfRule type="duplicateValues" dxfId="115" priority="91"/>
  </conditionalFormatting>
  <conditionalFormatting sqref="X35">
    <cfRule type="duplicateValues" dxfId="114" priority="90"/>
  </conditionalFormatting>
  <conditionalFormatting sqref="Z35">
    <cfRule type="duplicateValues" dxfId="113" priority="89"/>
  </conditionalFormatting>
  <conditionalFormatting sqref="Z49">
    <cfRule type="duplicateValues" dxfId="112" priority="88"/>
  </conditionalFormatting>
  <conditionalFormatting sqref="C67">
    <cfRule type="duplicateValues" dxfId="111" priority="87"/>
  </conditionalFormatting>
  <conditionalFormatting sqref="F67">
    <cfRule type="duplicateValues" dxfId="110" priority="85"/>
  </conditionalFormatting>
  <conditionalFormatting sqref="M67">
    <cfRule type="duplicateValues" dxfId="109" priority="80"/>
  </conditionalFormatting>
  <conditionalFormatting sqref="M81">
    <cfRule type="duplicateValues" dxfId="108" priority="79"/>
  </conditionalFormatting>
  <conditionalFormatting sqref="M95">
    <cfRule type="duplicateValues" dxfId="107" priority="78"/>
  </conditionalFormatting>
  <conditionalFormatting sqref="M109">
    <cfRule type="duplicateValues" dxfId="106" priority="77"/>
  </conditionalFormatting>
  <conditionalFormatting sqref="N67">
    <cfRule type="duplicateValues" dxfId="105" priority="76"/>
  </conditionalFormatting>
  <conditionalFormatting sqref="N81">
    <cfRule type="duplicateValues" dxfId="104" priority="75"/>
  </conditionalFormatting>
  <conditionalFormatting sqref="R67">
    <cfRule type="duplicateValues" dxfId="103" priority="72"/>
  </conditionalFormatting>
  <conditionalFormatting sqref="R81">
    <cfRule type="duplicateValues" dxfId="102" priority="71"/>
  </conditionalFormatting>
  <conditionalFormatting sqref="R95">
    <cfRule type="duplicateValues" dxfId="101" priority="70"/>
  </conditionalFormatting>
  <conditionalFormatting sqref="S67">
    <cfRule type="duplicateValues" dxfId="100" priority="69"/>
  </conditionalFormatting>
  <conditionalFormatting sqref="S81">
    <cfRule type="duplicateValues" dxfId="99" priority="68"/>
  </conditionalFormatting>
  <conditionalFormatting sqref="T67">
    <cfRule type="duplicateValues" dxfId="98" priority="67"/>
  </conditionalFormatting>
  <conditionalFormatting sqref="W67">
    <cfRule type="duplicateValues" dxfId="97" priority="66"/>
  </conditionalFormatting>
  <conditionalFormatting sqref="Z67">
    <cfRule type="duplicateValues" dxfId="96" priority="65"/>
  </conditionalFormatting>
  <conditionalFormatting sqref="AA67">
    <cfRule type="duplicateValues" dxfId="95" priority="64"/>
  </conditionalFormatting>
  <conditionalFormatting sqref="G127">
    <cfRule type="duplicateValues" dxfId="94" priority="63"/>
  </conditionalFormatting>
  <conditionalFormatting sqref="G141">
    <cfRule type="duplicateValues" dxfId="93" priority="62"/>
  </conditionalFormatting>
  <conditionalFormatting sqref="I127">
    <cfRule type="duplicateValues" dxfId="92" priority="61"/>
  </conditionalFormatting>
  <conditionalFormatting sqref="I141">
    <cfRule type="duplicateValues" dxfId="91" priority="60"/>
  </conditionalFormatting>
  <conditionalFormatting sqref="J127">
    <cfRule type="duplicateValues" dxfId="90" priority="59"/>
  </conditionalFormatting>
  <conditionalFormatting sqref="N127">
    <cfRule type="duplicateValues" dxfId="89" priority="58"/>
  </conditionalFormatting>
  <conditionalFormatting sqref="N141">
    <cfRule type="duplicateValues" dxfId="88" priority="57"/>
  </conditionalFormatting>
  <conditionalFormatting sqref="Q127">
    <cfRule type="duplicateValues" dxfId="87" priority="56"/>
  </conditionalFormatting>
  <conditionalFormatting sqref="Q141">
    <cfRule type="duplicateValues" dxfId="86" priority="55"/>
  </conditionalFormatting>
  <conditionalFormatting sqref="Q155">
    <cfRule type="duplicateValues" dxfId="85" priority="54"/>
  </conditionalFormatting>
  <conditionalFormatting sqref="T127">
    <cfRule type="duplicateValues" dxfId="84" priority="53"/>
  </conditionalFormatting>
  <conditionalFormatting sqref="U127">
    <cfRule type="duplicateValues" dxfId="83" priority="52"/>
  </conditionalFormatting>
  <conditionalFormatting sqref="U141">
    <cfRule type="duplicateValues" dxfId="82" priority="51"/>
  </conditionalFormatting>
  <conditionalFormatting sqref="W155">
    <cfRule type="duplicateValues" dxfId="81" priority="50"/>
  </conditionalFormatting>
  <conditionalFormatting sqref="W169">
    <cfRule type="duplicateValues" dxfId="80" priority="49"/>
  </conditionalFormatting>
  <conditionalFormatting sqref="X127">
    <cfRule type="duplicateValues" dxfId="79" priority="48"/>
  </conditionalFormatting>
  <conditionalFormatting sqref="X141">
    <cfRule type="duplicateValues" dxfId="78" priority="47"/>
  </conditionalFormatting>
  <conditionalFormatting sqref="X155">
    <cfRule type="duplicateValues" dxfId="77" priority="46"/>
  </conditionalFormatting>
  <conditionalFormatting sqref="Y127">
    <cfRule type="duplicateValues" dxfId="76" priority="45"/>
  </conditionalFormatting>
  <conditionalFormatting sqref="Z127">
    <cfRule type="duplicateValues" dxfId="75" priority="44"/>
  </conditionalFormatting>
  <conditionalFormatting sqref="Z141">
    <cfRule type="duplicateValues" dxfId="74" priority="43"/>
  </conditionalFormatting>
  <conditionalFormatting sqref="AA127">
    <cfRule type="duplicateValues" dxfId="73" priority="42"/>
  </conditionalFormatting>
  <conditionalFormatting sqref="AA141">
    <cfRule type="duplicateValues" dxfId="72" priority="41"/>
  </conditionalFormatting>
  <conditionalFormatting sqref="AA155">
    <cfRule type="duplicateValues" dxfId="71" priority="40"/>
  </conditionalFormatting>
  <conditionalFormatting sqref="AB141">
    <cfRule type="duplicateValues" dxfId="70" priority="39"/>
  </conditionalFormatting>
  <conditionalFormatting sqref="W127">
    <cfRule type="duplicateValues" dxfId="69" priority="38"/>
  </conditionalFormatting>
  <conditionalFormatting sqref="W141">
    <cfRule type="duplicateValues" dxfId="68" priority="37"/>
  </conditionalFormatting>
  <conditionalFormatting sqref="U155">
    <cfRule type="duplicateValues" dxfId="67" priority="36"/>
  </conditionalFormatting>
  <conditionalFormatting sqref="U169">
    <cfRule type="duplicateValues" dxfId="66" priority="35"/>
  </conditionalFormatting>
  <conditionalFormatting sqref="B187">
    <cfRule type="duplicateValues" dxfId="65" priority="34"/>
  </conditionalFormatting>
  <conditionalFormatting sqref="C187">
    <cfRule type="duplicateValues" dxfId="64" priority="33"/>
  </conditionalFormatting>
  <conditionalFormatting sqref="C201">
    <cfRule type="duplicateValues" dxfId="63" priority="32"/>
  </conditionalFormatting>
  <conditionalFormatting sqref="C215">
    <cfRule type="duplicateValues" dxfId="62" priority="31"/>
  </conditionalFormatting>
  <conditionalFormatting sqref="D187">
    <cfRule type="duplicateValues" dxfId="61" priority="30"/>
  </conditionalFormatting>
  <conditionalFormatting sqref="E187">
    <cfRule type="duplicateValues" dxfId="60" priority="29"/>
  </conditionalFormatting>
  <conditionalFormatting sqref="G187">
    <cfRule type="duplicateValues" dxfId="59" priority="28"/>
  </conditionalFormatting>
  <conditionalFormatting sqref="I187">
    <cfRule type="duplicateValues" dxfId="58" priority="27"/>
  </conditionalFormatting>
  <conditionalFormatting sqref="I201">
    <cfRule type="duplicateValues" dxfId="57" priority="26"/>
  </conditionalFormatting>
  <conditionalFormatting sqref="K187">
    <cfRule type="duplicateValues" dxfId="56" priority="25"/>
  </conditionalFormatting>
  <conditionalFormatting sqref="N187">
    <cfRule type="duplicateValues" dxfId="55" priority="24"/>
  </conditionalFormatting>
  <conditionalFormatting sqref="N201">
    <cfRule type="duplicateValues" dxfId="54" priority="23"/>
  </conditionalFormatting>
  <conditionalFormatting sqref="N215">
    <cfRule type="duplicateValues" dxfId="53" priority="22"/>
  </conditionalFormatting>
  <conditionalFormatting sqref="N229">
    <cfRule type="duplicateValues" dxfId="52" priority="21"/>
  </conditionalFormatting>
  <conditionalFormatting sqref="Q187">
    <cfRule type="duplicateValues" dxfId="51" priority="20"/>
  </conditionalFormatting>
  <conditionalFormatting sqref="Q201">
    <cfRule type="duplicateValues" dxfId="50" priority="19"/>
  </conditionalFormatting>
  <conditionalFormatting sqref="S187">
    <cfRule type="duplicateValues" dxfId="49" priority="18"/>
  </conditionalFormatting>
  <conditionalFormatting sqref="U187">
    <cfRule type="duplicateValues" dxfId="48" priority="17"/>
  </conditionalFormatting>
  <conditionalFormatting sqref="X187">
    <cfRule type="duplicateValues" dxfId="47" priority="16"/>
  </conditionalFormatting>
  <conditionalFormatting sqref="Y187">
    <cfRule type="duplicateValues" dxfId="46" priority="15"/>
  </conditionalFormatting>
  <conditionalFormatting sqref="Y201">
    <cfRule type="duplicateValues" dxfId="45" priority="14"/>
  </conditionalFormatting>
  <conditionalFormatting sqref="Y215">
    <cfRule type="duplicateValues" dxfId="44" priority="13"/>
  </conditionalFormatting>
  <conditionalFormatting sqref="Z187">
    <cfRule type="duplicateValues" dxfId="43" priority="12"/>
  </conditionalFormatting>
  <conditionalFormatting sqref="Z201">
    <cfRule type="duplicateValues" dxfId="42" priority="11"/>
  </conditionalFormatting>
  <conditionalFormatting sqref="AA187">
    <cfRule type="duplicateValues" dxfId="41" priority="10"/>
  </conditionalFormatting>
  <conditionalFormatting sqref="Z215">
    <cfRule type="duplicateValues" dxfId="40" priority="9"/>
  </conditionalFormatting>
  <conditionalFormatting sqref="B95">
    <cfRule type="duplicateValues" dxfId="39" priority="8"/>
  </conditionalFormatting>
  <conditionalFormatting sqref="B67">
    <cfRule type="duplicateValues" dxfId="38" priority="7"/>
  </conditionalFormatting>
  <conditionalFormatting sqref="B81">
    <cfRule type="duplicateValues" dxfId="37" priority="6"/>
  </conditionalFormatting>
  <conditionalFormatting sqref="F127">
    <cfRule type="duplicateValues" dxfId="36" priority="5"/>
  </conditionalFormatting>
  <conditionalFormatting sqref="C127">
    <cfRule type="duplicateValues" dxfId="35" priority="4"/>
  </conditionalFormatting>
  <conditionalFormatting sqref="E127">
    <cfRule type="duplicateValues" dxfId="34" priority="3"/>
  </conditionalFormatting>
  <conditionalFormatting sqref="T7">
    <cfRule type="duplicateValues" dxfId="33" priority="2"/>
  </conditionalFormatting>
  <conditionalFormatting sqref="T21">
    <cfRule type="duplicateValues" dxfId="32" priority="1"/>
  </conditionalFormatting>
  <pageMargins left="0" right="0" top="0" bottom="0" header="0.31496062992125984" footer="0.31496062992125984"/>
  <pageSetup paperSize="9" scale="55" orientation="landscape" r:id="rId1"/>
  <rowBreaks count="3" manualBreakCount="3">
    <brk id="65" max="16383" man="1"/>
    <brk id="125" max="16383" man="1"/>
    <brk id="185" max="16383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48"/>
  <sheetViews>
    <sheetView zoomScale="70" zoomScaleNormal="70" workbookViewId="0">
      <pane xSplit="1" ySplit="5" topLeftCell="B27" activePane="bottomRight" state="frozen"/>
      <selection activeCell="P237" sqref="P237"/>
      <selection pane="topRight" activeCell="P237" sqref="P237"/>
      <selection pane="bottomLeft" activeCell="P237" sqref="P237"/>
      <selection pane="bottomRight" activeCell="F38" sqref="F38"/>
    </sheetView>
  </sheetViews>
  <sheetFormatPr defaultRowHeight="15"/>
  <cols>
    <col min="2" max="32" width="9.140625" style="24"/>
  </cols>
  <sheetData>
    <row r="1" spans="1:36" ht="57.75">
      <c r="A1" s="519" t="s">
        <v>708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</row>
    <row r="2" spans="1:36" ht="30.75" thickBot="1">
      <c r="A2" s="430"/>
      <c r="B2" s="3"/>
      <c r="C2" s="3"/>
      <c r="D2" s="431" t="s">
        <v>0</v>
      </c>
      <c r="E2" s="1"/>
      <c r="F2" s="3"/>
      <c r="G2" s="1"/>
      <c r="H2" s="430" t="s">
        <v>1</v>
      </c>
      <c r="I2" s="1"/>
      <c r="J2" s="430" t="s">
        <v>2</v>
      </c>
      <c r="K2" s="5"/>
      <c r="L2" s="5"/>
      <c r="M2" s="5"/>
      <c r="N2" s="6"/>
      <c r="O2" s="432"/>
      <c r="P2" s="432"/>
      <c r="Q2" s="432"/>
      <c r="R2" s="5"/>
      <c r="S2" s="5"/>
      <c r="T2" s="5"/>
      <c r="U2" s="532" t="s">
        <v>3</v>
      </c>
      <c r="V2" s="532"/>
      <c r="W2" s="533">
        <f>+AG243+AG183+AG123+AG63</f>
        <v>48300</v>
      </c>
      <c r="X2" s="533"/>
      <c r="Y2" s="533"/>
      <c r="Z2" s="1"/>
      <c r="AA2" s="433" t="s">
        <v>4</v>
      </c>
      <c r="AB2" s="433"/>
      <c r="AC2" s="433"/>
      <c r="AD2" s="432" t="s">
        <v>5</v>
      </c>
      <c r="AE2" s="1"/>
      <c r="AF2" s="1"/>
      <c r="AG2" s="9"/>
      <c r="AH2" s="1"/>
      <c r="AI2" s="1"/>
    </row>
    <row r="3" spans="1:36" ht="23.25" thickBot="1">
      <c r="A3" s="95" t="s">
        <v>6</v>
      </c>
      <c r="B3" s="435">
        <v>43586</v>
      </c>
      <c r="C3" s="434">
        <v>43587</v>
      </c>
      <c r="D3" s="434">
        <v>43588</v>
      </c>
      <c r="E3" s="434">
        <v>43589</v>
      </c>
      <c r="F3" s="435">
        <v>43590</v>
      </c>
      <c r="G3" s="434">
        <v>43591</v>
      </c>
      <c r="H3" s="434">
        <v>43592</v>
      </c>
      <c r="I3" s="434">
        <v>43593</v>
      </c>
      <c r="J3" s="434">
        <v>43594</v>
      </c>
      <c r="K3" s="434">
        <v>43595</v>
      </c>
      <c r="L3" s="434">
        <v>43596</v>
      </c>
      <c r="M3" s="435">
        <v>43597</v>
      </c>
      <c r="N3" s="434">
        <v>43598</v>
      </c>
      <c r="O3" s="434">
        <v>43599</v>
      </c>
      <c r="P3" s="434">
        <v>43600</v>
      </c>
      <c r="Q3" s="434">
        <v>43601</v>
      </c>
      <c r="R3" s="434">
        <v>43602</v>
      </c>
      <c r="S3" s="434">
        <v>43603</v>
      </c>
      <c r="T3" s="435">
        <v>43604</v>
      </c>
      <c r="U3" s="434">
        <v>43605</v>
      </c>
      <c r="V3" s="434">
        <v>43606</v>
      </c>
      <c r="W3" s="434">
        <v>43607</v>
      </c>
      <c r="X3" s="434">
        <v>43608</v>
      </c>
      <c r="Y3" s="434">
        <v>43609</v>
      </c>
      <c r="Z3" s="434">
        <v>43610</v>
      </c>
      <c r="AA3" s="435">
        <v>43611</v>
      </c>
      <c r="AB3" s="434">
        <v>43612</v>
      </c>
      <c r="AC3" s="434">
        <v>43613</v>
      </c>
      <c r="AD3" s="434">
        <v>43614</v>
      </c>
      <c r="AE3" s="434">
        <v>43615</v>
      </c>
      <c r="AF3" s="434">
        <v>43616</v>
      </c>
      <c r="AG3" s="522" t="s">
        <v>7</v>
      </c>
      <c r="AH3" s="1"/>
      <c r="AI3" s="1"/>
    </row>
    <row r="4" spans="1:36" ht="23.25" thickBot="1">
      <c r="A4" s="95" t="s">
        <v>8</v>
      </c>
      <c r="B4" s="447" t="s">
        <v>706</v>
      </c>
      <c r="C4" s="437" t="str">
        <f>IF(B4="日","一",IF(B4="一","二",IF(B4="二","三",IF(B4="三","四",IF(B4="四","五",IF(B4="五","六",IF(B4="六","日","")))))))</f>
        <v>四</v>
      </c>
      <c r="D4" s="436" t="str">
        <f>IF(C4="日","一",IF(C4="一","二",IF(C4="二","三",IF(C4="三","四",IF(C4="四","五",IF(C4="五","六",IF(C4="六","日","")))))))</f>
        <v>五</v>
      </c>
      <c r="E4" s="437" t="str">
        <f>IF(D4="日","一",IF(D4="一","二",IF(D4="二","三",IF(D4="三","四",IF(D4="四","五",IF(D4="五","六",IF(D4="六","日","")))))))</f>
        <v>六</v>
      </c>
      <c r="F4" s="447" t="str">
        <f t="shared" ref="F4:AF4" si="0">IF(E4="日","一",IF(E4="一","二",IF(E4="二","三",IF(E4="三","四",IF(E4="四","五",IF(E4="五","六",IF(E4="六","日","")))))))</f>
        <v>日</v>
      </c>
      <c r="G4" s="437" t="str">
        <f t="shared" si="0"/>
        <v>一</v>
      </c>
      <c r="H4" s="448" t="str">
        <f t="shared" si="0"/>
        <v>二</v>
      </c>
      <c r="I4" s="437" t="str">
        <f t="shared" si="0"/>
        <v>三</v>
      </c>
      <c r="J4" s="437" t="str">
        <f t="shared" si="0"/>
        <v>四</v>
      </c>
      <c r="K4" s="436" t="str">
        <f t="shared" si="0"/>
        <v>五</v>
      </c>
      <c r="L4" s="437" t="str">
        <f t="shared" si="0"/>
        <v>六</v>
      </c>
      <c r="M4" s="447" t="str">
        <f t="shared" si="0"/>
        <v>日</v>
      </c>
      <c r="N4" s="437" t="str">
        <f t="shared" si="0"/>
        <v>一</v>
      </c>
      <c r="O4" s="448" t="str">
        <f t="shared" si="0"/>
        <v>二</v>
      </c>
      <c r="P4" s="437" t="str">
        <f t="shared" si="0"/>
        <v>三</v>
      </c>
      <c r="Q4" s="437" t="str">
        <f t="shared" si="0"/>
        <v>四</v>
      </c>
      <c r="R4" s="436" t="str">
        <f t="shared" si="0"/>
        <v>五</v>
      </c>
      <c r="S4" s="437" t="str">
        <f t="shared" si="0"/>
        <v>六</v>
      </c>
      <c r="T4" s="447" t="str">
        <f t="shared" si="0"/>
        <v>日</v>
      </c>
      <c r="U4" s="437" t="str">
        <f t="shared" si="0"/>
        <v>一</v>
      </c>
      <c r="V4" s="448" t="str">
        <f t="shared" si="0"/>
        <v>二</v>
      </c>
      <c r="W4" s="437" t="str">
        <f t="shared" si="0"/>
        <v>三</v>
      </c>
      <c r="X4" s="437" t="str">
        <f t="shared" si="0"/>
        <v>四</v>
      </c>
      <c r="Y4" s="436" t="str">
        <f t="shared" si="0"/>
        <v>五</v>
      </c>
      <c r="Z4" s="437" t="str">
        <f t="shared" si="0"/>
        <v>六</v>
      </c>
      <c r="AA4" s="447" t="str">
        <f t="shared" si="0"/>
        <v>日</v>
      </c>
      <c r="AB4" s="437" t="str">
        <f t="shared" si="0"/>
        <v>一</v>
      </c>
      <c r="AC4" s="448" t="str">
        <f t="shared" si="0"/>
        <v>二</v>
      </c>
      <c r="AD4" s="437" t="str">
        <f t="shared" si="0"/>
        <v>三</v>
      </c>
      <c r="AE4" s="449" t="str">
        <f t="shared" si="0"/>
        <v>四</v>
      </c>
      <c r="AF4" s="436" t="str">
        <f t="shared" si="0"/>
        <v>五</v>
      </c>
      <c r="AG4" s="523"/>
      <c r="AH4" s="10">
        <f>+AH5*9.5</f>
        <v>161.5</v>
      </c>
      <c r="AI4" s="10">
        <f>+AI5*8</f>
        <v>32</v>
      </c>
      <c r="AJ4" s="10" t="s">
        <v>9</v>
      </c>
    </row>
    <row r="5" spans="1:36" ht="15.75" thickBot="1">
      <c r="A5" s="439"/>
      <c r="B5" s="441"/>
      <c r="C5" s="440">
        <v>9.5</v>
      </c>
      <c r="D5" s="440">
        <v>9.5</v>
      </c>
      <c r="E5" s="440">
        <v>8</v>
      </c>
      <c r="F5" s="441"/>
      <c r="G5" s="440">
        <v>9.5</v>
      </c>
      <c r="H5" s="440">
        <v>9.5</v>
      </c>
      <c r="I5" s="440">
        <v>9.5</v>
      </c>
      <c r="J5" s="440">
        <v>9.5</v>
      </c>
      <c r="K5" s="440">
        <v>9.5</v>
      </c>
      <c r="L5" s="440">
        <v>8</v>
      </c>
      <c r="M5" s="441"/>
      <c r="N5" s="440">
        <v>9.5</v>
      </c>
      <c r="O5" s="440">
        <v>9.5</v>
      </c>
      <c r="P5" s="440">
        <v>9.5</v>
      </c>
      <c r="Q5" s="440">
        <v>9.5</v>
      </c>
      <c r="R5" s="440">
        <v>9.5</v>
      </c>
      <c r="S5" s="440">
        <v>8</v>
      </c>
      <c r="T5" s="441"/>
      <c r="U5" s="440">
        <v>9.5</v>
      </c>
      <c r="V5" s="440">
        <v>9.5</v>
      </c>
      <c r="W5" s="440">
        <v>9.5</v>
      </c>
      <c r="X5" s="440">
        <v>9.5</v>
      </c>
      <c r="Y5" s="440">
        <v>9.5</v>
      </c>
      <c r="Z5" s="440">
        <v>8</v>
      </c>
      <c r="AA5" s="441"/>
      <c r="AB5" s="440"/>
      <c r="AC5" s="440"/>
      <c r="AD5" s="440"/>
      <c r="AE5" s="440"/>
      <c r="AF5" s="440"/>
      <c r="AG5" s="96">
        <f>SUM(B5:AF5)</f>
        <v>193.5</v>
      </c>
      <c r="AH5" s="11">
        <f>COUNTIF(B5:AF5,9.5)</f>
        <v>17</v>
      </c>
      <c r="AI5" s="11">
        <f>COUNTIF(B5:AG5,8)</f>
        <v>4</v>
      </c>
      <c r="AJ5" s="11">
        <f>COUNTA(B5:AF5)</f>
        <v>21</v>
      </c>
    </row>
    <row r="6" spans="1:36" ht="15.75">
      <c r="A6" s="12" t="s">
        <v>10</v>
      </c>
      <c r="B6" s="13"/>
      <c r="C6" s="51" t="s">
        <v>714</v>
      </c>
      <c r="D6" s="51" t="s">
        <v>714</v>
      </c>
      <c r="E6" s="51" t="s">
        <v>720</v>
      </c>
      <c r="F6" s="13"/>
      <c r="G6" s="51" t="s">
        <v>720</v>
      </c>
      <c r="H6" s="418"/>
      <c r="I6" s="458"/>
      <c r="J6" s="457"/>
      <c r="K6" s="457"/>
      <c r="L6" s="457"/>
      <c r="M6" s="459"/>
      <c r="N6" s="457"/>
      <c r="O6" s="450"/>
      <c r="P6" s="450"/>
      <c r="Q6" s="450"/>
      <c r="R6" s="450"/>
      <c r="S6" s="14"/>
      <c r="T6" s="13"/>
      <c r="U6" s="14"/>
      <c r="V6" s="14"/>
      <c r="W6" s="14"/>
      <c r="X6" s="14"/>
      <c r="Y6" s="14"/>
      <c r="Z6" s="14"/>
      <c r="AA6" s="13"/>
      <c r="AB6" s="14"/>
      <c r="AC6" s="14"/>
      <c r="AD6" s="14"/>
      <c r="AE6" s="14"/>
      <c r="AF6" s="14"/>
      <c r="AG6" s="97"/>
      <c r="AH6" s="14"/>
      <c r="AI6" s="14"/>
    </row>
    <row r="7" spans="1:36" ht="15.75">
      <c r="A7" s="443" t="s">
        <v>11</v>
      </c>
      <c r="B7" s="13"/>
      <c r="C7" s="52" t="s">
        <v>877</v>
      </c>
      <c r="D7" s="52" t="s">
        <v>876</v>
      </c>
      <c r="E7" s="52" t="s">
        <v>875</v>
      </c>
      <c r="F7" s="13"/>
      <c r="G7" s="52" t="s">
        <v>878</v>
      </c>
      <c r="H7" s="93"/>
      <c r="I7" s="417"/>
      <c r="J7" s="93"/>
      <c r="K7" s="93"/>
      <c r="L7" s="93"/>
      <c r="M7" s="15"/>
      <c r="N7" s="93"/>
      <c r="O7" s="50"/>
      <c r="P7" s="50"/>
      <c r="Q7" s="50"/>
      <c r="R7" s="50"/>
      <c r="S7" s="14"/>
      <c r="T7" s="13"/>
      <c r="U7" s="14"/>
      <c r="V7" s="14"/>
      <c r="W7" s="14"/>
      <c r="X7" s="14"/>
      <c r="Y7" s="14"/>
      <c r="Z7" s="14"/>
      <c r="AA7" s="13"/>
      <c r="AB7" s="14"/>
      <c r="AC7" s="14"/>
      <c r="AD7" s="14"/>
      <c r="AE7" s="14"/>
      <c r="AF7" s="14"/>
      <c r="AG7" s="98"/>
      <c r="AH7" s="14"/>
      <c r="AI7" s="14"/>
    </row>
    <row r="8" spans="1:36" ht="15.75">
      <c r="A8" s="16" t="s">
        <v>12</v>
      </c>
      <c r="B8" s="13"/>
      <c r="C8" s="51"/>
      <c r="D8" s="51"/>
      <c r="E8" s="51"/>
      <c r="F8" s="13"/>
      <c r="G8" s="51"/>
      <c r="H8" s="418"/>
      <c r="I8" s="130"/>
      <c r="J8" s="418"/>
      <c r="K8" s="418"/>
      <c r="L8" s="418"/>
      <c r="M8" s="15"/>
      <c r="N8" s="418"/>
      <c r="O8" s="50"/>
      <c r="P8" s="50"/>
      <c r="Q8" s="50"/>
      <c r="R8" s="50"/>
      <c r="S8" s="14"/>
      <c r="T8" s="13"/>
      <c r="U8" s="14"/>
      <c r="V8" s="14"/>
      <c r="W8" s="14"/>
      <c r="X8" s="14"/>
      <c r="Y8" s="14"/>
      <c r="Z8" s="14"/>
      <c r="AA8" s="13"/>
      <c r="AB8" s="14"/>
      <c r="AC8" s="14"/>
      <c r="AD8" s="14"/>
      <c r="AE8" s="14"/>
      <c r="AF8" s="14"/>
      <c r="AG8" s="98"/>
      <c r="AH8" s="14"/>
      <c r="AI8" s="14"/>
    </row>
    <row r="9" spans="1:36" ht="15.75">
      <c r="A9" s="18" t="s">
        <v>13</v>
      </c>
      <c r="B9" s="13"/>
      <c r="C9" s="53" t="s">
        <v>1004</v>
      </c>
      <c r="D9" s="53" t="s">
        <v>1004</v>
      </c>
      <c r="E9" s="53" t="s">
        <v>1005</v>
      </c>
      <c r="F9" s="13"/>
      <c r="G9" s="53" t="s">
        <v>1005</v>
      </c>
      <c r="H9" s="19"/>
      <c r="I9" s="129"/>
      <c r="J9" s="19"/>
      <c r="K9" s="19"/>
      <c r="L9" s="19"/>
      <c r="M9" s="15"/>
      <c r="N9" s="19"/>
      <c r="O9" s="50"/>
      <c r="P9" s="50"/>
      <c r="Q9" s="50"/>
      <c r="R9" s="50"/>
      <c r="S9" s="14"/>
      <c r="T9" s="13"/>
      <c r="U9" s="14"/>
      <c r="V9" s="14"/>
      <c r="W9" s="14"/>
      <c r="X9" s="14"/>
      <c r="Y9" s="14"/>
      <c r="Z9" s="14"/>
      <c r="AA9" s="13"/>
      <c r="AB9" s="14"/>
      <c r="AC9" s="14"/>
      <c r="AD9" s="14"/>
      <c r="AE9" s="14"/>
      <c r="AF9" s="14"/>
      <c r="AG9" s="98"/>
      <c r="AH9" s="14"/>
      <c r="AI9" s="14"/>
    </row>
    <row r="10" spans="1:36" ht="15.75">
      <c r="A10" s="20" t="s">
        <v>15</v>
      </c>
      <c r="B10" s="13"/>
      <c r="C10" s="51" t="s">
        <v>16</v>
      </c>
      <c r="D10" s="51" t="s">
        <v>16</v>
      </c>
      <c r="E10" s="51" t="s">
        <v>16</v>
      </c>
      <c r="F10" s="13"/>
      <c r="G10" s="51" t="s">
        <v>16</v>
      </c>
      <c r="H10" s="418"/>
      <c r="I10" s="130"/>
      <c r="J10" s="418"/>
      <c r="K10" s="418"/>
      <c r="L10" s="418"/>
      <c r="M10" s="15"/>
      <c r="N10" s="418"/>
      <c r="O10" s="50"/>
      <c r="P10" s="50"/>
      <c r="Q10" s="50"/>
      <c r="R10" s="50"/>
      <c r="S10" s="14"/>
      <c r="T10" s="13"/>
      <c r="U10" s="14"/>
      <c r="V10" s="14"/>
      <c r="W10" s="14"/>
      <c r="X10" s="14"/>
      <c r="Y10" s="14"/>
      <c r="Z10" s="14"/>
      <c r="AA10" s="13"/>
      <c r="AB10" s="14"/>
      <c r="AC10" s="14"/>
      <c r="AD10" s="14"/>
      <c r="AE10" s="14"/>
      <c r="AF10" s="14"/>
      <c r="AG10" s="98"/>
      <c r="AH10" s="14"/>
      <c r="AI10" s="14"/>
    </row>
    <row r="11" spans="1:36" ht="15.75">
      <c r="A11" s="444" t="s">
        <v>17</v>
      </c>
      <c r="B11" s="13"/>
      <c r="C11" s="492" t="s">
        <v>1000</v>
      </c>
      <c r="D11" s="492" t="s">
        <v>1000</v>
      </c>
      <c r="E11" s="492" t="s">
        <v>1000</v>
      </c>
      <c r="F11" s="13"/>
      <c r="G11" s="492" t="s">
        <v>1000</v>
      </c>
      <c r="H11" s="391"/>
      <c r="I11" s="460"/>
      <c r="J11" s="391"/>
      <c r="K11" s="391"/>
      <c r="L11" s="391"/>
      <c r="M11" s="15"/>
      <c r="N11" s="391"/>
      <c r="O11" s="50"/>
      <c r="P11" s="50"/>
      <c r="Q11" s="50"/>
      <c r="R11" s="50"/>
      <c r="S11" s="14"/>
      <c r="T11" s="13"/>
      <c r="U11" s="14"/>
      <c r="V11" s="14"/>
      <c r="W11" s="14"/>
      <c r="X11" s="14"/>
      <c r="Y11" s="14"/>
      <c r="Z11" s="14"/>
      <c r="AA11" s="13"/>
      <c r="AB11" s="14"/>
      <c r="AC11" s="14"/>
      <c r="AD11" s="14"/>
      <c r="AE11" s="14"/>
      <c r="AF11" s="14"/>
      <c r="AG11" s="98"/>
      <c r="AH11" s="14"/>
      <c r="AI11" s="14"/>
    </row>
    <row r="12" spans="1:36" ht="15.75">
      <c r="A12" s="22" t="s">
        <v>18</v>
      </c>
      <c r="B12" s="13"/>
      <c r="C12" s="54"/>
      <c r="D12" s="54"/>
      <c r="E12" s="54"/>
      <c r="F12" s="13"/>
      <c r="G12" s="54"/>
      <c r="H12" s="23"/>
      <c r="I12" s="131"/>
      <c r="J12" s="23"/>
      <c r="K12" s="23"/>
      <c r="L12" s="23"/>
      <c r="M12" s="15"/>
      <c r="N12" s="23"/>
      <c r="O12" s="50"/>
      <c r="P12" s="50"/>
      <c r="Q12" s="50"/>
      <c r="R12" s="50"/>
      <c r="S12" s="14"/>
      <c r="T12" s="13"/>
      <c r="U12" s="14"/>
      <c r="V12" s="14"/>
      <c r="W12" s="14"/>
      <c r="X12" s="14"/>
      <c r="Y12" s="14"/>
      <c r="Z12" s="14"/>
      <c r="AA12" s="13"/>
      <c r="AB12" s="14"/>
      <c r="AC12" s="14"/>
      <c r="AD12" s="14"/>
      <c r="AE12" s="14"/>
      <c r="AF12" s="14"/>
      <c r="AG12" s="98"/>
      <c r="AH12" s="14"/>
      <c r="AI12" s="14"/>
    </row>
    <row r="13" spans="1:36">
      <c r="A13" s="12" t="s">
        <v>20</v>
      </c>
      <c r="B13" s="13"/>
      <c r="C13" s="55"/>
      <c r="D13" s="55"/>
      <c r="E13" s="55"/>
      <c r="F13" s="13"/>
      <c r="G13" s="55"/>
      <c r="I13" s="114"/>
      <c r="J13" s="50"/>
      <c r="K13" s="50"/>
      <c r="L13" s="50"/>
      <c r="M13" s="15"/>
      <c r="N13" s="50"/>
      <c r="O13" s="50"/>
      <c r="P13" s="50"/>
      <c r="Q13" s="50"/>
      <c r="R13" s="50"/>
      <c r="S13" s="14"/>
      <c r="T13" s="13"/>
      <c r="U13" s="14"/>
      <c r="V13" s="14"/>
      <c r="W13" s="14"/>
      <c r="X13" s="14"/>
      <c r="Y13" s="14"/>
      <c r="Z13" s="14"/>
      <c r="AA13" s="13"/>
      <c r="AB13" s="14"/>
      <c r="AC13" s="14"/>
      <c r="AD13" s="14"/>
      <c r="AE13" s="14"/>
      <c r="AF13" s="14"/>
      <c r="AG13" s="98"/>
      <c r="AH13" s="14"/>
      <c r="AI13" s="14"/>
    </row>
    <row r="14" spans="1:36" ht="15.75">
      <c r="A14" s="25" t="s">
        <v>21</v>
      </c>
      <c r="B14" s="13"/>
      <c r="C14" s="51" t="s">
        <v>716</v>
      </c>
      <c r="D14" s="51" t="s">
        <v>716</v>
      </c>
      <c r="E14" s="51" t="s">
        <v>736</v>
      </c>
      <c r="F14" s="13"/>
      <c r="G14" s="51" t="s">
        <v>719</v>
      </c>
      <c r="H14" s="418"/>
      <c r="I14" s="130"/>
      <c r="J14" s="418"/>
      <c r="K14" s="418"/>
      <c r="L14" s="418"/>
      <c r="M14" s="15"/>
      <c r="N14" s="418"/>
      <c r="O14" s="50"/>
      <c r="P14" s="50"/>
      <c r="Q14" s="50"/>
      <c r="R14" s="50"/>
      <c r="S14" s="14"/>
      <c r="T14" s="13"/>
      <c r="U14" s="14"/>
      <c r="V14" s="14"/>
      <c r="W14" s="14"/>
      <c r="X14" s="14"/>
      <c r="Y14" s="14"/>
      <c r="Z14" s="14"/>
      <c r="AA14" s="13"/>
      <c r="AB14" s="14"/>
      <c r="AC14" s="14"/>
      <c r="AD14" s="14"/>
      <c r="AE14" s="14"/>
      <c r="AF14" s="14"/>
      <c r="AG14" s="98"/>
      <c r="AH14" s="14"/>
      <c r="AI14" s="14"/>
    </row>
    <row r="15" spans="1:36">
      <c r="A15" s="26" t="s">
        <v>22</v>
      </c>
      <c r="B15" s="13"/>
      <c r="C15" s="57"/>
      <c r="D15" s="57"/>
      <c r="E15" s="57"/>
      <c r="F15" s="13"/>
      <c r="G15" s="57"/>
      <c r="H15" s="27"/>
      <c r="I15" s="132"/>
      <c r="J15" s="27"/>
      <c r="K15" s="27"/>
      <c r="L15" s="27"/>
      <c r="M15" s="15"/>
      <c r="N15" s="27"/>
      <c r="O15" s="50"/>
      <c r="P15" s="50"/>
      <c r="Q15" s="50"/>
      <c r="R15" s="50"/>
      <c r="S15" s="14"/>
      <c r="T15" s="13"/>
      <c r="U15" s="14"/>
      <c r="V15" s="14"/>
      <c r="W15" s="14"/>
      <c r="X15" s="14"/>
      <c r="Y15" s="14"/>
      <c r="Z15" s="14"/>
      <c r="AA15" s="13"/>
      <c r="AB15" s="14"/>
      <c r="AC15" s="14"/>
      <c r="AD15" s="14"/>
      <c r="AE15" s="14"/>
      <c r="AF15" s="14"/>
      <c r="AG15" s="98"/>
      <c r="AH15" s="14"/>
      <c r="AI15" s="14"/>
    </row>
    <row r="16" spans="1:36" ht="15.75">
      <c r="A16" s="25" t="s">
        <v>23</v>
      </c>
      <c r="B16" s="13"/>
      <c r="C16" s="51">
        <v>132</v>
      </c>
      <c r="D16" s="51">
        <v>168</v>
      </c>
      <c r="E16" s="51">
        <v>372</v>
      </c>
      <c r="F16" s="13"/>
      <c r="G16" s="51">
        <v>372</v>
      </c>
      <c r="H16" s="418"/>
      <c r="I16" s="130"/>
      <c r="J16" s="418"/>
      <c r="K16" s="418"/>
      <c r="L16" s="418"/>
      <c r="M16" s="15"/>
      <c r="N16" s="418"/>
      <c r="O16" s="50"/>
      <c r="P16" s="50"/>
      <c r="Q16" s="50"/>
      <c r="R16" s="50"/>
      <c r="S16" s="14"/>
      <c r="T16" s="13"/>
      <c r="U16" s="14"/>
      <c r="V16" s="14"/>
      <c r="W16" s="14"/>
      <c r="X16" s="14"/>
      <c r="Y16" s="14"/>
      <c r="Z16" s="14"/>
      <c r="AA16" s="13"/>
      <c r="AB16" s="14"/>
      <c r="AC16" s="14"/>
      <c r="AD16" s="14"/>
      <c r="AE16" s="14"/>
      <c r="AF16" s="14"/>
      <c r="AG16" s="98"/>
      <c r="AH16" s="14"/>
      <c r="AI16" s="14"/>
    </row>
    <row r="17" spans="1:35" ht="15.75">
      <c r="A17" s="28" t="s">
        <v>24</v>
      </c>
      <c r="B17" s="13"/>
      <c r="C17" s="55"/>
      <c r="D17" s="55"/>
      <c r="E17" s="55"/>
      <c r="F17" s="13"/>
      <c r="G17" s="55"/>
      <c r="I17" s="114"/>
      <c r="J17" s="50"/>
      <c r="K17" s="50"/>
      <c r="L17" s="50"/>
      <c r="M17" s="15"/>
      <c r="N17" s="50"/>
      <c r="O17" s="50"/>
      <c r="P17" s="50"/>
      <c r="Q17" s="50"/>
      <c r="R17" s="50"/>
      <c r="S17" s="14"/>
      <c r="T17" s="13"/>
      <c r="U17" s="14"/>
      <c r="V17" s="14"/>
      <c r="W17" s="14"/>
      <c r="X17" s="14"/>
      <c r="Y17" s="14"/>
      <c r="Z17" s="14"/>
      <c r="AA17" s="13"/>
      <c r="AB17" s="14"/>
      <c r="AC17" s="14"/>
      <c r="AD17" s="14"/>
      <c r="AE17" s="14"/>
      <c r="AF17" s="14"/>
      <c r="AG17" s="98"/>
      <c r="AH17" s="14"/>
      <c r="AI17" s="14"/>
    </row>
    <row r="18" spans="1:35" ht="15.75">
      <c r="A18" s="31" t="s">
        <v>25</v>
      </c>
      <c r="B18" s="13"/>
      <c r="C18" s="491">
        <v>43595</v>
      </c>
      <c r="D18" s="491">
        <v>43600</v>
      </c>
      <c r="E18" s="491">
        <v>43597</v>
      </c>
      <c r="F18" s="13"/>
      <c r="G18" s="491">
        <v>43597</v>
      </c>
      <c r="H18" s="32"/>
      <c r="I18" s="133"/>
      <c r="J18" s="32"/>
      <c r="K18" s="32"/>
      <c r="L18" s="32"/>
      <c r="M18" s="15"/>
      <c r="N18" s="32"/>
      <c r="O18" s="50"/>
      <c r="P18" s="50"/>
      <c r="Q18" s="50"/>
      <c r="R18" s="50"/>
      <c r="S18" s="14"/>
      <c r="T18" s="13"/>
      <c r="U18" s="14"/>
      <c r="V18" s="14"/>
      <c r="W18" s="14"/>
      <c r="X18" s="14"/>
      <c r="Y18" s="14"/>
      <c r="Z18" s="14"/>
      <c r="AA18" s="13"/>
      <c r="AB18" s="14"/>
      <c r="AC18" s="14"/>
      <c r="AD18" s="14"/>
      <c r="AE18" s="14"/>
      <c r="AF18" s="14"/>
      <c r="AG18" s="98"/>
      <c r="AH18" s="14"/>
      <c r="AI18" s="14"/>
    </row>
    <row r="19" spans="1:35">
      <c r="A19" s="12" t="s">
        <v>27</v>
      </c>
      <c r="B19" s="13"/>
      <c r="C19" s="58" t="s">
        <v>28</v>
      </c>
      <c r="D19" s="58" t="s">
        <v>30</v>
      </c>
      <c r="E19" s="58" t="s">
        <v>28</v>
      </c>
      <c r="F19" s="13"/>
      <c r="G19" s="58" t="s">
        <v>28</v>
      </c>
      <c r="I19" s="461"/>
      <c r="J19" s="50"/>
      <c r="K19" s="50"/>
      <c r="L19" s="50"/>
      <c r="M19" s="15"/>
      <c r="N19" s="50"/>
      <c r="O19" s="50"/>
      <c r="P19" s="50"/>
      <c r="Q19" s="50"/>
      <c r="R19" s="50"/>
      <c r="S19" s="14"/>
      <c r="T19" s="13"/>
      <c r="U19" s="14"/>
      <c r="V19" s="14"/>
      <c r="W19" s="14"/>
      <c r="X19" s="14"/>
      <c r="Y19" s="14"/>
      <c r="Z19" s="14"/>
      <c r="AA19" s="13"/>
      <c r="AB19" s="14"/>
      <c r="AC19" s="14"/>
      <c r="AD19" s="14"/>
      <c r="AE19" s="14"/>
      <c r="AF19" s="14"/>
      <c r="AG19" s="98"/>
      <c r="AH19" s="14"/>
      <c r="AI19" s="14"/>
    </row>
    <row r="20" spans="1:35" ht="15.75">
      <c r="A20" s="12" t="s">
        <v>10</v>
      </c>
      <c r="B20" s="13"/>
      <c r="C20" s="51" t="s">
        <v>714</v>
      </c>
      <c r="D20" s="51" t="s">
        <v>714</v>
      </c>
      <c r="E20" s="51" t="s">
        <v>720</v>
      </c>
      <c r="F20" s="13"/>
      <c r="G20" s="418"/>
      <c r="H20" s="418"/>
      <c r="I20" s="461"/>
      <c r="J20" s="418"/>
      <c r="K20" s="418"/>
      <c r="L20" s="418"/>
      <c r="M20" s="15"/>
      <c r="N20" s="418"/>
      <c r="O20" s="50"/>
      <c r="P20" s="50"/>
      <c r="Q20" s="50"/>
      <c r="R20" s="50"/>
      <c r="S20" s="14"/>
      <c r="T20" s="13"/>
      <c r="U20" s="14"/>
      <c r="V20" s="14"/>
      <c r="W20" s="14"/>
      <c r="X20" s="14"/>
      <c r="Y20" s="14"/>
      <c r="Z20" s="14"/>
      <c r="AA20" s="13"/>
      <c r="AB20" s="14"/>
      <c r="AC20" s="14"/>
      <c r="AD20" s="14"/>
      <c r="AE20" s="14"/>
      <c r="AF20" s="14"/>
      <c r="AG20" s="98"/>
      <c r="AH20" s="14"/>
      <c r="AI20" s="14"/>
    </row>
    <row r="21" spans="1:35" ht="15.75">
      <c r="A21" s="443" t="s">
        <v>11</v>
      </c>
      <c r="B21" s="13"/>
      <c r="C21" s="52" t="s">
        <v>874</v>
      </c>
      <c r="D21" s="52" t="s">
        <v>873</v>
      </c>
      <c r="E21" s="52" t="s">
        <v>872</v>
      </c>
      <c r="F21" s="13"/>
      <c r="G21" s="93"/>
      <c r="H21" s="93"/>
      <c r="I21" s="461"/>
      <c r="J21" s="93"/>
      <c r="K21" s="93"/>
      <c r="L21" s="93"/>
      <c r="M21" s="15"/>
      <c r="N21" s="93"/>
      <c r="O21" s="50"/>
      <c r="P21" s="50"/>
      <c r="Q21" s="50"/>
      <c r="R21" s="50"/>
      <c r="S21" s="14"/>
      <c r="T21" s="13"/>
      <c r="U21" s="14"/>
      <c r="V21" s="14"/>
      <c r="W21" s="14"/>
      <c r="X21" s="14"/>
      <c r="Y21" s="14"/>
      <c r="Z21" s="14"/>
      <c r="AA21" s="13"/>
      <c r="AB21" s="14"/>
      <c r="AC21" s="14"/>
      <c r="AD21" s="14"/>
      <c r="AE21" s="14"/>
      <c r="AF21" s="14"/>
      <c r="AG21" s="98"/>
      <c r="AH21" s="14"/>
      <c r="AI21" s="14"/>
    </row>
    <row r="22" spans="1:35" ht="15.75">
      <c r="A22" s="16" t="s">
        <v>12</v>
      </c>
      <c r="B22" s="13"/>
      <c r="C22" s="51"/>
      <c r="D22" s="51"/>
      <c r="E22" s="51"/>
      <c r="F22" s="13"/>
      <c r="G22" s="418"/>
      <c r="H22" s="418"/>
      <c r="I22" s="461"/>
      <c r="J22" s="418"/>
      <c r="K22" s="418"/>
      <c r="L22" s="418"/>
      <c r="M22" s="15"/>
      <c r="N22" s="418"/>
      <c r="O22" s="50"/>
      <c r="P22" s="50"/>
      <c r="Q22" s="50"/>
      <c r="R22" s="50"/>
      <c r="S22" s="14"/>
      <c r="T22" s="13"/>
      <c r="U22" s="14"/>
      <c r="V22" s="14"/>
      <c r="W22" s="14"/>
      <c r="X22" s="14"/>
      <c r="Y22" s="14"/>
      <c r="Z22" s="14"/>
      <c r="AA22" s="13"/>
      <c r="AB22" s="14"/>
      <c r="AC22" s="14"/>
      <c r="AD22" s="14"/>
      <c r="AE22" s="14"/>
      <c r="AF22" s="14"/>
      <c r="AG22" s="98"/>
      <c r="AH22" s="14"/>
      <c r="AI22" s="14"/>
    </row>
    <row r="23" spans="1:35" ht="15.75">
      <c r="A23" s="18" t="s">
        <v>13</v>
      </c>
      <c r="B23" s="13"/>
      <c r="C23" s="53" t="s">
        <v>1004</v>
      </c>
      <c r="D23" s="53" t="s">
        <v>1004</v>
      </c>
      <c r="E23" s="53" t="s">
        <v>1005</v>
      </c>
      <c r="F23" s="13"/>
      <c r="G23" s="19"/>
      <c r="H23" s="19"/>
      <c r="I23" s="461"/>
      <c r="J23" s="19"/>
      <c r="K23" s="19"/>
      <c r="L23" s="19"/>
      <c r="M23" s="15"/>
      <c r="N23" s="19"/>
      <c r="O23" s="50"/>
      <c r="P23" s="50"/>
      <c r="Q23" s="50"/>
      <c r="R23" s="50"/>
      <c r="S23" s="14"/>
      <c r="T23" s="13"/>
      <c r="U23" s="14"/>
      <c r="V23" s="14"/>
      <c r="W23" s="14"/>
      <c r="X23" s="14"/>
      <c r="Y23" s="14"/>
      <c r="Z23" s="14"/>
      <c r="AA23" s="13"/>
      <c r="AB23" s="14"/>
      <c r="AC23" s="14"/>
      <c r="AD23" s="14"/>
      <c r="AE23" s="14"/>
      <c r="AF23" s="14"/>
      <c r="AG23" s="98"/>
      <c r="AH23" s="14"/>
      <c r="AI23" s="14"/>
    </row>
    <row r="24" spans="1:35" ht="15.75">
      <c r="A24" s="20" t="s">
        <v>15</v>
      </c>
      <c r="B24" s="13"/>
      <c r="C24" s="51" t="s">
        <v>16</v>
      </c>
      <c r="D24" s="51" t="s">
        <v>16</v>
      </c>
      <c r="E24" s="51" t="s">
        <v>16</v>
      </c>
      <c r="F24" s="13"/>
      <c r="G24" s="418"/>
      <c r="H24" s="418"/>
      <c r="I24" s="461"/>
      <c r="J24" s="418"/>
      <c r="K24" s="418"/>
      <c r="L24" s="418"/>
      <c r="M24" s="15"/>
      <c r="N24" s="418"/>
      <c r="O24" s="50"/>
      <c r="P24" s="50"/>
      <c r="Q24" s="50"/>
      <c r="R24" s="50"/>
      <c r="S24" s="14"/>
      <c r="T24" s="13"/>
      <c r="U24" s="14"/>
      <c r="V24" s="14"/>
      <c r="W24" s="14"/>
      <c r="X24" s="14"/>
      <c r="Y24" s="14"/>
      <c r="Z24" s="14"/>
      <c r="AA24" s="13"/>
      <c r="AB24" s="14"/>
      <c r="AC24" s="14"/>
      <c r="AD24" s="14"/>
      <c r="AE24" s="14"/>
      <c r="AF24" s="14"/>
      <c r="AG24" s="98"/>
      <c r="AH24" s="14"/>
      <c r="AI24" s="14"/>
    </row>
    <row r="25" spans="1:35" ht="15.75">
      <c r="A25" s="444" t="s">
        <v>17</v>
      </c>
      <c r="B25" s="13"/>
      <c r="C25" s="492" t="s">
        <v>1000</v>
      </c>
      <c r="D25" s="492" t="s">
        <v>1000</v>
      </c>
      <c r="E25" s="492" t="s">
        <v>1000</v>
      </c>
      <c r="F25" s="13"/>
      <c r="G25" s="391"/>
      <c r="H25" s="391"/>
      <c r="I25" s="461"/>
      <c r="J25" s="391"/>
      <c r="K25" s="391"/>
      <c r="L25" s="391"/>
      <c r="M25" s="15"/>
      <c r="N25" s="391"/>
      <c r="O25" s="50"/>
      <c r="P25" s="50"/>
      <c r="Q25" s="50"/>
      <c r="R25" s="50"/>
      <c r="S25" s="14"/>
      <c r="T25" s="13"/>
      <c r="U25" s="14"/>
      <c r="V25" s="14"/>
      <c r="W25" s="14"/>
      <c r="X25" s="14"/>
      <c r="Y25" s="14"/>
      <c r="Z25" s="14"/>
      <c r="AA25" s="13"/>
      <c r="AB25" s="14"/>
      <c r="AC25" s="14"/>
      <c r="AD25" s="14"/>
      <c r="AE25" s="14"/>
      <c r="AF25" s="14"/>
      <c r="AG25" s="98"/>
      <c r="AH25" s="14"/>
      <c r="AI25" s="14"/>
    </row>
    <row r="26" spans="1:35" ht="15.75">
      <c r="A26" s="22" t="s">
        <v>18</v>
      </c>
      <c r="B26" s="13"/>
      <c r="C26" s="54"/>
      <c r="D26" s="54"/>
      <c r="E26" s="54"/>
      <c r="F26" s="13"/>
      <c r="G26" s="23"/>
      <c r="H26" s="23"/>
      <c r="I26" s="461"/>
      <c r="J26" s="23"/>
      <c r="K26" s="23"/>
      <c r="L26" s="23"/>
      <c r="M26" s="15"/>
      <c r="N26" s="23"/>
      <c r="O26" s="50"/>
      <c r="P26" s="50"/>
      <c r="Q26" s="50"/>
      <c r="R26" s="50"/>
      <c r="S26" s="14"/>
      <c r="T26" s="13"/>
      <c r="U26" s="14"/>
      <c r="V26" s="14"/>
      <c r="W26" s="14"/>
      <c r="X26" s="14"/>
      <c r="Y26" s="14"/>
      <c r="Z26" s="14"/>
      <c r="AA26" s="13"/>
      <c r="AB26" s="14"/>
      <c r="AC26" s="14"/>
      <c r="AD26" s="14"/>
      <c r="AE26" s="14"/>
      <c r="AF26" s="14"/>
      <c r="AG26" s="98"/>
      <c r="AH26" s="14"/>
      <c r="AI26" s="14"/>
    </row>
    <row r="27" spans="1:35">
      <c r="A27" s="12" t="s">
        <v>20</v>
      </c>
      <c r="B27" s="13"/>
      <c r="C27" s="55"/>
      <c r="D27" s="55"/>
      <c r="E27" s="55"/>
      <c r="F27" s="13"/>
      <c r="I27" s="461"/>
      <c r="J27" s="50"/>
      <c r="K27" s="50"/>
      <c r="L27" s="50"/>
      <c r="M27" s="15"/>
      <c r="N27" s="50"/>
      <c r="O27" s="50"/>
      <c r="P27" s="50"/>
      <c r="Q27" s="50"/>
      <c r="R27" s="50"/>
      <c r="S27" s="14"/>
      <c r="T27" s="13"/>
      <c r="U27" s="14"/>
      <c r="V27" s="14"/>
      <c r="W27" s="14"/>
      <c r="X27" s="14"/>
      <c r="Y27" s="14"/>
      <c r="Z27" s="14"/>
      <c r="AA27" s="13"/>
      <c r="AB27" s="14"/>
      <c r="AC27" s="14"/>
      <c r="AD27" s="14"/>
      <c r="AE27" s="14"/>
      <c r="AF27" s="14"/>
      <c r="AG27" s="98"/>
      <c r="AH27" s="14"/>
      <c r="AI27" s="14"/>
    </row>
    <row r="28" spans="1:35" ht="15.75">
      <c r="A28" s="25" t="s">
        <v>21</v>
      </c>
      <c r="B28" s="13"/>
      <c r="C28" s="51" t="s">
        <v>716</v>
      </c>
      <c r="D28" s="51" t="s">
        <v>716</v>
      </c>
      <c r="E28" s="51" t="s">
        <v>719</v>
      </c>
      <c r="F28" s="13"/>
      <c r="G28" s="418"/>
      <c r="H28" s="418"/>
      <c r="I28" s="461"/>
      <c r="J28" s="418"/>
      <c r="K28" s="418"/>
      <c r="L28" s="418"/>
      <c r="M28" s="15"/>
      <c r="N28" s="418"/>
      <c r="O28" s="50"/>
      <c r="P28" s="50"/>
      <c r="Q28" s="50"/>
      <c r="R28" s="50"/>
      <c r="S28" s="14"/>
      <c r="T28" s="13"/>
      <c r="U28" s="14"/>
      <c r="V28" s="14"/>
      <c r="W28" s="14"/>
      <c r="X28" s="14"/>
      <c r="Y28" s="14"/>
      <c r="Z28" s="14"/>
      <c r="AA28" s="13"/>
      <c r="AB28" s="14"/>
      <c r="AC28" s="14"/>
      <c r="AD28" s="14"/>
      <c r="AE28" s="14"/>
      <c r="AF28" s="14"/>
      <c r="AG28" s="98"/>
      <c r="AH28" s="14"/>
      <c r="AI28" s="14"/>
    </row>
    <row r="29" spans="1:35">
      <c r="A29" s="26" t="s">
        <v>22</v>
      </c>
      <c r="B29" s="13"/>
      <c r="C29" s="57"/>
      <c r="D29" s="57"/>
      <c r="E29" s="57"/>
      <c r="F29" s="13"/>
      <c r="G29" s="27"/>
      <c r="H29" s="27"/>
      <c r="I29" s="461"/>
      <c r="J29" s="27"/>
      <c r="K29" s="27"/>
      <c r="L29" s="27"/>
      <c r="M29" s="15"/>
      <c r="N29" s="27"/>
      <c r="O29" s="50"/>
      <c r="P29" s="50"/>
      <c r="Q29" s="50"/>
      <c r="R29" s="50"/>
      <c r="S29" s="14"/>
      <c r="T29" s="13"/>
      <c r="U29" s="14"/>
      <c r="V29" s="14"/>
      <c r="W29" s="14"/>
      <c r="X29" s="14"/>
      <c r="Y29" s="14"/>
      <c r="Z29" s="14"/>
      <c r="AA29" s="13"/>
      <c r="AB29" s="14"/>
      <c r="AC29" s="14"/>
      <c r="AD29" s="14"/>
      <c r="AE29" s="14"/>
      <c r="AF29" s="14"/>
      <c r="AG29" s="98"/>
      <c r="AH29" s="14"/>
      <c r="AI29" s="14"/>
    </row>
    <row r="30" spans="1:35" ht="15.75">
      <c r="A30" s="25" t="s">
        <v>23</v>
      </c>
      <c r="B30" s="13"/>
      <c r="C30" s="51">
        <v>444</v>
      </c>
      <c r="D30" s="51">
        <v>732</v>
      </c>
      <c r="E30" s="51">
        <v>1920</v>
      </c>
      <c r="F30" s="13"/>
      <c r="G30" s="418"/>
      <c r="H30" s="418"/>
      <c r="I30" s="461"/>
      <c r="J30" s="418"/>
      <c r="K30" s="418"/>
      <c r="L30" s="418"/>
      <c r="M30" s="15"/>
      <c r="N30" s="418"/>
      <c r="O30" s="50"/>
      <c r="P30" s="50"/>
      <c r="Q30" s="50"/>
      <c r="R30" s="50"/>
      <c r="S30" s="14"/>
      <c r="T30" s="13"/>
      <c r="U30" s="14"/>
      <c r="V30" s="14"/>
      <c r="W30" s="14"/>
      <c r="X30" s="14"/>
      <c r="Y30" s="14"/>
      <c r="Z30" s="14"/>
      <c r="AA30" s="13"/>
      <c r="AB30" s="14"/>
      <c r="AC30" s="14"/>
      <c r="AD30" s="14"/>
      <c r="AE30" s="14"/>
      <c r="AF30" s="14"/>
      <c r="AG30" s="98"/>
      <c r="AH30" s="14"/>
      <c r="AI30" s="14"/>
    </row>
    <row r="31" spans="1:35" ht="15.75">
      <c r="A31" s="28" t="s">
        <v>24</v>
      </c>
      <c r="B31" s="13"/>
      <c r="C31" s="55"/>
      <c r="D31" s="55"/>
      <c r="E31" s="55"/>
      <c r="F31" s="13"/>
      <c r="I31" s="461"/>
      <c r="J31" s="50"/>
      <c r="K31" s="50"/>
      <c r="L31" s="50"/>
      <c r="M31" s="15"/>
      <c r="N31" s="50"/>
      <c r="O31" s="50"/>
      <c r="P31" s="50"/>
      <c r="Q31" s="50"/>
      <c r="R31" s="50"/>
      <c r="S31" s="14"/>
      <c r="T31" s="13"/>
      <c r="U31" s="14"/>
      <c r="V31" s="14"/>
      <c r="W31" s="14"/>
      <c r="X31" s="14"/>
      <c r="Y31" s="14"/>
      <c r="Z31" s="14"/>
      <c r="AA31" s="13"/>
      <c r="AB31" s="14"/>
      <c r="AC31" s="14"/>
      <c r="AD31" s="14"/>
      <c r="AE31" s="14"/>
      <c r="AF31" s="14"/>
      <c r="AG31" s="98"/>
      <c r="AH31" s="14"/>
      <c r="AI31" s="14"/>
    </row>
    <row r="32" spans="1:35" ht="15.75">
      <c r="A32" s="31" t="s">
        <v>25</v>
      </c>
      <c r="B32" s="13"/>
      <c r="C32" s="491">
        <v>43597</v>
      </c>
      <c r="D32" s="491">
        <v>43620</v>
      </c>
      <c r="E32" s="491">
        <v>43595</v>
      </c>
      <c r="F32" s="13"/>
      <c r="G32" s="32"/>
      <c r="H32" s="32"/>
      <c r="I32" s="461"/>
      <c r="J32" s="32"/>
      <c r="K32" s="32"/>
      <c r="L32" s="32"/>
      <c r="M32" s="15"/>
      <c r="N32" s="32"/>
      <c r="O32" s="50"/>
      <c r="P32" s="50"/>
      <c r="Q32" s="50"/>
      <c r="R32" s="50"/>
      <c r="S32" s="14"/>
      <c r="T32" s="13"/>
      <c r="U32" s="14"/>
      <c r="V32" s="14"/>
      <c r="W32" s="14"/>
      <c r="X32" s="14"/>
      <c r="Y32" s="14"/>
      <c r="Z32" s="14"/>
      <c r="AA32" s="13"/>
      <c r="AB32" s="14"/>
      <c r="AC32" s="14"/>
      <c r="AD32" s="14"/>
      <c r="AE32" s="14"/>
      <c r="AF32" s="14"/>
      <c r="AG32" s="98"/>
      <c r="AH32" s="14"/>
      <c r="AI32" s="14"/>
    </row>
    <row r="33" spans="1:35">
      <c r="A33" s="12" t="s">
        <v>27</v>
      </c>
      <c r="B33" s="13"/>
      <c r="C33" s="58" t="s">
        <v>28</v>
      </c>
      <c r="D33" s="58" t="s">
        <v>35</v>
      </c>
      <c r="E33" s="58" t="s">
        <v>28</v>
      </c>
      <c r="F33" s="13"/>
      <c r="I33" s="461"/>
      <c r="J33" s="50"/>
      <c r="K33" s="50"/>
      <c r="L33" s="50"/>
      <c r="M33" s="15"/>
      <c r="N33" s="50"/>
      <c r="O33" s="50"/>
      <c r="P33" s="50"/>
      <c r="Q33" s="50"/>
      <c r="R33" s="50"/>
      <c r="S33" s="14"/>
      <c r="T33" s="13"/>
      <c r="U33" s="14"/>
      <c r="V33" s="14"/>
      <c r="W33" s="14"/>
      <c r="X33" s="14"/>
      <c r="Y33" s="14"/>
      <c r="Z33" s="14"/>
      <c r="AA33" s="13"/>
      <c r="AB33" s="14"/>
      <c r="AC33" s="14"/>
      <c r="AD33" s="14"/>
      <c r="AE33" s="14"/>
      <c r="AF33" s="14"/>
      <c r="AG33" s="98"/>
      <c r="AH33" s="14"/>
      <c r="AI33" s="14"/>
    </row>
    <row r="34" spans="1:35" ht="15.75">
      <c r="A34" s="12" t="s">
        <v>10</v>
      </c>
      <c r="B34" s="13"/>
      <c r="C34" s="51" t="s">
        <v>714</v>
      </c>
      <c r="D34" s="509" t="s">
        <v>720</v>
      </c>
      <c r="E34"/>
      <c r="F34" s="13"/>
      <c r="G34" s="418"/>
      <c r="H34" s="418"/>
      <c r="I34" s="461"/>
      <c r="J34" s="50"/>
      <c r="K34" s="418"/>
      <c r="L34" s="418"/>
      <c r="M34" s="15"/>
      <c r="N34" s="418"/>
      <c r="O34" s="50"/>
      <c r="P34" s="50"/>
      <c r="Q34" s="50"/>
      <c r="R34" s="50"/>
      <c r="S34" s="14"/>
      <c r="T34" s="13"/>
      <c r="U34" s="14"/>
      <c r="V34" s="14"/>
      <c r="W34" s="14"/>
      <c r="X34" s="14"/>
      <c r="Y34" s="14"/>
      <c r="Z34" s="14"/>
      <c r="AA34" s="13"/>
      <c r="AB34" s="14"/>
      <c r="AC34" s="14"/>
      <c r="AD34" s="14"/>
      <c r="AE34" s="14"/>
      <c r="AF34" s="14"/>
      <c r="AG34" s="98"/>
      <c r="AH34" s="14"/>
      <c r="AI34" s="14"/>
    </row>
    <row r="35" spans="1:35" ht="15.75">
      <c r="A35" s="443" t="s">
        <v>11</v>
      </c>
      <c r="B35" s="13"/>
      <c r="C35" s="52" t="s">
        <v>871</v>
      </c>
      <c r="D35" s="510" t="s">
        <v>870</v>
      </c>
      <c r="E35"/>
      <c r="F35" s="13"/>
      <c r="G35" s="93"/>
      <c r="H35" s="93"/>
      <c r="I35" s="461"/>
      <c r="J35" s="50"/>
      <c r="K35" s="93"/>
      <c r="L35" s="93"/>
      <c r="M35" s="15"/>
      <c r="N35" s="93"/>
      <c r="O35" s="50"/>
      <c r="P35" s="50"/>
      <c r="Q35" s="50"/>
      <c r="R35" s="50"/>
      <c r="S35" s="14"/>
      <c r="T35" s="13"/>
      <c r="U35" s="14"/>
      <c r="V35" s="14"/>
      <c r="W35" s="14"/>
      <c r="X35" s="14"/>
      <c r="Y35" s="14"/>
      <c r="Z35" s="14"/>
      <c r="AA35" s="13"/>
      <c r="AB35" s="14"/>
      <c r="AC35" s="14"/>
      <c r="AD35" s="14"/>
      <c r="AE35" s="14"/>
      <c r="AF35" s="14"/>
      <c r="AG35" s="98"/>
      <c r="AH35" s="14"/>
      <c r="AI35" s="14"/>
    </row>
    <row r="36" spans="1:35" ht="15.75">
      <c r="A36" s="16" t="s">
        <v>12</v>
      </c>
      <c r="B36" s="13"/>
      <c r="C36" s="51"/>
      <c r="D36" s="511"/>
      <c r="E36"/>
      <c r="F36" s="13"/>
      <c r="G36" s="418"/>
      <c r="H36" s="418"/>
      <c r="I36" s="461"/>
      <c r="J36" s="50"/>
      <c r="K36" s="418"/>
      <c r="L36" s="418"/>
      <c r="M36" s="15"/>
      <c r="N36" s="418"/>
      <c r="O36" s="50"/>
      <c r="P36" s="50"/>
      <c r="Q36" s="50"/>
      <c r="R36" s="50"/>
      <c r="S36" s="14"/>
      <c r="T36" s="13"/>
      <c r="U36" s="14"/>
      <c r="V36" s="14"/>
      <c r="W36" s="14"/>
      <c r="X36" s="14"/>
      <c r="Y36" s="14"/>
      <c r="Z36" s="14"/>
      <c r="AA36" s="13"/>
      <c r="AB36" s="14"/>
      <c r="AC36" s="14"/>
      <c r="AD36" s="14"/>
      <c r="AE36" s="14"/>
      <c r="AF36" s="14"/>
      <c r="AG36" s="98"/>
      <c r="AH36" s="14"/>
      <c r="AI36" s="14"/>
    </row>
    <row r="37" spans="1:35" ht="15.75">
      <c r="A37" s="18" t="s">
        <v>13</v>
      </c>
      <c r="B37" s="13"/>
      <c r="C37" s="53" t="s">
        <v>1004</v>
      </c>
      <c r="D37" s="512" t="s">
        <v>1005</v>
      </c>
      <c r="E37"/>
      <c r="F37" s="13"/>
      <c r="G37" s="19"/>
      <c r="H37" s="19"/>
      <c r="I37" s="461"/>
      <c r="J37" s="50"/>
      <c r="K37" s="19"/>
      <c r="L37" s="19"/>
      <c r="M37" s="15"/>
      <c r="N37" s="19"/>
      <c r="O37" s="50"/>
      <c r="P37" s="50"/>
      <c r="Q37" s="50"/>
      <c r="R37" s="50"/>
      <c r="S37" s="14"/>
      <c r="T37" s="13"/>
      <c r="U37" s="14"/>
      <c r="V37" s="14"/>
      <c r="W37" s="14"/>
      <c r="X37" s="14"/>
      <c r="Y37" s="14"/>
      <c r="Z37" s="14"/>
      <c r="AA37" s="13"/>
      <c r="AB37" s="14"/>
      <c r="AC37" s="14"/>
      <c r="AD37" s="14"/>
      <c r="AE37" s="14"/>
      <c r="AF37" s="14"/>
      <c r="AG37" s="98"/>
      <c r="AH37" s="14"/>
      <c r="AI37" s="14"/>
    </row>
    <row r="38" spans="1:35" ht="15.75">
      <c r="A38" s="20" t="s">
        <v>15</v>
      </c>
      <c r="B38" s="13"/>
      <c r="C38" s="51" t="s">
        <v>16</v>
      </c>
      <c r="D38" s="511" t="s">
        <v>16</v>
      </c>
      <c r="E38"/>
      <c r="F38" s="13"/>
      <c r="G38" s="418"/>
      <c r="H38" s="418"/>
      <c r="I38" s="461"/>
      <c r="J38" s="50"/>
      <c r="K38" s="418"/>
      <c r="L38" s="418"/>
      <c r="M38" s="15"/>
      <c r="N38" s="418"/>
      <c r="O38" s="50"/>
      <c r="P38" s="50"/>
      <c r="Q38" s="50"/>
      <c r="R38" s="50"/>
      <c r="S38" s="14"/>
      <c r="T38" s="13"/>
      <c r="U38" s="14"/>
      <c r="V38" s="14"/>
      <c r="W38" s="14"/>
      <c r="X38" s="14"/>
      <c r="Y38" s="14"/>
      <c r="Z38" s="14"/>
      <c r="AA38" s="13"/>
      <c r="AB38" s="14"/>
      <c r="AC38" s="14"/>
      <c r="AD38" s="14"/>
      <c r="AE38" s="14"/>
      <c r="AF38" s="14"/>
      <c r="AG38" s="98"/>
      <c r="AH38" s="14"/>
      <c r="AI38" s="14"/>
    </row>
    <row r="39" spans="1:35" ht="15.75">
      <c r="A39" s="444" t="s">
        <v>17</v>
      </c>
      <c r="B39" s="13"/>
      <c r="C39" s="492" t="s">
        <v>1000</v>
      </c>
      <c r="D39" s="513" t="s">
        <v>1000</v>
      </c>
      <c r="E39"/>
      <c r="F39" s="13"/>
      <c r="G39" s="391"/>
      <c r="H39" s="391"/>
      <c r="I39" s="461"/>
      <c r="J39" s="50"/>
      <c r="K39" s="391"/>
      <c r="L39" s="391"/>
      <c r="M39" s="15"/>
      <c r="N39" s="391"/>
      <c r="O39" s="50"/>
      <c r="P39" s="50"/>
      <c r="Q39" s="50"/>
      <c r="R39" s="50"/>
      <c r="S39" s="14"/>
      <c r="T39" s="13"/>
      <c r="U39" s="14"/>
      <c r="V39" s="14"/>
      <c r="W39" s="14"/>
      <c r="X39" s="14"/>
      <c r="Y39" s="14"/>
      <c r="Z39" s="14"/>
      <c r="AA39" s="13"/>
      <c r="AB39" s="14"/>
      <c r="AC39" s="14"/>
      <c r="AD39" s="14"/>
      <c r="AE39" s="14"/>
      <c r="AF39" s="14"/>
      <c r="AG39" s="98"/>
      <c r="AH39" s="14"/>
      <c r="AI39" s="14"/>
    </row>
    <row r="40" spans="1:35" ht="15.75">
      <c r="A40" s="22" t="s">
        <v>18</v>
      </c>
      <c r="B40" s="13"/>
      <c r="C40" s="54"/>
      <c r="D40" s="514"/>
      <c r="E40"/>
      <c r="F40" s="13"/>
      <c r="G40" s="23"/>
      <c r="H40" s="23"/>
      <c r="I40" s="461"/>
      <c r="J40" s="50"/>
      <c r="K40" s="23"/>
      <c r="L40" s="23"/>
      <c r="M40" s="15"/>
      <c r="N40" s="23"/>
      <c r="O40" s="50"/>
      <c r="P40" s="50"/>
      <c r="Q40" s="50"/>
      <c r="R40" s="50"/>
      <c r="S40" s="14"/>
      <c r="T40" s="13"/>
      <c r="U40" s="14"/>
      <c r="V40" s="14"/>
      <c r="W40" s="14"/>
      <c r="X40" s="14"/>
      <c r="Y40" s="14"/>
      <c r="Z40" s="14"/>
      <c r="AA40" s="13"/>
      <c r="AB40" s="14"/>
      <c r="AC40" s="14"/>
      <c r="AD40" s="14"/>
      <c r="AE40" s="14"/>
      <c r="AF40" s="14"/>
      <c r="AG40" s="98"/>
      <c r="AH40" s="14"/>
      <c r="AI40" s="14"/>
    </row>
    <row r="41" spans="1:35">
      <c r="A41" s="12" t="s">
        <v>20</v>
      </c>
      <c r="B41" s="13"/>
      <c r="C41" s="55"/>
      <c r="D41" s="515"/>
      <c r="E41"/>
      <c r="F41" s="13"/>
      <c r="I41" s="461"/>
      <c r="J41" s="50"/>
      <c r="K41" s="50"/>
      <c r="L41" s="50"/>
      <c r="M41" s="15"/>
      <c r="N41" s="50"/>
      <c r="O41" s="50"/>
      <c r="P41" s="50"/>
      <c r="Q41" s="50"/>
      <c r="R41" s="50"/>
      <c r="S41" s="14"/>
      <c r="T41" s="13"/>
      <c r="U41" s="14"/>
      <c r="V41" s="14"/>
      <c r="W41" s="14"/>
      <c r="X41" s="14"/>
      <c r="Y41" s="14"/>
      <c r="Z41" s="14"/>
      <c r="AA41" s="13"/>
      <c r="AB41" s="14"/>
      <c r="AC41" s="14"/>
      <c r="AD41" s="14"/>
      <c r="AE41" s="14"/>
      <c r="AF41" s="14"/>
      <c r="AG41" s="98"/>
      <c r="AH41" s="14"/>
      <c r="AI41" s="14"/>
    </row>
    <row r="42" spans="1:35" ht="15.75">
      <c r="A42" s="25" t="s">
        <v>21</v>
      </c>
      <c r="B42" s="13"/>
      <c r="C42" s="51" t="s">
        <v>716</v>
      </c>
      <c r="D42" s="511" t="s">
        <v>736</v>
      </c>
      <c r="E42"/>
      <c r="F42" s="13"/>
      <c r="G42" s="418"/>
      <c r="H42" s="418"/>
      <c r="I42" s="461"/>
      <c r="J42" s="50"/>
      <c r="K42" s="418"/>
      <c r="L42" s="418"/>
      <c r="M42" s="15"/>
      <c r="N42" s="418"/>
      <c r="O42" s="50"/>
      <c r="P42" s="50"/>
      <c r="Q42" s="50"/>
      <c r="R42" s="50"/>
      <c r="S42" s="14"/>
      <c r="T42" s="13"/>
      <c r="U42" s="14"/>
      <c r="V42" s="14"/>
      <c r="W42" s="14"/>
      <c r="X42" s="14"/>
      <c r="Y42" s="14"/>
      <c r="Z42" s="14"/>
      <c r="AA42" s="13"/>
      <c r="AB42" s="14"/>
      <c r="AC42" s="14"/>
      <c r="AD42" s="14"/>
      <c r="AE42" s="14"/>
      <c r="AF42" s="14"/>
      <c r="AG42" s="98"/>
      <c r="AH42" s="14"/>
      <c r="AI42" s="14"/>
    </row>
    <row r="43" spans="1:35">
      <c r="A43" s="26" t="s">
        <v>22</v>
      </c>
      <c r="B43" s="13"/>
      <c r="C43" s="57"/>
      <c r="D43" s="516" t="s">
        <v>66</v>
      </c>
      <c r="E43"/>
      <c r="F43" s="13"/>
      <c r="G43" s="27"/>
      <c r="H43" s="27"/>
      <c r="I43" s="461"/>
      <c r="J43" s="50"/>
      <c r="K43" s="27"/>
      <c r="L43" s="27"/>
      <c r="M43" s="15"/>
      <c r="N43" s="27"/>
      <c r="O43" s="50"/>
      <c r="P43" s="50"/>
      <c r="Q43" s="50"/>
      <c r="R43" s="50"/>
      <c r="S43" s="14"/>
      <c r="T43" s="13"/>
      <c r="U43" s="14"/>
      <c r="V43" s="14"/>
      <c r="W43" s="14"/>
      <c r="X43" s="14"/>
      <c r="Y43" s="14"/>
      <c r="Z43" s="14"/>
      <c r="AA43" s="13"/>
      <c r="AB43" s="14"/>
      <c r="AC43" s="14"/>
      <c r="AD43" s="14"/>
      <c r="AE43" s="14"/>
      <c r="AF43" s="14"/>
      <c r="AG43" s="98"/>
      <c r="AH43" s="14"/>
      <c r="AI43" s="14"/>
    </row>
    <row r="44" spans="1:35" ht="15.75">
      <c r="A44" s="25" t="s">
        <v>23</v>
      </c>
      <c r="B44" s="13"/>
      <c r="C44" s="51">
        <v>120</v>
      </c>
      <c r="D44" s="511">
        <v>1296</v>
      </c>
      <c r="E44"/>
      <c r="F44" s="13"/>
      <c r="G44" s="418"/>
      <c r="H44" s="418"/>
      <c r="I44" s="461"/>
      <c r="J44" s="50"/>
      <c r="K44" s="418"/>
      <c r="L44" s="418"/>
      <c r="M44" s="15"/>
      <c r="N44" s="418"/>
      <c r="O44" s="50"/>
      <c r="P44" s="50"/>
      <c r="Q44" s="50"/>
      <c r="R44" s="50"/>
      <c r="S44" s="14"/>
      <c r="T44" s="13"/>
      <c r="U44" s="14"/>
      <c r="V44" s="14"/>
      <c r="W44" s="14"/>
      <c r="X44" s="14"/>
      <c r="Y44" s="14"/>
      <c r="Z44" s="14"/>
      <c r="AA44" s="13"/>
      <c r="AB44" s="14"/>
      <c r="AC44" s="14"/>
      <c r="AD44" s="14"/>
      <c r="AE44" s="14"/>
      <c r="AF44" s="14"/>
      <c r="AG44" s="98"/>
      <c r="AH44" s="14"/>
      <c r="AI44" s="14"/>
    </row>
    <row r="45" spans="1:35" ht="15.75">
      <c r="A45" s="28" t="s">
        <v>24</v>
      </c>
      <c r="B45" s="13"/>
      <c r="C45" s="55"/>
      <c r="D45" s="515"/>
      <c r="E45"/>
      <c r="F45" s="13"/>
      <c r="I45" s="461"/>
      <c r="J45" s="50"/>
      <c r="K45" s="50"/>
      <c r="L45" s="50"/>
      <c r="M45" s="15"/>
      <c r="N45" s="50"/>
      <c r="O45" s="50"/>
      <c r="P45" s="50"/>
      <c r="Q45" s="50"/>
      <c r="R45" s="50"/>
      <c r="S45" s="14"/>
      <c r="T45" s="13"/>
      <c r="U45" s="14"/>
      <c r="V45" s="14"/>
      <c r="W45" s="14"/>
      <c r="X45" s="14"/>
      <c r="Y45" s="14"/>
      <c r="Z45" s="14"/>
      <c r="AA45" s="13"/>
      <c r="AB45" s="14"/>
      <c r="AC45" s="14"/>
      <c r="AD45" s="14"/>
      <c r="AE45" s="14"/>
      <c r="AF45" s="14"/>
      <c r="AG45" s="98"/>
      <c r="AH45" s="14"/>
      <c r="AI45" s="14"/>
    </row>
    <row r="46" spans="1:35" ht="15.75">
      <c r="A46" s="31" t="s">
        <v>25</v>
      </c>
      <c r="B46" s="13"/>
      <c r="C46" s="491">
        <v>43600</v>
      </c>
      <c r="D46" s="517">
        <v>43593</v>
      </c>
      <c r="E46"/>
      <c r="F46" s="13"/>
      <c r="G46" s="32"/>
      <c r="H46" s="32"/>
      <c r="I46" s="461"/>
      <c r="J46" s="50"/>
      <c r="K46" s="32"/>
      <c r="L46" s="32"/>
      <c r="M46" s="15"/>
      <c r="N46" s="32"/>
      <c r="O46" s="50"/>
      <c r="P46" s="50"/>
      <c r="Q46" s="50"/>
      <c r="R46" s="50"/>
      <c r="S46" s="14"/>
      <c r="T46" s="13"/>
      <c r="U46" s="14"/>
      <c r="V46" s="14"/>
      <c r="W46" s="14"/>
      <c r="X46" s="14"/>
      <c r="Y46" s="14"/>
      <c r="Z46" s="14"/>
      <c r="AA46" s="13"/>
      <c r="AB46" s="14"/>
      <c r="AC46" s="14"/>
      <c r="AD46" s="14"/>
      <c r="AE46" s="14"/>
      <c r="AF46" s="14"/>
      <c r="AG46" s="98"/>
      <c r="AH46" s="14"/>
      <c r="AI46" s="14"/>
    </row>
    <row r="47" spans="1:35">
      <c r="A47" s="12" t="s">
        <v>27</v>
      </c>
      <c r="B47" s="13"/>
      <c r="C47" s="58" t="s">
        <v>30</v>
      </c>
      <c r="D47" s="518" t="s">
        <v>28</v>
      </c>
      <c r="E47"/>
      <c r="F47" s="13"/>
      <c r="I47" s="461"/>
      <c r="J47" s="50"/>
      <c r="K47" s="50"/>
      <c r="L47" s="50"/>
      <c r="M47" s="15"/>
      <c r="N47" s="50"/>
      <c r="O47" s="50"/>
      <c r="P47" s="50"/>
      <c r="Q47" s="50"/>
      <c r="R47" s="50"/>
      <c r="S47" s="14"/>
      <c r="T47" s="13"/>
      <c r="U47" s="14"/>
      <c r="V47" s="14"/>
      <c r="W47" s="14"/>
      <c r="X47" s="14"/>
      <c r="Y47" s="14"/>
      <c r="Z47" s="14"/>
      <c r="AA47" s="13"/>
      <c r="AB47" s="14"/>
      <c r="AC47" s="14"/>
      <c r="AD47" s="14"/>
      <c r="AE47" s="14"/>
      <c r="AF47" s="14"/>
      <c r="AG47" s="98"/>
      <c r="AH47" s="14"/>
      <c r="AI47" s="14"/>
    </row>
    <row r="48" spans="1:35" ht="15.75">
      <c r="A48" s="12" t="s">
        <v>10</v>
      </c>
      <c r="B48" s="13"/>
      <c r="C48" s="51" t="s">
        <v>714</v>
      </c>
      <c r="D48"/>
      <c r="E48"/>
      <c r="F48" s="13"/>
      <c r="G48" s="418"/>
      <c r="H48" s="418"/>
      <c r="I48" s="461"/>
      <c r="J48" s="50"/>
      <c r="K48" s="418"/>
      <c r="L48" s="418"/>
      <c r="M48" s="15"/>
      <c r="N48" s="418"/>
      <c r="O48" s="50"/>
      <c r="P48" s="50"/>
      <c r="Q48" s="50"/>
      <c r="R48" s="50"/>
      <c r="S48" s="14"/>
      <c r="T48" s="13"/>
      <c r="U48" s="14"/>
      <c r="V48" s="14"/>
      <c r="W48" s="14"/>
      <c r="X48" s="14"/>
      <c r="Y48" s="14"/>
      <c r="Z48" s="14"/>
      <c r="AA48" s="13"/>
      <c r="AB48" s="14"/>
      <c r="AC48" s="14"/>
      <c r="AD48" s="14"/>
      <c r="AE48" s="14"/>
      <c r="AF48" s="14"/>
      <c r="AG48" s="98"/>
      <c r="AH48" s="14"/>
      <c r="AI48" s="14"/>
    </row>
    <row r="49" spans="1:35" ht="15.75">
      <c r="A49" s="443" t="s">
        <v>11</v>
      </c>
      <c r="B49" s="13"/>
      <c r="C49" s="52" t="s">
        <v>869</v>
      </c>
      <c r="D49"/>
      <c r="E49"/>
      <c r="F49" s="13"/>
      <c r="G49" s="93"/>
      <c r="H49" s="93"/>
      <c r="I49" s="461"/>
      <c r="J49" s="50"/>
      <c r="K49" s="93"/>
      <c r="L49" s="93"/>
      <c r="M49" s="15"/>
      <c r="N49" s="93"/>
      <c r="O49" s="50"/>
      <c r="P49" s="50"/>
      <c r="Q49" s="50"/>
      <c r="R49" s="50"/>
      <c r="S49" s="14"/>
      <c r="T49" s="13"/>
      <c r="U49" s="14"/>
      <c r="V49" s="14"/>
      <c r="W49" s="14"/>
      <c r="X49" s="14"/>
      <c r="Y49" s="14"/>
      <c r="Z49" s="14"/>
      <c r="AA49" s="13"/>
      <c r="AB49" s="14"/>
      <c r="AC49" s="14"/>
      <c r="AD49" s="14"/>
      <c r="AE49" s="14"/>
      <c r="AF49" s="14"/>
      <c r="AG49" s="98"/>
      <c r="AH49" s="14"/>
      <c r="AI49" s="14"/>
    </row>
    <row r="50" spans="1:35" ht="15.75">
      <c r="A50" s="16" t="s">
        <v>12</v>
      </c>
      <c r="B50" s="13"/>
      <c r="C50" s="51"/>
      <c r="D50"/>
      <c r="E50"/>
      <c r="F50" s="13"/>
      <c r="G50" s="418"/>
      <c r="H50" s="418"/>
      <c r="I50" s="461"/>
      <c r="J50" s="50"/>
      <c r="K50" s="418"/>
      <c r="L50" s="418"/>
      <c r="M50" s="15"/>
      <c r="N50" s="418"/>
      <c r="O50" s="50"/>
      <c r="P50" s="50"/>
      <c r="Q50" s="50"/>
      <c r="R50" s="50"/>
      <c r="S50" s="14"/>
      <c r="T50" s="13"/>
      <c r="U50" s="14"/>
      <c r="V50" s="14"/>
      <c r="W50" s="14"/>
      <c r="X50" s="14"/>
      <c r="Y50" s="14"/>
      <c r="Z50" s="14"/>
      <c r="AA50" s="13"/>
      <c r="AB50" s="14"/>
      <c r="AC50" s="14"/>
      <c r="AD50" s="14"/>
      <c r="AE50" s="14"/>
      <c r="AF50" s="14"/>
      <c r="AG50" s="98"/>
      <c r="AH50" s="14"/>
      <c r="AI50" s="14"/>
    </row>
    <row r="51" spans="1:35" ht="15.75">
      <c r="A51" s="18" t="s">
        <v>13</v>
      </c>
      <c r="B51" s="13"/>
      <c r="C51" s="53" t="s">
        <v>1004</v>
      </c>
      <c r="D51"/>
      <c r="E51"/>
      <c r="F51" s="13"/>
      <c r="G51" s="19"/>
      <c r="H51" s="19"/>
      <c r="I51" s="461"/>
      <c r="J51" s="50"/>
      <c r="K51" s="19"/>
      <c r="L51" s="19"/>
      <c r="M51" s="15"/>
      <c r="N51" s="19"/>
      <c r="O51" s="50"/>
      <c r="P51" s="50"/>
      <c r="Q51" s="50"/>
      <c r="R51" s="50"/>
      <c r="S51" s="14"/>
      <c r="T51" s="13"/>
      <c r="U51" s="14"/>
      <c r="V51" s="14"/>
      <c r="W51" s="14"/>
      <c r="X51" s="14"/>
      <c r="Y51" s="14"/>
      <c r="Z51" s="14"/>
      <c r="AA51" s="13"/>
      <c r="AB51" s="14"/>
      <c r="AC51" s="14"/>
      <c r="AD51" s="14"/>
      <c r="AE51" s="14"/>
      <c r="AF51" s="14"/>
      <c r="AG51" s="98"/>
      <c r="AH51" s="14"/>
      <c r="AI51" s="14"/>
    </row>
    <row r="52" spans="1:35" ht="15.75">
      <c r="A52" s="20" t="s">
        <v>15</v>
      </c>
      <c r="B52" s="13"/>
      <c r="C52" s="51" t="s">
        <v>16</v>
      </c>
      <c r="D52"/>
      <c r="E52"/>
      <c r="F52" s="13"/>
      <c r="G52" s="418"/>
      <c r="H52" s="418"/>
      <c r="I52" s="461"/>
      <c r="J52" s="50"/>
      <c r="K52" s="418"/>
      <c r="L52" s="418"/>
      <c r="M52" s="15"/>
      <c r="N52" s="418"/>
      <c r="O52" s="50"/>
      <c r="P52" s="50"/>
      <c r="Q52" s="50"/>
      <c r="R52" s="50"/>
      <c r="S52" s="14"/>
      <c r="T52" s="13"/>
      <c r="U52" s="14"/>
      <c r="V52" s="14"/>
      <c r="W52" s="14"/>
      <c r="X52" s="14"/>
      <c r="Y52" s="14"/>
      <c r="Z52" s="14"/>
      <c r="AA52" s="13"/>
      <c r="AB52" s="14"/>
      <c r="AC52" s="14"/>
      <c r="AD52" s="14"/>
      <c r="AE52" s="14"/>
      <c r="AF52" s="14"/>
      <c r="AG52" s="98"/>
      <c r="AH52" s="14"/>
      <c r="AI52" s="14"/>
    </row>
    <row r="53" spans="1:35" ht="15.75">
      <c r="A53" s="444" t="s">
        <v>17</v>
      </c>
      <c r="B53" s="13"/>
      <c r="C53" s="492" t="s">
        <v>1000</v>
      </c>
      <c r="D53"/>
      <c r="E53"/>
      <c r="F53" s="13"/>
      <c r="G53" s="391"/>
      <c r="H53" s="391"/>
      <c r="I53" s="461"/>
      <c r="J53" s="50"/>
      <c r="K53" s="391"/>
      <c r="L53" s="391"/>
      <c r="M53" s="15"/>
      <c r="N53" s="391"/>
      <c r="O53" s="50"/>
      <c r="P53" s="50"/>
      <c r="Q53" s="50"/>
      <c r="R53" s="50"/>
      <c r="S53" s="14"/>
      <c r="T53" s="13"/>
      <c r="U53" s="14"/>
      <c r="V53" s="14"/>
      <c r="W53" s="14"/>
      <c r="X53" s="14"/>
      <c r="Y53" s="14"/>
      <c r="Z53" s="14"/>
      <c r="AA53" s="13"/>
      <c r="AB53" s="14"/>
      <c r="AC53" s="14"/>
      <c r="AD53" s="14"/>
      <c r="AE53" s="14"/>
      <c r="AF53" s="14"/>
      <c r="AG53" s="98"/>
      <c r="AH53" s="14"/>
      <c r="AI53" s="14"/>
    </row>
    <row r="54" spans="1:35" ht="15.75">
      <c r="A54" s="22" t="s">
        <v>18</v>
      </c>
      <c r="B54" s="13"/>
      <c r="C54" s="54"/>
      <c r="D54"/>
      <c r="E54"/>
      <c r="F54" s="13"/>
      <c r="G54" s="23"/>
      <c r="H54" s="23"/>
      <c r="I54" s="461"/>
      <c r="J54" s="50"/>
      <c r="K54" s="23"/>
      <c r="L54" s="23"/>
      <c r="M54" s="15"/>
      <c r="N54" s="23"/>
      <c r="O54" s="50"/>
      <c r="P54" s="50"/>
      <c r="Q54" s="50"/>
      <c r="R54" s="50"/>
      <c r="S54" s="14"/>
      <c r="T54" s="13"/>
      <c r="U54" s="14"/>
      <c r="V54" s="14"/>
      <c r="W54" s="14"/>
      <c r="X54" s="14"/>
      <c r="Y54" s="14"/>
      <c r="Z54" s="14"/>
      <c r="AA54" s="13"/>
      <c r="AB54" s="14"/>
      <c r="AC54" s="14"/>
      <c r="AD54" s="14"/>
      <c r="AE54" s="14"/>
      <c r="AF54" s="14"/>
      <c r="AG54" s="98"/>
      <c r="AH54" s="14"/>
      <c r="AI54" s="14"/>
    </row>
    <row r="55" spans="1:35">
      <c r="A55" s="12" t="s">
        <v>20</v>
      </c>
      <c r="B55" s="13"/>
      <c r="C55" s="55"/>
      <c r="D55"/>
      <c r="E55"/>
      <c r="F55" s="13"/>
      <c r="I55" s="461"/>
      <c r="J55" s="50"/>
      <c r="K55" s="50"/>
      <c r="L55" s="50"/>
      <c r="M55" s="15"/>
      <c r="N55" s="50"/>
      <c r="O55" s="50"/>
      <c r="P55" s="50"/>
      <c r="Q55" s="50"/>
      <c r="R55" s="50"/>
      <c r="S55" s="14"/>
      <c r="T55" s="13"/>
      <c r="U55" s="14"/>
      <c r="V55" s="14"/>
      <c r="W55" s="14"/>
      <c r="X55" s="14"/>
      <c r="Y55" s="14"/>
      <c r="Z55" s="14"/>
      <c r="AA55" s="13"/>
      <c r="AB55" s="14"/>
      <c r="AC55" s="14"/>
      <c r="AD55" s="14"/>
      <c r="AE55" s="14"/>
      <c r="AF55" s="14"/>
      <c r="AG55" s="98"/>
      <c r="AH55" s="14"/>
      <c r="AI55" s="14"/>
    </row>
    <row r="56" spans="1:35" ht="15.75">
      <c r="A56" s="25" t="s">
        <v>21</v>
      </c>
      <c r="B56" s="13"/>
      <c r="C56" s="51" t="s">
        <v>716</v>
      </c>
      <c r="D56"/>
      <c r="E56"/>
      <c r="F56" s="13"/>
      <c r="G56" s="418"/>
      <c r="H56" s="418"/>
      <c r="I56" s="461"/>
      <c r="J56" s="50"/>
      <c r="K56" s="418"/>
      <c r="L56" s="418"/>
      <c r="M56" s="15"/>
      <c r="N56" s="418"/>
      <c r="O56" s="50"/>
      <c r="P56" s="50"/>
      <c r="Q56" s="50"/>
      <c r="R56" s="50"/>
      <c r="S56" s="14"/>
      <c r="T56" s="13"/>
      <c r="U56" s="14"/>
      <c r="V56" s="14"/>
      <c r="W56" s="14"/>
      <c r="X56" s="14"/>
      <c r="Y56" s="14"/>
      <c r="Z56" s="14"/>
      <c r="AA56" s="13"/>
      <c r="AB56" s="14"/>
      <c r="AC56" s="14"/>
      <c r="AD56" s="14"/>
      <c r="AE56" s="14"/>
      <c r="AF56" s="14"/>
      <c r="AG56" s="98"/>
      <c r="AH56" s="14"/>
      <c r="AI56" s="14"/>
    </row>
    <row r="57" spans="1:35">
      <c r="A57" s="26" t="s">
        <v>22</v>
      </c>
      <c r="B57" s="13"/>
      <c r="C57" s="57"/>
      <c r="D57"/>
      <c r="E57"/>
      <c r="F57" s="13"/>
      <c r="G57" s="27"/>
      <c r="H57" s="27"/>
      <c r="I57" s="461"/>
      <c r="J57" s="50"/>
      <c r="K57" s="27"/>
      <c r="L57" s="27"/>
      <c r="M57" s="15"/>
      <c r="N57" s="27"/>
      <c r="O57" s="50"/>
      <c r="P57" s="50"/>
      <c r="Q57" s="50"/>
      <c r="R57" s="50"/>
      <c r="S57" s="14"/>
      <c r="T57" s="13"/>
      <c r="U57" s="14"/>
      <c r="V57" s="14"/>
      <c r="W57" s="14"/>
      <c r="X57" s="14"/>
      <c r="Y57" s="14"/>
      <c r="Z57" s="14"/>
      <c r="AA57" s="13"/>
      <c r="AB57" s="14"/>
      <c r="AC57" s="14"/>
      <c r="AD57" s="14"/>
      <c r="AE57" s="14"/>
      <c r="AF57" s="14"/>
      <c r="AG57" s="98"/>
      <c r="AH57" s="14"/>
      <c r="AI57" s="14"/>
    </row>
    <row r="58" spans="1:35" ht="15.75">
      <c r="A58" s="25" t="s">
        <v>23</v>
      </c>
      <c r="B58" s="13"/>
      <c r="C58" s="51">
        <v>120</v>
      </c>
      <c r="D58"/>
      <c r="E58"/>
      <c r="F58" s="13"/>
      <c r="G58" s="418"/>
      <c r="H58" s="418"/>
      <c r="I58" s="461"/>
      <c r="J58" s="50"/>
      <c r="K58" s="418"/>
      <c r="L58" s="418"/>
      <c r="M58" s="15"/>
      <c r="N58" s="418"/>
      <c r="O58" s="50"/>
      <c r="P58" s="50"/>
      <c r="Q58" s="50"/>
      <c r="R58" s="50"/>
      <c r="S58" s="14"/>
      <c r="T58" s="13"/>
      <c r="U58" s="14"/>
      <c r="V58" s="14"/>
      <c r="W58" s="14"/>
      <c r="X58" s="14"/>
      <c r="Y58" s="14"/>
      <c r="Z58" s="14"/>
      <c r="AA58" s="13"/>
      <c r="AB58" s="14"/>
      <c r="AC58" s="14"/>
      <c r="AD58" s="14"/>
      <c r="AE58" s="14"/>
      <c r="AF58" s="14"/>
      <c r="AG58" s="98"/>
      <c r="AH58" s="14"/>
      <c r="AI58" s="14"/>
    </row>
    <row r="59" spans="1:35" ht="15.75">
      <c r="A59" s="28" t="s">
        <v>24</v>
      </c>
      <c r="B59" s="13"/>
      <c r="C59" s="55"/>
      <c r="D59"/>
      <c r="E59"/>
      <c r="F59" s="13"/>
      <c r="I59" s="461"/>
      <c r="J59" s="50"/>
      <c r="K59" s="50"/>
      <c r="L59" s="50"/>
      <c r="M59" s="15"/>
      <c r="N59" s="50"/>
      <c r="O59" s="50"/>
      <c r="P59" s="50"/>
      <c r="Q59" s="50"/>
      <c r="R59" s="50"/>
      <c r="S59" s="14"/>
      <c r="T59" s="13"/>
      <c r="U59" s="14"/>
      <c r="V59" s="14"/>
      <c r="W59" s="14"/>
      <c r="X59" s="14"/>
      <c r="Y59" s="14"/>
      <c r="Z59" s="14"/>
      <c r="AA59" s="13"/>
      <c r="AB59" s="14"/>
      <c r="AC59" s="14"/>
      <c r="AD59" s="14"/>
      <c r="AE59" s="14"/>
      <c r="AF59" s="14"/>
      <c r="AG59" s="98"/>
      <c r="AH59" s="14"/>
      <c r="AI59" s="14"/>
    </row>
    <row r="60" spans="1:35" ht="15.75">
      <c r="A60" s="31" t="s">
        <v>25</v>
      </c>
      <c r="B60" s="13"/>
      <c r="C60" s="491">
        <v>43600</v>
      </c>
      <c r="D60"/>
      <c r="E60"/>
      <c r="F60" s="13"/>
      <c r="G60" s="32"/>
      <c r="H60" s="32"/>
      <c r="I60" s="461"/>
      <c r="J60" s="50"/>
      <c r="K60" s="32"/>
      <c r="L60" s="32"/>
      <c r="M60" s="15"/>
      <c r="N60" s="32"/>
      <c r="O60" s="50"/>
      <c r="P60" s="50"/>
      <c r="Q60" s="50"/>
      <c r="R60" s="50"/>
      <c r="S60" s="14"/>
      <c r="T60" s="13"/>
      <c r="U60" s="14"/>
      <c r="V60" s="14"/>
      <c r="W60" s="14"/>
      <c r="X60" s="14"/>
      <c r="Y60" s="14"/>
      <c r="Z60" s="14"/>
      <c r="AA60" s="13"/>
      <c r="AB60" s="14"/>
      <c r="AC60" s="14"/>
      <c r="AD60" s="14"/>
      <c r="AE60" s="14"/>
      <c r="AF60" s="14"/>
      <c r="AG60" s="98"/>
      <c r="AH60" s="14"/>
      <c r="AI60" s="14"/>
    </row>
    <row r="61" spans="1:35" ht="15.75" thickBot="1">
      <c r="A61" s="12" t="s">
        <v>27</v>
      </c>
      <c r="B61" s="13"/>
      <c r="C61" s="58" t="s">
        <v>30</v>
      </c>
      <c r="D61"/>
      <c r="E61"/>
      <c r="F61" s="13"/>
      <c r="G61" s="35"/>
      <c r="H61" s="35"/>
      <c r="I61" s="115"/>
      <c r="J61" s="35"/>
      <c r="K61" s="35"/>
      <c r="L61" s="35"/>
      <c r="M61" s="34"/>
      <c r="N61" s="35"/>
      <c r="O61" s="35"/>
      <c r="P61" s="35"/>
      <c r="Q61" s="35"/>
      <c r="R61" s="81"/>
      <c r="S61" s="14"/>
      <c r="T61" s="13"/>
      <c r="U61" s="14"/>
      <c r="V61" s="14"/>
      <c r="W61" s="14"/>
      <c r="X61" s="14"/>
      <c r="Y61" s="14"/>
      <c r="Z61" s="14"/>
      <c r="AA61" s="13"/>
      <c r="AB61" s="14"/>
      <c r="AC61" s="14"/>
      <c r="AD61" s="14"/>
      <c r="AE61" s="14"/>
      <c r="AF61" s="14"/>
      <c r="AG61" s="99"/>
      <c r="AH61" s="14"/>
      <c r="AI61" s="14"/>
    </row>
    <row r="62" spans="1:35" ht="20.25" thickBot="1">
      <c r="A62" s="445" t="s">
        <v>36</v>
      </c>
      <c r="B62" s="36">
        <f>+B58+B44+B30+B16</f>
        <v>0</v>
      </c>
      <c r="C62" s="37">
        <f t="shared" ref="C62:I62" si="1">+C58+C44+C30+C16</f>
        <v>816</v>
      </c>
      <c r="D62" s="37">
        <f t="shared" si="1"/>
        <v>2196</v>
      </c>
      <c r="E62" s="37">
        <f t="shared" si="1"/>
        <v>2292</v>
      </c>
      <c r="F62" s="37">
        <f t="shared" si="1"/>
        <v>0</v>
      </c>
      <c r="G62" s="37">
        <f t="shared" si="1"/>
        <v>372</v>
      </c>
      <c r="H62" s="37">
        <f t="shared" si="1"/>
        <v>0</v>
      </c>
      <c r="I62" s="37">
        <f t="shared" si="1"/>
        <v>0</v>
      </c>
      <c r="J62" s="37">
        <f t="shared" ref="J62:T62" si="2">+J58+J44+J30+J16</f>
        <v>0</v>
      </c>
      <c r="K62" s="37">
        <f t="shared" si="2"/>
        <v>0</v>
      </c>
      <c r="L62" s="37">
        <f t="shared" si="2"/>
        <v>0</v>
      </c>
      <c r="M62" s="37">
        <f t="shared" si="2"/>
        <v>0</v>
      </c>
      <c r="N62" s="37">
        <f t="shared" si="2"/>
        <v>0</v>
      </c>
      <c r="O62" s="37">
        <f t="shared" si="2"/>
        <v>0</v>
      </c>
      <c r="P62" s="37">
        <f t="shared" si="2"/>
        <v>0</v>
      </c>
      <c r="Q62" s="37">
        <f t="shared" si="2"/>
        <v>0</v>
      </c>
      <c r="R62" s="37">
        <f t="shared" si="2"/>
        <v>0</v>
      </c>
      <c r="S62" s="37">
        <f t="shared" si="2"/>
        <v>0</v>
      </c>
      <c r="T62" s="37">
        <f t="shared" si="2"/>
        <v>0</v>
      </c>
      <c r="U62" s="37">
        <f t="shared" ref="U62:AF62" si="3">+U58+U44+U30+U16</f>
        <v>0</v>
      </c>
      <c r="V62" s="37">
        <f t="shared" si="3"/>
        <v>0</v>
      </c>
      <c r="W62" s="37">
        <f t="shared" si="3"/>
        <v>0</v>
      </c>
      <c r="X62" s="37">
        <f t="shared" si="3"/>
        <v>0</v>
      </c>
      <c r="Y62" s="37">
        <f t="shared" si="3"/>
        <v>0</v>
      </c>
      <c r="Z62" s="37">
        <f t="shared" si="3"/>
        <v>0</v>
      </c>
      <c r="AA62" s="36">
        <f t="shared" si="3"/>
        <v>0</v>
      </c>
      <c r="AB62" s="37">
        <f t="shared" si="3"/>
        <v>0</v>
      </c>
      <c r="AC62" s="37">
        <f t="shared" si="3"/>
        <v>0</v>
      </c>
      <c r="AD62" s="37">
        <f t="shared" si="3"/>
        <v>0</v>
      </c>
      <c r="AE62" s="37">
        <f t="shared" si="3"/>
        <v>0</v>
      </c>
      <c r="AF62" s="37">
        <f t="shared" si="3"/>
        <v>0</v>
      </c>
      <c r="AG62" s="38"/>
      <c r="AH62" s="14"/>
      <c r="AI62" s="14"/>
    </row>
    <row r="63" spans="1:35" ht="21" thickTop="1" thickBot="1">
      <c r="A63" s="445" t="s">
        <v>37</v>
      </c>
      <c r="B63" s="39">
        <f t="shared" ref="B63:AF63" si="4">+B64*B5</f>
        <v>0</v>
      </c>
      <c r="C63" s="40">
        <f t="shared" si="4"/>
        <v>1615</v>
      </c>
      <c r="D63" s="40">
        <f t="shared" si="4"/>
        <v>1615</v>
      </c>
      <c r="E63" s="40">
        <f t="shared" si="4"/>
        <v>1360</v>
      </c>
      <c r="F63" s="39">
        <f t="shared" si="4"/>
        <v>0</v>
      </c>
      <c r="G63" s="40">
        <f t="shared" si="4"/>
        <v>1615</v>
      </c>
      <c r="H63" s="40">
        <f t="shared" si="4"/>
        <v>1615</v>
      </c>
      <c r="I63" s="40">
        <f t="shared" si="4"/>
        <v>0</v>
      </c>
      <c r="J63" s="40">
        <f t="shared" si="4"/>
        <v>0</v>
      </c>
      <c r="K63" s="40">
        <f t="shared" si="4"/>
        <v>0</v>
      </c>
      <c r="L63" s="40">
        <f t="shared" si="4"/>
        <v>0</v>
      </c>
      <c r="M63" s="39">
        <f t="shared" si="4"/>
        <v>0</v>
      </c>
      <c r="N63" s="40">
        <f t="shared" si="4"/>
        <v>0</v>
      </c>
      <c r="O63" s="40">
        <f t="shared" si="4"/>
        <v>0</v>
      </c>
      <c r="P63" s="40">
        <f t="shared" si="4"/>
        <v>0</v>
      </c>
      <c r="Q63" s="40">
        <f t="shared" si="4"/>
        <v>0</v>
      </c>
      <c r="R63" s="40">
        <f t="shared" si="4"/>
        <v>0</v>
      </c>
      <c r="S63" s="40">
        <f t="shared" si="4"/>
        <v>0</v>
      </c>
      <c r="T63" s="39">
        <f t="shared" si="4"/>
        <v>0</v>
      </c>
      <c r="U63" s="40">
        <f t="shared" si="4"/>
        <v>0</v>
      </c>
      <c r="V63" s="40">
        <f t="shared" si="4"/>
        <v>0</v>
      </c>
      <c r="W63" s="40">
        <f t="shared" si="4"/>
        <v>0</v>
      </c>
      <c r="X63" s="40">
        <f t="shared" si="4"/>
        <v>0</v>
      </c>
      <c r="Y63" s="40">
        <f t="shared" si="4"/>
        <v>0</v>
      </c>
      <c r="Z63" s="40">
        <f t="shared" si="4"/>
        <v>0</v>
      </c>
      <c r="AA63" s="39">
        <f t="shared" si="4"/>
        <v>0</v>
      </c>
      <c r="AB63" s="40">
        <f t="shared" si="4"/>
        <v>0</v>
      </c>
      <c r="AC63" s="40">
        <f t="shared" si="4"/>
        <v>0</v>
      </c>
      <c r="AD63" s="40">
        <f t="shared" si="4"/>
        <v>0</v>
      </c>
      <c r="AE63" s="40">
        <f t="shared" si="4"/>
        <v>0</v>
      </c>
      <c r="AF63" s="40">
        <f t="shared" si="4"/>
        <v>0</v>
      </c>
      <c r="AG63" s="41">
        <f>SUM(B63:AF63)</f>
        <v>7820</v>
      </c>
      <c r="AH63" s="14"/>
      <c r="AI63" s="14"/>
    </row>
    <row r="64" spans="1:35" ht="21" thickTop="1" thickBot="1">
      <c r="A64" s="445" t="s">
        <v>38</v>
      </c>
      <c r="B64" s="42"/>
      <c r="C64" s="43">
        <v>170</v>
      </c>
      <c r="D64" s="43">
        <v>170</v>
      </c>
      <c r="E64" s="43">
        <v>170</v>
      </c>
      <c r="F64" s="42"/>
      <c r="G64" s="43">
        <v>170</v>
      </c>
      <c r="H64" s="43">
        <v>170</v>
      </c>
      <c r="I64" s="43"/>
      <c r="J64" s="43"/>
      <c r="K64" s="43"/>
      <c r="L64" s="43"/>
      <c r="M64" s="42"/>
      <c r="N64" s="43"/>
      <c r="O64" s="43"/>
      <c r="P64" s="43"/>
      <c r="Q64" s="43"/>
      <c r="R64" s="43"/>
      <c r="S64" s="43"/>
      <c r="T64" s="42"/>
      <c r="U64" s="40"/>
      <c r="V64" s="40"/>
      <c r="W64" s="43"/>
      <c r="X64" s="40"/>
      <c r="Y64" s="43"/>
      <c r="Z64" s="43"/>
      <c r="AA64" s="42"/>
      <c r="AB64" s="40"/>
      <c r="AC64" s="40"/>
      <c r="AD64" s="43"/>
      <c r="AE64" s="46"/>
      <c r="AF64" s="43"/>
      <c r="AG64" s="44"/>
      <c r="AH64" s="14"/>
      <c r="AI64" s="14"/>
    </row>
    <row r="65" spans="1:35" ht="21" thickTop="1" thickBot="1">
      <c r="A65" s="45" t="e">
        <f>+'T04'!AD65</f>
        <v>#REF!</v>
      </c>
      <c r="B65" s="39" t="e">
        <f t="shared" ref="B65:AF65" si="5">IF(A65+B62-B63&lt;0,0,A65+B62-B63)</f>
        <v>#REF!</v>
      </c>
      <c r="C65" s="40" t="e">
        <f t="shared" si="5"/>
        <v>#REF!</v>
      </c>
      <c r="D65" s="40" t="e">
        <f t="shared" si="5"/>
        <v>#REF!</v>
      </c>
      <c r="E65" s="40" t="e">
        <f t="shared" si="5"/>
        <v>#REF!</v>
      </c>
      <c r="F65" s="39" t="e">
        <f t="shared" si="5"/>
        <v>#REF!</v>
      </c>
      <c r="G65" s="40" t="e">
        <f t="shared" si="5"/>
        <v>#REF!</v>
      </c>
      <c r="H65" s="40" t="e">
        <f t="shared" si="5"/>
        <v>#REF!</v>
      </c>
      <c r="I65" s="40" t="e">
        <f t="shared" si="5"/>
        <v>#REF!</v>
      </c>
      <c r="J65" s="40" t="e">
        <f t="shared" si="5"/>
        <v>#REF!</v>
      </c>
      <c r="K65" s="40" t="e">
        <f t="shared" si="5"/>
        <v>#REF!</v>
      </c>
      <c r="L65" s="40" t="e">
        <f t="shared" si="5"/>
        <v>#REF!</v>
      </c>
      <c r="M65" s="39" t="e">
        <f t="shared" si="5"/>
        <v>#REF!</v>
      </c>
      <c r="N65" s="40" t="e">
        <f t="shared" si="5"/>
        <v>#REF!</v>
      </c>
      <c r="O65" s="40" t="e">
        <f t="shared" si="5"/>
        <v>#REF!</v>
      </c>
      <c r="P65" s="40" t="e">
        <f t="shared" si="5"/>
        <v>#REF!</v>
      </c>
      <c r="Q65" s="40" t="e">
        <f t="shared" si="5"/>
        <v>#REF!</v>
      </c>
      <c r="R65" s="40" t="e">
        <f t="shared" si="5"/>
        <v>#REF!</v>
      </c>
      <c r="S65" s="40" t="e">
        <f t="shared" si="5"/>
        <v>#REF!</v>
      </c>
      <c r="T65" s="39" t="e">
        <f t="shared" si="5"/>
        <v>#REF!</v>
      </c>
      <c r="U65" s="40" t="e">
        <f t="shared" si="5"/>
        <v>#REF!</v>
      </c>
      <c r="V65" s="40" t="e">
        <f t="shared" si="5"/>
        <v>#REF!</v>
      </c>
      <c r="W65" s="40" t="e">
        <f t="shared" si="5"/>
        <v>#REF!</v>
      </c>
      <c r="X65" s="40" t="e">
        <f t="shared" si="5"/>
        <v>#REF!</v>
      </c>
      <c r="Y65" s="40" t="e">
        <f t="shared" si="5"/>
        <v>#REF!</v>
      </c>
      <c r="Z65" s="40" t="e">
        <f t="shared" si="5"/>
        <v>#REF!</v>
      </c>
      <c r="AA65" s="39" t="e">
        <f t="shared" si="5"/>
        <v>#REF!</v>
      </c>
      <c r="AB65" s="40" t="e">
        <f t="shared" si="5"/>
        <v>#REF!</v>
      </c>
      <c r="AC65" s="40" t="e">
        <f t="shared" si="5"/>
        <v>#REF!</v>
      </c>
      <c r="AD65" s="40" t="e">
        <f t="shared" si="5"/>
        <v>#REF!</v>
      </c>
      <c r="AE65" s="46" t="e">
        <f t="shared" si="5"/>
        <v>#REF!</v>
      </c>
      <c r="AF65" s="40" t="e">
        <f t="shared" si="5"/>
        <v>#REF!</v>
      </c>
      <c r="AG65" s="47" t="e">
        <f>IF(AE65+AG62-AG63&lt;0,0,AE65+AG62-AG63)</f>
        <v>#REF!</v>
      </c>
      <c r="AH65" s="14"/>
      <c r="AI65" s="14"/>
    </row>
    <row r="66" spans="1:35" ht="15.75">
      <c r="A66" s="12" t="s">
        <v>10</v>
      </c>
      <c r="B66" s="13"/>
      <c r="C66" s="51" t="s">
        <v>765</v>
      </c>
      <c r="D66" s="51" t="s">
        <v>765</v>
      </c>
      <c r="E66" s="463"/>
      <c r="F66" s="13"/>
      <c r="L66" s="82"/>
      <c r="M66" s="13"/>
      <c r="N66" s="82"/>
      <c r="O66" s="82"/>
      <c r="P66" s="14"/>
      <c r="Q66" s="14"/>
      <c r="R66" s="14"/>
      <c r="S66" s="14"/>
      <c r="T66" s="13"/>
      <c r="U66" s="14"/>
      <c r="V66" s="14"/>
      <c r="W66" s="14"/>
      <c r="X66" s="14"/>
      <c r="Y66" s="14"/>
      <c r="Z66" s="14"/>
      <c r="AA66" s="13"/>
      <c r="AB66" s="14"/>
      <c r="AC66" s="14"/>
      <c r="AD66" s="14"/>
      <c r="AE66" s="14"/>
      <c r="AF66" s="14"/>
      <c r="AG66" s="97"/>
      <c r="AH66" s="14"/>
      <c r="AI66" s="14"/>
    </row>
    <row r="67" spans="1:35" ht="15.75">
      <c r="A67" s="443" t="s">
        <v>11</v>
      </c>
      <c r="B67" s="13"/>
      <c r="C67" s="52" t="s">
        <v>954</v>
      </c>
      <c r="D67" s="52" t="s">
        <v>953</v>
      </c>
      <c r="E67" s="112"/>
      <c r="F67" s="13"/>
      <c r="L67" s="33"/>
      <c r="M67" s="13"/>
      <c r="N67" s="33"/>
      <c r="O67" s="33"/>
      <c r="P67" s="14"/>
      <c r="Q67" s="14"/>
      <c r="R67" s="14"/>
      <c r="S67" s="14"/>
      <c r="T67" s="13"/>
      <c r="U67" s="14"/>
      <c r="V67" s="14"/>
      <c r="W67" s="14"/>
      <c r="X67" s="14"/>
      <c r="Y67" s="14"/>
      <c r="Z67" s="14"/>
      <c r="AA67" s="13"/>
      <c r="AB67" s="14"/>
      <c r="AC67" s="14"/>
      <c r="AD67" s="14"/>
      <c r="AE67" s="14"/>
      <c r="AF67" s="14"/>
      <c r="AG67" s="98"/>
      <c r="AH67" s="14"/>
      <c r="AI67" s="14"/>
    </row>
    <row r="68" spans="1:35" ht="15.75">
      <c r="A68" s="16" t="s">
        <v>12</v>
      </c>
      <c r="B68" s="13"/>
      <c r="C68" s="51"/>
      <c r="D68" s="51"/>
      <c r="E68" s="112"/>
      <c r="F68" s="13"/>
      <c r="L68" s="33"/>
      <c r="M68" s="13"/>
      <c r="N68" s="33"/>
      <c r="O68" s="33"/>
      <c r="P68" s="14"/>
      <c r="Q68" s="14"/>
      <c r="R68" s="14"/>
      <c r="S68" s="14"/>
      <c r="T68" s="13"/>
      <c r="U68" s="14"/>
      <c r="V68" s="14"/>
      <c r="W68" s="14"/>
      <c r="X68" s="14"/>
      <c r="Y68" s="14"/>
      <c r="Z68" s="14"/>
      <c r="AA68" s="13"/>
      <c r="AB68" s="14"/>
      <c r="AC68" s="14"/>
      <c r="AD68" s="14"/>
      <c r="AE68" s="14"/>
      <c r="AF68" s="14"/>
      <c r="AG68" s="98"/>
      <c r="AH68" s="14"/>
      <c r="AI68" s="14"/>
    </row>
    <row r="69" spans="1:35" ht="15.75">
      <c r="A69" s="18" t="s">
        <v>13</v>
      </c>
      <c r="B69" s="13"/>
      <c r="C69" s="53" t="s">
        <v>753</v>
      </c>
      <c r="D69" s="53" t="s">
        <v>753</v>
      </c>
      <c r="E69" s="112"/>
      <c r="F69" s="13"/>
      <c r="L69" s="33"/>
      <c r="M69" s="13"/>
      <c r="N69" s="33"/>
      <c r="O69" s="33"/>
      <c r="P69" s="14"/>
      <c r="Q69" s="14"/>
      <c r="R69" s="14"/>
      <c r="S69" s="14"/>
      <c r="T69" s="13"/>
      <c r="U69" s="14"/>
      <c r="V69" s="14"/>
      <c r="W69" s="14"/>
      <c r="X69" s="14"/>
      <c r="Y69" s="14"/>
      <c r="Z69" s="14"/>
      <c r="AA69" s="13"/>
      <c r="AB69" s="14"/>
      <c r="AC69" s="14"/>
      <c r="AD69" s="14"/>
      <c r="AE69" s="14"/>
      <c r="AF69" s="14"/>
      <c r="AG69" s="98"/>
      <c r="AH69" s="14"/>
      <c r="AI69" s="14"/>
    </row>
    <row r="70" spans="1:35" ht="15.75">
      <c r="A70" s="20" t="s">
        <v>15</v>
      </c>
      <c r="B70" s="13"/>
      <c r="C70" s="51" t="s">
        <v>53</v>
      </c>
      <c r="D70" s="51" t="s">
        <v>53</v>
      </c>
      <c r="E70" s="112"/>
      <c r="F70" s="13"/>
      <c r="L70" s="33"/>
      <c r="M70" s="13"/>
      <c r="N70" s="33"/>
      <c r="O70" s="33"/>
      <c r="P70" s="14"/>
      <c r="Q70" s="14"/>
      <c r="R70" s="14"/>
      <c r="S70" s="14"/>
      <c r="T70" s="13"/>
      <c r="U70" s="14"/>
      <c r="V70" s="14"/>
      <c r="W70" s="14"/>
      <c r="X70" s="14"/>
      <c r="Y70" s="14"/>
      <c r="Z70" s="14"/>
      <c r="AA70" s="13"/>
      <c r="AB70" s="14"/>
      <c r="AC70" s="14"/>
      <c r="AD70" s="14"/>
      <c r="AE70" s="14"/>
      <c r="AF70" s="14"/>
      <c r="AG70" s="98"/>
      <c r="AH70" s="14"/>
      <c r="AI70" s="14"/>
    </row>
    <row r="71" spans="1:35" ht="15.75">
      <c r="A71" s="444" t="s">
        <v>17</v>
      </c>
      <c r="B71" s="13"/>
      <c r="C71" s="492" t="s">
        <v>1000</v>
      </c>
      <c r="D71" s="492" t="s">
        <v>1000</v>
      </c>
      <c r="E71" s="112"/>
      <c r="F71" s="13"/>
      <c r="L71" s="33"/>
      <c r="M71" s="13"/>
      <c r="N71" s="33"/>
      <c r="O71" s="33"/>
      <c r="P71" s="14"/>
      <c r="Q71" s="14"/>
      <c r="R71" s="14"/>
      <c r="S71" s="14"/>
      <c r="T71" s="13"/>
      <c r="U71" s="14"/>
      <c r="V71" s="14"/>
      <c r="W71" s="14"/>
      <c r="X71" s="14"/>
      <c r="Y71" s="14"/>
      <c r="Z71" s="14"/>
      <c r="AA71" s="13"/>
      <c r="AB71" s="14"/>
      <c r="AC71" s="14"/>
      <c r="AD71" s="14"/>
      <c r="AE71" s="14"/>
      <c r="AF71" s="14"/>
      <c r="AG71" s="98"/>
      <c r="AH71" s="14"/>
      <c r="AI71" s="14"/>
    </row>
    <row r="72" spans="1:35" ht="15.75">
      <c r="A72" s="22" t="s">
        <v>18</v>
      </c>
      <c r="B72" s="13"/>
      <c r="C72" s="54"/>
      <c r="D72" s="54"/>
      <c r="E72" s="112"/>
      <c r="F72" s="13"/>
      <c r="L72" s="33"/>
      <c r="M72" s="13"/>
      <c r="N72" s="33"/>
      <c r="O72" s="33"/>
      <c r="P72" s="14"/>
      <c r="Q72" s="14"/>
      <c r="R72" s="14"/>
      <c r="S72" s="14"/>
      <c r="T72" s="13"/>
      <c r="U72" s="14"/>
      <c r="V72" s="14"/>
      <c r="W72" s="14"/>
      <c r="X72" s="14"/>
      <c r="Y72" s="14"/>
      <c r="Z72" s="14"/>
      <c r="AA72" s="13"/>
      <c r="AB72" s="14"/>
      <c r="AC72" s="14"/>
      <c r="AD72" s="14"/>
      <c r="AE72" s="14"/>
      <c r="AF72" s="14"/>
      <c r="AG72" s="98"/>
      <c r="AH72" s="14"/>
      <c r="AI72" s="14"/>
    </row>
    <row r="73" spans="1:35">
      <c r="A73" s="12" t="s">
        <v>20</v>
      </c>
      <c r="B73" s="13"/>
      <c r="C73" s="55"/>
      <c r="D73" s="55"/>
      <c r="E73" s="112"/>
      <c r="F73" s="13"/>
      <c r="L73" s="33"/>
      <c r="M73" s="13"/>
      <c r="N73" s="33"/>
      <c r="O73" s="33"/>
      <c r="P73" s="14"/>
      <c r="Q73" s="14"/>
      <c r="R73" s="14"/>
      <c r="S73" s="14"/>
      <c r="T73" s="13"/>
      <c r="U73" s="14"/>
      <c r="V73" s="14"/>
      <c r="W73" s="14"/>
      <c r="X73" s="14"/>
      <c r="Y73" s="14"/>
      <c r="Z73" s="14"/>
      <c r="AA73" s="13"/>
      <c r="AB73" s="14"/>
      <c r="AC73" s="14"/>
      <c r="AD73" s="14"/>
      <c r="AE73" s="14"/>
      <c r="AF73" s="14"/>
      <c r="AG73" s="98"/>
      <c r="AH73" s="14"/>
      <c r="AI73" s="14"/>
    </row>
    <row r="74" spans="1:35" ht="15.75">
      <c r="A74" s="25" t="s">
        <v>21</v>
      </c>
      <c r="B74" s="13"/>
      <c r="C74" s="51" t="s">
        <v>763</v>
      </c>
      <c r="D74" s="51" t="s">
        <v>766</v>
      </c>
      <c r="E74" s="112"/>
      <c r="F74" s="13"/>
      <c r="L74" s="33"/>
      <c r="M74" s="13"/>
      <c r="N74" s="33"/>
      <c r="O74" s="33"/>
      <c r="P74" s="14"/>
      <c r="Q74" s="14"/>
      <c r="R74" s="14"/>
      <c r="S74" s="14"/>
      <c r="T74" s="13"/>
      <c r="U74" s="14"/>
      <c r="V74" s="14"/>
      <c r="W74" s="14"/>
      <c r="X74" s="14"/>
      <c r="Y74" s="14"/>
      <c r="Z74" s="14"/>
      <c r="AA74" s="13"/>
      <c r="AB74" s="14"/>
      <c r="AC74" s="14"/>
      <c r="AD74" s="14"/>
      <c r="AE74" s="14"/>
      <c r="AF74" s="14"/>
      <c r="AG74" s="98"/>
      <c r="AH74" s="14"/>
      <c r="AI74" s="14"/>
    </row>
    <row r="75" spans="1:35">
      <c r="A75" s="26" t="s">
        <v>22</v>
      </c>
      <c r="B75" s="13"/>
      <c r="C75" s="57"/>
      <c r="D75" s="57"/>
      <c r="E75" s="112"/>
      <c r="F75" s="13"/>
      <c r="L75" s="33"/>
      <c r="M75" s="13"/>
      <c r="N75" s="33"/>
      <c r="O75" s="33"/>
      <c r="P75" s="14"/>
      <c r="Q75" s="14"/>
      <c r="R75" s="14"/>
      <c r="S75" s="14"/>
      <c r="T75" s="13"/>
      <c r="U75" s="14"/>
      <c r="V75" s="14"/>
      <c r="W75" s="14"/>
      <c r="X75" s="14"/>
      <c r="Y75" s="14"/>
      <c r="Z75" s="14"/>
      <c r="AA75" s="13"/>
      <c r="AB75" s="14"/>
      <c r="AC75" s="14"/>
      <c r="AD75" s="14"/>
      <c r="AE75" s="14"/>
      <c r="AF75" s="14"/>
      <c r="AG75" s="98"/>
      <c r="AH75" s="14"/>
      <c r="AI75" s="14"/>
    </row>
    <row r="76" spans="1:35" ht="15.75">
      <c r="A76" s="25" t="s">
        <v>23</v>
      </c>
      <c r="B76" s="13"/>
      <c r="C76" s="51">
        <v>360</v>
      </c>
      <c r="D76" s="51">
        <v>360</v>
      </c>
      <c r="E76" s="112"/>
      <c r="F76" s="13"/>
      <c r="L76" s="33"/>
      <c r="M76" s="13"/>
      <c r="N76" s="33"/>
      <c r="O76" s="33"/>
      <c r="P76" s="14"/>
      <c r="Q76" s="14"/>
      <c r="R76" s="14"/>
      <c r="S76" s="14"/>
      <c r="T76" s="13"/>
      <c r="U76" s="14"/>
      <c r="V76" s="14"/>
      <c r="W76" s="14"/>
      <c r="X76" s="14"/>
      <c r="Y76" s="14"/>
      <c r="Z76" s="14"/>
      <c r="AA76" s="13"/>
      <c r="AB76" s="14"/>
      <c r="AC76" s="14"/>
      <c r="AD76" s="14"/>
      <c r="AE76" s="14"/>
      <c r="AF76" s="14"/>
      <c r="AG76" s="98"/>
      <c r="AH76" s="14"/>
      <c r="AI76" s="14"/>
    </row>
    <row r="77" spans="1:35" ht="15.75">
      <c r="A77" s="28" t="s">
        <v>24</v>
      </c>
      <c r="B77" s="13"/>
      <c r="C77" s="55"/>
      <c r="D77" s="55"/>
      <c r="E77" s="112"/>
      <c r="F77" s="13"/>
      <c r="L77" s="33"/>
      <c r="M77" s="13"/>
      <c r="N77" s="33"/>
      <c r="O77" s="33"/>
      <c r="P77" s="14"/>
      <c r="Q77" s="14"/>
      <c r="R77" s="14"/>
      <c r="S77" s="14"/>
      <c r="T77" s="13"/>
      <c r="U77" s="14"/>
      <c r="V77" s="14"/>
      <c r="W77" s="14"/>
      <c r="X77" s="14"/>
      <c r="Y77" s="14"/>
      <c r="Z77" s="14"/>
      <c r="AA77" s="13"/>
      <c r="AB77" s="14"/>
      <c r="AC77" s="14"/>
      <c r="AD77" s="14"/>
      <c r="AE77" s="14"/>
      <c r="AF77" s="14"/>
      <c r="AG77" s="98"/>
      <c r="AH77" s="14"/>
      <c r="AI77" s="14"/>
    </row>
    <row r="78" spans="1:35" ht="15.75">
      <c r="A78" s="31" t="s">
        <v>25</v>
      </c>
      <c r="B78" s="13"/>
      <c r="C78" s="491">
        <v>43597</v>
      </c>
      <c r="D78" s="491">
        <v>43597</v>
      </c>
      <c r="E78" s="112"/>
      <c r="F78" s="13"/>
      <c r="L78" s="33"/>
      <c r="M78" s="13"/>
      <c r="N78" s="33"/>
      <c r="O78" s="33"/>
      <c r="P78" s="14"/>
      <c r="Q78" s="14"/>
      <c r="R78" s="14"/>
      <c r="S78" s="14"/>
      <c r="T78" s="13"/>
      <c r="U78" s="14"/>
      <c r="V78" s="14"/>
      <c r="W78" s="14"/>
      <c r="X78" s="14"/>
      <c r="Y78" s="14"/>
      <c r="Z78" s="14"/>
      <c r="AA78" s="13"/>
      <c r="AB78" s="14"/>
      <c r="AC78" s="14"/>
      <c r="AD78" s="14"/>
      <c r="AE78" s="14"/>
      <c r="AF78" s="14"/>
      <c r="AG78" s="98"/>
      <c r="AH78" s="14"/>
      <c r="AI78" s="14"/>
    </row>
    <row r="79" spans="1:35">
      <c r="A79" s="12" t="s">
        <v>27</v>
      </c>
      <c r="B79" s="13"/>
      <c r="C79" s="58" t="s">
        <v>28</v>
      </c>
      <c r="D79" s="58" t="s">
        <v>28</v>
      </c>
      <c r="E79" s="112"/>
      <c r="F79" s="13"/>
      <c r="L79" s="33"/>
      <c r="M79" s="13"/>
      <c r="N79" s="33"/>
      <c r="O79" s="33"/>
      <c r="P79" s="14"/>
      <c r="Q79" s="14"/>
      <c r="R79" s="14"/>
      <c r="S79" s="14"/>
      <c r="T79" s="13"/>
      <c r="U79" s="14"/>
      <c r="V79" s="14"/>
      <c r="W79" s="14"/>
      <c r="X79" s="14"/>
      <c r="Y79" s="14"/>
      <c r="Z79" s="14"/>
      <c r="AA79" s="13"/>
      <c r="AB79" s="14"/>
      <c r="AC79" s="14"/>
      <c r="AD79" s="14"/>
      <c r="AE79" s="14"/>
      <c r="AF79" s="14"/>
      <c r="AG79" s="98"/>
      <c r="AH79" s="14"/>
      <c r="AI79" s="14"/>
    </row>
    <row r="80" spans="1:35" ht="15.75">
      <c r="A80" s="12" t="s">
        <v>10</v>
      </c>
      <c r="B80" s="13"/>
      <c r="C80" s="51" t="s">
        <v>765</v>
      </c>
      <c r="D80" s="51" t="s">
        <v>765</v>
      </c>
      <c r="E80" s="112"/>
      <c r="F80" s="13"/>
      <c r="L80" s="33"/>
      <c r="M80" s="13"/>
      <c r="N80" s="33"/>
      <c r="O80" s="33"/>
      <c r="P80" s="14"/>
      <c r="Q80" s="14"/>
      <c r="R80" s="14"/>
      <c r="S80" s="14"/>
      <c r="T80" s="13"/>
      <c r="U80" s="14"/>
      <c r="V80" s="14"/>
      <c r="W80" s="14"/>
      <c r="X80" s="14"/>
      <c r="Y80" s="14"/>
      <c r="Z80" s="14"/>
      <c r="AA80" s="13"/>
      <c r="AB80" s="14"/>
      <c r="AC80" s="14"/>
      <c r="AD80" s="14"/>
      <c r="AE80" s="14"/>
      <c r="AF80" s="14"/>
      <c r="AG80" s="98"/>
      <c r="AH80" s="14"/>
      <c r="AI80" s="14"/>
    </row>
    <row r="81" spans="1:35" ht="15.75">
      <c r="A81" s="443" t="s">
        <v>11</v>
      </c>
      <c r="B81" s="13"/>
      <c r="C81" s="52" t="s">
        <v>952</v>
      </c>
      <c r="D81" s="52" t="s">
        <v>951</v>
      </c>
      <c r="E81" s="112"/>
      <c r="F81" s="13"/>
      <c r="L81" s="33"/>
      <c r="M81" s="13"/>
      <c r="N81" s="33"/>
      <c r="O81" s="33"/>
      <c r="P81" s="14"/>
      <c r="Q81" s="14"/>
      <c r="R81" s="14"/>
      <c r="S81" s="14"/>
      <c r="T81" s="13"/>
      <c r="U81" s="14"/>
      <c r="V81" s="14"/>
      <c r="W81" s="14"/>
      <c r="X81" s="14"/>
      <c r="Y81" s="14"/>
      <c r="Z81" s="14"/>
      <c r="AA81" s="13"/>
      <c r="AB81" s="14"/>
      <c r="AC81" s="14"/>
      <c r="AD81" s="14"/>
      <c r="AE81" s="14"/>
      <c r="AF81" s="14"/>
      <c r="AG81" s="98"/>
      <c r="AH81" s="14"/>
      <c r="AI81" s="14"/>
    </row>
    <row r="82" spans="1:35" ht="15.75">
      <c r="A82" s="16" t="s">
        <v>12</v>
      </c>
      <c r="B82" s="13"/>
      <c r="C82" s="51"/>
      <c r="D82" s="51"/>
      <c r="E82" s="112"/>
      <c r="F82" s="13"/>
      <c r="L82" s="33"/>
      <c r="M82" s="13"/>
      <c r="N82" s="33"/>
      <c r="O82" s="33"/>
      <c r="P82" s="14"/>
      <c r="Q82" s="14"/>
      <c r="R82" s="14"/>
      <c r="S82" s="14"/>
      <c r="T82" s="13"/>
      <c r="U82" s="14"/>
      <c r="V82" s="14"/>
      <c r="W82" s="14"/>
      <c r="X82" s="14"/>
      <c r="Y82" s="14"/>
      <c r="Z82" s="14"/>
      <c r="AA82" s="13"/>
      <c r="AB82" s="14"/>
      <c r="AC82" s="14"/>
      <c r="AD82" s="14"/>
      <c r="AE82" s="14"/>
      <c r="AF82" s="14"/>
      <c r="AG82" s="98"/>
      <c r="AH82" s="14"/>
      <c r="AI82" s="14"/>
    </row>
    <row r="83" spans="1:35" ht="15.75">
      <c r="A83" s="18" t="s">
        <v>13</v>
      </c>
      <c r="B83" s="13"/>
      <c r="C83" s="53" t="s">
        <v>753</v>
      </c>
      <c r="D83" s="53" t="s">
        <v>753</v>
      </c>
      <c r="E83" s="112"/>
      <c r="F83" s="13"/>
      <c r="L83" s="33"/>
      <c r="M83" s="13"/>
      <c r="N83" s="33"/>
      <c r="O83" s="33"/>
      <c r="P83" s="14"/>
      <c r="Q83" s="14"/>
      <c r="R83" s="14"/>
      <c r="S83" s="14"/>
      <c r="T83" s="13"/>
      <c r="U83" s="14"/>
      <c r="V83" s="14"/>
      <c r="W83" s="14"/>
      <c r="X83" s="14"/>
      <c r="Y83" s="14"/>
      <c r="Z83" s="14"/>
      <c r="AA83" s="13"/>
      <c r="AB83" s="14"/>
      <c r="AC83" s="14"/>
      <c r="AD83" s="14"/>
      <c r="AE83" s="14"/>
      <c r="AF83" s="14"/>
      <c r="AG83" s="98"/>
      <c r="AH83" s="14"/>
      <c r="AI83" s="14"/>
    </row>
    <row r="84" spans="1:35" ht="15.75">
      <c r="A84" s="20" t="s">
        <v>15</v>
      </c>
      <c r="B84" s="13"/>
      <c r="C84" s="51" t="s">
        <v>53</v>
      </c>
      <c r="D84" s="51" t="s">
        <v>53</v>
      </c>
      <c r="E84" s="112"/>
      <c r="F84" s="13"/>
      <c r="L84" s="33"/>
      <c r="M84" s="13"/>
      <c r="N84" s="33"/>
      <c r="O84" s="33"/>
      <c r="P84" s="14"/>
      <c r="Q84" s="14"/>
      <c r="R84" s="14"/>
      <c r="S84" s="14"/>
      <c r="T84" s="13"/>
      <c r="U84" s="14"/>
      <c r="V84" s="14"/>
      <c r="W84" s="14"/>
      <c r="X84" s="14"/>
      <c r="Y84" s="14"/>
      <c r="Z84" s="14"/>
      <c r="AA84" s="13"/>
      <c r="AB84" s="14"/>
      <c r="AC84" s="14"/>
      <c r="AD84" s="14"/>
      <c r="AE84" s="14"/>
      <c r="AF84" s="14"/>
      <c r="AG84" s="98"/>
      <c r="AH84" s="14"/>
      <c r="AI84" s="14"/>
    </row>
    <row r="85" spans="1:35" ht="15.75">
      <c r="A85" s="444" t="s">
        <v>17</v>
      </c>
      <c r="B85" s="13"/>
      <c r="C85" s="492" t="s">
        <v>1000</v>
      </c>
      <c r="D85" s="492" t="s">
        <v>1000</v>
      </c>
      <c r="E85" s="112"/>
      <c r="F85" s="13"/>
      <c r="L85" s="33"/>
      <c r="M85" s="13"/>
      <c r="N85" s="33"/>
      <c r="O85" s="33"/>
      <c r="P85" s="14"/>
      <c r="Q85" s="14"/>
      <c r="R85" s="14"/>
      <c r="S85" s="14"/>
      <c r="T85" s="13"/>
      <c r="U85" s="14"/>
      <c r="V85" s="14"/>
      <c r="W85" s="14"/>
      <c r="X85" s="14"/>
      <c r="Y85" s="14"/>
      <c r="Z85" s="14"/>
      <c r="AA85" s="13"/>
      <c r="AB85" s="14"/>
      <c r="AC85" s="14"/>
      <c r="AD85" s="14"/>
      <c r="AE85" s="14"/>
      <c r="AF85" s="14"/>
      <c r="AG85" s="98"/>
      <c r="AH85" s="14"/>
      <c r="AI85" s="14"/>
    </row>
    <row r="86" spans="1:35" ht="15.75">
      <c r="A86" s="22" t="s">
        <v>18</v>
      </c>
      <c r="B86" s="13"/>
      <c r="C86" s="54"/>
      <c r="D86" s="54"/>
      <c r="E86" s="112"/>
      <c r="F86" s="13"/>
      <c r="L86" s="33"/>
      <c r="M86" s="13"/>
      <c r="N86" s="33"/>
      <c r="O86" s="33"/>
      <c r="P86" s="14"/>
      <c r="Q86" s="14"/>
      <c r="R86" s="14"/>
      <c r="S86" s="14"/>
      <c r="T86" s="13"/>
      <c r="U86" s="14"/>
      <c r="V86" s="14"/>
      <c r="W86" s="14"/>
      <c r="X86" s="14"/>
      <c r="Y86" s="14"/>
      <c r="Z86" s="14"/>
      <c r="AA86" s="13"/>
      <c r="AB86" s="14"/>
      <c r="AC86" s="14"/>
      <c r="AD86" s="14"/>
      <c r="AE86" s="14"/>
      <c r="AF86" s="14"/>
      <c r="AG86" s="98"/>
      <c r="AH86" s="14"/>
      <c r="AI86" s="14"/>
    </row>
    <row r="87" spans="1:35">
      <c r="A87" s="12" t="s">
        <v>20</v>
      </c>
      <c r="B87" s="13"/>
      <c r="C87" s="55"/>
      <c r="D87" s="55"/>
      <c r="E87" s="112"/>
      <c r="F87" s="13"/>
      <c r="L87" s="33"/>
      <c r="M87" s="13"/>
      <c r="N87" s="33"/>
      <c r="O87" s="33"/>
      <c r="P87" s="14"/>
      <c r="Q87" s="14"/>
      <c r="R87" s="14"/>
      <c r="S87" s="14"/>
      <c r="T87" s="13"/>
      <c r="U87" s="14"/>
      <c r="V87" s="14"/>
      <c r="W87" s="14"/>
      <c r="X87" s="14"/>
      <c r="Y87" s="14"/>
      <c r="Z87" s="14"/>
      <c r="AA87" s="13"/>
      <c r="AB87" s="14"/>
      <c r="AC87" s="14"/>
      <c r="AD87" s="14"/>
      <c r="AE87" s="14"/>
      <c r="AF87" s="14"/>
      <c r="AG87" s="98"/>
      <c r="AH87" s="14"/>
      <c r="AI87" s="14"/>
    </row>
    <row r="88" spans="1:35" ht="15.75">
      <c r="A88" s="25" t="s">
        <v>21</v>
      </c>
      <c r="B88" s="13"/>
      <c r="C88" s="51" t="s">
        <v>766</v>
      </c>
      <c r="D88" s="51" t="s">
        <v>767</v>
      </c>
      <c r="E88" s="112"/>
      <c r="F88" s="13"/>
      <c r="L88" s="33"/>
      <c r="M88" s="13"/>
      <c r="N88" s="33"/>
      <c r="O88" s="33"/>
      <c r="P88" s="14"/>
      <c r="Q88" s="14"/>
      <c r="R88" s="14"/>
      <c r="S88" s="14"/>
      <c r="T88" s="13"/>
      <c r="U88" s="14"/>
      <c r="V88" s="14"/>
      <c r="W88" s="14"/>
      <c r="X88" s="14"/>
      <c r="Y88" s="14"/>
      <c r="Z88" s="14"/>
      <c r="AA88" s="13"/>
      <c r="AB88" s="14"/>
      <c r="AC88" s="14"/>
      <c r="AD88" s="14"/>
      <c r="AE88" s="14"/>
      <c r="AF88" s="14"/>
      <c r="AG88" s="98"/>
      <c r="AH88" s="14"/>
      <c r="AI88" s="14"/>
    </row>
    <row r="89" spans="1:35">
      <c r="A89" s="26" t="s">
        <v>22</v>
      </c>
      <c r="B89" s="13"/>
      <c r="C89" s="57"/>
      <c r="D89" s="57"/>
      <c r="E89" s="112"/>
      <c r="F89" s="13"/>
      <c r="L89" s="33"/>
      <c r="M89" s="13"/>
      <c r="N89" s="33"/>
      <c r="O89" s="33"/>
      <c r="P89" s="14"/>
      <c r="Q89" s="14"/>
      <c r="R89" s="14"/>
      <c r="S89" s="14"/>
      <c r="T89" s="13"/>
      <c r="U89" s="14"/>
      <c r="V89" s="14"/>
      <c r="W89" s="14"/>
      <c r="X89" s="14"/>
      <c r="Y89" s="14"/>
      <c r="Z89" s="14"/>
      <c r="AA89" s="13"/>
      <c r="AB89" s="14"/>
      <c r="AC89" s="14"/>
      <c r="AD89" s="14"/>
      <c r="AE89" s="14"/>
      <c r="AF89" s="14"/>
      <c r="AG89" s="98"/>
      <c r="AH89" s="14"/>
      <c r="AI89" s="14"/>
    </row>
    <row r="90" spans="1:35" ht="15.75">
      <c r="A90" s="25" t="s">
        <v>23</v>
      </c>
      <c r="B90" s="13"/>
      <c r="C90" s="51">
        <v>1632</v>
      </c>
      <c r="D90" s="51">
        <v>1800</v>
      </c>
      <c r="E90" s="112"/>
      <c r="F90" s="13"/>
      <c r="L90" s="33"/>
      <c r="M90" s="13"/>
      <c r="N90" s="33"/>
      <c r="O90" s="33"/>
      <c r="P90" s="14"/>
      <c r="Q90" s="14"/>
      <c r="R90" s="14"/>
      <c r="S90" s="14"/>
      <c r="T90" s="13"/>
      <c r="U90" s="14"/>
      <c r="V90" s="14"/>
      <c r="W90" s="14"/>
      <c r="X90" s="14"/>
      <c r="Y90" s="14"/>
      <c r="Z90" s="14"/>
      <c r="AA90" s="13"/>
      <c r="AB90" s="14"/>
      <c r="AC90" s="14"/>
      <c r="AD90" s="14"/>
      <c r="AE90" s="14"/>
      <c r="AF90" s="14"/>
      <c r="AG90" s="98"/>
      <c r="AH90" s="14"/>
      <c r="AI90" s="14"/>
    </row>
    <row r="91" spans="1:35" ht="15.75">
      <c r="A91" s="28" t="s">
        <v>24</v>
      </c>
      <c r="B91" s="13"/>
      <c r="C91" s="55"/>
      <c r="D91" s="55"/>
      <c r="E91" s="112"/>
      <c r="F91" s="13"/>
      <c r="L91" s="33"/>
      <c r="M91" s="13"/>
      <c r="N91" s="33"/>
      <c r="O91" s="33"/>
      <c r="P91" s="14"/>
      <c r="Q91" s="14"/>
      <c r="R91" s="14"/>
      <c r="S91" s="14"/>
      <c r="T91" s="13"/>
      <c r="U91" s="14"/>
      <c r="V91" s="14"/>
      <c r="W91" s="14"/>
      <c r="X91" s="14"/>
      <c r="Y91" s="14"/>
      <c r="Z91" s="14"/>
      <c r="AA91" s="13"/>
      <c r="AB91" s="14"/>
      <c r="AC91" s="14"/>
      <c r="AD91" s="14"/>
      <c r="AE91" s="14"/>
      <c r="AF91" s="14"/>
      <c r="AG91" s="98"/>
      <c r="AH91" s="14"/>
      <c r="AI91" s="14"/>
    </row>
    <row r="92" spans="1:35" ht="15.75">
      <c r="A92" s="31" t="s">
        <v>25</v>
      </c>
      <c r="B92" s="13"/>
      <c r="C92" s="491">
        <v>43594</v>
      </c>
      <c r="D92" s="491">
        <v>43593</v>
      </c>
      <c r="E92" s="112"/>
      <c r="F92" s="13"/>
      <c r="L92" s="33"/>
      <c r="M92" s="13"/>
      <c r="N92" s="33"/>
      <c r="O92" s="33"/>
      <c r="P92" s="14"/>
      <c r="Q92" s="14"/>
      <c r="R92" s="14"/>
      <c r="S92" s="14"/>
      <c r="T92" s="13"/>
      <c r="U92" s="14"/>
      <c r="V92" s="14"/>
      <c r="W92" s="14"/>
      <c r="X92" s="14"/>
      <c r="Y92" s="14"/>
      <c r="Z92" s="14"/>
      <c r="AA92" s="13"/>
      <c r="AB92" s="14"/>
      <c r="AC92" s="14"/>
      <c r="AD92" s="14"/>
      <c r="AE92" s="14"/>
      <c r="AF92" s="14"/>
      <c r="AG92" s="98"/>
      <c r="AH92" s="14"/>
      <c r="AI92" s="14"/>
    </row>
    <row r="93" spans="1:35">
      <c r="A93" s="12" t="s">
        <v>27</v>
      </c>
      <c r="B93" s="13"/>
      <c r="C93" s="58" t="s">
        <v>28</v>
      </c>
      <c r="D93" s="58" t="s">
        <v>28</v>
      </c>
      <c r="E93" s="112"/>
      <c r="F93" s="13"/>
      <c r="L93" s="33"/>
      <c r="M93" s="13"/>
      <c r="N93" s="33"/>
      <c r="O93" s="33"/>
      <c r="P93" s="14"/>
      <c r="Q93" s="14"/>
      <c r="R93" s="14"/>
      <c r="S93" s="14"/>
      <c r="T93" s="13"/>
      <c r="U93" s="14"/>
      <c r="V93" s="14"/>
      <c r="W93" s="14"/>
      <c r="X93" s="14"/>
      <c r="Y93" s="14"/>
      <c r="Z93" s="14"/>
      <c r="AA93" s="13"/>
      <c r="AB93" s="14"/>
      <c r="AC93" s="14"/>
      <c r="AD93" s="14"/>
      <c r="AE93" s="14"/>
      <c r="AF93" s="14"/>
      <c r="AG93" s="98"/>
      <c r="AH93" s="14"/>
      <c r="AI93" s="14"/>
    </row>
    <row r="94" spans="1:35">
      <c r="A94" s="12" t="s">
        <v>10</v>
      </c>
      <c r="B94" s="13"/>
      <c r="C94" s="50"/>
      <c r="D94" s="50"/>
      <c r="E94" s="112"/>
      <c r="F94" s="13"/>
      <c r="L94" s="33"/>
      <c r="M94" s="13"/>
      <c r="N94" s="33"/>
      <c r="O94" s="33"/>
      <c r="P94" s="14"/>
      <c r="Q94" s="14"/>
      <c r="R94" s="14"/>
      <c r="S94" s="14"/>
      <c r="T94" s="13"/>
      <c r="U94" s="14"/>
      <c r="V94" s="14"/>
      <c r="W94" s="14"/>
      <c r="X94" s="14"/>
      <c r="Y94" s="14"/>
      <c r="Z94" s="14"/>
      <c r="AA94" s="13"/>
      <c r="AB94" s="14"/>
      <c r="AC94" s="14"/>
      <c r="AD94" s="14"/>
      <c r="AE94" s="14"/>
      <c r="AF94" s="14"/>
      <c r="AG94" s="98"/>
      <c r="AH94" s="14"/>
      <c r="AI94" s="14"/>
    </row>
    <row r="95" spans="1:35">
      <c r="A95" s="443" t="s">
        <v>11</v>
      </c>
      <c r="B95" s="13"/>
      <c r="C95" s="50"/>
      <c r="D95" s="50"/>
      <c r="E95" s="112"/>
      <c r="F95" s="13"/>
      <c r="L95" s="33"/>
      <c r="M95" s="13"/>
      <c r="N95" s="33"/>
      <c r="O95" s="33"/>
      <c r="P95" s="14"/>
      <c r="Q95" s="14"/>
      <c r="R95" s="14"/>
      <c r="S95" s="14"/>
      <c r="T95" s="13"/>
      <c r="U95" s="14"/>
      <c r="V95" s="14"/>
      <c r="W95" s="14"/>
      <c r="X95" s="14"/>
      <c r="Y95" s="14"/>
      <c r="Z95" s="14"/>
      <c r="AA95" s="13"/>
      <c r="AB95" s="14"/>
      <c r="AC95" s="14"/>
      <c r="AD95" s="14"/>
      <c r="AE95" s="14"/>
      <c r="AF95" s="14"/>
      <c r="AG95" s="98"/>
      <c r="AH95" s="14"/>
      <c r="AI95" s="14"/>
    </row>
    <row r="96" spans="1:35" ht="15.75">
      <c r="A96" s="16" t="s">
        <v>12</v>
      </c>
      <c r="B96" s="13"/>
      <c r="C96" s="50"/>
      <c r="D96" s="50"/>
      <c r="E96" s="112"/>
      <c r="F96" s="13"/>
      <c r="L96" s="33"/>
      <c r="M96" s="13"/>
      <c r="N96" s="33"/>
      <c r="O96" s="33"/>
      <c r="P96" s="14"/>
      <c r="Q96" s="14"/>
      <c r="R96" s="14"/>
      <c r="S96" s="14"/>
      <c r="T96" s="13"/>
      <c r="U96" s="14"/>
      <c r="V96" s="14"/>
      <c r="W96" s="14"/>
      <c r="X96" s="14"/>
      <c r="Y96" s="14"/>
      <c r="Z96" s="14"/>
      <c r="AA96" s="13"/>
      <c r="AB96" s="14"/>
      <c r="AC96" s="14"/>
      <c r="AD96" s="14"/>
      <c r="AE96" s="14"/>
      <c r="AF96" s="14"/>
      <c r="AG96" s="98"/>
      <c r="AH96" s="14"/>
      <c r="AI96" s="14"/>
    </row>
    <row r="97" spans="1:35" ht="15.75">
      <c r="A97" s="18" t="s">
        <v>13</v>
      </c>
      <c r="B97" s="13"/>
      <c r="C97" s="50"/>
      <c r="D97" s="50"/>
      <c r="E97" s="112"/>
      <c r="F97" s="13"/>
      <c r="L97" s="33"/>
      <c r="M97" s="13"/>
      <c r="N97" s="33"/>
      <c r="O97" s="33"/>
      <c r="P97" s="14"/>
      <c r="Q97" s="14"/>
      <c r="R97" s="14"/>
      <c r="S97" s="14"/>
      <c r="T97" s="13"/>
      <c r="U97" s="14"/>
      <c r="V97" s="14"/>
      <c r="W97" s="14"/>
      <c r="X97" s="14"/>
      <c r="Y97" s="14"/>
      <c r="Z97" s="14"/>
      <c r="AA97" s="13"/>
      <c r="AB97" s="14"/>
      <c r="AC97" s="14"/>
      <c r="AD97" s="14"/>
      <c r="AE97" s="14"/>
      <c r="AF97" s="14"/>
      <c r="AG97" s="98"/>
      <c r="AH97" s="14"/>
      <c r="AI97" s="14"/>
    </row>
    <row r="98" spans="1:35">
      <c r="A98" s="20" t="s">
        <v>15</v>
      </c>
      <c r="B98" s="13"/>
      <c r="C98" s="50"/>
      <c r="D98" s="50"/>
      <c r="E98" s="112"/>
      <c r="F98" s="13"/>
      <c r="L98" s="33"/>
      <c r="M98" s="13"/>
      <c r="N98" s="33"/>
      <c r="O98" s="33"/>
      <c r="P98" s="14"/>
      <c r="Q98" s="14"/>
      <c r="R98" s="14"/>
      <c r="S98" s="14"/>
      <c r="T98" s="13"/>
      <c r="U98" s="14"/>
      <c r="V98" s="14"/>
      <c r="W98" s="14"/>
      <c r="X98" s="14"/>
      <c r="Y98" s="14"/>
      <c r="Z98" s="14"/>
      <c r="AA98" s="13"/>
      <c r="AB98" s="14"/>
      <c r="AC98" s="14"/>
      <c r="AD98" s="14"/>
      <c r="AE98" s="14"/>
      <c r="AF98" s="14"/>
      <c r="AG98" s="98"/>
      <c r="AH98" s="14"/>
      <c r="AI98" s="14"/>
    </row>
    <row r="99" spans="1:35">
      <c r="A99" s="444" t="s">
        <v>17</v>
      </c>
      <c r="B99" s="13"/>
      <c r="C99" s="50"/>
      <c r="D99" s="50"/>
      <c r="E99" s="112"/>
      <c r="F99" s="13"/>
      <c r="L99" s="33"/>
      <c r="M99" s="13"/>
      <c r="N99" s="33"/>
      <c r="O99" s="33"/>
      <c r="P99" s="14"/>
      <c r="Q99" s="14"/>
      <c r="R99" s="14"/>
      <c r="S99" s="14"/>
      <c r="T99" s="13"/>
      <c r="U99" s="14"/>
      <c r="V99" s="14"/>
      <c r="W99" s="14"/>
      <c r="X99" s="14"/>
      <c r="Y99" s="14"/>
      <c r="Z99" s="14"/>
      <c r="AA99" s="13"/>
      <c r="AB99" s="14"/>
      <c r="AC99" s="14"/>
      <c r="AD99" s="14"/>
      <c r="AE99" s="14"/>
      <c r="AF99" s="14"/>
      <c r="AG99" s="98"/>
      <c r="AH99" s="14"/>
      <c r="AI99" s="14"/>
    </row>
    <row r="100" spans="1:35" ht="15.75">
      <c r="A100" s="22" t="s">
        <v>18</v>
      </c>
      <c r="B100" s="13"/>
      <c r="C100" s="50"/>
      <c r="D100" s="50"/>
      <c r="E100" s="112"/>
      <c r="F100" s="13"/>
      <c r="L100" s="33"/>
      <c r="M100" s="13"/>
      <c r="N100" s="33"/>
      <c r="O100" s="33"/>
      <c r="P100" s="14"/>
      <c r="Q100" s="14"/>
      <c r="R100" s="14"/>
      <c r="S100" s="14"/>
      <c r="T100" s="13"/>
      <c r="U100" s="14"/>
      <c r="V100" s="14"/>
      <c r="W100" s="14"/>
      <c r="X100" s="14"/>
      <c r="Y100" s="14"/>
      <c r="Z100" s="14"/>
      <c r="AA100" s="13"/>
      <c r="AB100" s="14"/>
      <c r="AC100" s="14"/>
      <c r="AD100" s="14"/>
      <c r="AE100" s="14"/>
      <c r="AF100" s="14"/>
      <c r="AG100" s="98"/>
      <c r="AH100" s="14"/>
      <c r="AI100" s="14"/>
    </row>
    <row r="101" spans="1:35">
      <c r="A101" s="12" t="s">
        <v>20</v>
      </c>
      <c r="B101" s="13"/>
      <c r="C101" s="50"/>
      <c r="D101" s="50"/>
      <c r="E101" s="112"/>
      <c r="F101" s="13"/>
      <c r="L101" s="33"/>
      <c r="M101" s="13"/>
      <c r="N101" s="33"/>
      <c r="O101" s="33"/>
      <c r="P101" s="14"/>
      <c r="Q101" s="14"/>
      <c r="R101" s="14"/>
      <c r="S101" s="14"/>
      <c r="T101" s="13"/>
      <c r="U101" s="14"/>
      <c r="V101" s="14"/>
      <c r="W101" s="14"/>
      <c r="X101" s="14"/>
      <c r="Y101" s="14"/>
      <c r="Z101" s="14"/>
      <c r="AA101" s="13"/>
      <c r="AB101" s="14"/>
      <c r="AC101" s="14"/>
      <c r="AD101" s="14"/>
      <c r="AE101" s="14"/>
      <c r="AF101" s="14"/>
      <c r="AG101" s="98"/>
      <c r="AH101" s="14"/>
      <c r="AI101" s="14"/>
    </row>
    <row r="102" spans="1:35">
      <c r="A102" s="25" t="s">
        <v>21</v>
      </c>
      <c r="B102" s="13"/>
      <c r="C102" s="50"/>
      <c r="D102" s="50"/>
      <c r="E102" s="112"/>
      <c r="F102" s="13"/>
      <c r="L102" s="33"/>
      <c r="M102" s="13"/>
      <c r="N102" s="33"/>
      <c r="O102" s="33"/>
      <c r="P102" s="14"/>
      <c r="Q102" s="14"/>
      <c r="R102" s="14"/>
      <c r="S102" s="14"/>
      <c r="T102" s="13"/>
      <c r="U102" s="14"/>
      <c r="V102" s="14"/>
      <c r="W102" s="14"/>
      <c r="X102" s="14"/>
      <c r="Y102" s="14"/>
      <c r="Z102" s="14"/>
      <c r="AA102" s="13"/>
      <c r="AB102" s="14"/>
      <c r="AC102" s="14"/>
      <c r="AD102" s="14"/>
      <c r="AE102" s="14"/>
      <c r="AF102" s="14"/>
      <c r="AG102" s="98"/>
      <c r="AH102" s="14"/>
      <c r="AI102" s="14"/>
    </row>
    <row r="103" spans="1:35">
      <c r="A103" s="26" t="s">
        <v>22</v>
      </c>
      <c r="B103" s="13"/>
      <c r="C103" s="50"/>
      <c r="D103" s="50"/>
      <c r="E103" s="112"/>
      <c r="F103" s="13"/>
      <c r="L103" s="33"/>
      <c r="M103" s="13"/>
      <c r="N103" s="33"/>
      <c r="O103" s="33"/>
      <c r="P103" s="14"/>
      <c r="Q103" s="14"/>
      <c r="R103" s="14"/>
      <c r="S103" s="14"/>
      <c r="T103" s="13"/>
      <c r="U103" s="14"/>
      <c r="V103" s="14"/>
      <c r="W103" s="14"/>
      <c r="X103" s="14"/>
      <c r="Y103" s="14"/>
      <c r="Z103" s="14"/>
      <c r="AA103" s="13"/>
      <c r="AB103" s="14"/>
      <c r="AC103" s="14"/>
      <c r="AD103" s="14"/>
      <c r="AE103" s="14"/>
      <c r="AF103" s="14"/>
      <c r="AG103" s="98"/>
      <c r="AH103" s="14"/>
      <c r="AI103" s="14"/>
    </row>
    <row r="104" spans="1:35">
      <c r="A104" s="25" t="s">
        <v>23</v>
      </c>
      <c r="B104" s="13"/>
      <c r="C104" s="50"/>
      <c r="D104" s="50"/>
      <c r="E104" s="112"/>
      <c r="F104" s="13"/>
      <c r="L104" s="33"/>
      <c r="M104" s="13"/>
      <c r="N104" s="33"/>
      <c r="O104" s="33"/>
      <c r="P104" s="14"/>
      <c r="Q104" s="14"/>
      <c r="R104" s="14"/>
      <c r="S104" s="14"/>
      <c r="T104" s="13"/>
      <c r="U104" s="14"/>
      <c r="V104" s="14"/>
      <c r="W104" s="14"/>
      <c r="X104" s="14"/>
      <c r="Y104" s="14"/>
      <c r="Z104" s="14"/>
      <c r="AA104" s="13"/>
      <c r="AB104" s="14"/>
      <c r="AC104" s="14"/>
      <c r="AD104" s="14"/>
      <c r="AE104" s="14"/>
      <c r="AF104" s="14"/>
      <c r="AG104" s="98"/>
      <c r="AH104" s="14"/>
      <c r="AI104" s="14"/>
    </row>
    <row r="105" spans="1:35" ht="15.75">
      <c r="A105" s="28" t="s">
        <v>24</v>
      </c>
      <c r="B105" s="13"/>
      <c r="C105" s="50"/>
      <c r="D105" s="50"/>
      <c r="E105" s="112"/>
      <c r="F105" s="13"/>
      <c r="L105" s="33"/>
      <c r="M105" s="13"/>
      <c r="N105" s="33"/>
      <c r="O105" s="33"/>
      <c r="P105" s="14"/>
      <c r="Q105" s="14"/>
      <c r="R105" s="14"/>
      <c r="S105" s="14"/>
      <c r="T105" s="13"/>
      <c r="U105" s="14"/>
      <c r="V105" s="14"/>
      <c r="W105" s="14"/>
      <c r="X105" s="14"/>
      <c r="Y105" s="14"/>
      <c r="Z105" s="14"/>
      <c r="AA105" s="13"/>
      <c r="AB105" s="14"/>
      <c r="AC105" s="14"/>
      <c r="AD105" s="14"/>
      <c r="AE105" s="14"/>
      <c r="AF105" s="14"/>
      <c r="AG105" s="98"/>
      <c r="AH105" s="14"/>
      <c r="AI105" s="14"/>
    </row>
    <row r="106" spans="1:35">
      <c r="A106" s="31" t="s">
        <v>25</v>
      </c>
      <c r="B106" s="13"/>
      <c r="C106" s="50"/>
      <c r="D106" s="50"/>
      <c r="E106" s="112"/>
      <c r="F106" s="13"/>
      <c r="L106" s="33"/>
      <c r="M106" s="13"/>
      <c r="N106" s="33"/>
      <c r="O106" s="33"/>
      <c r="P106" s="14"/>
      <c r="Q106" s="14"/>
      <c r="R106" s="14"/>
      <c r="S106" s="14"/>
      <c r="T106" s="13"/>
      <c r="U106" s="14"/>
      <c r="V106" s="14"/>
      <c r="W106" s="14"/>
      <c r="X106" s="14"/>
      <c r="Y106" s="14"/>
      <c r="Z106" s="14"/>
      <c r="AA106" s="13"/>
      <c r="AB106" s="14"/>
      <c r="AC106" s="14"/>
      <c r="AD106" s="14"/>
      <c r="AE106" s="14"/>
      <c r="AF106" s="14"/>
      <c r="AG106" s="98"/>
      <c r="AH106" s="14"/>
      <c r="AI106" s="14"/>
    </row>
    <row r="107" spans="1:35">
      <c r="A107" s="12" t="s">
        <v>27</v>
      </c>
      <c r="B107" s="13"/>
      <c r="C107" s="50"/>
      <c r="D107" s="50"/>
      <c r="E107" s="112"/>
      <c r="F107" s="13"/>
      <c r="L107" s="33"/>
      <c r="M107" s="13"/>
      <c r="N107" s="33"/>
      <c r="O107" s="33"/>
      <c r="P107" s="14"/>
      <c r="Q107" s="14"/>
      <c r="R107" s="14"/>
      <c r="S107" s="14"/>
      <c r="T107" s="13"/>
      <c r="U107" s="14"/>
      <c r="V107" s="14"/>
      <c r="W107" s="14"/>
      <c r="X107" s="14"/>
      <c r="Y107" s="14"/>
      <c r="Z107" s="14"/>
      <c r="AA107" s="13"/>
      <c r="AB107" s="14"/>
      <c r="AC107" s="14"/>
      <c r="AD107" s="14"/>
      <c r="AE107" s="14"/>
      <c r="AF107" s="14"/>
      <c r="AG107" s="98"/>
      <c r="AH107" s="14"/>
      <c r="AI107" s="14"/>
    </row>
    <row r="108" spans="1:35">
      <c r="A108" s="12" t="s">
        <v>10</v>
      </c>
      <c r="B108" s="13"/>
      <c r="C108" s="50"/>
      <c r="D108" s="50"/>
      <c r="E108" s="112"/>
      <c r="F108" s="13"/>
      <c r="L108" s="33"/>
      <c r="M108" s="13"/>
      <c r="N108" s="33"/>
      <c r="O108" s="33"/>
      <c r="P108" s="14"/>
      <c r="Q108" s="14"/>
      <c r="R108" s="14"/>
      <c r="S108" s="14"/>
      <c r="T108" s="13"/>
      <c r="U108" s="14"/>
      <c r="V108" s="14"/>
      <c r="W108" s="14"/>
      <c r="X108" s="14"/>
      <c r="Y108" s="14"/>
      <c r="Z108" s="14"/>
      <c r="AA108" s="13"/>
      <c r="AB108" s="14"/>
      <c r="AC108" s="14"/>
      <c r="AD108" s="14"/>
      <c r="AE108" s="14"/>
      <c r="AF108" s="14"/>
      <c r="AG108" s="98"/>
      <c r="AH108" s="14"/>
      <c r="AI108" s="14"/>
    </row>
    <row r="109" spans="1:35">
      <c r="A109" s="443" t="s">
        <v>11</v>
      </c>
      <c r="B109" s="13"/>
      <c r="C109" s="50"/>
      <c r="D109" s="50"/>
      <c r="E109" s="112"/>
      <c r="F109" s="13"/>
      <c r="L109" s="33"/>
      <c r="M109" s="13"/>
      <c r="N109" s="33"/>
      <c r="O109" s="33"/>
      <c r="P109" s="14"/>
      <c r="Q109" s="14"/>
      <c r="R109" s="14"/>
      <c r="S109" s="14"/>
      <c r="T109" s="13"/>
      <c r="U109" s="14"/>
      <c r="V109" s="14"/>
      <c r="W109" s="14"/>
      <c r="X109" s="14"/>
      <c r="Y109" s="14"/>
      <c r="Z109" s="14"/>
      <c r="AA109" s="13"/>
      <c r="AB109" s="14"/>
      <c r="AC109" s="14"/>
      <c r="AD109" s="14"/>
      <c r="AE109" s="14"/>
      <c r="AF109" s="14"/>
      <c r="AG109" s="98"/>
      <c r="AH109" s="14"/>
      <c r="AI109" s="14"/>
    </row>
    <row r="110" spans="1:35" ht="15.75">
      <c r="A110" s="16" t="s">
        <v>12</v>
      </c>
      <c r="B110" s="13"/>
      <c r="C110" s="50"/>
      <c r="D110" s="50"/>
      <c r="E110" s="112"/>
      <c r="F110" s="13"/>
      <c r="L110" s="33"/>
      <c r="M110" s="13"/>
      <c r="N110" s="33"/>
      <c r="O110" s="33"/>
      <c r="P110" s="14"/>
      <c r="Q110" s="14"/>
      <c r="R110" s="14"/>
      <c r="S110" s="14"/>
      <c r="T110" s="13"/>
      <c r="U110" s="14"/>
      <c r="V110" s="14"/>
      <c r="W110" s="14"/>
      <c r="X110" s="14"/>
      <c r="Y110" s="14"/>
      <c r="Z110" s="14"/>
      <c r="AA110" s="13"/>
      <c r="AB110" s="14"/>
      <c r="AC110" s="14"/>
      <c r="AD110" s="14"/>
      <c r="AE110" s="14"/>
      <c r="AF110" s="14"/>
      <c r="AG110" s="98"/>
      <c r="AH110" s="14"/>
      <c r="AI110" s="14"/>
    </row>
    <row r="111" spans="1:35" ht="15.75">
      <c r="A111" s="18" t="s">
        <v>13</v>
      </c>
      <c r="B111" s="13"/>
      <c r="C111" s="50"/>
      <c r="D111" s="50"/>
      <c r="E111" s="112"/>
      <c r="F111" s="13"/>
      <c r="L111" s="33"/>
      <c r="M111" s="13"/>
      <c r="N111" s="33"/>
      <c r="O111" s="33"/>
      <c r="P111" s="14"/>
      <c r="Q111" s="14"/>
      <c r="R111" s="14"/>
      <c r="S111" s="14"/>
      <c r="T111" s="13"/>
      <c r="U111" s="14"/>
      <c r="V111" s="14"/>
      <c r="W111" s="14"/>
      <c r="X111" s="14"/>
      <c r="Y111" s="14"/>
      <c r="Z111" s="14"/>
      <c r="AA111" s="13"/>
      <c r="AB111" s="14"/>
      <c r="AC111" s="14"/>
      <c r="AD111" s="14"/>
      <c r="AE111" s="14"/>
      <c r="AF111" s="14"/>
      <c r="AG111" s="98"/>
      <c r="AH111" s="14"/>
      <c r="AI111" s="14"/>
    </row>
    <row r="112" spans="1:35">
      <c r="A112" s="20" t="s">
        <v>15</v>
      </c>
      <c r="B112" s="13"/>
      <c r="C112" s="50"/>
      <c r="D112" s="50"/>
      <c r="E112" s="112"/>
      <c r="F112" s="13"/>
      <c r="L112" s="33"/>
      <c r="M112" s="13"/>
      <c r="N112" s="33"/>
      <c r="O112" s="33"/>
      <c r="P112" s="14"/>
      <c r="Q112" s="14"/>
      <c r="R112" s="14"/>
      <c r="S112" s="14"/>
      <c r="T112" s="13"/>
      <c r="U112" s="14"/>
      <c r="V112" s="14"/>
      <c r="W112" s="14"/>
      <c r="X112" s="14"/>
      <c r="Y112" s="14"/>
      <c r="Z112" s="14"/>
      <c r="AA112" s="13"/>
      <c r="AB112" s="14"/>
      <c r="AC112" s="14"/>
      <c r="AD112" s="14"/>
      <c r="AE112" s="14"/>
      <c r="AF112" s="14"/>
      <c r="AG112" s="98"/>
      <c r="AH112" s="14"/>
      <c r="AI112" s="14"/>
    </row>
    <row r="113" spans="1:35">
      <c r="A113" s="444" t="s">
        <v>17</v>
      </c>
      <c r="B113" s="13"/>
      <c r="C113" s="50"/>
      <c r="D113" s="50"/>
      <c r="E113" s="112"/>
      <c r="F113" s="13"/>
      <c r="L113" s="33"/>
      <c r="M113" s="13"/>
      <c r="N113" s="33"/>
      <c r="O113" s="33"/>
      <c r="P113" s="14"/>
      <c r="Q113" s="14"/>
      <c r="R113" s="14"/>
      <c r="S113" s="14"/>
      <c r="T113" s="13"/>
      <c r="U113" s="14"/>
      <c r="V113" s="14"/>
      <c r="W113" s="14"/>
      <c r="X113" s="14"/>
      <c r="Y113" s="14"/>
      <c r="Z113" s="14"/>
      <c r="AA113" s="13"/>
      <c r="AB113" s="14"/>
      <c r="AC113" s="14"/>
      <c r="AD113" s="14"/>
      <c r="AE113" s="14"/>
      <c r="AF113" s="14"/>
      <c r="AG113" s="98"/>
      <c r="AH113" s="14"/>
      <c r="AI113" s="14"/>
    </row>
    <row r="114" spans="1:35" ht="15.75">
      <c r="A114" s="22" t="s">
        <v>18</v>
      </c>
      <c r="B114" s="13"/>
      <c r="C114" s="50"/>
      <c r="D114" s="50"/>
      <c r="E114" s="112"/>
      <c r="F114" s="13"/>
      <c r="L114" s="33"/>
      <c r="M114" s="13"/>
      <c r="N114" s="33"/>
      <c r="O114" s="33"/>
      <c r="P114" s="14"/>
      <c r="Q114" s="14"/>
      <c r="R114" s="14"/>
      <c r="S114" s="14"/>
      <c r="T114" s="13"/>
      <c r="U114" s="14"/>
      <c r="V114" s="14"/>
      <c r="W114" s="14"/>
      <c r="X114" s="14"/>
      <c r="Y114" s="14"/>
      <c r="Z114" s="14"/>
      <c r="AA114" s="13"/>
      <c r="AB114" s="14"/>
      <c r="AC114" s="14"/>
      <c r="AD114" s="14"/>
      <c r="AE114" s="14"/>
      <c r="AF114" s="14"/>
      <c r="AG114" s="98"/>
      <c r="AH114" s="14"/>
      <c r="AI114" s="14"/>
    </row>
    <row r="115" spans="1:35">
      <c r="A115" s="12" t="s">
        <v>20</v>
      </c>
      <c r="B115" s="13"/>
      <c r="C115" s="50"/>
      <c r="D115" s="50"/>
      <c r="E115" s="112"/>
      <c r="F115" s="13"/>
      <c r="L115" s="33"/>
      <c r="M115" s="13"/>
      <c r="N115" s="33"/>
      <c r="O115" s="33"/>
      <c r="P115" s="14"/>
      <c r="Q115" s="14"/>
      <c r="R115" s="14"/>
      <c r="S115" s="14"/>
      <c r="T115" s="13"/>
      <c r="U115" s="14"/>
      <c r="V115" s="14"/>
      <c r="W115" s="14"/>
      <c r="X115" s="14"/>
      <c r="Y115" s="14"/>
      <c r="Z115" s="14"/>
      <c r="AA115" s="13"/>
      <c r="AB115" s="14"/>
      <c r="AC115" s="14"/>
      <c r="AD115" s="14"/>
      <c r="AE115" s="14"/>
      <c r="AF115" s="14"/>
      <c r="AG115" s="98"/>
      <c r="AH115" s="14"/>
      <c r="AI115" s="14"/>
    </row>
    <row r="116" spans="1:35">
      <c r="A116" s="25" t="s">
        <v>21</v>
      </c>
      <c r="B116" s="13"/>
      <c r="C116" s="50"/>
      <c r="D116" s="50"/>
      <c r="E116" s="112"/>
      <c r="F116" s="13"/>
      <c r="L116" s="33"/>
      <c r="M116" s="13"/>
      <c r="N116" s="33"/>
      <c r="O116" s="33"/>
      <c r="P116" s="14"/>
      <c r="Q116" s="14"/>
      <c r="R116" s="14"/>
      <c r="S116" s="14"/>
      <c r="T116" s="13"/>
      <c r="U116" s="14"/>
      <c r="V116" s="14"/>
      <c r="W116" s="14"/>
      <c r="X116" s="14"/>
      <c r="Y116" s="14"/>
      <c r="Z116" s="14"/>
      <c r="AA116" s="13"/>
      <c r="AB116" s="14"/>
      <c r="AC116" s="14"/>
      <c r="AD116" s="14"/>
      <c r="AE116" s="14"/>
      <c r="AF116" s="14"/>
      <c r="AG116" s="98"/>
      <c r="AH116" s="14"/>
      <c r="AI116" s="14"/>
    </row>
    <row r="117" spans="1:35">
      <c r="A117" s="26" t="s">
        <v>22</v>
      </c>
      <c r="B117" s="13"/>
      <c r="C117" s="50"/>
      <c r="D117" s="50"/>
      <c r="E117" s="112"/>
      <c r="F117" s="13"/>
      <c r="L117" s="33"/>
      <c r="M117" s="13"/>
      <c r="N117" s="33"/>
      <c r="O117" s="33"/>
      <c r="P117" s="14"/>
      <c r="Q117" s="14"/>
      <c r="R117" s="14"/>
      <c r="S117" s="14"/>
      <c r="T117" s="13"/>
      <c r="U117" s="14"/>
      <c r="V117" s="14"/>
      <c r="W117" s="14"/>
      <c r="X117" s="14"/>
      <c r="Y117" s="14"/>
      <c r="Z117" s="14"/>
      <c r="AA117" s="13"/>
      <c r="AB117" s="14"/>
      <c r="AC117" s="14"/>
      <c r="AD117" s="14"/>
      <c r="AE117" s="14"/>
      <c r="AF117" s="14"/>
      <c r="AG117" s="98"/>
      <c r="AH117" s="14"/>
      <c r="AI117" s="14"/>
    </row>
    <row r="118" spans="1:35">
      <c r="A118" s="25" t="s">
        <v>23</v>
      </c>
      <c r="B118" s="13"/>
      <c r="C118" s="50"/>
      <c r="D118" s="50"/>
      <c r="E118" s="112"/>
      <c r="F118" s="13"/>
      <c r="L118" s="33"/>
      <c r="M118" s="13"/>
      <c r="N118" s="33"/>
      <c r="O118" s="33"/>
      <c r="P118" s="14"/>
      <c r="Q118" s="14"/>
      <c r="R118" s="14"/>
      <c r="S118" s="14"/>
      <c r="T118" s="13"/>
      <c r="U118" s="14"/>
      <c r="V118" s="14"/>
      <c r="W118" s="14"/>
      <c r="X118" s="14"/>
      <c r="Y118" s="14"/>
      <c r="Z118" s="14"/>
      <c r="AA118" s="13"/>
      <c r="AB118" s="14"/>
      <c r="AC118" s="14"/>
      <c r="AD118" s="14"/>
      <c r="AE118" s="14"/>
      <c r="AF118" s="14"/>
      <c r="AG118" s="98"/>
      <c r="AH118" s="14"/>
      <c r="AI118" s="14"/>
    </row>
    <row r="119" spans="1:35" ht="15.75">
      <c r="A119" s="28" t="s">
        <v>24</v>
      </c>
      <c r="B119" s="13"/>
      <c r="C119" s="50"/>
      <c r="D119" s="50"/>
      <c r="E119" s="112"/>
      <c r="F119" s="13"/>
      <c r="L119" s="33"/>
      <c r="M119" s="13"/>
      <c r="N119" s="33"/>
      <c r="O119" s="33"/>
      <c r="P119" s="14"/>
      <c r="Q119" s="14"/>
      <c r="R119" s="14"/>
      <c r="S119" s="14"/>
      <c r="T119" s="13"/>
      <c r="U119" s="14"/>
      <c r="V119" s="14"/>
      <c r="W119" s="14"/>
      <c r="X119" s="14"/>
      <c r="Y119" s="14"/>
      <c r="Z119" s="14"/>
      <c r="AA119" s="13"/>
      <c r="AB119" s="14"/>
      <c r="AC119" s="14"/>
      <c r="AD119" s="14"/>
      <c r="AE119" s="14"/>
      <c r="AF119" s="14"/>
      <c r="AG119" s="98"/>
      <c r="AH119" s="14"/>
      <c r="AI119" s="14"/>
    </row>
    <row r="120" spans="1:35">
      <c r="A120" s="31" t="s">
        <v>25</v>
      </c>
      <c r="B120" s="13"/>
      <c r="C120" s="50"/>
      <c r="D120" s="50"/>
      <c r="E120" s="112"/>
      <c r="F120" s="13"/>
      <c r="L120" s="33"/>
      <c r="M120" s="13"/>
      <c r="N120" s="33"/>
      <c r="O120" s="33"/>
      <c r="P120" s="14"/>
      <c r="Q120" s="14"/>
      <c r="R120" s="14"/>
      <c r="S120" s="14"/>
      <c r="T120" s="13"/>
      <c r="U120" s="14"/>
      <c r="V120" s="14"/>
      <c r="W120" s="14"/>
      <c r="X120" s="14"/>
      <c r="Y120" s="14"/>
      <c r="Z120" s="14"/>
      <c r="AA120" s="13"/>
      <c r="AB120" s="14"/>
      <c r="AC120" s="14"/>
      <c r="AD120" s="14"/>
      <c r="AE120" s="14"/>
      <c r="AF120" s="14"/>
      <c r="AG120" s="98"/>
      <c r="AH120" s="14"/>
      <c r="AI120" s="14"/>
    </row>
    <row r="121" spans="1:35" ht="15.75" thickBot="1">
      <c r="A121" s="12" t="s">
        <v>27</v>
      </c>
      <c r="B121" s="13"/>
      <c r="C121" s="35"/>
      <c r="D121" s="35"/>
      <c r="E121" s="81"/>
      <c r="F121" s="13"/>
      <c r="G121" s="35"/>
      <c r="H121" s="35"/>
      <c r="I121" s="35"/>
      <c r="J121" s="35"/>
      <c r="K121" s="81"/>
      <c r="L121" s="35"/>
      <c r="M121" s="13"/>
      <c r="N121" s="35"/>
      <c r="O121" s="35"/>
      <c r="P121" s="14"/>
      <c r="Q121" s="14"/>
      <c r="R121" s="14"/>
      <c r="S121" s="14"/>
      <c r="T121" s="13"/>
      <c r="U121" s="14"/>
      <c r="V121" s="14"/>
      <c r="W121" s="14"/>
      <c r="X121" s="14"/>
      <c r="Y121" s="14"/>
      <c r="Z121" s="14"/>
      <c r="AA121" s="13"/>
      <c r="AB121" s="14"/>
      <c r="AC121" s="14"/>
      <c r="AD121" s="14"/>
      <c r="AE121" s="14"/>
      <c r="AF121" s="14"/>
      <c r="AG121" s="99"/>
      <c r="AH121" s="14"/>
      <c r="AI121" s="14"/>
    </row>
    <row r="122" spans="1:35" ht="20.25" thickBot="1">
      <c r="A122" s="445" t="s">
        <v>36</v>
      </c>
      <c r="B122" s="36">
        <f>+B118+B104+B90+B76</f>
        <v>0</v>
      </c>
      <c r="C122" s="37">
        <f t="shared" ref="C122:E122" si="6">+C118+C104+C90+C76</f>
        <v>1992</v>
      </c>
      <c r="D122" s="37">
        <f t="shared" si="6"/>
        <v>2160</v>
      </c>
      <c r="E122" s="37">
        <f t="shared" si="6"/>
        <v>0</v>
      </c>
      <c r="F122" s="37"/>
      <c r="G122" s="37"/>
      <c r="H122" s="37"/>
      <c r="I122" s="37"/>
      <c r="J122" s="37"/>
      <c r="K122" s="37"/>
      <c r="L122" s="37">
        <f t="shared" ref="L122:AF122" si="7">+L118+L104+L90+L76</f>
        <v>0</v>
      </c>
      <c r="M122" s="37">
        <f t="shared" si="7"/>
        <v>0</v>
      </c>
      <c r="N122" s="37">
        <f t="shared" si="7"/>
        <v>0</v>
      </c>
      <c r="O122" s="37">
        <f t="shared" si="7"/>
        <v>0</v>
      </c>
      <c r="P122" s="37">
        <f t="shared" si="7"/>
        <v>0</v>
      </c>
      <c r="Q122" s="37">
        <f t="shared" si="7"/>
        <v>0</v>
      </c>
      <c r="R122" s="37">
        <f t="shared" si="7"/>
        <v>0</v>
      </c>
      <c r="S122" s="37">
        <f t="shared" si="7"/>
        <v>0</v>
      </c>
      <c r="T122" s="36">
        <f t="shared" si="7"/>
        <v>0</v>
      </c>
      <c r="U122" s="37">
        <f t="shared" si="7"/>
        <v>0</v>
      </c>
      <c r="V122" s="37">
        <f t="shared" si="7"/>
        <v>0</v>
      </c>
      <c r="W122" s="37">
        <f t="shared" si="7"/>
        <v>0</v>
      </c>
      <c r="X122" s="37">
        <f t="shared" si="7"/>
        <v>0</v>
      </c>
      <c r="Y122" s="37">
        <f t="shared" si="7"/>
        <v>0</v>
      </c>
      <c r="Z122" s="37">
        <f t="shared" si="7"/>
        <v>0</v>
      </c>
      <c r="AA122" s="36">
        <f t="shared" si="7"/>
        <v>0</v>
      </c>
      <c r="AB122" s="37">
        <f t="shared" si="7"/>
        <v>0</v>
      </c>
      <c r="AC122" s="37">
        <f t="shared" si="7"/>
        <v>0</v>
      </c>
      <c r="AD122" s="37">
        <f t="shared" si="7"/>
        <v>0</v>
      </c>
      <c r="AE122" s="37">
        <f t="shared" si="7"/>
        <v>0</v>
      </c>
      <c r="AF122" s="37">
        <f t="shared" si="7"/>
        <v>0</v>
      </c>
      <c r="AG122" s="38"/>
      <c r="AH122" s="14"/>
      <c r="AI122" s="14"/>
    </row>
    <row r="123" spans="1:35" ht="21" thickTop="1" thickBot="1">
      <c r="A123" s="445" t="s">
        <v>37</v>
      </c>
      <c r="B123" s="39">
        <f>+B124*B5</f>
        <v>0</v>
      </c>
      <c r="C123" s="40">
        <f t="shared" ref="C123:AF123" si="8">+C124*C5</f>
        <v>1710</v>
      </c>
      <c r="D123" s="40">
        <f t="shared" si="8"/>
        <v>1710</v>
      </c>
      <c r="E123" s="40">
        <f t="shared" si="8"/>
        <v>1440</v>
      </c>
      <c r="F123" s="39">
        <f t="shared" si="8"/>
        <v>0</v>
      </c>
      <c r="G123" s="40">
        <f t="shared" si="8"/>
        <v>0</v>
      </c>
      <c r="H123" s="40">
        <f t="shared" si="8"/>
        <v>0</v>
      </c>
      <c r="I123" s="40">
        <f t="shared" si="8"/>
        <v>0</v>
      </c>
      <c r="J123" s="40">
        <f t="shared" si="8"/>
        <v>0</v>
      </c>
      <c r="K123" s="40">
        <f t="shared" si="8"/>
        <v>0</v>
      </c>
      <c r="L123" s="40">
        <f t="shared" si="8"/>
        <v>0</v>
      </c>
      <c r="M123" s="39">
        <f t="shared" si="8"/>
        <v>0</v>
      </c>
      <c r="N123" s="40">
        <f t="shared" si="8"/>
        <v>0</v>
      </c>
      <c r="O123" s="40">
        <f t="shared" si="8"/>
        <v>0</v>
      </c>
      <c r="P123" s="40">
        <f t="shared" si="8"/>
        <v>0</v>
      </c>
      <c r="Q123" s="40">
        <f t="shared" si="8"/>
        <v>0</v>
      </c>
      <c r="R123" s="40">
        <f t="shared" si="8"/>
        <v>0</v>
      </c>
      <c r="S123" s="40">
        <f t="shared" si="8"/>
        <v>0</v>
      </c>
      <c r="T123" s="39">
        <f t="shared" si="8"/>
        <v>0</v>
      </c>
      <c r="U123" s="40">
        <f t="shared" si="8"/>
        <v>0</v>
      </c>
      <c r="V123" s="40">
        <f t="shared" si="8"/>
        <v>0</v>
      </c>
      <c r="W123" s="40">
        <f t="shared" si="8"/>
        <v>0</v>
      </c>
      <c r="X123" s="40">
        <f t="shared" si="8"/>
        <v>0</v>
      </c>
      <c r="Y123" s="40">
        <f t="shared" si="8"/>
        <v>0</v>
      </c>
      <c r="Z123" s="40">
        <f t="shared" si="8"/>
        <v>0</v>
      </c>
      <c r="AA123" s="39">
        <f t="shared" si="8"/>
        <v>0</v>
      </c>
      <c r="AB123" s="40">
        <f t="shared" si="8"/>
        <v>0</v>
      </c>
      <c r="AC123" s="40">
        <f t="shared" si="8"/>
        <v>0</v>
      </c>
      <c r="AD123" s="40">
        <f t="shared" si="8"/>
        <v>0</v>
      </c>
      <c r="AE123" s="40">
        <f t="shared" si="8"/>
        <v>0</v>
      </c>
      <c r="AF123" s="40">
        <f t="shared" si="8"/>
        <v>0</v>
      </c>
      <c r="AG123" s="41">
        <f>SUM(B123:AF123)</f>
        <v>4860</v>
      </c>
      <c r="AH123" s="14"/>
      <c r="AI123" s="14"/>
    </row>
    <row r="124" spans="1:35" ht="21" thickTop="1" thickBot="1">
      <c r="A124" s="445" t="s">
        <v>38</v>
      </c>
      <c r="B124" s="42"/>
      <c r="C124" s="43">
        <v>180</v>
      </c>
      <c r="D124" s="43">
        <v>180</v>
      </c>
      <c r="E124" s="43">
        <v>180</v>
      </c>
      <c r="F124" s="42"/>
      <c r="G124" s="43"/>
      <c r="H124" s="43"/>
      <c r="I124" s="43"/>
      <c r="J124" s="43"/>
      <c r="K124" s="43"/>
      <c r="L124" s="43"/>
      <c r="M124" s="42"/>
      <c r="N124" s="40"/>
      <c r="O124" s="40"/>
      <c r="P124" s="43"/>
      <c r="Q124" s="40"/>
      <c r="R124" s="43"/>
      <c r="S124" s="43"/>
      <c r="T124" s="42"/>
      <c r="U124" s="40"/>
      <c r="V124" s="40"/>
      <c r="W124" s="43"/>
      <c r="X124" s="40"/>
      <c r="Y124" s="43"/>
      <c r="Z124" s="43"/>
      <c r="AA124" s="42"/>
      <c r="AB124" s="40"/>
      <c r="AC124" s="40"/>
      <c r="AD124" s="43"/>
      <c r="AE124" s="46"/>
      <c r="AF124" s="43"/>
      <c r="AG124" s="44"/>
      <c r="AH124" s="14"/>
      <c r="AI124" s="14"/>
    </row>
    <row r="125" spans="1:35" ht="21" thickTop="1" thickBot="1">
      <c r="A125" s="45" t="e">
        <f>+'T04'!AD125</f>
        <v>#REF!</v>
      </c>
      <c r="B125" s="39" t="e">
        <f t="shared" ref="B125:AF125" si="9">IF(A125+B122-B123&lt;0,0,A125+B122-B123)</f>
        <v>#REF!</v>
      </c>
      <c r="C125" s="40" t="e">
        <f t="shared" si="9"/>
        <v>#REF!</v>
      </c>
      <c r="D125" s="40" t="e">
        <f t="shared" si="9"/>
        <v>#REF!</v>
      </c>
      <c r="E125" s="40" t="e">
        <f t="shared" si="9"/>
        <v>#REF!</v>
      </c>
      <c r="F125" s="39" t="e">
        <f t="shared" si="9"/>
        <v>#REF!</v>
      </c>
      <c r="G125" s="40" t="e">
        <f t="shared" si="9"/>
        <v>#REF!</v>
      </c>
      <c r="H125" s="40" t="e">
        <f t="shared" si="9"/>
        <v>#REF!</v>
      </c>
      <c r="I125" s="40" t="e">
        <f t="shared" si="9"/>
        <v>#REF!</v>
      </c>
      <c r="J125" s="40" t="e">
        <f t="shared" si="9"/>
        <v>#REF!</v>
      </c>
      <c r="K125" s="40" t="e">
        <f t="shared" si="9"/>
        <v>#REF!</v>
      </c>
      <c r="L125" s="40" t="e">
        <f t="shared" si="9"/>
        <v>#REF!</v>
      </c>
      <c r="M125" s="39" t="e">
        <f t="shared" si="9"/>
        <v>#REF!</v>
      </c>
      <c r="N125" s="40" t="e">
        <f t="shared" si="9"/>
        <v>#REF!</v>
      </c>
      <c r="O125" s="40" t="e">
        <f t="shared" si="9"/>
        <v>#REF!</v>
      </c>
      <c r="P125" s="40" t="e">
        <f t="shared" si="9"/>
        <v>#REF!</v>
      </c>
      <c r="Q125" s="40" t="e">
        <f t="shared" si="9"/>
        <v>#REF!</v>
      </c>
      <c r="R125" s="40" t="e">
        <f t="shared" si="9"/>
        <v>#REF!</v>
      </c>
      <c r="S125" s="40" t="e">
        <f t="shared" si="9"/>
        <v>#REF!</v>
      </c>
      <c r="T125" s="39" t="e">
        <f t="shared" si="9"/>
        <v>#REF!</v>
      </c>
      <c r="U125" s="40" t="e">
        <f t="shared" si="9"/>
        <v>#REF!</v>
      </c>
      <c r="V125" s="40" t="e">
        <f t="shared" si="9"/>
        <v>#REF!</v>
      </c>
      <c r="W125" s="40" t="e">
        <f t="shared" si="9"/>
        <v>#REF!</v>
      </c>
      <c r="X125" s="40" t="e">
        <f t="shared" si="9"/>
        <v>#REF!</v>
      </c>
      <c r="Y125" s="40" t="e">
        <f t="shared" si="9"/>
        <v>#REF!</v>
      </c>
      <c r="Z125" s="40" t="e">
        <f t="shared" si="9"/>
        <v>#REF!</v>
      </c>
      <c r="AA125" s="39" t="e">
        <f t="shared" si="9"/>
        <v>#REF!</v>
      </c>
      <c r="AB125" s="40" t="e">
        <f t="shared" si="9"/>
        <v>#REF!</v>
      </c>
      <c r="AC125" s="40" t="e">
        <f t="shared" si="9"/>
        <v>#REF!</v>
      </c>
      <c r="AD125" s="40" t="e">
        <f t="shared" si="9"/>
        <v>#REF!</v>
      </c>
      <c r="AE125" s="46" t="e">
        <f t="shared" si="9"/>
        <v>#REF!</v>
      </c>
      <c r="AF125" s="40" t="e">
        <f t="shared" si="9"/>
        <v>#REF!</v>
      </c>
      <c r="AG125" s="47" t="e">
        <f>IF(AE125+AG122-AG123&lt;0,0,AE125+AG122-AG123)</f>
        <v>#REF!</v>
      </c>
      <c r="AH125" s="14"/>
      <c r="AI125" s="14"/>
    </row>
    <row r="126" spans="1:35" ht="15.75">
      <c r="A126" s="12" t="s">
        <v>10</v>
      </c>
      <c r="B126" s="13"/>
      <c r="C126" s="418"/>
      <c r="D126" s="51" t="s">
        <v>726</v>
      </c>
      <c r="E126" s="51" t="s">
        <v>726</v>
      </c>
      <c r="F126" s="13"/>
      <c r="G126" s="59"/>
      <c r="H126" s="51" t="s">
        <v>726</v>
      </c>
      <c r="I126" s="51" t="s">
        <v>726</v>
      </c>
      <c r="J126" s="51" t="s">
        <v>726</v>
      </c>
      <c r="K126" s="82"/>
      <c r="L126" s="82"/>
      <c r="M126" s="13"/>
      <c r="N126" s="14"/>
      <c r="O126" s="14"/>
      <c r="P126" s="14"/>
      <c r="Q126" s="14"/>
      <c r="R126" s="14"/>
      <c r="S126" s="14"/>
      <c r="T126" s="13"/>
      <c r="U126" s="14"/>
      <c r="V126" s="14"/>
      <c r="W126" s="14"/>
      <c r="X126" s="14"/>
      <c r="Y126" s="14"/>
      <c r="Z126" s="14"/>
      <c r="AA126" s="13"/>
      <c r="AB126" s="14"/>
      <c r="AC126" s="14"/>
      <c r="AD126" s="14"/>
      <c r="AE126" s="14"/>
      <c r="AF126" s="14"/>
      <c r="AG126" s="97"/>
      <c r="AH126" s="14"/>
      <c r="AI126" s="14"/>
    </row>
    <row r="127" spans="1:35" ht="15.75">
      <c r="A127" s="443" t="s">
        <v>11</v>
      </c>
      <c r="B127" s="13"/>
      <c r="C127" s="93"/>
      <c r="D127" s="52" t="s">
        <v>888</v>
      </c>
      <c r="E127" s="52" t="s">
        <v>887</v>
      </c>
      <c r="F127" s="13"/>
      <c r="G127" s="93"/>
      <c r="H127" s="52" t="s">
        <v>892</v>
      </c>
      <c r="I127" s="52" t="s">
        <v>891</v>
      </c>
      <c r="J127" s="52" t="s">
        <v>890</v>
      </c>
      <c r="K127" s="33"/>
      <c r="L127" s="33"/>
      <c r="M127" s="13"/>
      <c r="N127" s="14"/>
      <c r="O127" s="14"/>
      <c r="P127" s="14"/>
      <c r="Q127" s="14"/>
      <c r="R127" s="14"/>
      <c r="S127" s="14"/>
      <c r="T127" s="13"/>
      <c r="U127" s="14"/>
      <c r="V127" s="14"/>
      <c r="W127" s="14"/>
      <c r="X127" s="14"/>
      <c r="Y127" s="14"/>
      <c r="Z127" s="14"/>
      <c r="AA127" s="13"/>
      <c r="AB127" s="14"/>
      <c r="AC127" s="14"/>
      <c r="AD127" s="14"/>
      <c r="AE127" s="14"/>
      <c r="AF127" s="14"/>
      <c r="AG127" s="98"/>
      <c r="AH127" s="14"/>
      <c r="AI127" s="14"/>
    </row>
    <row r="128" spans="1:35" ht="15.75">
      <c r="A128" s="16" t="s">
        <v>12</v>
      </c>
      <c r="B128" s="13"/>
      <c r="C128" s="418"/>
      <c r="D128" s="51"/>
      <c r="E128" s="51"/>
      <c r="F128" s="13"/>
      <c r="G128" s="418"/>
      <c r="H128" s="51"/>
      <c r="I128" s="51"/>
      <c r="J128" s="51"/>
      <c r="K128" s="33"/>
      <c r="L128" s="33"/>
      <c r="M128" s="13"/>
      <c r="N128" s="14"/>
      <c r="O128" s="14"/>
      <c r="P128" s="14"/>
      <c r="Q128" s="14"/>
      <c r="R128" s="14"/>
      <c r="S128" s="14"/>
      <c r="T128" s="13"/>
      <c r="U128" s="14"/>
      <c r="V128" s="14"/>
      <c r="W128" s="14"/>
      <c r="X128" s="14"/>
      <c r="Y128" s="14"/>
      <c r="Z128" s="14"/>
      <c r="AA128" s="13"/>
      <c r="AB128" s="14"/>
      <c r="AC128" s="14"/>
      <c r="AD128" s="14"/>
      <c r="AE128" s="14"/>
      <c r="AF128" s="14"/>
      <c r="AG128" s="98"/>
      <c r="AH128" s="14"/>
      <c r="AI128" s="14"/>
    </row>
    <row r="129" spans="1:35" ht="15.75">
      <c r="A129" s="18" t="s">
        <v>13</v>
      </c>
      <c r="B129" s="13"/>
      <c r="C129" s="19"/>
      <c r="D129" s="53" t="s">
        <v>1006</v>
      </c>
      <c r="E129" s="53" t="s">
        <v>1006</v>
      </c>
      <c r="F129" s="13"/>
      <c r="G129" s="19"/>
      <c r="H129" s="53" t="s">
        <v>1006</v>
      </c>
      <c r="I129" s="53" t="s">
        <v>1006</v>
      </c>
      <c r="J129" s="53" t="s">
        <v>1006</v>
      </c>
      <c r="K129" s="33"/>
      <c r="L129" s="33"/>
      <c r="M129" s="13"/>
      <c r="N129" s="14"/>
      <c r="O129" s="14"/>
      <c r="P129" s="14"/>
      <c r="Q129" s="14"/>
      <c r="R129" s="14"/>
      <c r="S129" s="14"/>
      <c r="T129" s="13"/>
      <c r="U129" s="14"/>
      <c r="V129" s="14"/>
      <c r="W129" s="14"/>
      <c r="X129" s="14"/>
      <c r="Y129" s="14"/>
      <c r="Z129" s="14"/>
      <c r="AA129" s="13"/>
      <c r="AB129" s="14"/>
      <c r="AC129" s="14"/>
      <c r="AD129" s="14"/>
      <c r="AE129" s="14"/>
      <c r="AF129" s="14"/>
      <c r="AG129" s="98"/>
      <c r="AH129" s="14"/>
      <c r="AI129" s="14"/>
    </row>
    <row r="130" spans="1:35" ht="15.75">
      <c r="A130" s="20" t="s">
        <v>15</v>
      </c>
      <c r="B130" s="13"/>
      <c r="C130" s="418"/>
      <c r="D130" s="51" t="s">
        <v>68</v>
      </c>
      <c r="E130" s="51" t="s">
        <v>68</v>
      </c>
      <c r="F130" s="13"/>
      <c r="G130" s="418"/>
      <c r="H130" s="51" t="s">
        <v>68</v>
      </c>
      <c r="I130" s="51" t="s">
        <v>68</v>
      </c>
      <c r="J130" s="51" t="s">
        <v>68</v>
      </c>
      <c r="K130" s="33"/>
      <c r="L130" s="33"/>
      <c r="M130" s="13"/>
      <c r="N130" s="14"/>
      <c r="O130" s="14"/>
      <c r="P130" s="14"/>
      <c r="Q130" s="14"/>
      <c r="R130" s="14"/>
      <c r="S130" s="14"/>
      <c r="T130" s="13"/>
      <c r="U130" s="14"/>
      <c r="V130" s="14"/>
      <c r="W130" s="14"/>
      <c r="X130" s="14"/>
      <c r="Y130" s="14"/>
      <c r="Z130" s="14"/>
      <c r="AA130" s="13"/>
      <c r="AB130" s="14"/>
      <c r="AC130" s="14"/>
      <c r="AD130" s="14"/>
      <c r="AE130" s="14"/>
      <c r="AF130" s="14"/>
      <c r="AG130" s="98"/>
      <c r="AH130" s="14"/>
      <c r="AI130" s="14"/>
    </row>
    <row r="131" spans="1:35" ht="15.75">
      <c r="A131" s="444" t="s">
        <v>17</v>
      </c>
      <c r="B131" s="13"/>
      <c r="C131" s="391"/>
      <c r="D131" s="492" t="s">
        <v>1000</v>
      </c>
      <c r="E131" s="492" t="s">
        <v>1000</v>
      </c>
      <c r="F131" s="13"/>
      <c r="G131" s="391"/>
      <c r="H131" s="492" t="s">
        <v>1000</v>
      </c>
      <c r="I131" s="492" t="s">
        <v>1000</v>
      </c>
      <c r="J131" s="492" t="s">
        <v>1000</v>
      </c>
      <c r="K131" s="33"/>
      <c r="L131" s="33"/>
      <c r="M131" s="13"/>
      <c r="N131" s="14"/>
      <c r="O131" s="14"/>
      <c r="P131" s="14"/>
      <c r="Q131" s="14"/>
      <c r="R131" s="14"/>
      <c r="S131" s="14"/>
      <c r="T131" s="13"/>
      <c r="U131" s="14"/>
      <c r="V131" s="14"/>
      <c r="W131" s="14"/>
      <c r="X131" s="14"/>
      <c r="Y131" s="14"/>
      <c r="Z131" s="14"/>
      <c r="AA131" s="13"/>
      <c r="AB131" s="14"/>
      <c r="AC131" s="14"/>
      <c r="AD131" s="14"/>
      <c r="AE131" s="14"/>
      <c r="AF131" s="14"/>
      <c r="AG131" s="98"/>
      <c r="AH131" s="14"/>
      <c r="AI131" s="14"/>
    </row>
    <row r="132" spans="1:35" ht="15.75">
      <c r="A132" s="22" t="s">
        <v>18</v>
      </c>
      <c r="B132" s="13"/>
      <c r="C132" s="23"/>
      <c r="D132" s="54"/>
      <c r="E132" s="54"/>
      <c r="F132" s="13"/>
      <c r="G132" s="23"/>
      <c r="H132" s="54"/>
      <c r="I132" s="54"/>
      <c r="J132" s="54"/>
      <c r="K132" s="33"/>
      <c r="L132" s="33"/>
      <c r="M132" s="13"/>
      <c r="N132" s="14"/>
      <c r="O132" s="14"/>
      <c r="P132" s="14"/>
      <c r="Q132" s="14"/>
      <c r="R132" s="14"/>
      <c r="S132" s="14"/>
      <c r="T132" s="13"/>
      <c r="U132" s="14"/>
      <c r="V132" s="14"/>
      <c r="W132" s="14"/>
      <c r="X132" s="14"/>
      <c r="Y132" s="14"/>
      <c r="Z132" s="14"/>
      <c r="AA132" s="13"/>
      <c r="AB132" s="14"/>
      <c r="AC132" s="14"/>
      <c r="AD132" s="14"/>
      <c r="AE132" s="14"/>
      <c r="AF132" s="14"/>
      <c r="AG132" s="98"/>
      <c r="AH132" s="14"/>
      <c r="AI132" s="14"/>
    </row>
    <row r="133" spans="1:35">
      <c r="A133" s="12" t="s">
        <v>20</v>
      </c>
      <c r="B133" s="13"/>
      <c r="D133" s="55"/>
      <c r="E133" s="55"/>
      <c r="F133" s="13"/>
      <c r="G133" s="50"/>
      <c r="H133" s="55" t="s">
        <v>107</v>
      </c>
      <c r="I133" s="55"/>
      <c r="J133" s="55"/>
      <c r="K133" s="33"/>
      <c r="L133" s="33"/>
      <c r="M133" s="13"/>
      <c r="N133" s="14"/>
      <c r="O133" s="14"/>
      <c r="P133" s="14"/>
      <c r="Q133" s="14"/>
      <c r="R133" s="14"/>
      <c r="S133" s="14"/>
      <c r="T133" s="13"/>
      <c r="U133" s="14"/>
      <c r="V133" s="14"/>
      <c r="W133" s="14"/>
      <c r="X133" s="14"/>
      <c r="Y133" s="14"/>
      <c r="Z133" s="14"/>
      <c r="AA133" s="13"/>
      <c r="AB133" s="14"/>
      <c r="AC133" s="14"/>
      <c r="AD133" s="14"/>
      <c r="AE133" s="14"/>
      <c r="AF133" s="14"/>
      <c r="AG133" s="98"/>
      <c r="AH133" s="14"/>
      <c r="AI133" s="14"/>
    </row>
    <row r="134" spans="1:35" ht="15.75">
      <c r="A134" s="25" t="s">
        <v>21</v>
      </c>
      <c r="B134" s="13"/>
      <c r="C134" s="418"/>
      <c r="D134" s="51" t="s">
        <v>730</v>
      </c>
      <c r="E134" s="51" t="s">
        <v>725</v>
      </c>
      <c r="F134" s="13"/>
      <c r="G134" s="418"/>
      <c r="H134" s="51" t="s">
        <v>725</v>
      </c>
      <c r="I134" s="51" t="s">
        <v>725</v>
      </c>
      <c r="J134" s="51" t="s">
        <v>725</v>
      </c>
      <c r="K134" s="33"/>
      <c r="L134" s="33"/>
      <c r="M134" s="13"/>
      <c r="N134" s="14"/>
      <c r="O134" s="14"/>
      <c r="P134" s="14"/>
      <c r="Q134" s="14"/>
      <c r="R134" s="14"/>
      <c r="S134" s="14"/>
      <c r="T134" s="13"/>
      <c r="U134" s="14"/>
      <c r="V134" s="14"/>
      <c r="W134" s="14"/>
      <c r="X134" s="14"/>
      <c r="Y134" s="14"/>
      <c r="Z134" s="14"/>
      <c r="AA134" s="13"/>
      <c r="AB134" s="14"/>
      <c r="AC134" s="14"/>
      <c r="AD134" s="14"/>
      <c r="AE134" s="14"/>
      <c r="AF134" s="14"/>
      <c r="AG134" s="98"/>
      <c r="AH134" s="14"/>
      <c r="AI134" s="14"/>
    </row>
    <row r="135" spans="1:35">
      <c r="A135" s="26" t="s">
        <v>22</v>
      </c>
      <c r="B135" s="13"/>
      <c r="C135" s="27"/>
      <c r="D135" s="57"/>
      <c r="E135" s="57"/>
      <c r="F135" s="13"/>
      <c r="G135" s="27"/>
      <c r="H135" s="57"/>
      <c r="I135" s="57"/>
      <c r="J135" s="57"/>
      <c r="K135" s="33"/>
      <c r="L135" s="33"/>
      <c r="M135" s="13"/>
      <c r="N135" s="14"/>
      <c r="O135" s="14"/>
      <c r="P135" s="14"/>
      <c r="Q135" s="14"/>
      <c r="R135" s="14"/>
      <c r="S135" s="14"/>
      <c r="T135" s="13"/>
      <c r="U135" s="14"/>
      <c r="V135" s="14"/>
      <c r="W135" s="14"/>
      <c r="X135" s="14"/>
      <c r="Y135" s="14"/>
      <c r="Z135" s="14"/>
      <c r="AA135" s="13"/>
      <c r="AB135" s="14"/>
      <c r="AC135" s="14"/>
      <c r="AD135" s="14"/>
      <c r="AE135" s="14"/>
      <c r="AF135" s="14"/>
      <c r="AG135" s="98"/>
      <c r="AH135" s="14"/>
      <c r="AI135" s="14"/>
    </row>
    <row r="136" spans="1:35" ht="15.75">
      <c r="A136" s="25" t="s">
        <v>23</v>
      </c>
      <c r="B136" s="13"/>
      <c r="C136" s="418"/>
      <c r="D136" s="51">
        <v>1152</v>
      </c>
      <c r="E136" s="51">
        <v>2892</v>
      </c>
      <c r="F136" s="13"/>
      <c r="G136" s="418"/>
      <c r="H136" s="51">
        <v>1656</v>
      </c>
      <c r="I136" s="51">
        <v>720</v>
      </c>
      <c r="J136" s="51">
        <v>444</v>
      </c>
      <c r="K136" s="33"/>
      <c r="L136" s="33"/>
      <c r="M136" s="13"/>
      <c r="N136" s="14"/>
      <c r="O136" s="14"/>
      <c r="P136" s="14"/>
      <c r="Q136" s="14"/>
      <c r="R136" s="14"/>
      <c r="S136" s="14"/>
      <c r="T136" s="13"/>
      <c r="U136" s="14"/>
      <c r="V136" s="14"/>
      <c r="W136" s="14"/>
      <c r="X136" s="14"/>
      <c r="Y136" s="14"/>
      <c r="Z136" s="14"/>
      <c r="AA136" s="13"/>
      <c r="AB136" s="14"/>
      <c r="AC136" s="14"/>
      <c r="AD136" s="14"/>
      <c r="AE136" s="14"/>
      <c r="AF136" s="14"/>
      <c r="AG136" s="98"/>
      <c r="AH136" s="14"/>
      <c r="AI136" s="14"/>
    </row>
    <row r="137" spans="1:35" ht="15.75">
      <c r="A137" s="28" t="s">
        <v>24</v>
      </c>
      <c r="B137" s="13"/>
      <c r="D137" s="55"/>
      <c r="E137" s="55"/>
      <c r="F137" s="13"/>
      <c r="G137" s="50"/>
      <c r="H137" s="55"/>
      <c r="I137" s="55"/>
      <c r="J137" s="55"/>
      <c r="K137" s="33"/>
      <c r="L137" s="33"/>
      <c r="M137" s="13"/>
      <c r="N137" s="14"/>
      <c r="O137" s="14"/>
      <c r="P137" s="14"/>
      <c r="Q137" s="14"/>
      <c r="R137" s="14"/>
      <c r="S137" s="14"/>
      <c r="T137" s="13"/>
      <c r="U137" s="14"/>
      <c r="V137" s="14"/>
      <c r="W137" s="14"/>
      <c r="X137" s="14"/>
      <c r="Y137" s="14"/>
      <c r="Z137" s="14"/>
      <c r="AA137" s="13"/>
      <c r="AB137" s="14"/>
      <c r="AC137" s="14"/>
      <c r="AD137" s="14"/>
      <c r="AE137" s="14"/>
      <c r="AF137" s="14"/>
      <c r="AG137" s="98"/>
      <c r="AH137" s="14"/>
      <c r="AI137" s="14"/>
    </row>
    <row r="138" spans="1:35" ht="15.75">
      <c r="A138" s="31" t="s">
        <v>25</v>
      </c>
      <c r="B138" s="13"/>
      <c r="C138" s="32"/>
      <c r="D138" s="491">
        <v>43639</v>
      </c>
      <c r="E138" s="491">
        <v>43593</v>
      </c>
      <c r="F138" s="13"/>
      <c r="G138" s="32"/>
      <c r="H138" s="491">
        <v>43594</v>
      </c>
      <c r="I138" s="491">
        <v>43594</v>
      </c>
      <c r="J138" s="491">
        <v>43596</v>
      </c>
      <c r="K138" s="33"/>
      <c r="L138" s="33"/>
      <c r="M138" s="13"/>
      <c r="N138" s="14"/>
      <c r="O138" s="14"/>
      <c r="P138" s="14"/>
      <c r="Q138" s="14"/>
      <c r="R138" s="14"/>
      <c r="S138" s="14"/>
      <c r="T138" s="13"/>
      <c r="U138" s="14"/>
      <c r="V138" s="14"/>
      <c r="W138" s="14"/>
      <c r="X138" s="14"/>
      <c r="Y138" s="14"/>
      <c r="Z138" s="14"/>
      <c r="AA138" s="13"/>
      <c r="AB138" s="14"/>
      <c r="AC138" s="14"/>
      <c r="AD138" s="14"/>
      <c r="AE138" s="14"/>
      <c r="AF138" s="14"/>
      <c r="AG138" s="98"/>
      <c r="AH138" s="14"/>
      <c r="AI138" s="14"/>
    </row>
    <row r="139" spans="1:35">
      <c r="A139" s="12" t="s">
        <v>27</v>
      </c>
      <c r="B139" s="13"/>
      <c r="C139" s="14"/>
      <c r="D139" s="58" t="s">
        <v>29</v>
      </c>
      <c r="E139" s="58" t="s">
        <v>28</v>
      </c>
      <c r="F139" s="13"/>
      <c r="G139" s="50"/>
      <c r="H139" s="58" t="s">
        <v>29</v>
      </c>
      <c r="I139" s="58" t="s">
        <v>29</v>
      </c>
      <c r="J139" s="58" t="s">
        <v>28</v>
      </c>
      <c r="K139" s="33"/>
      <c r="L139" s="33"/>
      <c r="M139" s="13"/>
      <c r="N139" s="14"/>
      <c r="O139" s="14"/>
      <c r="P139" s="14"/>
      <c r="Q139" s="14"/>
      <c r="R139" s="14"/>
      <c r="S139" s="14"/>
      <c r="T139" s="13"/>
      <c r="U139" s="14"/>
      <c r="V139" s="14"/>
      <c r="W139" s="14"/>
      <c r="X139" s="14"/>
      <c r="Y139" s="14"/>
      <c r="Z139" s="14"/>
      <c r="AA139" s="13"/>
      <c r="AB139" s="14"/>
      <c r="AC139" s="14"/>
      <c r="AD139" s="14"/>
      <c r="AE139" s="14"/>
      <c r="AF139" s="14"/>
      <c r="AG139" s="98"/>
      <c r="AH139" s="14"/>
      <c r="AI139" s="14"/>
    </row>
    <row r="140" spans="1:35" ht="15.75">
      <c r="A140" s="12" t="s">
        <v>10</v>
      </c>
      <c r="B140" s="13"/>
      <c r="C140" s="14"/>
      <c r="D140" s="418"/>
      <c r="E140" s="418"/>
      <c r="F140" s="13"/>
      <c r="G140" s="418"/>
      <c r="H140" s="89"/>
      <c r="I140" s="89"/>
      <c r="J140" s="51" t="s">
        <v>726</v>
      </c>
      <c r="K140" s="33"/>
      <c r="L140" s="33"/>
      <c r="M140" s="13"/>
      <c r="N140" s="14"/>
      <c r="O140" s="14"/>
      <c r="P140" s="14"/>
      <c r="Q140" s="14"/>
      <c r="R140" s="14"/>
      <c r="S140" s="14"/>
      <c r="T140" s="13"/>
      <c r="U140" s="14"/>
      <c r="V140" s="14"/>
      <c r="W140" s="14"/>
      <c r="X140" s="14"/>
      <c r="Y140" s="14"/>
      <c r="Z140" s="14"/>
      <c r="AA140" s="13"/>
      <c r="AB140" s="14"/>
      <c r="AC140" s="14"/>
      <c r="AD140" s="14"/>
      <c r="AE140" s="14"/>
      <c r="AF140" s="14"/>
      <c r="AG140" s="98"/>
      <c r="AH140" s="14"/>
      <c r="AI140" s="14"/>
    </row>
    <row r="141" spans="1:35" ht="15.75">
      <c r="A141" s="443" t="s">
        <v>11</v>
      </c>
      <c r="B141" s="13"/>
      <c r="C141" s="14"/>
      <c r="D141" s="93"/>
      <c r="E141" s="93"/>
      <c r="F141" s="13"/>
      <c r="G141" s="93"/>
      <c r="H141" s="89"/>
      <c r="I141" s="89"/>
      <c r="J141" s="52" t="s">
        <v>889</v>
      </c>
      <c r="K141" s="33"/>
      <c r="L141" s="33"/>
      <c r="M141" s="13"/>
      <c r="N141" s="14"/>
      <c r="O141" s="14"/>
      <c r="P141" s="14"/>
      <c r="Q141" s="14"/>
      <c r="R141" s="14"/>
      <c r="S141" s="14"/>
      <c r="T141" s="13"/>
      <c r="U141" s="14"/>
      <c r="V141" s="14"/>
      <c r="W141" s="14"/>
      <c r="X141" s="14"/>
      <c r="Y141" s="14"/>
      <c r="Z141" s="14"/>
      <c r="AA141" s="13"/>
      <c r="AB141" s="14"/>
      <c r="AC141" s="14"/>
      <c r="AD141" s="14"/>
      <c r="AE141" s="14"/>
      <c r="AF141" s="14"/>
      <c r="AG141" s="98"/>
      <c r="AH141" s="14"/>
      <c r="AI141" s="14"/>
    </row>
    <row r="142" spans="1:35" ht="15.75">
      <c r="A142" s="16" t="s">
        <v>12</v>
      </c>
      <c r="B142" s="13"/>
      <c r="C142" s="14"/>
      <c r="D142" s="418"/>
      <c r="E142" s="418"/>
      <c r="F142" s="13"/>
      <c r="G142" s="418"/>
      <c r="H142" s="89"/>
      <c r="I142" s="89"/>
      <c r="J142" s="51"/>
      <c r="K142" s="33"/>
      <c r="L142" s="33"/>
      <c r="M142" s="13"/>
      <c r="N142" s="14"/>
      <c r="O142" s="14"/>
      <c r="P142" s="14"/>
      <c r="Q142" s="14"/>
      <c r="R142" s="14"/>
      <c r="S142" s="14"/>
      <c r="T142" s="13"/>
      <c r="U142" s="14"/>
      <c r="V142" s="14"/>
      <c r="W142" s="14"/>
      <c r="X142" s="14"/>
      <c r="Y142" s="14"/>
      <c r="Z142" s="14"/>
      <c r="AA142" s="13"/>
      <c r="AB142" s="14"/>
      <c r="AC142" s="14"/>
      <c r="AD142" s="14"/>
      <c r="AE142" s="14"/>
      <c r="AF142" s="14"/>
      <c r="AG142" s="98"/>
      <c r="AH142" s="14"/>
      <c r="AI142" s="14"/>
    </row>
    <row r="143" spans="1:35" ht="15.75">
      <c r="A143" s="18" t="s">
        <v>13</v>
      </c>
      <c r="B143" s="13"/>
      <c r="C143" s="14"/>
      <c r="D143" s="19"/>
      <c r="E143" s="19"/>
      <c r="F143" s="13"/>
      <c r="G143" s="19"/>
      <c r="H143" s="89"/>
      <c r="I143" s="89"/>
      <c r="J143" s="53" t="s">
        <v>1006</v>
      </c>
      <c r="K143" s="33"/>
      <c r="L143" s="33"/>
      <c r="M143" s="13"/>
      <c r="N143" s="14"/>
      <c r="O143" s="14"/>
      <c r="P143" s="14"/>
      <c r="Q143" s="14"/>
      <c r="R143" s="14"/>
      <c r="S143" s="14"/>
      <c r="T143" s="13"/>
      <c r="U143" s="14"/>
      <c r="V143" s="14"/>
      <c r="W143" s="14"/>
      <c r="X143" s="14"/>
      <c r="Y143" s="14"/>
      <c r="Z143" s="14"/>
      <c r="AA143" s="13"/>
      <c r="AB143" s="14"/>
      <c r="AC143" s="14"/>
      <c r="AD143" s="14"/>
      <c r="AE143" s="14"/>
      <c r="AF143" s="14"/>
      <c r="AG143" s="98"/>
      <c r="AH143" s="14"/>
      <c r="AI143" s="14"/>
    </row>
    <row r="144" spans="1:35" ht="15.75">
      <c r="A144" s="20" t="s">
        <v>15</v>
      </c>
      <c r="B144" s="13"/>
      <c r="C144" s="14"/>
      <c r="D144" s="418"/>
      <c r="E144" s="418"/>
      <c r="F144" s="13"/>
      <c r="G144" s="418"/>
      <c r="H144" s="89"/>
      <c r="I144" s="89"/>
      <c r="J144" s="51" t="s">
        <v>68</v>
      </c>
      <c r="K144" s="33"/>
      <c r="L144" s="33"/>
      <c r="M144" s="13"/>
      <c r="N144" s="14"/>
      <c r="O144" s="14"/>
      <c r="P144" s="14"/>
      <c r="Q144" s="14"/>
      <c r="R144" s="14"/>
      <c r="S144" s="14"/>
      <c r="T144" s="13"/>
      <c r="U144" s="14"/>
      <c r="V144" s="14"/>
      <c r="W144" s="14"/>
      <c r="X144" s="14"/>
      <c r="Y144" s="14"/>
      <c r="Z144" s="14"/>
      <c r="AA144" s="13"/>
      <c r="AB144" s="14"/>
      <c r="AC144" s="14"/>
      <c r="AD144" s="14"/>
      <c r="AE144" s="14"/>
      <c r="AF144" s="14"/>
      <c r="AG144" s="98"/>
      <c r="AH144" s="14"/>
      <c r="AI144" s="14"/>
    </row>
    <row r="145" spans="1:35" ht="15.75">
      <c r="A145" s="444" t="s">
        <v>17</v>
      </c>
      <c r="B145" s="13"/>
      <c r="C145" s="14"/>
      <c r="D145" s="391"/>
      <c r="E145" s="391"/>
      <c r="F145" s="13"/>
      <c r="G145" s="391"/>
      <c r="H145" s="89"/>
      <c r="I145" s="89"/>
      <c r="J145" s="492" t="s">
        <v>1000</v>
      </c>
      <c r="K145" s="33"/>
      <c r="L145" s="33"/>
      <c r="M145" s="13"/>
      <c r="N145" s="14"/>
      <c r="O145" s="14"/>
      <c r="P145" s="14"/>
      <c r="Q145" s="14"/>
      <c r="R145" s="14"/>
      <c r="S145" s="14"/>
      <c r="T145" s="13"/>
      <c r="U145" s="14"/>
      <c r="V145" s="14"/>
      <c r="W145" s="14"/>
      <c r="X145" s="14"/>
      <c r="Y145" s="14"/>
      <c r="Z145" s="14"/>
      <c r="AA145" s="13"/>
      <c r="AB145" s="14"/>
      <c r="AC145" s="14"/>
      <c r="AD145" s="14"/>
      <c r="AE145" s="14"/>
      <c r="AF145" s="14"/>
      <c r="AG145" s="98"/>
      <c r="AH145" s="14"/>
      <c r="AI145" s="14"/>
    </row>
    <row r="146" spans="1:35" ht="15.75">
      <c r="A146" s="22" t="s">
        <v>18</v>
      </c>
      <c r="B146" s="13"/>
      <c r="C146" s="14"/>
      <c r="D146" s="23"/>
      <c r="E146" s="23"/>
      <c r="F146" s="13"/>
      <c r="G146" s="23"/>
      <c r="H146" s="89"/>
      <c r="I146" s="89"/>
      <c r="J146" s="54"/>
      <c r="K146" s="33"/>
      <c r="L146" s="33"/>
      <c r="M146" s="13"/>
      <c r="N146" s="14"/>
      <c r="O146" s="14"/>
      <c r="P146" s="14"/>
      <c r="Q146" s="14"/>
      <c r="R146" s="14"/>
      <c r="S146" s="14"/>
      <c r="T146" s="13"/>
      <c r="U146" s="14"/>
      <c r="V146" s="14"/>
      <c r="W146" s="14"/>
      <c r="X146" s="14"/>
      <c r="Y146" s="14"/>
      <c r="Z146" s="14"/>
      <c r="AA146" s="13"/>
      <c r="AB146" s="14"/>
      <c r="AC146" s="14"/>
      <c r="AD146" s="14"/>
      <c r="AE146" s="14"/>
      <c r="AF146" s="14"/>
      <c r="AG146" s="98"/>
      <c r="AH146" s="14"/>
      <c r="AI146" s="14"/>
    </row>
    <row r="147" spans="1:35">
      <c r="A147" s="12" t="s">
        <v>20</v>
      </c>
      <c r="B147" s="13"/>
      <c r="C147" s="14"/>
      <c r="F147" s="13"/>
      <c r="G147" s="50"/>
      <c r="H147" s="89"/>
      <c r="I147" s="89"/>
      <c r="J147" s="55"/>
      <c r="K147" s="33"/>
      <c r="L147" s="33"/>
      <c r="M147" s="13"/>
      <c r="N147" s="14"/>
      <c r="O147" s="14"/>
      <c r="P147" s="14"/>
      <c r="Q147" s="14"/>
      <c r="R147" s="14"/>
      <c r="S147" s="14"/>
      <c r="T147" s="13"/>
      <c r="U147" s="14"/>
      <c r="V147" s="14"/>
      <c r="W147" s="14"/>
      <c r="X147" s="14"/>
      <c r="Y147" s="14"/>
      <c r="Z147" s="14"/>
      <c r="AA147" s="13"/>
      <c r="AB147" s="14"/>
      <c r="AC147" s="14"/>
      <c r="AD147" s="14"/>
      <c r="AE147" s="14"/>
      <c r="AF147" s="14"/>
      <c r="AG147" s="98"/>
      <c r="AH147" s="14"/>
      <c r="AI147" s="14"/>
    </row>
    <row r="148" spans="1:35" ht="15.75">
      <c r="A148" s="25" t="s">
        <v>21</v>
      </c>
      <c r="B148" s="13"/>
      <c r="C148" s="14"/>
      <c r="D148" s="418"/>
      <c r="E148" s="418"/>
      <c r="F148" s="13"/>
      <c r="G148" s="418"/>
      <c r="H148" s="89"/>
      <c r="I148" s="89"/>
      <c r="J148" s="51" t="s">
        <v>725</v>
      </c>
      <c r="K148" s="33"/>
      <c r="L148" s="33"/>
      <c r="M148" s="13"/>
      <c r="N148" s="14"/>
      <c r="O148" s="14"/>
      <c r="P148" s="14"/>
      <c r="Q148" s="14"/>
      <c r="R148" s="14"/>
      <c r="S148" s="14"/>
      <c r="T148" s="13"/>
      <c r="U148" s="14"/>
      <c r="V148" s="14"/>
      <c r="W148" s="14"/>
      <c r="X148" s="14"/>
      <c r="Y148" s="14"/>
      <c r="Z148" s="14"/>
      <c r="AA148" s="13"/>
      <c r="AB148" s="14"/>
      <c r="AC148" s="14"/>
      <c r="AD148" s="14"/>
      <c r="AE148" s="14"/>
      <c r="AF148" s="14"/>
      <c r="AG148" s="98"/>
      <c r="AH148" s="14"/>
      <c r="AI148" s="14"/>
    </row>
    <row r="149" spans="1:35">
      <c r="A149" s="26" t="s">
        <v>22</v>
      </c>
      <c r="B149" s="13"/>
      <c r="C149" s="14"/>
      <c r="D149" s="27"/>
      <c r="E149" s="27"/>
      <c r="F149" s="13"/>
      <c r="G149" s="27"/>
      <c r="H149" s="89"/>
      <c r="I149" s="89"/>
      <c r="J149" s="57"/>
      <c r="K149" s="33"/>
      <c r="L149" s="33"/>
      <c r="M149" s="13"/>
      <c r="N149" s="14"/>
      <c r="O149" s="14"/>
      <c r="P149" s="14"/>
      <c r="Q149" s="14"/>
      <c r="R149" s="14"/>
      <c r="S149" s="14"/>
      <c r="T149" s="13"/>
      <c r="U149" s="14"/>
      <c r="V149" s="14"/>
      <c r="W149" s="14"/>
      <c r="X149" s="14"/>
      <c r="Y149" s="14"/>
      <c r="Z149" s="14"/>
      <c r="AA149" s="13"/>
      <c r="AB149" s="14"/>
      <c r="AC149" s="14"/>
      <c r="AD149" s="14"/>
      <c r="AE149" s="14"/>
      <c r="AF149" s="14"/>
      <c r="AG149" s="98"/>
      <c r="AH149" s="14"/>
      <c r="AI149" s="14"/>
    </row>
    <row r="150" spans="1:35" ht="15.75">
      <c r="A150" s="25" t="s">
        <v>23</v>
      </c>
      <c r="B150" s="13"/>
      <c r="C150" s="14"/>
      <c r="D150" s="418"/>
      <c r="E150" s="418"/>
      <c r="F150" s="13"/>
      <c r="G150" s="418"/>
      <c r="H150" s="89"/>
      <c r="I150" s="89"/>
      <c r="J150" s="51">
        <v>360</v>
      </c>
      <c r="K150" s="33"/>
      <c r="L150" s="33"/>
      <c r="M150" s="13"/>
      <c r="N150" s="14"/>
      <c r="O150" s="14"/>
      <c r="P150" s="14"/>
      <c r="Q150" s="14"/>
      <c r="R150" s="14"/>
      <c r="S150" s="14"/>
      <c r="T150" s="13"/>
      <c r="U150" s="14"/>
      <c r="V150" s="14"/>
      <c r="W150" s="14"/>
      <c r="X150" s="14"/>
      <c r="Y150" s="14"/>
      <c r="Z150" s="14"/>
      <c r="AA150" s="13"/>
      <c r="AB150" s="14"/>
      <c r="AC150" s="14"/>
      <c r="AD150" s="14"/>
      <c r="AE150" s="14"/>
      <c r="AF150" s="14"/>
      <c r="AG150" s="98"/>
      <c r="AH150" s="14"/>
      <c r="AI150" s="14"/>
    </row>
    <row r="151" spans="1:35" ht="15.75">
      <c r="A151" s="28" t="s">
        <v>24</v>
      </c>
      <c r="B151" s="13"/>
      <c r="C151" s="14"/>
      <c r="F151" s="13"/>
      <c r="G151" s="50"/>
      <c r="H151" s="89"/>
      <c r="I151" s="89"/>
      <c r="J151" s="55"/>
      <c r="K151" s="33"/>
      <c r="L151" s="33"/>
      <c r="M151" s="13"/>
      <c r="N151" s="14"/>
      <c r="O151" s="14"/>
      <c r="P151" s="14"/>
      <c r="Q151" s="14"/>
      <c r="R151" s="14"/>
      <c r="S151" s="14"/>
      <c r="T151" s="13"/>
      <c r="U151" s="14"/>
      <c r="V151" s="14"/>
      <c r="W151" s="14"/>
      <c r="X151" s="14"/>
      <c r="Y151" s="14"/>
      <c r="Z151" s="14"/>
      <c r="AA151" s="13"/>
      <c r="AB151" s="14"/>
      <c r="AC151" s="14"/>
      <c r="AD151" s="14"/>
      <c r="AE151" s="14"/>
      <c r="AF151" s="14"/>
      <c r="AG151" s="98"/>
      <c r="AH151" s="14"/>
      <c r="AI151" s="14"/>
    </row>
    <row r="152" spans="1:35" ht="15.75">
      <c r="A152" s="31" t="s">
        <v>25</v>
      </c>
      <c r="B152" s="13"/>
      <c r="C152" s="14"/>
      <c r="D152" s="32"/>
      <c r="E152" s="32"/>
      <c r="F152" s="13"/>
      <c r="G152" s="32"/>
      <c r="H152" s="89"/>
      <c r="I152" s="89"/>
      <c r="J152" s="491">
        <v>43597</v>
      </c>
      <c r="K152" s="33"/>
      <c r="L152" s="33"/>
      <c r="M152" s="13"/>
      <c r="N152" s="14"/>
      <c r="O152" s="14"/>
      <c r="P152" s="14"/>
      <c r="Q152" s="14"/>
      <c r="R152" s="14"/>
      <c r="S152" s="14"/>
      <c r="T152" s="13"/>
      <c r="U152" s="14"/>
      <c r="V152" s="14"/>
      <c r="W152" s="14"/>
      <c r="X152" s="14"/>
      <c r="Y152" s="14"/>
      <c r="Z152" s="14"/>
      <c r="AA152" s="13"/>
      <c r="AB152" s="14"/>
      <c r="AC152" s="14"/>
      <c r="AD152" s="14"/>
      <c r="AE152" s="14"/>
      <c r="AF152" s="14"/>
      <c r="AG152" s="98"/>
      <c r="AH152" s="14"/>
      <c r="AI152" s="14"/>
    </row>
    <row r="153" spans="1:35">
      <c r="A153" s="12" t="s">
        <v>27</v>
      </c>
      <c r="B153" s="13"/>
      <c r="C153" s="14"/>
      <c r="F153" s="13"/>
      <c r="G153" s="50"/>
      <c r="H153" s="89"/>
      <c r="I153" s="89"/>
      <c r="J153" s="58" t="s">
        <v>28</v>
      </c>
      <c r="K153" s="33"/>
      <c r="L153" s="33"/>
      <c r="M153" s="13"/>
      <c r="N153" s="14"/>
      <c r="O153" s="14"/>
      <c r="P153" s="14"/>
      <c r="Q153" s="14"/>
      <c r="R153" s="14"/>
      <c r="S153" s="14"/>
      <c r="T153" s="13"/>
      <c r="U153" s="14"/>
      <c r="V153" s="14"/>
      <c r="W153" s="14"/>
      <c r="X153" s="14"/>
      <c r="Y153" s="14"/>
      <c r="Z153" s="14"/>
      <c r="AA153" s="13"/>
      <c r="AB153" s="14"/>
      <c r="AC153" s="14"/>
      <c r="AD153" s="14"/>
      <c r="AE153" s="14"/>
      <c r="AF153" s="14"/>
      <c r="AG153" s="98"/>
      <c r="AH153" s="14"/>
      <c r="AI153" s="14"/>
    </row>
    <row r="154" spans="1:35" ht="15.75">
      <c r="A154" s="12" t="s">
        <v>10</v>
      </c>
      <c r="B154" s="13"/>
      <c r="C154" s="14"/>
      <c r="E154" s="418"/>
      <c r="F154" s="13"/>
      <c r="G154" s="418"/>
      <c r="H154" s="418"/>
      <c r="I154" s="418"/>
      <c r="J154" s="80"/>
      <c r="K154" s="33"/>
      <c r="L154" s="33"/>
      <c r="M154" s="13"/>
      <c r="N154" s="14"/>
      <c r="O154" s="14"/>
      <c r="P154" s="14"/>
      <c r="Q154" s="14"/>
      <c r="R154" s="14"/>
      <c r="S154" s="14"/>
      <c r="T154" s="13"/>
      <c r="U154" s="14"/>
      <c r="V154" s="14"/>
      <c r="W154" s="14"/>
      <c r="X154" s="14"/>
      <c r="Y154" s="14"/>
      <c r="Z154" s="14"/>
      <c r="AA154" s="13"/>
      <c r="AB154" s="14"/>
      <c r="AC154" s="14"/>
      <c r="AD154" s="14"/>
      <c r="AE154" s="14"/>
      <c r="AF154" s="14"/>
      <c r="AG154" s="98"/>
      <c r="AH154" s="14"/>
      <c r="AI154" s="14"/>
    </row>
    <row r="155" spans="1:35" ht="15.75">
      <c r="A155" s="443" t="s">
        <v>11</v>
      </c>
      <c r="B155" s="13"/>
      <c r="C155" s="14"/>
      <c r="E155" s="93"/>
      <c r="F155" s="13"/>
      <c r="G155" s="93"/>
      <c r="H155" s="93"/>
      <c r="I155" s="93"/>
      <c r="J155" s="80"/>
      <c r="K155" s="33"/>
      <c r="L155" s="33"/>
      <c r="M155" s="13"/>
      <c r="N155" s="14"/>
      <c r="O155" s="14"/>
      <c r="P155" s="14"/>
      <c r="Q155" s="14"/>
      <c r="R155" s="14"/>
      <c r="S155" s="14"/>
      <c r="T155" s="13"/>
      <c r="U155" s="14"/>
      <c r="V155" s="14"/>
      <c r="W155" s="14"/>
      <c r="X155" s="14"/>
      <c r="Y155" s="14"/>
      <c r="Z155" s="14"/>
      <c r="AA155" s="13"/>
      <c r="AB155" s="14"/>
      <c r="AC155" s="14"/>
      <c r="AD155" s="14"/>
      <c r="AE155" s="14"/>
      <c r="AF155" s="14"/>
      <c r="AG155" s="98"/>
      <c r="AH155" s="14"/>
      <c r="AI155" s="14"/>
    </row>
    <row r="156" spans="1:35" ht="15.75">
      <c r="A156" s="16" t="s">
        <v>12</v>
      </c>
      <c r="B156" s="13"/>
      <c r="C156" s="14"/>
      <c r="E156" s="418"/>
      <c r="F156" s="13"/>
      <c r="G156" s="418"/>
      <c r="H156" s="418"/>
      <c r="I156" s="418"/>
      <c r="J156" s="80"/>
      <c r="K156" s="33"/>
      <c r="L156" s="33"/>
      <c r="M156" s="13"/>
      <c r="N156" s="14"/>
      <c r="O156" s="14"/>
      <c r="P156" s="14"/>
      <c r="Q156" s="14"/>
      <c r="R156" s="14"/>
      <c r="S156" s="14"/>
      <c r="T156" s="13"/>
      <c r="U156" s="14"/>
      <c r="V156" s="14"/>
      <c r="W156" s="14"/>
      <c r="X156" s="14"/>
      <c r="Y156" s="14"/>
      <c r="Z156" s="14"/>
      <c r="AA156" s="13"/>
      <c r="AB156" s="14"/>
      <c r="AC156" s="14"/>
      <c r="AD156" s="14"/>
      <c r="AE156" s="14"/>
      <c r="AF156" s="14"/>
      <c r="AG156" s="98"/>
      <c r="AH156" s="14"/>
      <c r="AI156" s="14"/>
    </row>
    <row r="157" spans="1:35" ht="15.75">
      <c r="A157" s="18" t="s">
        <v>13</v>
      </c>
      <c r="B157" s="13"/>
      <c r="C157" s="14"/>
      <c r="E157" s="19"/>
      <c r="F157" s="13"/>
      <c r="G157" s="19"/>
      <c r="H157" s="19"/>
      <c r="I157" s="19"/>
      <c r="J157" s="80"/>
      <c r="K157" s="33"/>
      <c r="L157" s="33"/>
      <c r="M157" s="13"/>
      <c r="N157" s="14"/>
      <c r="O157" s="14"/>
      <c r="P157" s="14"/>
      <c r="Q157" s="14"/>
      <c r="R157" s="14"/>
      <c r="S157" s="14"/>
      <c r="T157" s="13"/>
      <c r="U157" s="14"/>
      <c r="V157" s="14"/>
      <c r="W157" s="14"/>
      <c r="X157" s="14"/>
      <c r="Y157" s="14"/>
      <c r="Z157" s="14"/>
      <c r="AA157" s="13"/>
      <c r="AB157" s="14"/>
      <c r="AC157" s="14"/>
      <c r="AD157" s="14"/>
      <c r="AE157" s="14"/>
      <c r="AF157" s="14"/>
      <c r="AG157" s="98"/>
      <c r="AH157" s="14"/>
      <c r="AI157" s="14"/>
    </row>
    <row r="158" spans="1:35" ht="15.75">
      <c r="A158" s="20" t="s">
        <v>15</v>
      </c>
      <c r="B158" s="13"/>
      <c r="C158" s="14"/>
      <c r="E158" s="418"/>
      <c r="F158" s="13"/>
      <c r="G158" s="418"/>
      <c r="H158" s="418"/>
      <c r="I158" s="418"/>
      <c r="J158" s="80"/>
      <c r="K158" s="33"/>
      <c r="L158" s="33"/>
      <c r="M158" s="13"/>
      <c r="N158" s="14"/>
      <c r="O158" s="14"/>
      <c r="P158" s="14"/>
      <c r="Q158" s="14"/>
      <c r="R158" s="14"/>
      <c r="S158" s="14"/>
      <c r="T158" s="13"/>
      <c r="U158" s="14"/>
      <c r="V158" s="14"/>
      <c r="W158" s="14"/>
      <c r="X158" s="14"/>
      <c r="Y158" s="14"/>
      <c r="Z158" s="14"/>
      <c r="AA158" s="13"/>
      <c r="AB158" s="14"/>
      <c r="AC158" s="14"/>
      <c r="AD158" s="14"/>
      <c r="AE158" s="14"/>
      <c r="AF158" s="14"/>
      <c r="AG158" s="98"/>
      <c r="AH158" s="14"/>
      <c r="AI158" s="14"/>
    </row>
    <row r="159" spans="1:35" ht="15.75">
      <c r="A159" s="444" t="s">
        <v>17</v>
      </c>
      <c r="B159" s="13"/>
      <c r="C159" s="14"/>
      <c r="E159" s="391"/>
      <c r="F159" s="13"/>
      <c r="G159" s="391"/>
      <c r="H159" s="391"/>
      <c r="I159" s="391"/>
      <c r="J159" s="80"/>
      <c r="K159" s="33"/>
      <c r="L159" s="33"/>
      <c r="M159" s="13"/>
      <c r="N159" s="14"/>
      <c r="O159" s="14"/>
      <c r="P159" s="14"/>
      <c r="Q159" s="14"/>
      <c r="R159" s="14"/>
      <c r="S159" s="14"/>
      <c r="T159" s="13"/>
      <c r="U159" s="14"/>
      <c r="V159" s="14"/>
      <c r="W159" s="14"/>
      <c r="X159" s="14"/>
      <c r="Y159" s="14"/>
      <c r="Z159" s="14"/>
      <c r="AA159" s="13"/>
      <c r="AB159" s="14"/>
      <c r="AC159" s="14"/>
      <c r="AD159" s="14"/>
      <c r="AE159" s="14"/>
      <c r="AF159" s="14"/>
      <c r="AG159" s="98"/>
      <c r="AH159" s="14"/>
      <c r="AI159" s="14"/>
    </row>
    <row r="160" spans="1:35" ht="15.75">
      <c r="A160" s="22" t="s">
        <v>18</v>
      </c>
      <c r="B160" s="13"/>
      <c r="C160" s="14"/>
      <c r="E160" s="23"/>
      <c r="F160" s="13"/>
      <c r="G160" s="23"/>
      <c r="H160" s="23"/>
      <c r="I160" s="23"/>
      <c r="J160" s="80"/>
      <c r="K160" s="33"/>
      <c r="L160" s="33"/>
      <c r="M160" s="13"/>
      <c r="N160" s="14"/>
      <c r="O160" s="14"/>
      <c r="P160" s="14"/>
      <c r="Q160" s="14"/>
      <c r="R160" s="14"/>
      <c r="S160" s="14"/>
      <c r="T160" s="13"/>
      <c r="U160" s="14"/>
      <c r="V160" s="14"/>
      <c r="W160" s="14"/>
      <c r="X160" s="14"/>
      <c r="Y160" s="14"/>
      <c r="Z160" s="14"/>
      <c r="AA160" s="13"/>
      <c r="AB160" s="14"/>
      <c r="AC160" s="14"/>
      <c r="AD160" s="14"/>
      <c r="AE160" s="14"/>
      <c r="AF160" s="14"/>
      <c r="AG160" s="98"/>
      <c r="AH160" s="14"/>
      <c r="AI160" s="14"/>
    </row>
    <row r="161" spans="1:35">
      <c r="A161" s="12" t="s">
        <v>20</v>
      </c>
      <c r="B161" s="13"/>
      <c r="C161" s="14"/>
      <c r="F161" s="13"/>
      <c r="G161" s="50"/>
      <c r="H161" s="50"/>
      <c r="I161" s="50"/>
      <c r="J161" s="80"/>
      <c r="K161" s="33"/>
      <c r="L161" s="33"/>
      <c r="M161" s="13"/>
      <c r="N161" s="14"/>
      <c r="O161" s="14"/>
      <c r="P161" s="14"/>
      <c r="Q161" s="14"/>
      <c r="R161" s="14"/>
      <c r="S161" s="14"/>
      <c r="T161" s="13"/>
      <c r="U161" s="14"/>
      <c r="V161" s="14"/>
      <c r="W161" s="14"/>
      <c r="X161" s="14"/>
      <c r="Y161" s="14"/>
      <c r="Z161" s="14"/>
      <c r="AA161" s="13"/>
      <c r="AB161" s="14"/>
      <c r="AC161" s="14"/>
      <c r="AD161" s="14"/>
      <c r="AE161" s="14"/>
      <c r="AF161" s="14"/>
      <c r="AG161" s="98"/>
      <c r="AH161" s="14"/>
      <c r="AI161" s="14"/>
    </row>
    <row r="162" spans="1:35" ht="15.75">
      <c r="A162" s="25" t="s">
        <v>21</v>
      </c>
      <c r="B162" s="13"/>
      <c r="C162" s="14"/>
      <c r="E162" s="418"/>
      <c r="F162" s="13"/>
      <c r="G162" s="418"/>
      <c r="H162" s="418"/>
      <c r="I162" s="418"/>
      <c r="J162" s="80"/>
      <c r="K162" s="33"/>
      <c r="L162" s="33"/>
      <c r="M162" s="13"/>
      <c r="N162" s="14"/>
      <c r="O162" s="14"/>
      <c r="P162" s="14"/>
      <c r="Q162" s="14"/>
      <c r="R162" s="14"/>
      <c r="S162" s="14"/>
      <c r="T162" s="13"/>
      <c r="U162" s="14"/>
      <c r="V162" s="14"/>
      <c r="W162" s="14"/>
      <c r="X162" s="14"/>
      <c r="Y162" s="14"/>
      <c r="Z162" s="14"/>
      <c r="AA162" s="13"/>
      <c r="AB162" s="14"/>
      <c r="AC162" s="14"/>
      <c r="AD162" s="14"/>
      <c r="AE162" s="14"/>
      <c r="AF162" s="14"/>
      <c r="AG162" s="98"/>
      <c r="AH162" s="14"/>
      <c r="AI162" s="14"/>
    </row>
    <row r="163" spans="1:35">
      <c r="A163" s="26" t="s">
        <v>22</v>
      </c>
      <c r="B163" s="13"/>
      <c r="C163" s="14"/>
      <c r="E163" s="27"/>
      <c r="F163" s="13"/>
      <c r="G163" s="27"/>
      <c r="H163" s="27"/>
      <c r="I163" s="27"/>
      <c r="J163" s="80"/>
      <c r="K163" s="33"/>
      <c r="L163" s="33"/>
      <c r="M163" s="13"/>
      <c r="N163" s="14"/>
      <c r="O163" s="14"/>
      <c r="P163" s="14"/>
      <c r="Q163" s="14"/>
      <c r="R163" s="14"/>
      <c r="S163" s="14"/>
      <c r="T163" s="13"/>
      <c r="U163" s="14"/>
      <c r="V163" s="14"/>
      <c r="W163" s="14"/>
      <c r="X163" s="14"/>
      <c r="Y163" s="14"/>
      <c r="Z163" s="14"/>
      <c r="AA163" s="13"/>
      <c r="AB163" s="14"/>
      <c r="AC163" s="14"/>
      <c r="AD163" s="14"/>
      <c r="AE163" s="14"/>
      <c r="AF163" s="14"/>
      <c r="AG163" s="98"/>
      <c r="AH163" s="14"/>
      <c r="AI163" s="14"/>
    </row>
    <row r="164" spans="1:35" ht="15.75">
      <c r="A164" s="25" t="s">
        <v>23</v>
      </c>
      <c r="B164" s="13"/>
      <c r="C164" s="14"/>
      <c r="E164" s="418"/>
      <c r="F164" s="13"/>
      <c r="G164" s="418"/>
      <c r="H164" s="418"/>
      <c r="I164" s="418"/>
      <c r="J164" s="80"/>
      <c r="K164" s="33"/>
      <c r="L164" s="33"/>
      <c r="M164" s="13"/>
      <c r="N164" s="14"/>
      <c r="O164" s="14"/>
      <c r="P164" s="14"/>
      <c r="Q164" s="14"/>
      <c r="R164" s="14"/>
      <c r="S164" s="14"/>
      <c r="T164" s="13"/>
      <c r="U164" s="14"/>
      <c r="V164" s="14"/>
      <c r="W164" s="14"/>
      <c r="X164" s="14"/>
      <c r="Y164" s="14"/>
      <c r="Z164" s="14"/>
      <c r="AA164" s="13"/>
      <c r="AB164" s="14"/>
      <c r="AC164" s="14"/>
      <c r="AD164" s="14"/>
      <c r="AE164" s="14"/>
      <c r="AF164" s="14"/>
      <c r="AG164" s="98"/>
      <c r="AH164" s="14"/>
      <c r="AI164" s="14"/>
    </row>
    <row r="165" spans="1:35" ht="15.75">
      <c r="A165" s="28" t="s">
        <v>24</v>
      </c>
      <c r="B165" s="13"/>
      <c r="C165" s="14"/>
      <c r="F165" s="13"/>
      <c r="G165" s="50"/>
      <c r="H165" s="50"/>
      <c r="I165" s="50"/>
      <c r="J165" s="80"/>
      <c r="K165" s="33"/>
      <c r="L165" s="33"/>
      <c r="M165" s="13"/>
      <c r="N165" s="14"/>
      <c r="O165" s="14"/>
      <c r="P165" s="14"/>
      <c r="Q165" s="14"/>
      <c r="R165" s="14"/>
      <c r="S165" s="14"/>
      <c r="T165" s="13"/>
      <c r="U165" s="14"/>
      <c r="V165" s="14"/>
      <c r="W165" s="14"/>
      <c r="X165" s="14"/>
      <c r="Y165" s="14"/>
      <c r="Z165" s="14"/>
      <c r="AA165" s="13"/>
      <c r="AB165" s="14"/>
      <c r="AC165" s="14"/>
      <c r="AD165" s="14"/>
      <c r="AE165" s="14"/>
      <c r="AF165" s="14"/>
      <c r="AG165" s="98"/>
      <c r="AH165" s="14"/>
      <c r="AI165" s="14"/>
    </row>
    <row r="166" spans="1:35" ht="15.75">
      <c r="A166" s="31" t="s">
        <v>25</v>
      </c>
      <c r="B166" s="13"/>
      <c r="C166" s="14"/>
      <c r="E166" s="32"/>
      <c r="F166" s="13"/>
      <c r="G166" s="32"/>
      <c r="H166" s="32"/>
      <c r="I166" s="32"/>
      <c r="J166" s="80"/>
      <c r="K166" s="33"/>
      <c r="L166" s="33"/>
      <c r="M166" s="13"/>
      <c r="N166" s="14"/>
      <c r="O166" s="14"/>
      <c r="P166" s="14"/>
      <c r="Q166" s="14"/>
      <c r="R166" s="14"/>
      <c r="S166" s="14"/>
      <c r="T166" s="13"/>
      <c r="U166" s="14"/>
      <c r="V166" s="14"/>
      <c r="W166" s="14"/>
      <c r="X166" s="14"/>
      <c r="Y166" s="14"/>
      <c r="Z166" s="14"/>
      <c r="AA166" s="13"/>
      <c r="AB166" s="14"/>
      <c r="AC166" s="14"/>
      <c r="AD166" s="14"/>
      <c r="AE166" s="14"/>
      <c r="AF166" s="14"/>
      <c r="AG166" s="98"/>
      <c r="AH166" s="14"/>
      <c r="AI166" s="14"/>
    </row>
    <row r="167" spans="1:35">
      <c r="A167" s="12" t="s">
        <v>27</v>
      </c>
      <c r="B167" s="13"/>
      <c r="C167" s="14"/>
      <c r="F167" s="13"/>
      <c r="G167" s="33"/>
      <c r="H167" s="50"/>
      <c r="I167" s="50"/>
      <c r="J167" s="80"/>
      <c r="K167" s="33"/>
      <c r="L167" s="33"/>
      <c r="M167" s="13"/>
      <c r="N167" s="14"/>
      <c r="O167" s="14"/>
      <c r="P167" s="14"/>
      <c r="Q167" s="14"/>
      <c r="R167" s="14"/>
      <c r="S167" s="14"/>
      <c r="T167" s="13"/>
      <c r="U167" s="14"/>
      <c r="V167" s="14"/>
      <c r="W167" s="14"/>
      <c r="X167" s="14"/>
      <c r="Y167" s="14"/>
      <c r="Z167" s="14"/>
      <c r="AA167" s="13"/>
      <c r="AB167" s="14"/>
      <c r="AC167" s="14"/>
      <c r="AD167" s="14"/>
      <c r="AE167" s="14"/>
      <c r="AF167" s="14"/>
      <c r="AG167" s="98"/>
      <c r="AH167" s="14"/>
      <c r="AI167" s="14"/>
    </row>
    <row r="168" spans="1:35" ht="15.75">
      <c r="A168" s="12" t="s">
        <v>10</v>
      </c>
      <c r="B168" s="13"/>
      <c r="C168" s="14"/>
      <c r="E168" s="418"/>
      <c r="F168" s="13"/>
      <c r="G168" s="33"/>
      <c r="H168" s="418"/>
      <c r="I168" s="418"/>
      <c r="J168" s="80"/>
      <c r="K168" s="33"/>
      <c r="L168" s="33"/>
      <c r="M168" s="13"/>
      <c r="N168" s="14"/>
      <c r="O168" s="14"/>
      <c r="P168" s="14"/>
      <c r="Q168" s="14"/>
      <c r="R168" s="14"/>
      <c r="S168" s="14"/>
      <c r="T168" s="13"/>
      <c r="U168" s="14"/>
      <c r="V168" s="14"/>
      <c r="W168" s="14"/>
      <c r="X168" s="14"/>
      <c r="Y168" s="14"/>
      <c r="Z168" s="14"/>
      <c r="AA168" s="13"/>
      <c r="AB168" s="14"/>
      <c r="AC168" s="14"/>
      <c r="AD168" s="14"/>
      <c r="AE168" s="14"/>
      <c r="AF168" s="14"/>
      <c r="AG168" s="98"/>
      <c r="AH168" s="14"/>
      <c r="AI168" s="14"/>
    </row>
    <row r="169" spans="1:35" ht="15.75">
      <c r="A169" s="443" t="s">
        <v>11</v>
      </c>
      <c r="B169" s="13"/>
      <c r="C169" s="14"/>
      <c r="E169" s="93"/>
      <c r="F169" s="13"/>
      <c r="G169" s="33"/>
      <c r="H169" s="93"/>
      <c r="I169" s="93"/>
      <c r="J169" s="80"/>
      <c r="K169" s="33"/>
      <c r="L169" s="33"/>
      <c r="M169" s="13"/>
      <c r="N169" s="14"/>
      <c r="O169" s="14"/>
      <c r="P169" s="14"/>
      <c r="Q169" s="14"/>
      <c r="R169" s="14"/>
      <c r="S169" s="14"/>
      <c r="T169" s="13"/>
      <c r="U169" s="14"/>
      <c r="V169" s="14"/>
      <c r="W169" s="14"/>
      <c r="X169" s="14"/>
      <c r="Y169" s="14"/>
      <c r="Z169" s="14"/>
      <c r="AA169" s="13"/>
      <c r="AB169" s="14"/>
      <c r="AC169" s="14"/>
      <c r="AD169" s="14"/>
      <c r="AE169" s="14"/>
      <c r="AF169" s="14"/>
      <c r="AG169" s="98"/>
      <c r="AH169" s="14"/>
      <c r="AI169" s="14"/>
    </row>
    <row r="170" spans="1:35" ht="15.75">
      <c r="A170" s="16" t="s">
        <v>12</v>
      </c>
      <c r="B170" s="13"/>
      <c r="C170" s="14"/>
      <c r="E170" s="418"/>
      <c r="F170" s="13"/>
      <c r="G170" s="33"/>
      <c r="H170" s="418"/>
      <c r="I170" s="418"/>
      <c r="J170" s="80"/>
      <c r="K170" s="33"/>
      <c r="L170" s="33"/>
      <c r="M170" s="13"/>
      <c r="N170" s="14"/>
      <c r="O170" s="14"/>
      <c r="P170" s="14"/>
      <c r="Q170" s="14"/>
      <c r="R170" s="14"/>
      <c r="S170" s="14"/>
      <c r="T170" s="13"/>
      <c r="U170" s="14"/>
      <c r="V170" s="14"/>
      <c r="W170" s="14"/>
      <c r="X170" s="14"/>
      <c r="Y170" s="14"/>
      <c r="Z170" s="14"/>
      <c r="AA170" s="13"/>
      <c r="AB170" s="14"/>
      <c r="AC170" s="14"/>
      <c r="AD170" s="14"/>
      <c r="AE170" s="14"/>
      <c r="AF170" s="14"/>
      <c r="AG170" s="98"/>
      <c r="AH170" s="14"/>
      <c r="AI170" s="14"/>
    </row>
    <row r="171" spans="1:35" ht="15.75">
      <c r="A171" s="18" t="s">
        <v>13</v>
      </c>
      <c r="B171" s="13"/>
      <c r="C171" s="14"/>
      <c r="E171" s="19"/>
      <c r="F171" s="13"/>
      <c r="G171" s="33"/>
      <c r="H171" s="19"/>
      <c r="I171" s="19"/>
      <c r="J171" s="80"/>
      <c r="K171" s="33"/>
      <c r="L171" s="33"/>
      <c r="M171" s="13"/>
      <c r="N171" s="14"/>
      <c r="O171" s="14"/>
      <c r="P171" s="14"/>
      <c r="Q171" s="14"/>
      <c r="R171" s="14"/>
      <c r="S171" s="14"/>
      <c r="T171" s="13"/>
      <c r="U171" s="14"/>
      <c r="V171" s="14"/>
      <c r="W171" s="14"/>
      <c r="X171" s="14"/>
      <c r="Y171" s="14"/>
      <c r="Z171" s="14"/>
      <c r="AA171" s="13"/>
      <c r="AB171" s="14"/>
      <c r="AC171" s="14"/>
      <c r="AD171" s="14"/>
      <c r="AE171" s="14"/>
      <c r="AF171" s="14"/>
      <c r="AG171" s="98"/>
      <c r="AH171" s="14"/>
      <c r="AI171" s="14"/>
    </row>
    <row r="172" spans="1:35" ht="15.75">
      <c r="A172" s="20" t="s">
        <v>15</v>
      </c>
      <c r="B172" s="13"/>
      <c r="C172" s="14"/>
      <c r="E172" s="418"/>
      <c r="F172" s="13"/>
      <c r="G172" s="33"/>
      <c r="H172" s="418"/>
      <c r="I172" s="418"/>
      <c r="J172" s="80"/>
      <c r="K172" s="33"/>
      <c r="L172" s="33"/>
      <c r="M172" s="13"/>
      <c r="N172" s="14"/>
      <c r="O172" s="14"/>
      <c r="P172" s="14"/>
      <c r="Q172" s="14"/>
      <c r="R172" s="14"/>
      <c r="S172" s="14"/>
      <c r="T172" s="13"/>
      <c r="U172" s="14"/>
      <c r="V172" s="14"/>
      <c r="W172" s="14"/>
      <c r="X172" s="14"/>
      <c r="Y172" s="14"/>
      <c r="Z172" s="14"/>
      <c r="AA172" s="13"/>
      <c r="AB172" s="14"/>
      <c r="AC172" s="14"/>
      <c r="AD172" s="14"/>
      <c r="AE172" s="14"/>
      <c r="AF172" s="14"/>
      <c r="AG172" s="98"/>
      <c r="AH172" s="14"/>
      <c r="AI172" s="14"/>
    </row>
    <row r="173" spans="1:35" ht="15.75">
      <c r="A173" s="444" t="s">
        <v>17</v>
      </c>
      <c r="B173" s="13"/>
      <c r="C173" s="14"/>
      <c r="E173" s="391"/>
      <c r="F173" s="13"/>
      <c r="G173" s="33"/>
      <c r="H173" s="391"/>
      <c r="I173" s="391"/>
      <c r="J173" s="80"/>
      <c r="K173" s="33"/>
      <c r="L173" s="33"/>
      <c r="M173" s="13"/>
      <c r="N173" s="14"/>
      <c r="O173" s="14"/>
      <c r="P173" s="14"/>
      <c r="Q173" s="14"/>
      <c r="R173" s="14"/>
      <c r="S173" s="14"/>
      <c r="T173" s="13"/>
      <c r="U173" s="14"/>
      <c r="V173" s="14"/>
      <c r="W173" s="14"/>
      <c r="X173" s="14"/>
      <c r="Y173" s="14"/>
      <c r="Z173" s="14"/>
      <c r="AA173" s="13"/>
      <c r="AB173" s="14"/>
      <c r="AC173" s="14"/>
      <c r="AD173" s="14"/>
      <c r="AE173" s="14"/>
      <c r="AF173" s="14"/>
      <c r="AG173" s="98"/>
      <c r="AH173" s="14"/>
      <c r="AI173" s="14"/>
    </row>
    <row r="174" spans="1:35" ht="15.75">
      <c r="A174" s="22" t="s">
        <v>18</v>
      </c>
      <c r="B174" s="13"/>
      <c r="C174" s="14"/>
      <c r="E174" s="23"/>
      <c r="F174" s="13"/>
      <c r="G174" s="33"/>
      <c r="H174" s="23"/>
      <c r="I174" s="23"/>
      <c r="J174" s="80"/>
      <c r="K174" s="33"/>
      <c r="L174" s="33"/>
      <c r="M174" s="13"/>
      <c r="N174" s="14"/>
      <c r="O174" s="14"/>
      <c r="P174" s="14"/>
      <c r="Q174" s="14"/>
      <c r="R174" s="14"/>
      <c r="S174" s="14"/>
      <c r="T174" s="13"/>
      <c r="U174" s="14"/>
      <c r="V174" s="14"/>
      <c r="W174" s="14"/>
      <c r="X174" s="14"/>
      <c r="Y174" s="14"/>
      <c r="Z174" s="14"/>
      <c r="AA174" s="13"/>
      <c r="AB174" s="14"/>
      <c r="AC174" s="14"/>
      <c r="AD174" s="14"/>
      <c r="AE174" s="14"/>
      <c r="AF174" s="14"/>
      <c r="AG174" s="98"/>
      <c r="AH174" s="14"/>
      <c r="AI174" s="14"/>
    </row>
    <row r="175" spans="1:35">
      <c r="A175" s="12" t="s">
        <v>20</v>
      </c>
      <c r="B175" s="13"/>
      <c r="C175" s="14"/>
      <c r="F175" s="13"/>
      <c r="G175" s="33"/>
      <c r="H175" s="50"/>
      <c r="I175" s="50"/>
      <c r="J175" s="80"/>
      <c r="K175" s="33"/>
      <c r="L175" s="33"/>
      <c r="M175" s="13"/>
      <c r="N175" s="14"/>
      <c r="O175" s="14"/>
      <c r="P175" s="14"/>
      <c r="Q175" s="14"/>
      <c r="R175" s="14"/>
      <c r="S175" s="14"/>
      <c r="T175" s="13"/>
      <c r="U175" s="14"/>
      <c r="V175" s="14"/>
      <c r="W175" s="14"/>
      <c r="X175" s="14"/>
      <c r="Y175" s="14"/>
      <c r="Z175" s="14"/>
      <c r="AA175" s="13"/>
      <c r="AB175" s="14"/>
      <c r="AC175" s="14"/>
      <c r="AD175" s="14"/>
      <c r="AE175" s="14"/>
      <c r="AF175" s="14"/>
      <c r="AG175" s="98"/>
      <c r="AH175" s="14"/>
      <c r="AI175" s="14"/>
    </row>
    <row r="176" spans="1:35" ht="15.75">
      <c r="A176" s="25" t="s">
        <v>21</v>
      </c>
      <c r="B176" s="13"/>
      <c r="C176" s="14"/>
      <c r="E176" s="418"/>
      <c r="F176" s="13"/>
      <c r="G176" s="33"/>
      <c r="H176" s="418"/>
      <c r="I176" s="418"/>
      <c r="J176" s="80"/>
      <c r="K176" s="33"/>
      <c r="L176" s="33"/>
      <c r="M176" s="13"/>
      <c r="N176" s="14"/>
      <c r="O176" s="14"/>
      <c r="P176" s="14"/>
      <c r="Q176" s="14"/>
      <c r="R176" s="14"/>
      <c r="S176" s="14"/>
      <c r="T176" s="13"/>
      <c r="U176" s="14"/>
      <c r="V176" s="14"/>
      <c r="W176" s="14"/>
      <c r="X176" s="14"/>
      <c r="Y176" s="14"/>
      <c r="Z176" s="14"/>
      <c r="AA176" s="13"/>
      <c r="AB176" s="14"/>
      <c r="AC176" s="14"/>
      <c r="AD176" s="14"/>
      <c r="AE176" s="14"/>
      <c r="AF176" s="14"/>
      <c r="AG176" s="98"/>
      <c r="AH176" s="14"/>
      <c r="AI176" s="14"/>
    </row>
    <row r="177" spans="1:35">
      <c r="A177" s="26" t="s">
        <v>22</v>
      </c>
      <c r="B177" s="13"/>
      <c r="C177" s="14"/>
      <c r="E177" s="27"/>
      <c r="F177" s="13"/>
      <c r="G177" s="33"/>
      <c r="H177" s="27"/>
      <c r="I177" s="27"/>
      <c r="J177" s="80"/>
      <c r="K177" s="33"/>
      <c r="L177" s="33"/>
      <c r="M177" s="13"/>
      <c r="N177" s="14"/>
      <c r="O177" s="14"/>
      <c r="P177" s="14"/>
      <c r="Q177" s="14"/>
      <c r="R177" s="14"/>
      <c r="S177" s="14"/>
      <c r="T177" s="13"/>
      <c r="U177" s="14"/>
      <c r="V177" s="14"/>
      <c r="W177" s="14"/>
      <c r="X177" s="14"/>
      <c r="Y177" s="14"/>
      <c r="Z177" s="14"/>
      <c r="AA177" s="13"/>
      <c r="AB177" s="14"/>
      <c r="AC177" s="14"/>
      <c r="AD177" s="14"/>
      <c r="AE177" s="14"/>
      <c r="AF177" s="14"/>
      <c r="AG177" s="98"/>
      <c r="AH177" s="14"/>
      <c r="AI177" s="14"/>
    </row>
    <row r="178" spans="1:35" ht="15.75">
      <c r="A178" s="25" t="s">
        <v>23</v>
      </c>
      <c r="B178" s="13"/>
      <c r="C178" s="14"/>
      <c r="E178" s="418"/>
      <c r="F178" s="13"/>
      <c r="G178" s="33"/>
      <c r="H178" s="418"/>
      <c r="I178" s="418"/>
      <c r="J178" s="80"/>
      <c r="K178" s="33"/>
      <c r="L178" s="33"/>
      <c r="M178" s="13"/>
      <c r="N178" s="14"/>
      <c r="O178" s="14"/>
      <c r="P178" s="14"/>
      <c r="Q178" s="14"/>
      <c r="R178" s="14"/>
      <c r="S178" s="14"/>
      <c r="T178" s="13"/>
      <c r="U178" s="14"/>
      <c r="V178" s="14"/>
      <c r="W178" s="14"/>
      <c r="X178" s="14"/>
      <c r="Y178" s="14"/>
      <c r="Z178" s="14"/>
      <c r="AA178" s="13"/>
      <c r="AB178" s="14"/>
      <c r="AC178" s="14"/>
      <c r="AD178" s="14"/>
      <c r="AE178" s="14"/>
      <c r="AF178" s="14"/>
      <c r="AG178" s="98"/>
      <c r="AH178" s="14"/>
      <c r="AI178" s="14"/>
    </row>
    <row r="179" spans="1:35" ht="15.75">
      <c r="A179" s="28" t="s">
        <v>24</v>
      </c>
      <c r="B179" s="13"/>
      <c r="C179" s="14"/>
      <c r="F179" s="13"/>
      <c r="G179" s="33"/>
      <c r="H179" s="50"/>
      <c r="I179" s="50"/>
      <c r="J179" s="80"/>
      <c r="K179" s="33"/>
      <c r="L179" s="33"/>
      <c r="M179" s="13"/>
      <c r="N179" s="14"/>
      <c r="O179" s="14"/>
      <c r="P179" s="14"/>
      <c r="Q179" s="14"/>
      <c r="R179" s="14"/>
      <c r="S179" s="14"/>
      <c r="T179" s="13"/>
      <c r="U179" s="14"/>
      <c r="V179" s="14"/>
      <c r="W179" s="14"/>
      <c r="X179" s="14"/>
      <c r="Y179" s="14"/>
      <c r="Z179" s="14"/>
      <c r="AA179" s="13"/>
      <c r="AB179" s="14"/>
      <c r="AC179" s="14"/>
      <c r="AD179" s="14"/>
      <c r="AE179" s="14"/>
      <c r="AF179" s="14"/>
      <c r="AG179" s="98"/>
      <c r="AH179" s="14"/>
      <c r="AI179" s="14"/>
    </row>
    <row r="180" spans="1:35" ht="15.75">
      <c r="A180" s="31" t="s">
        <v>25</v>
      </c>
      <c r="B180" s="13"/>
      <c r="C180" s="14"/>
      <c r="E180" s="32"/>
      <c r="F180" s="13"/>
      <c r="G180" s="33"/>
      <c r="H180" s="32"/>
      <c r="I180" s="32"/>
      <c r="J180" s="80"/>
      <c r="K180" s="33"/>
      <c r="L180" s="33"/>
      <c r="M180" s="13"/>
      <c r="N180" s="14"/>
      <c r="O180" s="14"/>
      <c r="P180" s="14"/>
      <c r="Q180" s="14"/>
      <c r="R180" s="14"/>
      <c r="S180" s="14"/>
      <c r="T180" s="13"/>
      <c r="U180" s="14"/>
      <c r="V180" s="14"/>
      <c r="W180" s="14"/>
      <c r="X180" s="14"/>
      <c r="Y180" s="14"/>
      <c r="Z180" s="14"/>
      <c r="AA180" s="13"/>
      <c r="AB180" s="14"/>
      <c r="AC180" s="14"/>
      <c r="AD180" s="14"/>
      <c r="AE180" s="14"/>
      <c r="AF180" s="14"/>
      <c r="AG180" s="98"/>
      <c r="AH180" s="14"/>
      <c r="AI180" s="14"/>
    </row>
    <row r="181" spans="1:35" ht="15.75" thickBot="1">
      <c r="A181" s="12" t="s">
        <v>27</v>
      </c>
      <c r="B181" s="13"/>
      <c r="C181" s="14"/>
      <c r="D181" s="14"/>
      <c r="E181" s="14"/>
      <c r="F181" s="13"/>
      <c r="G181" s="35"/>
      <c r="H181" s="35"/>
      <c r="I181" s="35"/>
      <c r="J181" s="81"/>
      <c r="K181" s="35"/>
      <c r="L181" s="35"/>
      <c r="M181" s="13"/>
      <c r="N181" s="14"/>
      <c r="O181" s="14"/>
      <c r="P181" s="14"/>
      <c r="Q181" s="14"/>
      <c r="R181" s="14"/>
      <c r="S181" s="14"/>
      <c r="T181" s="13"/>
      <c r="U181" s="14"/>
      <c r="V181" s="14"/>
      <c r="W181" s="14"/>
      <c r="X181" s="14"/>
      <c r="Y181" s="14"/>
      <c r="Z181" s="14"/>
      <c r="AA181" s="13"/>
      <c r="AB181" s="14"/>
      <c r="AC181" s="14"/>
      <c r="AD181" s="14"/>
      <c r="AE181" s="14"/>
      <c r="AF181" s="14"/>
      <c r="AG181" s="99"/>
      <c r="AH181" s="14"/>
      <c r="AI181" s="14"/>
    </row>
    <row r="182" spans="1:35" ht="20.25" thickBot="1">
      <c r="A182" s="445" t="s">
        <v>36</v>
      </c>
      <c r="B182" s="36">
        <f>+B178+B164+B150+B136</f>
        <v>0</v>
      </c>
      <c r="C182" s="37">
        <f t="shared" ref="C182:AF182" si="10">+C178+C164+C150+C136</f>
        <v>0</v>
      </c>
      <c r="D182" s="37">
        <f t="shared" si="10"/>
        <v>1152</v>
      </c>
      <c r="E182" s="37">
        <f t="shared" si="10"/>
        <v>2892</v>
      </c>
      <c r="F182" s="37">
        <f t="shared" si="10"/>
        <v>0</v>
      </c>
      <c r="G182" s="37">
        <f t="shared" si="10"/>
        <v>0</v>
      </c>
      <c r="H182" s="37">
        <f t="shared" si="10"/>
        <v>1656</v>
      </c>
      <c r="I182" s="37">
        <f t="shared" si="10"/>
        <v>720</v>
      </c>
      <c r="J182" s="37">
        <f t="shared" si="10"/>
        <v>804</v>
      </c>
      <c r="K182" s="37">
        <f t="shared" si="10"/>
        <v>0</v>
      </c>
      <c r="L182" s="37">
        <f t="shared" si="10"/>
        <v>0</v>
      </c>
      <c r="M182" s="37">
        <f t="shared" si="10"/>
        <v>0</v>
      </c>
      <c r="N182" s="37">
        <f t="shared" si="10"/>
        <v>0</v>
      </c>
      <c r="O182" s="37">
        <f t="shared" si="10"/>
        <v>0</v>
      </c>
      <c r="P182" s="37">
        <f t="shared" si="10"/>
        <v>0</v>
      </c>
      <c r="Q182" s="37">
        <f t="shared" si="10"/>
        <v>0</v>
      </c>
      <c r="R182" s="37">
        <f t="shared" si="10"/>
        <v>0</v>
      </c>
      <c r="S182" s="37">
        <f t="shared" si="10"/>
        <v>0</v>
      </c>
      <c r="T182" s="36">
        <f t="shared" si="10"/>
        <v>0</v>
      </c>
      <c r="U182" s="37">
        <f t="shared" si="10"/>
        <v>0</v>
      </c>
      <c r="V182" s="37">
        <f t="shared" si="10"/>
        <v>0</v>
      </c>
      <c r="W182" s="37">
        <f t="shared" si="10"/>
        <v>0</v>
      </c>
      <c r="X182" s="37">
        <f t="shared" si="10"/>
        <v>0</v>
      </c>
      <c r="Y182" s="37">
        <f t="shared" si="10"/>
        <v>0</v>
      </c>
      <c r="Z182" s="37">
        <f t="shared" si="10"/>
        <v>0</v>
      </c>
      <c r="AA182" s="36">
        <f t="shared" si="10"/>
        <v>0</v>
      </c>
      <c r="AB182" s="37">
        <f t="shared" si="10"/>
        <v>0</v>
      </c>
      <c r="AC182" s="37">
        <f t="shared" si="10"/>
        <v>0</v>
      </c>
      <c r="AD182" s="37">
        <f t="shared" si="10"/>
        <v>0</v>
      </c>
      <c r="AE182" s="37">
        <f t="shared" si="10"/>
        <v>0</v>
      </c>
      <c r="AF182" s="37">
        <f t="shared" si="10"/>
        <v>0</v>
      </c>
      <c r="AG182" s="38"/>
      <c r="AH182" s="14"/>
      <c r="AI182" s="14"/>
    </row>
    <row r="183" spans="1:35" ht="21" thickTop="1" thickBot="1">
      <c r="A183" s="445" t="s">
        <v>37</v>
      </c>
      <c r="B183" s="39">
        <f>+B184*B5</f>
        <v>0</v>
      </c>
      <c r="C183" s="40">
        <f t="shared" ref="C183:AF183" si="11">+C184*C5</f>
        <v>1615</v>
      </c>
      <c r="D183" s="40">
        <f t="shared" si="11"/>
        <v>1615</v>
      </c>
      <c r="E183" s="40">
        <f t="shared" si="11"/>
        <v>1360</v>
      </c>
      <c r="F183" s="39">
        <f t="shared" si="11"/>
        <v>0</v>
      </c>
      <c r="G183" s="40">
        <f t="shared" si="11"/>
        <v>1615</v>
      </c>
      <c r="H183" s="40">
        <f t="shared" si="11"/>
        <v>1615</v>
      </c>
      <c r="I183" s="40">
        <f t="shared" si="11"/>
        <v>1615</v>
      </c>
      <c r="J183" s="40">
        <f t="shared" si="11"/>
        <v>1615</v>
      </c>
      <c r="K183" s="40">
        <f t="shared" si="11"/>
        <v>1615</v>
      </c>
      <c r="L183" s="40">
        <f t="shared" si="11"/>
        <v>1360</v>
      </c>
      <c r="M183" s="39">
        <f t="shared" si="11"/>
        <v>0</v>
      </c>
      <c r="N183" s="40">
        <f t="shared" si="11"/>
        <v>1615</v>
      </c>
      <c r="O183" s="40">
        <f t="shared" si="11"/>
        <v>0</v>
      </c>
      <c r="P183" s="40">
        <f t="shared" si="11"/>
        <v>0</v>
      </c>
      <c r="Q183" s="40">
        <f t="shared" si="11"/>
        <v>0</v>
      </c>
      <c r="R183" s="40">
        <f t="shared" si="11"/>
        <v>0</v>
      </c>
      <c r="S183" s="40">
        <f t="shared" si="11"/>
        <v>0</v>
      </c>
      <c r="T183" s="39">
        <f t="shared" si="11"/>
        <v>0</v>
      </c>
      <c r="U183" s="40">
        <f t="shared" si="11"/>
        <v>0</v>
      </c>
      <c r="V183" s="40">
        <f t="shared" si="11"/>
        <v>0</v>
      </c>
      <c r="W183" s="40">
        <f t="shared" si="11"/>
        <v>0</v>
      </c>
      <c r="X183" s="40">
        <f t="shared" si="11"/>
        <v>0</v>
      </c>
      <c r="Y183" s="40">
        <f t="shared" si="11"/>
        <v>0</v>
      </c>
      <c r="Z183" s="40">
        <f t="shared" si="11"/>
        <v>0</v>
      </c>
      <c r="AA183" s="39">
        <f t="shared" si="11"/>
        <v>0</v>
      </c>
      <c r="AB183" s="40">
        <f t="shared" si="11"/>
        <v>0</v>
      </c>
      <c r="AC183" s="40">
        <f t="shared" si="11"/>
        <v>0</v>
      </c>
      <c r="AD183" s="40">
        <f t="shared" si="11"/>
        <v>0</v>
      </c>
      <c r="AE183" s="40">
        <f t="shared" si="11"/>
        <v>0</v>
      </c>
      <c r="AF183" s="40">
        <f t="shared" si="11"/>
        <v>0</v>
      </c>
      <c r="AG183" s="41">
        <f>SUM(B183:AF183)</f>
        <v>15640</v>
      </c>
      <c r="AH183" s="14"/>
      <c r="AI183" s="14"/>
    </row>
    <row r="184" spans="1:35" ht="21" thickTop="1" thickBot="1">
      <c r="A184" s="445" t="s">
        <v>38</v>
      </c>
      <c r="B184" s="42"/>
      <c r="C184" s="43">
        <v>170</v>
      </c>
      <c r="D184" s="43">
        <v>170</v>
      </c>
      <c r="E184" s="43">
        <v>170</v>
      </c>
      <c r="F184" s="42"/>
      <c r="G184" s="43">
        <v>170</v>
      </c>
      <c r="H184" s="43">
        <v>170</v>
      </c>
      <c r="I184" s="43">
        <v>170</v>
      </c>
      <c r="J184" s="43">
        <v>170</v>
      </c>
      <c r="K184" s="43">
        <v>170</v>
      </c>
      <c r="L184" s="43">
        <v>170</v>
      </c>
      <c r="M184" s="42"/>
      <c r="N184" s="43">
        <v>170</v>
      </c>
      <c r="O184" s="43"/>
      <c r="P184" s="43"/>
      <c r="Q184" s="40"/>
      <c r="R184" s="43"/>
      <c r="S184" s="43"/>
      <c r="T184" s="42"/>
      <c r="U184" s="40"/>
      <c r="V184" s="40"/>
      <c r="W184" s="43"/>
      <c r="X184" s="40"/>
      <c r="Y184" s="43"/>
      <c r="Z184" s="43"/>
      <c r="AA184" s="42"/>
      <c r="AB184" s="40"/>
      <c r="AC184" s="40"/>
      <c r="AD184" s="43"/>
      <c r="AE184" s="46"/>
      <c r="AF184" s="43"/>
      <c r="AG184" s="44"/>
      <c r="AH184" s="14"/>
      <c r="AI184" s="14"/>
    </row>
    <row r="185" spans="1:35" ht="21" thickTop="1" thickBot="1">
      <c r="A185" s="45" t="e">
        <f>+'T04'!AD185</f>
        <v>#REF!</v>
      </c>
      <c r="B185" s="39" t="e">
        <f t="shared" ref="B185:AF185" si="12">IF(A185+B182-B183&lt;0,0,A185+B182-B183)</f>
        <v>#REF!</v>
      </c>
      <c r="C185" s="40" t="e">
        <f t="shared" si="12"/>
        <v>#REF!</v>
      </c>
      <c r="D185" s="40" t="e">
        <f t="shared" si="12"/>
        <v>#REF!</v>
      </c>
      <c r="E185" s="40" t="e">
        <f t="shared" si="12"/>
        <v>#REF!</v>
      </c>
      <c r="F185" s="39" t="e">
        <f t="shared" si="12"/>
        <v>#REF!</v>
      </c>
      <c r="G185" s="40" t="e">
        <f t="shared" si="12"/>
        <v>#REF!</v>
      </c>
      <c r="H185" s="40" t="e">
        <f t="shared" si="12"/>
        <v>#REF!</v>
      </c>
      <c r="I185" s="40" t="e">
        <f t="shared" si="12"/>
        <v>#REF!</v>
      </c>
      <c r="J185" s="40" t="e">
        <f t="shared" si="12"/>
        <v>#REF!</v>
      </c>
      <c r="K185" s="40" t="e">
        <f t="shared" si="12"/>
        <v>#REF!</v>
      </c>
      <c r="L185" s="40" t="e">
        <f t="shared" si="12"/>
        <v>#REF!</v>
      </c>
      <c r="M185" s="39" t="e">
        <f t="shared" si="12"/>
        <v>#REF!</v>
      </c>
      <c r="N185" s="40" t="e">
        <f t="shared" si="12"/>
        <v>#REF!</v>
      </c>
      <c r="O185" s="40" t="e">
        <f t="shared" si="12"/>
        <v>#REF!</v>
      </c>
      <c r="P185" s="40" t="e">
        <f t="shared" si="12"/>
        <v>#REF!</v>
      </c>
      <c r="Q185" s="40" t="e">
        <f t="shared" si="12"/>
        <v>#REF!</v>
      </c>
      <c r="R185" s="40" t="e">
        <f t="shared" si="12"/>
        <v>#REF!</v>
      </c>
      <c r="S185" s="40" t="e">
        <f t="shared" si="12"/>
        <v>#REF!</v>
      </c>
      <c r="T185" s="39" t="e">
        <f t="shared" si="12"/>
        <v>#REF!</v>
      </c>
      <c r="U185" s="40" t="e">
        <f t="shared" si="12"/>
        <v>#REF!</v>
      </c>
      <c r="V185" s="40" t="e">
        <f t="shared" si="12"/>
        <v>#REF!</v>
      </c>
      <c r="W185" s="40" t="e">
        <f t="shared" si="12"/>
        <v>#REF!</v>
      </c>
      <c r="X185" s="40" t="e">
        <f t="shared" si="12"/>
        <v>#REF!</v>
      </c>
      <c r="Y185" s="40" t="e">
        <f t="shared" si="12"/>
        <v>#REF!</v>
      </c>
      <c r="Z185" s="40" t="e">
        <f t="shared" si="12"/>
        <v>#REF!</v>
      </c>
      <c r="AA185" s="39" t="e">
        <f t="shared" si="12"/>
        <v>#REF!</v>
      </c>
      <c r="AB185" s="40" t="e">
        <f t="shared" si="12"/>
        <v>#REF!</v>
      </c>
      <c r="AC185" s="40" t="e">
        <f t="shared" si="12"/>
        <v>#REF!</v>
      </c>
      <c r="AD185" s="40" t="e">
        <f t="shared" si="12"/>
        <v>#REF!</v>
      </c>
      <c r="AE185" s="46" t="e">
        <f t="shared" si="12"/>
        <v>#REF!</v>
      </c>
      <c r="AF185" s="40" t="e">
        <f t="shared" si="12"/>
        <v>#REF!</v>
      </c>
      <c r="AG185" s="47" t="e">
        <f>IF(AE185+AG182-AG183&lt;0,0,AE185+AG182-AG183)</f>
        <v>#REF!</v>
      </c>
      <c r="AH185" s="14"/>
      <c r="AI185" s="14"/>
    </row>
    <row r="186" spans="1:35">
      <c r="A186" s="12" t="s">
        <v>10</v>
      </c>
      <c r="B186" s="13"/>
      <c r="C186" s="14"/>
      <c r="D186" s="12"/>
      <c r="E186" s="446"/>
      <c r="F186" s="13"/>
      <c r="G186" s="82"/>
      <c r="H186" s="82"/>
      <c r="I186" s="82"/>
      <c r="J186" s="14"/>
      <c r="K186" s="14"/>
      <c r="L186" s="14"/>
      <c r="M186" s="13"/>
      <c r="N186" s="14"/>
      <c r="O186" s="14"/>
      <c r="P186" s="14"/>
      <c r="Q186" s="14"/>
      <c r="R186" s="14"/>
      <c r="S186" s="14"/>
      <c r="T186" s="13"/>
      <c r="U186" s="14"/>
      <c r="V186" s="14"/>
      <c r="W186" s="14"/>
      <c r="X186" s="14"/>
      <c r="Y186" s="14"/>
      <c r="Z186" s="14"/>
      <c r="AA186" s="13"/>
      <c r="AB186" s="14"/>
      <c r="AC186" s="14"/>
      <c r="AD186" s="14"/>
      <c r="AE186" s="14"/>
      <c r="AF186" s="14"/>
      <c r="AG186" s="97"/>
      <c r="AH186" s="14"/>
      <c r="AI186" s="14"/>
    </row>
    <row r="187" spans="1:35">
      <c r="A187" s="443" t="s">
        <v>11</v>
      </c>
      <c r="B187" s="13"/>
      <c r="C187" s="14"/>
      <c r="D187" s="85"/>
      <c r="E187" s="85"/>
      <c r="F187" s="13"/>
      <c r="G187" s="33"/>
      <c r="H187" s="33"/>
      <c r="I187" s="33"/>
      <c r="J187" s="14"/>
      <c r="K187" s="14"/>
      <c r="L187" s="14"/>
      <c r="M187" s="13"/>
      <c r="N187" s="14"/>
      <c r="O187" s="14"/>
      <c r="P187" s="14"/>
      <c r="Q187" s="14"/>
      <c r="R187" s="14"/>
      <c r="S187" s="14"/>
      <c r="T187" s="13"/>
      <c r="U187" s="14"/>
      <c r="V187" s="14"/>
      <c r="W187" s="14"/>
      <c r="X187" s="14"/>
      <c r="Y187" s="14"/>
      <c r="Z187" s="14"/>
      <c r="AA187" s="13"/>
      <c r="AB187" s="14"/>
      <c r="AC187" s="14"/>
      <c r="AD187" s="14"/>
      <c r="AE187" s="14"/>
      <c r="AF187" s="14"/>
      <c r="AG187" s="98"/>
      <c r="AH187" s="14"/>
      <c r="AI187" s="14"/>
    </row>
    <row r="188" spans="1:35" ht="15.75">
      <c r="A188" s="16" t="s">
        <v>12</v>
      </c>
      <c r="B188" s="13"/>
      <c r="C188" s="14"/>
      <c r="D188" s="16"/>
      <c r="E188" s="16"/>
      <c r="F188" s="13"/>
      <c r="G188" s="33"/>
      <c r="H188" s="33"/>
      <c r="I188" s="33"/>
      <c r="J188" s="14"/>
      <c r="K188" s="14"/>
      <c r="L188" s="14"/>
      <c r="M188" s="13"/>
      <c r="N188" s="14"/>
      <c r="O188" s="14"/>
      <c r="P188" s="14"/>
      <c r="Q188" s="14"/>
      <c r="R188" s="14"/>
      <c r="S188" s="14"/>
      <c r="T188" s="13"/>
      <c r="U188" s="14"/>
      <c r="V188" s="14"/>
      <c r="W188" s="14"/>
      <c r="X188" s="14"/>
      <c r="Y188" s="14"/>
      <c r="Z188" s="14"/>
      <c r="AA188" s="13"/>
      <c r="AB188" s="14"/>
      <c r="AC188" s="14"/>
      <c r="AD188" s="14"/>
      <c r="AE188" s="14"/>
      <c r="AF188" s="14"/>
      <c r="AG188" s="98"/>
      <c r="AH188" s="14"/>
      <c r="AI188" s="14"/>
    </row>
    <row r="189" spans="1:35" ht="15.75">
      <c r="A189" s="18" t="s">
        <v>13</v>
      </c>
      <c r="B189" s="13"/>
      <c r="C189" s="14"/>
      <c r="D189" s="18"/>
      <c r="E189" s="18"/>
      <c r="F189" s="13"/>
      <c r="G189" s="33"/>
      <c r="H189" s="33"/>
      <c r="I189" s="33"/>
      <c r="J189" s="14"/>
      <c r="K189" s="14"/>
      <c r="L189" s="14"/>
      <c r="M189" s="13"/>
      <c r="N189" s="14"/>
      <c r="O189" s="14"/>
      <c r="P189" s="14"/>
      <c r="Q189" s="14"/>
      <c r="R189" s="14"/>
      <c r="S189" s="14"/>
      <c r="T189" s="13"/>
      <c r="U189" s="14"/>
      <c r="V189" s="14"/>
      <c r="W189" s="14"/>
      <c r="X189" s="14"/>
      <c r="Y189" s="14"/>
      <c r="Z189" s="14"/>
      <c r="AA189" s="13"/>
      <c r="AB189" s="14"/>
      <c r="AC189" s="14"/>
      <c r="AD189" s="14"/>
      <c r="AE189" s="14"/>
      <c r="AF189" s="14"/>
      <c r="AG189" s="98"/>
      <c r="AH189" s="14"/>
      <c r="AI189" s="14"/>
    </row>
    <row r="190" spans="1:35">
      <c r="A190" s="20" t="s">
        <v>15</v>
      </c>
      <c r="B190" s="13"/>
      <c r="C190" s="14"/>
      <c r="D190" s="20"/>
      <c r="E190" s="20"/>
      <c r="F190" s="13"/>
      <c r="G190" s="33"/>
      <c r="H190" s="33"/>
      <c r="I190" s="33"/>
      <c r="J190" s="14"/>
      <c r="K190" s="14"/>
      <c r="L190" s="14"/>
      <c r="M190" s="13"/>
      <c r="N190" s="14"/>
      <c r="O190" s="14"/>
      <c r="P190" s="14"/>
      <c r="Q190" s="14"/>
      <c r="R190" s="14"/>
      <c r="S190" s="14"/>
      <c r="T190" s="13"/>
      <c r="U190" s="14"/>
      <c r="V190" s="14"/>
      <c r="W190" s="14"/>
      <c r="X190" s="14"/>
      <c r="Y190" s="14"/>
      <c r="Z190" s="14"/>
      <c r="AA190" s="13"/>
      <c r="AB190" s="14"/>
      <c r="AC190" s="14"/>
      <c r="AD190" s="14"/>
      <c r="AE190" s="14"/>
      <c r="AF190" s="14"/>
      <c r="AG190" s="98"/>
      <c r="AH190" s="14"/>
      <c r="AI190" s="14"/>
    </row>
    <row r="191" spans="1:35">
      <c r="A191" s="444" t="s">
        <v>17</v>
      </c>
      <c r="B191" s="13"/>
      <c r="C191" s="14"/>
      <c r="D191" s="86"/>
      <c r="E191" s="86"/>
      <c r="F191" s="13"/>
      <c r="G191" s="33"/>
      <c r="H191" s="33"/>
      <c r="I191" s="33"/>
      <c r="J191" s="14"/>
      <c r="K191" s="14"/>
      <c r="L191" s="14"/>
      <c r="M191" s="13"/>
      <c r="N191" s="14"/>
      <c r="O191" s="14"/>
      <c r="P191" s="14"/>
      <c r="Q191" s="14"/>
      <c r="R191" s="14"/>
      <c r="S191" s="14"/>
      <c r="T191" s="13"/>
      <c r="U191" s="14"/>
      <c r="V191" s="14"/>
      <c r="W191" s="14"/>
      <c r="X191" s="14"/>
      <c r="Y191" s="14"/>
      <c r="Z191" s="14"/>
      <c r="AA191" s="13"/>
      <c r="AB191" s="14"/>
      <c r="AC191" s="14"/>
      <c r="AD191" s="14"/>
      <c r="AE191" s="14"/>
      <c r="AF191" s="14"/>
      <c r="AG191" s="98"/>
      <c r="AH191" s="14"/>
      <c r="AI191" s="14"/>
    </row>
    <row r="192" spans="1:35" ht="15.75">
      <c r="A192" s="22" t="s">
        <v>18</v>
      </c>
      <c r="B192" s="13"/>
      <c r="C192" s="14"/>
      <c r="D192" s="22"/>
      <c r="E192" s="22"/>
      <c r="F192" s="13"/>
      <c r="G192" s="33"/>
      <c r="H192" s="33"/>
      <c r="I192" s="33"/>
      <c r="J192" s="14"/>
      <c r="K192" s="14"/>
      <c r="L192" s="14"/>
      <c r="M192" s="13"/>
      <c r="N192" s="14"/>
      <c r="O192" s="14"/>
      <c r="P192" s="14"/>
      <c r="Q192" s="14"/>
      <c r="R192" s="14"/>
      <c r="S192" s="14"/>
      <c r="T192" s="13"/>
      <c r="U192" s="14"/>
      <c r="V192" s="14"/>
      <c r="W192" s="14"/>
      <c r="X192" s="14"/>
      <c r="Y192" s="14"/>
      <c r="Z192" s="14"/>
      <c r="AA192" s="13"/>
      <c r="AB192" s="14"/>
      <c r="AC192" s="14"/>
      <c r="AD192" s="14"/>
      <c r="AE192" s="14"/>
      <c r="AF192" s="14"/>
      <c r="AG192" s="98"/>
      <c r="AH192" s="14"/>
      <c r="AI192" s="14"/>
    </row>
    <row r="193" spans="1:35">
      <c r="A193" s="12" t="s">
        <v>20</v>
      </c>
      <c r="B193" s="13"/>
      <c r="C193" s="14"/>
      <c r="D193" s="12"/>
      <c r="E193" s="12"/>
      <c r="F193" s="13"/>
      <c r="G193" s="33"/>
      <c r="H193" s="33"/>
      <c r="I193" s="33"/>
      <c r="J193" s="14"/>
      <c r="K193" s="14"/>
      <c r="L193" s="14"/>
      <c r="M193" s="13"/>
      <c r="N193" s="14"/>
      <c r="O193" s="14"/>
      <c r="P193" s="14"/>
      <c r="Q193" s="14"/>
      <c r="R193" s="14"/>
      <c r="S193" s="14"/>
      <c r="T193" s="13"/>
      <c r="U193" s="14"/>
      <c r="V193" s="14"/>
      <c r="W193" s="14"/>
      <c r="X193" s="14"/>
      <c r="Y193" s="14"/>
      <c r="Z193" s="14"/>
      <c r="AA193" s="13"/>
      <c r="AB193" s="14"/>
      <c r="AC193" s="14"/>
      <c r="AD193" s="14"/>
      <c r="AE193" s="14"/>
      <c r="AF193" s="14"/>
      <c r="AG193" s="98"/>
      <c r="AH193" s="14"/>
      <c r="AI193" s="14"/>
    </row>
    <row r="194" spans="1:35">
      <c r="A194" s="25" t="s">
        <v>21</v>
      </c>
      <c r="B194" s="13"/>
      <c r="C194" s="14"/>
      <c r="D194" s="25"/>
      <c r="E194" s="25"/>
      <c r="F194" s="13"/>
      <c r="G194" s="33"/>
      <c r="H194" s="33"/>
      <c r="I194" s="33"/>
      <c r="J194" s="14"/>
      <c r="K194" s="14"/>
      <c r="L194" s="14"/>
      <c r="M194" s="13"/>
      <c r="N194" s="14"/>
      <c r="O194" s="14"/>
      <c r="P194" s="14"/>
      <c r="Q194" s="14"/>
      <c r="R194" s="14"/>
      <c r="S194" s="14"/>
      <c r="T194" s="13"/>
      <c r="U194" s="14"/>
      <c r="V194" s="14"/>
      <c r="W194" s="14"/>
      <c r="X194" s="14"/>
      <c r="Y194" s="14"/>
      <c r="Z194" s="14"/>
      <c r="AA194" s="13"/>
      <c r="AB194" s="14"/>
      <c r="AC194" s="14"/>
      <c r="AD194" s="14"/>
      <c r="AE194" s="14"/>
      <c r="AF194" s="14"/>
      <c r="AG194" s="98"/>
      <c r="AH194" s="14"/>
      <c r="AI194" s="14"/>
    </row>
    <row r="195" spans="1:35">
      <c r="A195" s="26" t="s">
        <v>22</v>
      </c>
      <c r="B195" s="13"/>
      <c r="C195" s="14"/>
      <c r="D195" s="26"/>
      <c r="E195" s="26"/>
      <c r="F195" s="13"/>
      <c r="G195" s="33"/>
      <c r="H195" s="33"/>
      <c r="I195" s="33"/>
      <c r="J195" s="14"/>
      <c r="K195" s="14"/>
      <c r="L195" s="14"/>
      <c r="M195" s="13"/>
      <c r="N195" s="14"/>
      <c r="O195" s="14"/>
      <c r="P195" s="14"/>
      <c r="Q195" s="14"/>
      <c r="R195" s="14"/>
      <c r="S195" s="14"/>
      <c r="T195" s="13"/>
      <c r="U195" s="14"/>
      <c r="V195" s="14"/>
      <c r="W195" s="14"/>
      <c r="X195" s="14"/>
      <c r="Y195" s="14"/>
      <c r="Z195" s="14"/>
      <c r="AA195" s="13"/>
      <c r="AB195" s="14"/>
      <c r="AC195" s="14"/>
      <c r="AD195" s="14"/>
      <c r="AE195" s="14"/>
      <c r="AF195" s="14"/>
      <c r="AG195" s="98"/>
      <c r="AH195" s="14"/>
      <c r="AI195" s="14"/>
    </row>
    <row r="196" spans="1:35">
      <c r="A196" s="25" t="s">
        <v>23</v>
      </c>
      <c r="B196" s="13"/>
      <c r="C196" s="14"/>
      <c r="D196" s="25"/>
      <c r="E196" s="25"/>
      <c r="F196" s="13"/>
      <c r="G196" s="33"/>
      <c r="H196" s="33"/>
      <c r="I196" s="33"/>
      <c r="J196" s="14"/>
      <c r="K196" s="14"/>
      <c r="L196" s="14"/>
      <c r="M196" s="13"/>
      <c r="N196" s="14"/>
      <c r="O196" s="14"/>
      <c r="P196" s="14"/>
      <c r="Q196" s="14"/>
      <c r="R196" s="14"/>
      <c r="S196" s="14"/>
      <c r="T196" s="13"/>
      <c r="U196" s="14"/>
      <c r="V196" s="14"/>
      <c r="W196" s="14"/>
      <c r="X196" s="14"/>
      <c r="Y196" s="14"/>
      <c r="Z196" s="14"/>
      <c r="AA196" s="13"/>
      <c r="AB196" s="14"/>
      <c r="AC196" s="14"/>
      <c r="AD196" s="14"/>
      <c r="AE196" s="14"/>
      <c r="AF196" s="14"/>
      <c r="AG196" s="98"/>
      <c r="AH196" s="14"/>
      <c r="AI196" s="14"/>
    </row>
    <row r="197" spans="1:35" ht="15.75">
      <c r="A197" s="28" t="s">
        <v>24</v>
      </c>
      <c r="B197" s="13"/>
      <c r="C197" s="14"/>
      <c r="D197" s="28"/>
      <c r="E197" s="28"/>
      <c r="F197" s="13"/>
      <c r="G197" s="33"/>
      <c r="H197" s="33"/>
      <c r="I197" s="33"/>
      <c r="J197" s="14"/>
      <c r="K197" s="14"/>
      <c r="L197" s="14"/>
      <c r="M197" s="13"/>
      <c r="N197" s="14"/>
      <c r="O197" s="14"/>
      <c r="P197" s="14"/>
      <c r="Q197" s="14"/>
      <c r="R197" s="14"/>
      <c r="S197" s="14"/>
      <c r="T197" s="13"/>
      <c r="U197" s="14"/>
      <c r="V197" s="14"/>
      <c r="W197" s="14"/>
      <c r="X197" s="14"/>
      <c r="Y197" s="14"/>
      <c r="Z197" s="14"/>
      <c r="AA197" s="13"/>
      <c r="AB197" s="14"/>
      <c r="AC197" s="14"/>
      <c r="AD197" s="14"/>
      <c r="AE197" s="14"/>
      <c r="AF197" s="14"/>
      <c r="AG197" s="98"/>
      <c r="AH197" s="14"/>
      <c r="AI197" s="14"/>
    </row>
    <row r="198" spans="1:35">
      <c r="A198" s="31" t="s">
        <v>25</v>
      </c>
      <c r="B198" s="13"/>
      <c r="C198" s="14"/>
      <c r="D198" s="31"/>
      <c r="E198" s="31"/>
      <c r="F198" s="13"/>
      <c r="G198" s="33"/>
      <c r="H198" s="33"/>
      <c r="I198" s="33"/>
      <c r="J198" s="14"/>
      <c r="K198" s="14"/>
      <c r="L198" s="14"/>
      <c r="M198" s="13"/>
      <c r="N198" s="14"/>
      <c r="O198" s="14"/>
      <c r="P198" s="14"/>
      <c r="Q198" s="14"/>
      <c r="R198" s="14"/>
      <c r="S198" s="14"/>
      <c r="T198" s="13"/>
      <c r="U198" s="14"/>
      <c r="V198" s="14"/>
      <c r="W198" s="14"/>
      <c r="X198" s="14"/>
      <c r="Y198" s="14"/>
      <c r="Z198" s="14"/>
      <c r="AA198" s="13"/>
      <c r="AB198" s="14"/>
      <c r="AC198" s="14"/>
      <c r="AD198" s="14"/>
      <c r="AE198" s="14"/>
      <c r="AF198" s="14"/>
      <c r="AG198" s="98"/>
      <c r="AH198" s="14"/>
      <c r="AI198" s="14"/>
    </row>
    <row r="199" spans="1:35">
      <c r="A199" s="12" t="s">
        <v>27</v>
      </c>
      <c r="B199" s="13"/>
      <c r="C199" s="14"/>
      <c r="D199" s="12"/>
      <c r="E199" s="12"/>
      <c r="F199" s="13"/>
      <c r="G199" s="33"/>
      <c r="H199" s="33"/>
      <c r="I199" s="33"/>
      <c r="J199" s="14"/>
      <c r="K199" s="14"/>
      <c r="L199" s="14"/>
      <c r="M199" s="13"/>
      <c r="N199" s="14"/>
      <c r="O199" s="14"/>
      <c r="P199" s="14"/>
      <c r="Q199" s="14"/>
      <c r="R199" s="14"/>
      <c r="S199" s="14"/>
      <c r="T199" s="13"/>
      <c r="U199" s="14"/>
      <c r="V199" s="14"/>
      <c r="W199" s="14"/>
      <c r="X199" s="14"/>
      <c r="Y199" s="14"/>
      <c r="Z199" s="14"/>
      <c r="AA199" s="13"/>
      <c r="AB199" s="14"/>
      <c r="AC199" s="14"/>
      <c r="AD199" s="14"/>
      <c r="AE199" s="14"/>
      <c r="AF199" s="14"/>
      <c r="AG199" s="98"/>
      <c r="AH199" s="14"/>
      <c r="AI199" s="14"/>
    </row>
    <row r="200" spans="1:35">
      <c r="A200" s="12" t="s">
        <v>10</v>
      </c>
      <c r="B200" s="13"/>
      <c r="C200" s="14"/>
      <c r="D200" s="12"/>
      <c r="E200" s="50"/>
      <c r="F200" s="13"/>
      <c r="G200" s="33"/>
      <c r="H200" s="33"/>
      <c r="I200" s="33"/>
      <c r="J200" s="14"/>
      <c r="K200" s="14"/>
      <c r="L200" s="14"/>
      <c r="M200" s="13"/>
      <c r="N200" s="14"/>
      <c r="O200" s="14"/>
      <c r="P200" s="14"/>
      <c r="Q200" s="14"/>
      <c r="R200" s="14"/>
      <c r="S200" s="14"/>
      <c r="T200" s="13"/>
      <c r="U200" s="14"/>
      <c r="V200" s="14"/>
      <c r="W200" s="14"/>
      <c r="X200" s="14"/>
      <c r="Y200" s="14"/>
      <c r="Z200" s="14"/>
      <c r="AA200" s="13"/>
      <c r="AB200" s="14"/>
      <c r="AC200" s="14"/>
      <c r="AD200" s="14"/>
      <c r="AE200" s="14"/>
      <c r="AF200" s="14"/>
      <c r="AG200" s="98"/>
      <c r="AH200" s="14"/>
      <c r="AI200" s="14"/>
    </row>
    <row r="201" spans="1:35">
      <c r="A201" s="443" t="s">
        <v>11</v>
      </c>
      <c r="B201" s="13"/>
      <c r="C201" s="14"/>
      <c r="D201" s="85"/>
      <c r="E201" s="50"/>
      <c r="F201" s="13"/>
      <c r="G201" s="33"/>
      <c r="H201" s="33"/>
      <c r="I201" s="33"/>
      <c r="J201" s="14"/>
      <c r="K201" s="14"/>
      <c r="L201" s="14"/>
      <c r="M201" s="13"/>
      <c r="N201" s="14"/>
      <c r="O201" s="14"/>
      <c r="P201" s="14"/>
      <c r="Q201" s="14"/>
      <c r="R201" s="14"/>
      <c r="S201" s="14"/>
      <c r="T201" s="13"/>
      <c r="U201" s="14"/>
      <c r="V201" s="14"/>
      <c r="W201" s="14"/>
      <c r="X201" s="14"/>
      <c r="Y201" s="14"/>
      <c r="Z201" s="14"/>
      <c r="AA201" s="13"/>
      <c r="AB201" s="14"/>
      <c r="AC201" s="14"/>
      <c r="AD201" s="14"/>
      <c r="AE201" s="14"/>
      <c r="AF201" s="14"/>
      <c r="AG201" s="98"/>
      <c r="AH201" s="14"/>
      <c r="AI201" s="14"/>
    </row>
    <row r="202" spans="1:35" ht="15.75">
      <c r="A202" s="16" t="s">
        <v>12</v>
      </c>
      <c r="B202" s="13"/>
      <c r="C202" s="14"/>
      <c r="D202" s="16"/>
      <c r="E202" s="50"/>
      <c r="F202" s="13"/>
      <c r="G202" s="33"/>
      <c r="H202" s="33"/>
      <c r="I202" s="33"/>
      <c r="J202" s="14"/>
      <c r="K202" s="14"/>
      <c r="L202" s="14"/>
      <c r="M202" s="13"/>
      <c r="N202" s="14"/>
      <c r="O202" s="14"/>
      <c r="P202" s="14"/>
      <c r="Q202" s="14"/>
      <c r="R202" s="14"/>
      <c r="S202" s="14"/>
      <c r="T202" s="13"/>
      <c r="U202" s="14"/>
      <c r="V202" s="14"/>
      <c r="W202" s="14"/>
      <c r="X202" s="14"/>
      <c r="Y202" s="14"/>
      <c r="Z202" s="14"/>
      <c r="AA202" s="13"/>
      <c r="AB202" s="14"/>
      <c r="AC202" s="14"/>
      <c r="AD202" s="14"/>
      <c r="AE202" s="14"/>
      <c r="AF202" s="14"/>
      <c r="AG202" s="98"/>
      <c r="AH202" s="14"/>
      <c r="AI202" s="14"/>
    </row>
    <row r="203" spans="1:35" ht="15.75">
      <c r="A203" s="18" t="s">
        <v>13</v>
      </c>
      <c r="B203" s="13"/>
      <c r="C203" s="14"/>
      <c r="D203" s="18"/>
      <c r="E203" s="50"/>
      <c r="F203" s="13"/>
      <c r="G203" s="33"/>
      <c r="H203" s="33"/>
      <c r="I203" s="33"/>
      <c r="J203" s="14"/>
      <c r="K203" s="14"/>
      <c r="L203" s="14"/>
      <c r="M203" s="13"/>
      <c r="N203" s="14"/>
      <c r="O203" s="14"/>
      <c r="P203" s="14"/>
      <c r="Q203" s="14"/>
      <c r="R203" s="14"/>
      <c r="S203" s="14"/>
      <c r="T203" s="13"/>
      <c r="U203" s="14"/>
      <c r="V203" s="14"/>
      <c r="W203" s="14"/>
      <c r="X203" s="14"/>
      <c r="Y203" s="14"/>
      <c r="Z203" s="14"/>
      <c r="AA203" s="13"/>
      <c r="AB203" s="14"/>
      <c r="AC203" s="14"/>
      <c r="AD203" s="14"/>
      <c r="AE203" s="14"/>
      <c r="AF203" s="14"/>
      <c r="AG203" s="98"/>
      <c r="AH203" s="14"/>
      <c r="AI203" s="14"/>
    </row>
    <row r="204" spans="1:35">
      <c r="A204" s="20" t="s">
        <v>15</v>
      </c>
      <c r="B204" s="13"/>
      <c r="C204" s="14"/>
      <c r="D204" s="20"/>
      <c r="E204" s="50"/>
      <c r="F204" s="13"/>
      <c r="G204" s="33"/>
      <c r="H204" s="33"/>
      <c r="I204" s="33"/>
      <c r="J204" s="14"/>
      <c r="K204" s="14"/>
      <c r="L204" s="14"/>
      <c r="M204" s="13"/>
      <c r="N204" s="14"/>
      <c r="O204" s="14"/>
      <c r="P204" s="14"/>
      <c r="Q204" s="14"/>
      <c r="R204" s="14"/>
      <c r="S204" s="14"/>
      <c r="T204" s="13"/>
      <c r="U204" s="14"/>
      <c r="V204" s="14"/>
      <c r="W204" s="14"/>
      <c r="X204" s="14"/>
      <c r="Y204" s="14"/>
      <c r="Z204" s="14"/>
      <c r="AA204" s="13"/>
      <c r="AB204" s="14"/>
      <c r="AC204" s="14"/>
      <c r="AD204" s="14"/>
      <c r="AE204" s="14"/>
      <c r="AF204" s="14"/>
      <c r="AG204" s="98"/>
      <c r="AH204" s="14"/>
      <c r="AI204" s="14"/>
    </row>
    <row r="205" spans="1:35">
      <c r="A205" s="444" t="s">
        <v>17</v>
      </c>
      <c r="B205" s="13"/>
      <c r="C205" s="14"/>
      <c r="D205" s="86"/>
      <c r="E205" s="50"/>
      <c r="F205" s="13"/>
      <c r="G205" s="33"/>
      <c r="H205" s="33"/>
      <c r="I205" s="33"/>
      <c r="J205" s="14"/>
      <c r="K205" s="14"/>
      <c r="L205" s="14"/>
      <c r="M205" s="13"/>
      <c r="N205" s="14"/>
      <c r="O205" s="14"/>
      <c r="P205" s="14"/>
      <c r="Q205" s="14"/>
      <c r="R205" s="14"/>
      <c r="S205" s="14"/>
      <c r="T205" s="13"/>
      <c r="U205" s="14"/>
      <c r="V205" s="14"/>
      <c r="W205" s="14"/>
      <c r="X205" s="14"/>
      <c r="Y205" s="14"/>
      <c r="Z205" s="14"/>
      <c r="AA205" s="13"/>
      <c r="AB205" s="14"/>
      <c r="AC205" s="14"/>
      <c r="AD205" s="14"/>
      <c r="AE205" s="14"/>
      <c r="AF205" s="14"/>
      <c r="AG205" s="98"/>
      <c r="AH205" s="14"/>
      <c r="AI205" s="14"/>
    </row>
    <row r="206" spans="1:35" ht="15.75">
      <c r="A206" s="22" t="s">
        <v>18</v>
      </c>
      <c r="B206" s="13"/>
      <c r="C206" s="14"/>
      <c r="D206" s="22"/>
      <c r="E206" s="50"/>
      <c r="F206" s="13"/>
      <c r="G206" s="33"/>
      <c r="H206" s="33"/>
      <c r="I206" s="33"/>
      <c r="J206" s="14"/>
      <c r="K206" s="14"/>
      <c r="L206" s="14"/>
      <c r="M206" s="13"/>
      <c r="N206" s="14"/>
      <c r="O206" s="14"/>
      <c r="P206" s="14"/>
      <c r="Q206" s="14"/>
      <c r="R206" s="14"/>
      <c r="S206" s="14"/>
      <c r="T206" s="13"/>
      <c r="U206" s="14"/>
      <c r="V206" s="14"/>
      <c r="W206" s="14"/>
      <c r="X206" s="14"/>
      <c r="Y206" s="14"/>
      <c r="Z206" s="14"/>
      <c r="AA206" s="13"/>
      <c r="AB206" s="14"/>
      <c r="AC206" s="14"/>
      <c r="AD206" s="14"/>
      <c r="AE206" s="14"/>
      <c r="AF206" s="14"/>
      <c r="AG206" s="98"/>
      <c r="AH206" s="14"/>
      <c r="AI206" s="14"/>
    </row>
    <row r="207" spans="1:35">
      <c r="A207" s="12" t="s">
        <v>20</v>
      </c>
      <c r="B207" s="13"/>
      <c r="C207" s="14"/>
      <c r="D207" s="12"/>
      <c r="E207" s="50"/>
      <c r="F207" s="13"/>
      <c r="G207" s="33"/>
      <c r="H207" s="33"/>
      <c r="I207" s="33"/>
      <c r="J207" s="14"/>
      <c r="K207" s="14"/>
      <c r="L207" s="14"/>
      <c r="M207" s="13"/>
      <c r="N207" s="14"/>
      <c r="O207" s="14"/>
      <c r="P207" s="14"/>
      <c r="Q207" s="14"/>
      <c r="R207" s="14"/>
      <c r="S207" s="14"/>
      <c r="T207" s="13"/>
      <c r="U207" s="14"/>
      <c r="V207" s="14"/>
      <c r="W207" s="14"/>
      <c r="X207" s="14"/>
      <c r="Y207" s="14"/>
      <c r="Z207" s="14"/>
      <c r="AA207" s="13"/>
      <c r="AB207" s="14"/>
      <c r="AC207" s="14"/>
      <c r="AD207" s="14"/>
      <c r="AE207" s="14"/>
      <c r="AF207" s="14"/>
      <c r="AG207" s="98"/>
      <c r="AH207" s="14"/>
      <c r="AI207" s="14"/>
    </row>
    <row r="208" spans="1:35">
      <c r="A208" s="25" t="s">
        <v>21</v>
      </c>
      <c r="B208" s="13"/>
      <c r="C208" s="14"/>
      <c r="D208" s="25"/>
      <c r="E208" s="50"/>
      <c r="F208" s="13"/>
      <c r="G208" s="33"/>
      <c r="H208" s="33"/>
      <c r="I208" s="33"/>
      <c r="J208" s="14"/>
      <c r="K208" s="14"/>
      <c r="L208" s="14"/>
      <c r="M208" s="13"/>
      <c r="N208" s="14"/>
      <c r="O208" s="14"/>
      <c r="P208" s="14"/>
      <c r="Q208" s="14"/>
      <c r="R208" s="14"/>
      <c r="S208" s="14"/>
      <c r="T208" s="13"/>
      <c r="U208" s="14"/>
      <c r="V208" s="14"/>
      <c r="W208" s="14"/>
      <c r="X208" s="14"/>
      <c r="Y208" s="14"/>
      <c r="Z208" s="14"/>
      <c r="AA208" s="13"/>
      <c r="AB208" s="14"/>
      <c r="AC208" s="14"/>
      <c r="AD208" s="14"/>
      <c r="AE208" s="14"/>
      <c r="AF208" s="14"/>
      <c r="AG208" s="98"/>
      <c r="AH208" s="14"/>
      <c r="AI208" s="14"/>
    </row>
    <row r="209" spans="1:35">
      <c r="A209" s="26" t="s">
        <v>22</v>
      </c>
      <c r="B209" s="13"/>
      <c r="C209" s="14"/>
      <c r="D209" s="26"/>
      <c r="E209" s="50"/>
      <c r="F209" s="13"/>
      <c r="G209" s="33"/>
      <c r="H209" s="33"/>
      <c r="I209" s="33"/>
      <c r="J209" s="14"/>
      <c r="K209" s="14"/>
      <c r="L209" s="14"/>
      <c r="M209" s="13"/>
      <c r="N209" s="14"/>
      <c r="O209" s="14"/>
      <c r="P209" s="14"/>
      <c r="Q209" s="14"/>
      <c r="R209" s="14"/>
      <c r="S209" s="14"/>
      <c r="T209" s="13"/>
      <c r="U209" s="14"/>
      <c r="V209" s="14"/>
      <c r="W209" s="14"/>
      <c r="X209" s="14"/>
      <c r="Y209" s="14"/>
      <c r="Z209" s="14"/>
      <c r="AA209" s="13"/>
      <c r="AB209" s="14"/>
      <c r="AC209" s="14"/>
      <c r="AD209" s="14"/>
      <c r="AE209" s="14"/>
      <c r="AF209" s="14"/>
      <c r="AG209" s="98"/>
      <c r="AH209" s="14"/>
      <c r="AI209" s="14"/>
    </row>
    <row r="210" spans="1:35">
      <c r="A210" s="25" t="s">
        <v>23</v>
      </c>
      <c r="B210" s="13"/>
      <c r="C210" s="14"/>
      <c r="D210" s="25"/>
      <c r="E210" s="50"/>
      <c r="F210" s="13"/>
      <c r="G210" s="33"/>
      <c r="H210" s="33"/>
      <c r="I210" s="33"/>
      <c r="J210" s="14"/>
      <c r="K210" s="14"/>
      <c r="L210" s="14"/>
      <c r="M210" s="13"/>
      <c r="N210" s="14"/>
      <c r="O210" s="14"/>
      <c r="P210" s="14"/>
      <c r="Q210" s="14"/>
      <c r="R210" s="14"/>
      <c r="S210" s="14"/>
      <c r="T210" s="13"/>
      <c r="U210" s="14"/>
      <c r="V210" s="14"/>
      <c r="W210" s="14"/>
      <c r="X210" s="14"/>
      <c r="Y210" s="14"/>
      <c r="Z210" s="14"/>
      <c r="AA210" s="13"/>
      <c r="AB210" s="14"/>
      <c r="AC210" s="14"/>
      <c r="AD210" s="14"/>
      <c r="AE210" s="14"/>
      <c r="AF210" s="14"/>
      <c r="AG210" s="98"/>
      <c r="AH210" s="14"/>
      <c r="AI210" s="14"/>
    </row>
    <row r="211" spans="1:35" ht="15.75">
      <c r="A211" s="28" t="s">
        <v>24</v>
      </c>
      <c r="B211" s="13"/>
      <c r="C211" s="14"/>
      <c r="D211" s="28"/>
      <c r="E211" s="50"/>
      <c r="F211" s="13"/>
      <c r="G211" s="33"/>
      <c r="H211" s="33"/>
      <c r="I211" s="33"/>
      <c r="J211" s="14"/>
      <c r="K211" s="14"/>
      <c r="L211" s="14"/>
      <c r="M211" s="13"/>
      <c r="N211" s="14"/>
      <c r="O211" s="14"/>
      <c r="P211" s="14"/>
      <c r="Q211" s="14"/>
      <c r="R211" s="14"/>
      <c r="S211" s="14"/>
      <c r="T211" s="13"/>
      <c r="U211" s="14"/>
      <c r="V211" s="14"/>
      <c r="W211" s="14"/>
      <c r="X211" s="14"/>
      <c r="Y211" s="14"/>
      <c r="Z211" s="14"/>
      <c r="AA211" s="13"/>
      <c r="AB211" s="14"/>
      <c r="AC211" s="14"/>
      <c r="AD211" s="14"/>
      <c r="AE211" s="14"/>
      <c r="AF211" s="14"/>
      <c r="AG211" s="98"/>
      <c r="AH211" s="14"/>
      <c r="AI211" s="14"/>
    </row>
    <row r="212" spans="1:35">
      <c r="A212" s="31" t="s">
        <v>25</v>
      </c>
      <c r="B212" s="13"/>
      <c r="C212" s="14"/>
      <c r="D212" s="31"/>
      <c r="E212" s="50"/>
      <c r="F212" s="13"/>
      <c r="G212" s="33"/>
      <c r="H212" s="33"/>
      <c r="I212" s="33"/>
      <c r="J212" s="14"/>
      <c r="K212" s="14"/>
      <c r="L212" s="14"/>
      <c r="M212" s="13"/>
      <c r="N212" s="14"/>
      <c r="O212" s="14"/>
      <c r="P212" s="14"/>
      <c r="Q212" s="14"/>
      <c r="R212" s="14"/>
      <c r="S212" s="14"/>
      <c r="T212" s="13"/>
      <c r="U212" s="14"/>
      <c r="V212" s="14"/>
      <c r="W212" s="14"/>
      <c r="X212" s="14"/>
      <c r="Y212" s="14"/>
      <c r="Z212" s="14"/>
      <c r="AA212" s="13"/>
      <c r="AB212" s="14"/>
      <c r="AC212" s="14"/>
      <c r="AD212" s="14"/>
      <c r="AE212" s="14"/>
      <c r="AF212" s="14"/>
      <c r="AG212" s="98"/>
      <c r="AH212" s="14"/>
      <c r="AI212" s="14"/>
    </row>
    <row r="213" spans="1:35">
      <c r="A213" s="12" t="s">
        <v>27</v>
      </c>
      <c r="B213" s="13"/>
      <c r="C213" s="14"/>
      <c r="D213" s="12"/>
      <c r="E213" s="50"/>
      <c r="F213" s="13"/>
      <c r="G213" s="33"/>
      <c r="H213" s="33"/>
      <c r="I213" s="33"/>
      <c r="J213" s="14"/>
      <c r="K213" s="14"/>
      <c r="L213" s="14"/>
      <c r="M213" s="13"/>
      <c r="N213" s="14"/>
      <c r="O213" s="14"/>
      <c r="P213" s="14"/>
      <c r="Q213" s="14"/>
      <c r="R213" s="14"/>
      <c r="S213" s="14"/>
      <c r="T213" s="13"/>
      <c r="U213" s="14"/>
      <c r="V213" s="14"/>
      <c r="W213" s="14"/>
      <c r="X213" s="14"/>
      <c r="Y213" s="14"/>
      <c r="Z213" s="14"/>
      <c r="AA213" s="13"/>
      <c r="AB213" s="14"/>
      <c r="AC213" s="14"/>
      <c r="AD213" s="14"/>
      <c r="AE213" s="14"/>
      <c r="AF213" s="14"/>
      <c r="AG213" s="98"/>
      <c r="AH213" s="14"/>
      <c r="AI213" s="14"/>
    </row>
    <row r="214" spans="1:35">
      <c r="A214" s="12" t="s">
        <v>10</v>
      </c>
      <c r="B214" s="13"/>
      <c r="C214" s="14"/>
      <c r="D214" s="12"/>
      <c r="E214" s="50"/>
      <c r="F214" s="13"/>
      <c r="G214" s="33"/>
      <c r="H214" s="33"/>
      <c r="I214" s="33"/>
      <c r="J214" s="14"/>
      <c r="K214" s="14"/>
      <c r="L214" s="14"/>
      <c r="M214" s="13"/>
      <c r="N214" s="14"/>
      <c r="O214" s="14"/>
      <c r="P214" s="14"/>
      <c r="Q214" s="14"/>
      <c r="R214" s="14"/>
      <c r="S214" s="14"/>
      <c r="T214" s="13"/>
      <c r="U214" s="14"/>
      <c r="V214" s="14"/>
      <c r="W214" s="14"/>
      <c r="X214" s="14"/>
      <c r="Y214" s="14"/>
      <c r="Z214" s="14"/>
      <c r="AA214" s="13"/>
      <c r="AB214" s="14"/>
      <c r="AC214" s="14"/>
      <c r="AD214" s="14"/>
      <c r="AE214" s="14"/>
      <c r="AF214" s="14"/>
      <c r="AG214" s="98"/>
      <c r="AH214" s="14"/>
      <c r="AI214" s="14"/>
    </row>
    <row r="215" spans="1:35">
      <c r="A215" s="443" t="s">
        <v>11</v>
      </c>
      <c r="B215" s="13"/>
      <c r="C215" s="14"/>
      <c r="D215" s="85"/>
      <c r="E215" s="50"/>
      <c r="F215" s="13"/>
      <c r="G215" s="33"/>
      <c r="H215" s="33"/>
      <c r="I215" s="33"/>
      <c r="J215" s="14"/>
      <c r="K215" s="14"/>
      <c r="L215" s="14"/>
      <c r="M215" s="13"/>
      <c r="N215" s="14"/>
      <c r="O215" s="14"/>
      <c r="P215" s="14"/>
      <c r="Q215" s="14"/>
      <c r="R215" s="14"/>
      <c r="S215" s="14"/>
      <c r="T215" s="13"/>
      <c r="U215" s="14"/>
      <c r="V215" s="14"/>
      <c r="W215" s="14"/>
      <c r="X215" s="14"/>
      <c r="Y215" s="14"/>
      <c r="Z215" s="14"/>
      <c r="AA215" s="13"/>
      <c r="AB215" s="14"/>
      <c r="AC215" s="14"/>
      <c r="AD215" s="14"/>
      <c r="AE215" s="14"/>
      <c r="AF215" s="14"/>
      <c r="AG215" s="98"/>
      <c r="AH215" s="14"/>
      <c r="AI215" s="14"/>
    </row>
    <row r="216" spans="1:35" ht="15.75">
      <c r="A216" s="16" t="s">
        <v>12</v>
      </c>
      <c r="B216" s="13"/>
      <c r="C216" s="14"/>
      <c r="D216" s="16"/>
      <c r="E216" s="50"/>
      <c r="F216" s="13"/>
      <c r="G216" s="33"/>
      <c r="H216" s="33"/>
      <c r="I216" s="33"/>
      <c r="J216" s="14"/>
      <c r="K216" s="14"/>
      <c r="L216" s="14"/>
      <c r="M216" s="13"/>
      <c r="N216" s="14"/>
      <c r="O216" s="14"/>
      <c r="P216" s="14"/>
      <c r="Q216" s="14"/>
      <c r="R216" s="14"/>
      <c r="S216" s="14"/>
      <c r="T216" s="13"/>
      <c r="U216" s="14"/>
      <c r="V216" s="14"/>
      <c r="W216" s="14"/>
      <c r="X216" s="14"/>
      <c r="Y216" s="14"/>
      <c r="Z216" s="14"/>
      <c r="AA216" s="13"/>
      <c r="AB216" s="14"/>
      <c r="AC216" s="14"/>
      <c r="AD216" s="14"/>
      <c r="AE216" s="14"/>
      <c r="AF216" s="14"/>
      <c r="AG216" s="98"/>
      <c r="AH216" s="14"/>
      <c r="AI216" s="14"/>
    </row>
    <row r="217" spans="1:35" ht="15.75">
      <c r="A217" s="18" t="s">
        <v>13</v>
      </c>
      <c r="B217" s="13"/>
      <c r="C217" s="14"/>
      <c r="D217" s="18"/>
      <c r="E217" s="50"/>
      <c r="F217" s="13"/>
      <c r="G217" s="33"/>
      <c r="H217" s="33"/>
      <c r="I217" s="33"/>
      <c r="J217" s="14"/>
      <c r="K217" s="14"/>
      <c r="L217" s="14"/>
      <c r="M217" s="13"/>
      <c r="N217" s="14"/>
      <c r="O217" s="14"/>
      <c r="P217" s="14"/>
      <c r="Q217" s="14"/>
      <c r="R217" s="14"/>
      <c r="S217" s="14"/>
      <c r="T217" s="13"/>
      <c r="U217" s="14"/>
      <c r="V217" s="14"/>
      <c r="W217" s="14"/>
      <c r="X217" s="14"/>
      <c r="Y217" s="14"/>
      <c r="Z217" s="14"/>
      <c r="AA217" s="13"/>
      <c r="AB217" s="14"/>
      <c r="AC217" s="14"/>
      <c r="AD217" s="14"/>
      <c r="AE217" s="14"/>
      <c r="AF217" s="14"/>
      <c r="AG217" s="98"/>
      <c r="AH217" s="14"/>
      <c r="AI217" s="14"/>
    </row>
    <row r="218" spans="1:35">
      <c r="A218" s="20" t="s">
        <v>15</v>
      </c>
      <c r="B218" s="13"/>
      <c r="C218" s="14"/>
      <c r="D218" s="20"/>
      <c r="E218" s="50"/>
      <c r="F218" s="13"/>
      <c r="G218" s="33"/>
      <c r="H218" s="33"/>
      <c r="I218" s="33"/>
      <c r="J218" s="14"/>
      <c r="K218" s="14"/>
      <c r="L218" s="14"/>
      <c r="M218" s="13"/>
      <c r="N218" s="14"/>
      <c r="O218" s="14"/>
      <c r="P218" s="14"/>
      <c r="Q218" s="14"/>
      <c r="R218" s="14"/>
      <c r="S218" s="14"/>
      <c r="T218" s="13"/>
      <c r="U218" s="14"/>
      <c r="V218" s="14"/>
      <c r="W218" s="14"/>
      <c r="X218" s="14"/>
      <c r="Y218" s="14"/>
      <c r="Z218" s="14"/>
      <c r="AA218" s="13"/>
      <c r="AB218" s="14"/>
      <c r="AC218" s="14"/>
      <c r="AD218" s="14"/>
      <c r="AE218" s="14"/>
      <c r="AF218" s="14"/>
      <c r="AG218" s="98"/>
      <c r="AH218" s="14"/>
      <c r="AI218" s="14"/>
    </row>
    <row r="219" spans="1:35">
      <c r="A219" s="444" t="s">
        <v>17</v>
      </c>
      <c r="B219" s="13"/>
      <c r="C219" s="14"/>
      <c r="D219" s="86"/>
      <c r="E219" s="50"/>
      <c r="F219" s="13"/>
      <c r="G219" s="33"/>
      <c r="H219" s="33"/>
      <c r="I219" s="33"/>
      <c r="J219" s="14"/>
      <c r="K219" s="14"/>
      <c r="L219" s="14"/>
      <c r="M219" s="13"/>
      <c r="N219" s="14"/>
      <c r="O219" s="14"/>
      <c r="P219" s="14"/>
      <c r="Q219" s="14"/>
      <c r="R219" s="14"/>
      <c r="S219" s="14"/>
      <c r="T219" s="13"/>
      <c r="U219" s="14"/>
      <c r="V219" s="14"/>
      <c r="W219" s="14"/>
      <c r="X219" s="14"/>
      <c r="Y219" s="14"/>
      <c r="Z219" s="14"/>
      <c r="AA219" s="13"/>
      <c r="AB219" s="14"/>
      <c r="AC219" s="14"/>
      <c r="AD219" s="14"/>
      <c r="AE219" s="14"/>
      <c r="AF219" s="14"/>
      <c r="AG219" s="98"/>
      <c r="AH219" s="14"/>
      <c r="AI219" s="14"/>
    </row>
    <row r="220" spans="1:35" ht="15.75">
      <c r="A220" s="22" t="s">
        <v>18</v>
      </c>
      <c r="B220" s="13"/>
      <c r="C220" s="14"/>
      <c r="D220" s="22"/>
      <c r="E220" s="50"/>
      <c r="F220" s="13"/>
      <c r="G220" s="33"/>
      <c r="H220" s="33"/>
      <c r="I220" s="33"/>
      <c r="J220" s="14"/>
      <c r="K220" s="14"/>
      <c r="L220" s="14"/>
      <c r="M220" s="13"/>
      <c r="N220" s="14"/>
      <c r="O220" s="14"/>
      <c r="P220" s="14"/>
      <c r="Q220" s="14"/>
      <c r="R220" s="14"/>
      <c r="S220" s="14"/>
      <c r="T220" s="13"/>
      <c r="U220" s="14"/>
      <c r="V220" s="14"/>
      <c r="W220" s="14"/>
      <c r="X220" s="14"/>
      <c r="Y220" s="14"/>
      <c r="Z220" s="14"/>
      <c r="AA220" s="13"/>
      <c r="AB220" s="14"/>
      <c r="AC220" s="14"/>
      <c r="AD220" s="14"/>
      <c r="AE220" s="14"/>
      <c r="AF220" s="14"/>
      <c r="AG220" s="98"/>
      <c r="AH220" s="14"/>
      <c r="AI220" s="14"/>
    </row>
    <row r="221" spans="1:35">
      <c r="A221" s="12" t="s">
        <v>20</v>
      </c>
      <c r="B221" s="13"/>
      <c r="C221" s="14"/>
      <c r="D221" s="12"/>
      <c r="E221" s="50"/>
      <c r="F221" s="13"/>
      <c r="G221" s="33"/>
      <c r="H221" s="33"/>
      <c r="I221" s="33"/>
      <c r="J221" s="14"/>
      <c r="K221" s="14"/>
      <c r="L221" s="14"/>
      <c r="M221" s="13"/>
      <c r="N221" s="14"/>
      <c r="O221" s="14"/>
      <c r="P221" s="14"/>
      <c r="Q221" s="14"/>
      <c r="R221" s="14"/>
      <c r="S221" s="14"/>
      <c r="T221" s="13"/>
      <c r="U221" s="14"/>
      <c r="V221" s="14"/>
      <c r="W221" s="14"/>
      <c r="X221" s="14"/>
      <c r="Y221" s="14"/>
      <c r="Z221" s="14"/>
      <c r="AA221" s="13"/>
      <c r="AB221" s="14"/>
      <c r="AC221" s="14"/>
      <c r="AD221" s="14"/>
      <c r="AE221" s="14"/>
      <c r="AF221" s="14"/>
      <c r="AG221" s="98"/>
      <c r="AH221" s="14"/>
      <c r="AI221" s="14"/>
    </row>
    <row r="222" spans="1:35">
      <c r="A222" s="25" t="s">
        <v>21</v>
      </c>
      <c r="B222" s="13"/>
      <c r="C222" s="14"/>
      <c r="D222" s="25"/>
      <c r="E222" s="50"/>
      <c r="F222" s="13"/>
      <c r="G222" s="33"/>
      <c r="H222" s="33"/>
      <c r="I222" s="33"/>
      <c r="J222" s="14"/>
      <c r="K222" s="14"/>
      <c r="L222" s="14"/>
      <c r="M222" s="13"/>
      <c r="N222" s="14"/>
      <c r="O222" s="14"/>
      <c r="P222" s="14"/>
      <c r="Q222" s="14"/>
      <c r="R222" s="14"/>
      <c r="S222" s="14"/>
      <c r="T222" s="13"/>
      <c r="U222" s="14"/>
      <c r="V222" s="14"/>
      <c r="W222" s="14"/>
      <c r="X222" s="14"/>
      <c r="Y222" s="14"/>
      <c r="Z222" s="14"/>
      <c r="AA222" s="13"/>
      <c r="AB222" s="14"/>
      <c r="AC222" s="14"/>
      <c r="AD222" s="14"/>
      <c r="AE222" s="14"/>
      <c r="AF222" s="14"/>
      <c r="AG222" s="98"/>
      <c r="AH222" s="14"/>
      <c r="AI222" s="14"/>
    </row>
    <row r="223" spans="1:35">
      <c r="A223" s="26" t="s">
        <v>22</v>
      </c>
      <c r="B223" s="13"/>
      <c r="C223" s="14"/>
      <c r="D223" s="26"/>
      <c r="E223" s="50"/>
      <c r="F223" s="13"/>
      <c r="G223" s="33"/>
      <c r="H223" s="33"/>
      <c r="I223" s="33"/>
      <c r="J223" s="14"/>
      <c r="K223" s="14"/>
      <c r="L223" s="14"/>
      <c r="M223" s="13"/>
      <c r="N223" s="14"/>
      <c r="O223" s="14"/>
      <c r="P223" s="14"/>
      <c r="Q223" s="14"/>
      <c r="R223" s="14"/>
      <c r="S223" s="14"/>
      <c r="T223" s="13"/>
      <c r="U223" s="14"/>
      <c r="V223" s="14"/>
      <c r="W223" s="14"/>
      <c r="X223" s="14"/>
      <c r="Y223" s="14"/>
      <c r="Z223" s="14"/>
      <c r="AA223" s="13"/>
      <c r="AB223" s="14"/>
      <c r="AC223" s="14"/>
      <c r="AD223" s="14"/>
      <c r="AE223" s="14"/>
      <c r="AF223" s="14"/>
      <c r="AG223" s="98"/>
      <c r="AH223" s="14"/>
      <c r="AI223" s="14"/>
    </row>
    <row r="224" spans="1:35">
      <c r="A224" s="25" t="s">
        <v>23</v>
      </c>
      <c r="B224" s="13"/>
      <c r="C224" s="14"/>
      <c r="D224" s="25"/>
      <c r="E224" s="50"/>
      <c r="F224" s="13"/>
      <c r="G224" s="33"/>
      <c r="H224" s="33"/>
      <c r="I224" s="33"/>
      <c r="J224" s="14"/>
      <c r="K224" s="14"/>
      <c r="L224" s="14"/>
      <c r="M224" s="13"/>
      <c r="N224" s="14"/>
      <c r="O224" s="14"/>
      <c r="P224" s="14"/>
      <c r="Q224" s="14"/>
      <c r="R224" s="14"/>
      <c r="S224" s="14"/>
      <c r="T224" s="13"/>
      <c r="U224" s="14"/>
      <c r="V224" s="14"/>
      <c r="W224" s="14"/>
      <c r="X224" s="14"/>
      <c r="Y224" s="14"/>
      <c r="Z224" s="14"/>
      <c r="AA224" s="13"/>
      <c r="AB224" s="14"/>
      <c r="AC224" s="14"/>
      <c r="AD224" s="14"/>
      <c r="AE224" s="14"/>
      <c r="AF224" s="14"/>
      <c r="AG224" s="98"/>
      <c r="AH224" s="14"/>
      <c r="AI224" s="14"/>
    </row>
    <row r="225" spans="1:35" ht="15.75">
      <c r="A225" s="28" t="s">
        <v>24</v>
      </c>
      <c r="B225" s="13"/>
      <c r="C225" s="14"/>
      <c r="D225" s="28"/>
      <c r="E225" s="50"/>
      <c r="F225" s="13"/>
      <c r="G225" s="33"/>
      <c r="H225" s="33"/>
      <c r="I225" s="33"/>
      <c r="J225" s="14"/>
      <c r="K225" s="14"/>
      <c r="L225" s="14"/>
      <c r="M225" s="13"/>
      <c r="N225" s="14"/>
      <c r="O225" s="14"/>
      <c r="P225" s="14"/>
      <c r="Q225" s="14"/>
      <c r="R225" s="14"/>
      <c r="S225" s="14"/>
      <c r="T225" s="13"/>
      <c r="U225" s="14"/>
      <c r="V225" s="14"/>
      <c r="W225" s="14"/>
      <c r="X225" s="14"/>
      <c r="Y225" s="14"/>
      <c r="Z225" s="14"/>
      <c r="AA225" s="13"/>
      <c r="AB225" s="14"/>
      <c r="AC225" s="14"/>
      <c r="AD225" s="14"/>
      <c r="AE225" s="14"/>
      <c r="AF225" s="14"/>
      <c r="AG225" s="98"/>
      <c r="AH225" s="14"/>
      <c r="AI225" s="14"/>
    </row>
    <row r="226" spans="1:35">
      <c r="A226" s="31" t="s">
        <v>25</v>
      </c>
      <c r="B226" s="13"/>
      <c r="C226" s="14"/>
      <c r="D226" s="31"/>
      <c r="E226" s="50"/>
      <c r="F226" s="13"/>
      <c r="G226" s="33"/>
      <c r="H226" s="33"/>
      <c r="I226" s="33"/>
      <c r="J226" s="14"/>
      <c r="K226" s="14"/>
      <c r="L226" s="14"/>
      <c r="M226" s="13"/>
      <c r="N226" s="14"/>
      <c r="O226" s="14"/>
      <c r="P226" s="14"/>
      <c r="Q226" s="14"/>
      <c r="R226" s="14"/>
      <c r="S226" s="14"/>
      <c r="T226" s="13"/>
      <c r="U226" s="14"/>
      <c r="V226" s="14"/>
      <c r="W226" s="14"/>
      <c r="X226" s="14"/>
      <c r="Y226" s="14"/>
      <c r="Z226" s="14"/>
      <c r="AA226" s="13"/>
      <c r="AB226" s="14"/>
      <c r="AC226" s="14"/>
      <c r="AD226" s="14"/>
      <c r="AE226" s="14"/>
      <c r="AF226" s="14"/>
      <c r="AG226" s="98"/>
      <c r="AH226" s="14"/>
      <c r="AI226" s="14"/>
    </row>
    <row r="227" spans="1:35">
      <c r="A227" s="12" t="s">
        <v>27</v>
      </c>
      <c r="B227" s="13"/>
      <c r="C227" s="14"/>
      <c r="D227" s="12"/>
      <c r="E227" s="50"/>
      <c r="F227" s="13"/>
      <c r="G227" s="33"/>
      <c r="H227" s="33"/>
      <c r="I227" s="33"/>
      <c r="J227" s="14"/>
      <c r="K227" s="14"/>
      <c r="L227" s="14"/>
      <c r="M227" s="13"/>
      <c r="N227" s="14"/>
      <c r="O227" s="14"/>
      <c r="P227" s="14"/>
      <c r="Q227" s="14"/>
      <c r="R227" s="14"/>
      <c r="S227" s="14"/>
      <c r="T227" s="13"/>
      <c r="U227" s="14"/>
      <c r="V227" s="14"/>
      <c r="W227" s="14"/>
      <c r="X227" s="14"/>
      <c r="Y227" s="14"/>
      <c r="Z227" s="14"/>
      <c r="AA227" s="13"/>
      <c r="AB227" s="14"/>
      <c r="AC227" s="14"/>
      <c r="AD227" s="14"/>
      <c r="AE227" s="14"/>
      <c r="AF227" s="14"/>
      <c r="AG227" s="98"/>
      <c r="AH227" s="14"/>
      <c r="AI227" s="14"/>
    </row>
    <row r="228" spans="1:35">
      <c r="A228" s="12" t="s">
        <v>10</v>
      </c>
      <c r="B228" s="13"/>
      <c r="C228" s="14"/>
      <c r="D228" s="33"/>
      <c r="E228" s="33"/>
      <c r="F228" s="13"/>
      <c r="G228" s="33"/>
      <c r="H228" s="33"/>
      <c r="I228" s="33"/>
      <c r="J228" s="14"/>
      <c r="K228" s="14"/>
      <c r="L228" s="14"/>
      <c r="M228" s="13"/>
      <c r="N228" s="14"/>
      <c r="O228" s="14"/>
      <c r="P228" s="14"/>
      <c r="Q228" s="14"/>
      <c r="R228" s="14"/>
      <c r="S228" s="14"/>
      <c r="T228" s="13"/>
      <c r="U228" s="14"/>
      <c r="V228" s="14"/>
      <c r="W228" s="14"/>
      <c r="X228" s="14"/>
      <c r="Y228" s="14"/>
      <c r="Z228" s="14"/>
      <c r="AA228" s="13"/>
      <c r="AB228" s="14"/>
      <c r="AC228" s="14"/>
      <c r="AD228" s="14"/>
      <c r="AE228" s="14"/>
      <c r="AF228" s="14"/>
      <c r="AG228" s="98"/>
      <c r="AH228" s="14"/>
      <c r="AI228" s="14"/>
    </row>
    <row r="229" spans="1:35">
      <c r="A229" s="443" t="s">
        <v>11</v>
      </c>
      <c r="B229" s="13"/>
      <c r="C229" s="14"/>
      <c r="D229" s="33"/>
      <c r="E229" s="33"/>
      <c r="F229" s="13"/>
      <c r="G229" s="33"/>
      <c r="H229" s="33"/>
      <c r="I229" s="33"/>
      <c r="J229" s="14"/>
      <c r="K229" s="14"/>
      <c r="L229" s="14"/>
      <c r="M229" s="13"/>
      <c r="N229" s="14"/>
      <c r="O229" s="14"/>
      <c r="P229" s="14"/>
      <c r="Q229" s="14"/>
      <c r="R229" s="14"/>
      <c r="S229" s="14"/>
      <c r="T229" s="13"/>
      <c r="U229" s="14"/>
      <c r="V229" s="14"/>
      <c r="W229" s="14"/>
      <c r="X229" s="14"/>
      <c r="Y229" s="14"/>
      <c r="Z229" s="14"/>
      <c r="AA229" s="13"/>
      <c r="AB229" s="14"/>
      <c r="AC229" s="14"/>
      <c r="AD229" s="14"/>
      <c r="AE229" s="14"/>
      <c r="AF229" s="14"/>
      <c r="AG229" s="98"/>
      <c r="AH229" s="14"/>
      <c r="AI229" s="14"/>
    </row>
    <row r="230" spans="1:35" ht="15.75">
      <c r="A230" s="16" t="s">
        <v>12</v>
      </c>
      <c r="B230" s="13"/>
      <c r="C230" s="14"/>
      <c r="D230" s="33"/>
      <c r="E230" s="33"/>
      <c r="F230" s="13"/>
      <c r="G230" s="33"/>
      <c r="H230" s="33"/>
      <c r="I230" s="33"/>
      <c r="J230" s="14"/>
      <c r="K230" s="14"/>
      <c r="L230" s="14"/>
      <c r="M230" s="13"/>
      <c r="N230" s="14"/>
      <c r="O230" s="14"/>
      <c r="P230" s="14"/>
      <c r="Q230" s="14"/>
      <c r="R230" s="14"/>
      <c r="S230" s="14"/>
      <c r="T230" s="13"/>
      <c r="U230" s="14"/>
      <c r="V230" s="14"/>
      <c r="W230" s="14"/>
      <c r="X230" s="14"/>
      <c r="Y230" s="14"/>
      <c r="Z230" s="14"/>
      <c r="AA230" s="13"/>
      <c r="AB230" s="14"/>
      <c r="AC230" s="14"/>
      <c r="AD230" s="14"/>
      <c r="AE230" s="14"/>
      <c r="AF230" s="14"/>
      <c r="AG230" s="98"/>
      <c r="AH230" s="14"/>
      <c r="AI230" s="14"/>
    </row>
    <row r="231" spans="1:35" ht="15.75">
      <c r="A231" s="18" t="s">
        <v>13</v>
      </c>
      <c r="B231" s="13"/>
      <c r="C231" s="14"/>
      <c r="D231" s="33"/>
      <c r="E231" s="33"/>
      <c r="F231" s="13"/>
      <c r="G231" s="33"/>
      <c r="H231" s="33"/>
      <c r="I231" s="33"/>
      <c r="J231" s="14"/>
      <c r="K231" s="14"/>
      <c r="L231" s="14"/>
      <c r="M231" s="13"/>
      <c r="N231" s="14"/>
      <c r="O231" s="14"/>
      <c r="P231" s="14"/>
      <c r="Q231" s="14"/>
      <c r="R231" s="14"/>
      <c r="S231" s="14"/>
      <c r="T231" s="13"/>
      <c r="U231" s="14"/>
      <c r="V231" s="14"/>
      <c r="W231" s="14"/>
      <c r="X231" s="14"/>
      <c r="Y231" s="14"/>
      <c r="Z231" s="14"/>
      <c r="AA231" s="13"/>
      <c r="AB231" s="14"/>
      <c r="AC231" s="14"/>
      <c r="AD231" s="14"/>
      <c r="AE231" s="14"/>
      <c r="AF231" s="14"/>
      <c r="AG231" s="98"/>
      <c r="AH231" s="14"/>
      <c r="AI231" s="14"/>
    </row>
    <row r="232" spans="1:35">
      <c r="A232" s="20" t="s">
        <v>15</v>
      </c>
      <c r="B232" s="13"/>
      <c r="C232" s="14"/>
      <c r="D232" s="33"/>
      <c r="E232" s="33"/>
      <c r="F232" s="13"/>
      <c r="G232" s="33"/>
      <c r="H232" s="33"/>
      <c r="I232" s="33"/>
      <c r="J232" s="14"/>
      <c r="K232" s="14"/>
      <c r="L232" s="14"/>
      <c r="M232" s="13"/>
      <c r="N232" s="14"/>
      <c r="O232" s="14"/>
      <c r="P232" s="14"/>
      <c r="Q232" s="14"/>
      <c r="R232" s="14"/>
      <c r="S232" s="14"/>
      <c r="T232" s="13"/>
      <c r="U232" s="14"/>
      <c r="V232" s="14"/>
      <c r="W232" s="14"/>
      <c r="X232" s="14"/>
      <c r="Y232" s="14"/>
      <c r="Z232" s="14"/>
      <c r="AA232" s="13"/>
      <c r="AB232" s="14"/>
      <c r="AC232" s="14"/>
      <c r="AD232" s="14"/>
      <c r="AE232" s="14"/>
      <c r="AF232" s="14"/>
      <c r="AG232" s="98"/>
      <c r="AH232" s="14"/>
      <c r="AI232" s="14"/>
    </row>
    <row r="233" spans="1:35">
      <c r="A233" s="444" t="s">
        <v>17</v>
      </c>
      <c r="B233" s="13"/>
      <c r="C233" s="14"/>
      <c r="D233" s="33"/>
      <c r="E233" s="33"/>
      <c r="F233" s="13"/>
      <c r="G233" s="33"/>
      <c r="H233" s="33"/>
      <c r="I233" s="33"/>
      <c r="J233" s="14"/>
      <c r="K233" s="14"/>
      <c r="L233" s="14"/>
      <c r="M233" s="13"/>
      <c r="N233" s="14"/>
      <c r="O233" s="14"/>
      <c r="P233" s="14"/>
      <c r="Q233" s="14"/>
      <c r="R233" s="14"/>
      <c r="S233" s="14"/>
      <c r="T233" s="13"/>
      <c r="U233" s="14"/>
      <c r="V233" s="14"/>
      <c r="W233" s="14"/>
      <c r="X233" s="14"/>
      <c r="Y233" s="14"/>
      <c r="Z233" s="14"/>
      <c r="AA233" s="13"/>
      <c r="AB233" s="14"/>
      <c r="AC233" s="14"/>
      <c r="AD233" s="14"/>
      <c r="AE233" s="14"/>
      <c r="AF233" s="14"/>
      <c r="AG233" s="98"/>
      <c r="AH233" s="14"/>
      <c r="AI233" s="14"/>
    </row>
    <row r="234" spans="1:35" ht="15.75">
      <c r="A234" s="22" t="s">
        <v>18</v>
      </c>
      <c r="B234" s="13"/>
      <c r="C234" s="14"/>
      <c r="D234" s="33"/>
      <c r="E234" s="33"/>
      <c r="F234" s="13"/>
      <c r="G234" s="33"/>
      <c r="H234" s="33"/>
      <c r="I234" s="33"/>
      <c r="J234" s="14"/>
      <c r="K234" s="14"/>
      <c r="L234" s="14"/>
      <c r="M234" s="13"/>
      <c r="N234" s="14"/>
      <c r="O234" s="14"/>
      <c r="P234" s="14"/>
      <c r="Q234" s="14"/>
      <c r="R234" s="14"/>
      <c r="S234" s="14"/>
      <c r="T234" s="13"/>
      <c r="U234" s="14"/>
      <c r="V234" s="14"/>
      <c r="W234" s="14"/>
      <c r="X234" s="14"/>
      <c r="Y234" s="14"/>
      <c r="Z234" s="14"/>
      <c r="AA234" s="13"/>
      <c r="AB234" s="14"/>
      <c r="AC234" s="14"/>
      <c r="AD234" s="14"/>
      <c r="AE234" s="14"/>
      <c r="AF234" s="14"/>
      <c r="AG234" s="98"/>
      <c r="AH234" s="14"/>
      <c r="AI234" s="14"/>
    </row>
    <row r="235" spans="1:35">
      <c r="A235" s="12" t="s">
        <v>20</v>
      </c>
      <c r="B235" s="13"/>
      <c r="C235" s="14"/>
      <c r="D235" s="33"/>
      <c r="E235" s="33"/>
      <c r="F235" s="13"/>
      <c r="G235" s="33"/>
      <c r="H235" s="33"/>
      <c r="I235" s="33"/>
      <c r="J235" s="14"/>
      <c r="K235" s="14"/>
      <c r="L235" s="14"/>
      <c r="M235" s="13"/>
      <c r="N235" s="14"/>
      <c r="O235" s="14"/>
      <c r="P235" s="14"/>
      <c r="Q235" s="14"/>
      <c r="R235" s="14"/>
      <c r="S235" s="14"/>
      <c r="T235" s="13"/>
      <c r="U235" s="14"/>
      <c r="V235" s="14"/>
      <c r="W235" s="14"/>
      <c r="X235" s="14"/>
      <c r="Y235" s="14"/>
      <c r="Z235" s="14"/>
      <c r="AA235" s="13"/>
      <c r="AB235" s="14"/>
      <c r="AC235" s="14"/>
      <c r="AD235" s="14"/>
      <c r="AE235" s="14"/>
      <c r="AF235" s="14"/>
      <c r="AG235" s="98"/>
      <c r="AH235" s="14"/>
      <c r="AI235" s="14"/>
    </row>
    <row r="236" spans="1:35">
      <c r="A236" s="25" t="s">
        <v>21</v>
      </c>
      <c r="B236" s="13"/>
      <c r="C236" s="14"/>
      <c r="D236" s="33"/>
      <c r="E236" s="33"/>
      <c r="F236" s="13"/>
      <c r="G236" s="33"/>
      <c r="H236" s="33"/>
      <c r="I236" s="33"/>
      <c r="J236" s="14"/>
      <c r="K236" s="14"/>
      <c r="L236" s="14"/>
      <c r="M236" s="13"/>
      <c r="N236" s="14"/>
      <c r="O236" s="14"/>
      <c r="P236" s="14"/>
      <c r="Q236" s="14"/>
      <c r="R236" s="14"/>
      <c r="S236" s="14"/>
      <c r="T236" s="13"/>
      <c r="U236" s="14"/>
      <c r="V236" s="14"/>
      <c r="W236" s="14"/>
      <c r="X236" s="14"/>
      <c r="Y236" s="14"/>
      <c r="Z236" s="14"/>
      <c r="AA236" s="13"/>
      <c r="AB236" s="14"/>
      <c r="AC236" s="14"/>
      <c r="AD236" s="14"/>
      <c r="AE236" s="14"/>
      <c r="AF236" s="14"/>
      <c r="AG236" s="98"/>
      <c r="AH236" s="14"/>
      <c r="AI236" s="14"/>
    </row>
    <row r="237" spans="1:35">
      <c r="A237" s="26" t="s">
        <v>22</v>
      </c>
      <c r="B237" s="13"/>
      <c r="C237" s="14"/>
      <c r="D237" s="33"/>
      <c r="E237" s="33"/>
      <c r="F237" s="13"/>
      <c r="G237" s="33"/>
      <c r="H237" s="33"/>
      <c r="I237" s="33"/>
      <c r="J237" s="14"/>
      <c r="K237" s="14"/>
      <c r="L237" s="14"/>
      <c r="M237" s="13"/>
      <c r="N237" s="14"/>
      <c r="O237" s="14"/>
      <c r="P237" s="14"/>
      <c r="Q237" s="14"/>
      <c r="R237" s="14"/>
      <c r="S237" s="14"/>
      <c r="T237" s="13"/>
      <c r="U237" s="14"/>
      <c r="V237" s="14"/>
      <c r="W237" s="14"/>
      <c r="X237" s="14"/>
      <c r="Y237" s="14"/>
      <c r="Z237" s="14"/>
      <c r="AA237" s="13"/>
      <c r="AB237" s="14"/>
      <c r="AC237" s="14"/>
      <c r="AD237" s="14"/>
      <c r="AE237" s="14"/>
      <c r="AF237" s="14"/>
      <c r="AG237" s="98"/>
      <c r="AH237" s="14"/>
      <c r="AI237" s="14"/>
    </row>
    <row r="238" spans="1:35">
      <c r="A238" s="25" t="s">
        <v>23</v>
      </c>
      <c r="B238" s="13"/>
      <c r="C238" s="14"/>
      <c r="D238" s="33"/>
      <c r="E238" s="33"/>
      <c r="F238" s="13"/>
      <c r="G238" s="33"/>
      <c r="H238" s="33"/>
      <c r="I238" s="33"/>
      <c r="J238" s="14"/>
      <c r="K238" s="14"/>
      <c r="L238" s="14"/>
      <c r="M238" s="13"/>
      <c r="N238" s="14"/>
      <c r="O238" s="14"/>
      <c r="P238" s="14"/>
      <c r="Q238" s="14"/>
      <c r="R238" s="14"/>
      <c r="S238" s="14"/>
      <c r="T238" s="13"/>
      <c r="U238" s="14"/>
      <c r="V238" s="14"/>
      <c r="W238" s="14"/>
      <c r="X238" s="14"/>
      <c r="Y238" s="14"/>
      <c r="Z238" s="14"/>
      <c r="AA238" s="13"/>
      <c r="AB238" s="14"/>
      <c r="AC238" s="14"/>
      <c r="AD238" s="14"/>
      <c r="AE238" s="14"/>
      <c r="AF238" s="14"/>
      <c r="AG238" s="98"/>
      <c r="AH238" s="14"/>
      <c r="AI238" s="14"/>
    </row>
    <row r="239" spans="1:35" ht="15.75">
      <c r="A239" s="28" t="s">
        <v>24</v>
      </c>
      <c r="B239" s="13"/>
      <c r="C239" s="14"/>
      <c r="D239" s="33"/>
      <c r="E239" s="33"/>
      <c r="F239" s="13"/>
      <c r="G239" s="33"/>
      <c r="H239" s="33"/>
      <c r="I239" s="33"/>
      <c r="J239" s="14"/>
      <c r="K239" s="14"/>
      <c r="L239" s="14"/>
      <c r="M239" s="13"/>
      <c r="N239" s="14"/>
      <c r="O239" s="14"/>
      <c r="P239" s="14"/>
      <c r="Q239" s="14"/>
      <c r="R239" s="14"/>
      <c r="S239" s="14"/>
      <c r="T239" s="13"/>
      <c r="U239" s="14"/>
      <c r="V239" s="14"/>
      <c r="W239" s="14"/>
      <c r="X239" s="14"/>
      <c r="Y239" s="14"/>
      <c r="Z239" s="14"/>
      <c r="AA239" s="13"/>
      <c r="AB239" s="14"/>
      <c r="AC239" s="14"/>
      <c r="AD239" s="14"/>
      <c r="AE239" s="14"/>
      <c r="AF239" s="14"/>
      <c r="AG239" s="98"/>
      <c r="AH239" s="14"/>
      <c r="AI239" s="14"/>
    </row>
    <row r="240" spans="1:35">
      <c r="A240" s="31" t="s">
        <v>25</v>
      </c>
      <c r="B240" s="13"/>
      <c r="C240" s="14"/>
      <c r="D240" s="33"/>
      <c r="E240" s="33"/>
      <c r="F240" s="13"/>
      <c r="G240" s="33"/>
      <c r="H240" s="33"/>
      <c r="I240" s="33"/>
      <c r="J240" s="14"/>
      <c r="K240" s="14"/>
      <c r="L240" s="14"/>
      <c r="M240" s="13"/>
      <c r="N240" s="14"/>
      <c r="O240" s="14"/>
      <c r="P240" s="14"/>
      <c r="Q240" s="14"/>
      <c r="R240" s="14"/>
      <c r="S240" s="14"/>
      <c r="T240" s="13"/>
      <c r="U240" s="14"/>
      <c r="V240" s="14"/>
      <c r="W240" s="14"/>
      <c r="X240" s="14"/>
      <c r="Y240" s="14"/>
      <c r="Z240" s="14"/>
      <c r="AA240" s="13"/>
      <c r="AB240" s="14"/>
      <c r="AC240" s="14"/>
      <c r="AD240" s="14"/>
      <c r="AE240" s="14"/>
      <c r="AF240" s="14"/>
      <c r="AG240" s="98"/>
      <c r="AH240" s="14"/>
      <c r="AI240" s="14"/>
    </row>
    <row r="241" spans="1:35" ht="15.75" thickBot="1">
      <c r="A241" s="12" t="s">
        <v>27</v>
      </c>
      <c r="B241" s="13"/>
      <c r="C241" s="14"/>
      <c r="D241" s="35"/>
      <c r="E241" s="35"/>
      <c r="F241" s="13"/>
      <c r="G241" s="35"/>
      <c r="H241" s="35"/>
      <c r="I241" s="35"/>
      <c r="J241" s="14"/>
      <c r="K241" s="14"/>
      <c r="L241" s="14"/>
      <c r="M241" s="13"/>
      <c r="N241" s="14"/>
      <c r="O241" s="14"/>
      <c r="P241" s="14"/>
      <c r="Q241" s="14"/>
      <c r="R241" s="14"/>
      <c r="S241" s="14"/>
      <c r="T241" s="13"/>
      <c r="U241" s="14"/>
      <c r="V241" s="14"/>
      <c r="W241" s="14"/>
      <c r="X241" s="14"/>
      <c r="Y241" s="14"/>
      <c r="Z241" s="14"/>
      <c r="AA241" s="13"/>
      <c r="AB241" s="14"/>
      <c r="AC241" s="14"/>
      <c r="AD241" s="14"/>
      <c r="AE241" s="14"/>
      <c r="AF241" s="14"/>
      <c r="AG241" s="99"/>
      <c r="AH241" s="14"/>
      <c r="AI241" s="14"/>
    </row>
    <row r="242" spans="1:35" ht="20.25" thickBot="1">
      <c r="A242" s="445" t="s">
        <v>36</v>
      </c>
      <c r="B242" s="36">
        <f>+B238+B224+B210+B196</f>
        <v>0</v>
      </c>
      <c r="C242" s="37">
        <f t="shared" ref="C242:AF242" si="13">+C238+C224+C210+C196</f>
        <v>0</v>
      </c>
      <c r="D242" s="37">
        <f t="shared" si="13"/>
        <v>0</v>
      </c>
      <c r="E242" s="37">
        <f t="shared" si="13"/>
        <v>0</v>
      </c>
      <c r="F242" s="36">
        <f t="shared" si="13"/>
        <v>0</v>
      </c>
      <c r="G242" s="37">
        <f t="shared" si="13"/>
        <v>0</v>
      </c>
      <c r="H242" s="37">
        <f t="shared" si="13"/>
        <v>0</v>
      </c>
      <c r="I242" s="37">
        <f t="shared" si="13"/>
        <v>0</v>
      </c>
      <c r="J242" s="37">
        <f t="shared" si="13"/>
        <v>0</v>
      </c>
      <c r="K242" s="37">
        <f t="shared" si="13"/>
        <v>0</v>
      </c>
      <c r="L242" s="37">
        <f t="shared" si="13"/>
        <v>0</v>
      </c>
      <c r="M242" s="36">
        <f t="shared" si="13"/>
        <v>0</v>
      </c>
      <c r="N242" s="37">
        <f t="shared" si="13"/>
        <v>0</v>
      </c>
      <c r="O242" s="37">
        <f t="shared" si="13"/>
        <v>0</v>
      </c>
      <c r="P242" s="37">
        <f t="shared" si="13"/>
        <v>0</v>
      </c>
      <c r="Q242" s="37">
        <f t="shared" si="13"/>
        <v>0</v>
      </c>
      <c r="R242" s="37">
        <f t="shared" si="13"/>
        <v>0</v>
      </c>
      <c r="S242" s="37">
        <f t="shared" si="13"/>
        <v>0</v>
      </c>
      <c r="T242" s="36">
        <f t="shared" si="13"/>
        <v>0</v>
      </c>
      <c r="U242" s="37">
        <f t="shared" si="13"/>
        <v>0</v>
      </c>
      <c r="V242" s="37">
        <f t="shared" si="13"/>
        <v>0</v>
      </c>
      <c r="W242" s="37">
        <f t="shared" si="13"/>
        <v>0</v>
      </c>
      <c r="X242" s="37">
        <f t="shared" si="13"/>
        <v>0</v>
      </c>
      <c r="Y242" s="37">
        <f t="shared" si="13"/>
        <v>0</v>
      </c>
      <c r="Z242" s="37">
        <f t="shared" si="13"/>
        <v>0</v>
      </c>
      <c r="AA242" s="36">
        <f t="shared" si="13"/>
        <v>0</v>
      </c>
      <c r="AB242" s="37">
        <f t="shared" si="13"/>
        <v>0</v>
      </c>
      <c r="AC242" s="37">
        <f t="shared" si="13"/>
        <v>0</v>
      </c>
      <c r="AD242" s="37">
        <f t="shared" si="13"/>
        <v>0</v>
      </c>
      <c r="AE242" s="37">
        <f t="shared" si="13"/>
        <v>0</v>
      </c>
      <c r="AF242" s="37">
        <f t="shared" si="13"/>
        <v>0</v>
      </c>
      <c r="AG242" s="38"/>
      <c r="AH242" s="14"/>
      <c r="AI242" s="14"/>
    </row>
    <row r="243" spans="1:35" ht="21" thickTop="1" thickBot="1">
      <c r="A243" s="445" t="s">
        <v>37</v>
      </c>
      <c r="B243" s="39">
        <f>+B244*B5</f>
        <v>0</v>
      </c>
      <c r="C243" s="40">
        <f t="shared" ref="C243:AF243" si="14">+C244*C5</f>
        <v>1710</v>
      </c>
      <c r="D243" s="40">
        <f t="shared" si="14"/>
        <v>1710</v>
      </c>
      <c r="E243" s="40">
        <f t="shared" si="14"/>
        <v>1440</v>
      </c>
      <c r="F243" s="39">
        <f t="shared" si="14"/>
        <v>0</v>
      </c>
      <c r="G243" s="40">
        <f t="shared" si="14"/>
        <v>1710</v>
      </c>
      <c r="H243" s="40">
        <f t="shared" si="14"/>
        <v>1710</v>
      </c>
      <c r="I243" s="40">
        <f t="shared" si="14"/>
        <v>1710</v>
      </c>
      <c r="J243" s="40">
        <f t="shared" si="14"/>
        <v>1710</v>
      </c>
      <c r="K243" s="40">
        <f t="shared" si="14"/>
        <v>1710</v>
      </c>
      <c r="L243" s="40">
        <f t="shared" si="14"/>
        <v>1440</v>
      </c>
      <c r="M243" s="39">
        <f t="shared" si="14"/>
        <v>0</v>
      </c>
      <c r="N243" s="40">
        <f t="shared" si="14"/>
        <v>1710</v>
      </c>
      <c r="O243" s="40">
        <f t="shared" si="14"/>
        <v>1710</v>
      </c>
      <c r="P243" s="40">
        <f t="shared" si="14"/>
        <v>1710</v>
      </c>
      <c r="Q243" s="40">
        <f t="shared" si="14"/>
        <v>0</v>
      </c>
      <c r="R243" s="40">
        <f t="shared" si="14"/>
        <v>0</v>
      </c>
      <c r="S243" s="40">
        <f t="shared" si="14"/>
        <v>0</v>
      </c>
      <c r="T243" s="39">
        <f t="shared" si="14"/>
        <v>0</v>
      </c>
      <c r="U243" s="40">
        <f t="shared" si="14"/>
        <v>0</v>
      </c>
      <c r="V243" s="40">
        <f t="shared" si="14"/>
        <v>0</v>
      </c>
      <c r="W243" s="40">
        <f t="shared" si="14"/>
        <v>0</v>
      </c>
      <c r="X243" s="40">
        <f t="shared" si="14"/>
        <v>0</v>
      </c>
      <c r="Y243" s="40">
        <f t="shared" si="14"/>
        <v>0</v>
      </c>
      <c r="Z243" s="40">
        <f t="shared" si="14"/>
        <v>0</v>
      </c>
      <c r="AA243" s="39">
        <f t="shared" si="14"/>
        <v>0</v>
      </c>
      <c r="AB243" s="40">
        <f t="shared" si="14"/>
        <v>0</v>
      </c>
      <c r="AC243" s="40">
        <f t="shared" si="14"/>
        <v>0</v>
      </c>
      <c r="AD243" s="40">
        <f t="shared" si="14"/>
        <v>0</v>
      </c>
      <c r="AE243" s="40">
        <f t="shared" si="14"/>
        <v>0</v>
      </c>
      <c r="AF243" s="40">
        <f t="shared" si="14"/>
        <v>0</v>
      </c>
      <c r="AG243" s="41">
        <f>SUM(B243:AF243)</f>
        <v>19980</v>
      </c>
      <c r="AH243" s="14"/>
      <c r="AI243" s="14"/>
    </row>
    <row r="244" spans="1:35" ht="21" thickTop="1" thickBot="1">
      <c r="A244" s="445" t="s">
        <v>38</v>
      </c>
      <c r="B244" s="42"/>
      <c r="C244" s="43">
        <v>180</v>
      </c>
      <c r="D244" s="43">
        <v>180</v>
      </c>
      <c r="E244" s="43">
        <v>180</v>
      </c>
      <c r="F244" s="42"/>
      <c r="G244" s="43">
        <v>180</v>
      </c>
      <c r="H244" s="43">
        <v>180</v>
      </c>
      <c r="I244" s="43">
        <v>180</v>
      </c>
      <c r="J244" s="43">
        <v>180</v>
      </c>
      <c r="K244" s="43">
        <v>180</v>
      </c>
      <c r="L244" s="43">
        <v>180</v>
      </c>
      <c r="M244" s="42"/>
      <c r="N244" s="43">
        <v>180</v>
      </c>
      <c r="O244" s="43">
        <v>180</v>
      </c>
      <c r="P244" s="43">
        <v>180</v>
      </c>
      <c r="Q244" s="43"/>
      <c r="R244" s="43"/>
      <c r="S244" s="43"/>
      <c r="T244" s="42"/>
      <c r="U244" s="43"/>
      <c r="V244" s="43"/>
      <c r="W244" s="43"/>
      <c r="X244" s="43"/>
      <c r="Y244" s="43"/>
      <c r="Z244" s="43"/>
      <c r="AA244" s="42"/>
      <c r="AB244" s="40"/>
      <c r="AC244" s="40"/>
      <c r="AD244" s="43"/>
      <c r="AE244" s="46"/>
      <c r="AF244" s="43"/>
      <c r="AG244" s="44"/>
      <c r="AH244" s="14"/>
      <c r="AI244" s="14"/>
    </row>
    <row r="245" spans="1:35" ht="21" thickTop="1" thickBot="1">
      <c r="A245" s="45">
        <f>+'T04'!AD245</f>
        <v>0</v>
      </c>
      <c r="B245" s="39">
        <f t="shared" ref="B245:AF245" si="15">IF(A245+B242-B243&lt;0,0,A245+B242-B243)</f>
        <v>0</v>
      </c>
      <c r="C245" s="40">
        <f t="shared" si="15"/>
        <v>0</v>
      </c>
      <c r="D245" s="40">
        <f t="shared" si="15"/>
        <v>0</v>
      </c>
      <c r="E245" s="40">
        <f t="shared" si="15"/>
        <v>0</v>
      </c>
      <c r="F245" s="39">
        <f t="shared" si="15"/>
        <v>0</v>
      </c>
      <c r="G245" s="40">
        <f t="shared" si="15"/>
        <v>0</v>
      </c>
      <c r="H245" s="40">
        <f t="shared" si="15"/>
        <v>0</v>
      </c>
      <c r="I245" s="40">
        <f t="shared" si="15"/>
        <v>0</v>
      </c>
      <c r="J245" s="40">
        <f t="shared" si="15"/>
        <v>0</v>
      </c>
      <c r="K245" s="40">
        <f t="shared" si="15"/>
        <v>0</v>
      </c>
      <c r="L245" s="40">
        <f t="shared" si="15"/>
        <v>0</v>
      </c>
      <c r="M245" s="39">
        <f t="shared" si="15"/>
        <v>0</v>
      </c>
      <c r="N245" s="40">
        <f t="shared" si="15"/>
        <v>0</v>
      </c>
      <c r="O245" s="40">
        <f t="shared" si="15"/>
        <v>0</v>
      </c>
      <c r="P245" s="40">
        <f t="shared" si="15"/>
        <v>0</v>
      </c>
      <c r="Q245" s="40">
        <f t="shared" si="15"/>
        <v>0</v>
      </c>
      <c r="R245" s="40">
        <f t="shared" si="15"/>
        <v>0</v>
      </c>
      <c r="S245" s="40">
        <f t="shared" si="15"/>
        <v>0</v>
      </c>
      <c r="T245" s="39">
        <f t="shared" si="15"/>
        <v>0</v>
      </c>
      <c r="U245" s="40">
        <f t="shared" si="15"/>
        <v>0</v>
      </c>
      <c r="V245" s="40">
        <f t="shared" si="15"/>
        <v>0</v>
      </c>
      <c r="W245" s="40">
        <f t="shared" si="15"/>
        <v>0</v>
      </c>
      <c r="X245" s="40">
        <f t="shared" si="15"/>
        <v>0</v>
      </c>
      <c r="Y245" s="40">
        <f t="shared" si="15"/>
        <v>0</v>
      </c>
      <c r="Z245" s="40">
        <f t="shared" si="15"/>
        <v>0</v>
      </c>
      <c r="AA245" s="39">
        <f t="shared" si="15"/>
        <v>0</v>
      </c>
      <c r="AB245" s="40">
        <f t="shared" si="15"/>
        <v>0</v>
      </c>
      <c r="AC245" s="40">
        <f t="shared" si="15"/>
        <v>0</v>
      </c>
      <c r="AD245" s="40">
        <f t="shared" si="15"/>
        <v>0</v>
      </c>
      <c r="AE245" s="46">
        <f t="shared" si="15"/>
        <v>0</v>
      </c>
      <c r="AF245" s="40">
        <f t="shared" si="15"/>
        <v>0</v>
      </c>
      <c r="AG245" s="47">
        <f>IF(AE245+AG242-AG243&lt;0,0,AE245+AG242-AG243)</f>
        <v>0</v>
      </c>
      <c r="AH245" s="14"/>
      <c r="AI245" s="14"/>
    </row>
    <row r="246" spans="1:35" ht="20.25" thickBot="1">
      <c r="A246" s="60"/>
      <c r="B246" s="61"/>
      <c r="C246" s="60"/>
      <c r="D246" s="60"/>
      <c r="E246" s="60"/>
      <c r="F246" s="61"/>
      <c r="G246" s="60"/>
      <c r="H246" s="60"/>
      <c r="I246" s="60"/>
      <c r="J246" s="60"/>
      <c r="K246" s="60"/>
      <c r="L246" s="60"/>
      <c r="M246" s="61"/>
      <c r="N246" s="60"/>
      <c r="O246" s="60"/>
      <c r="P246" s="60"/>
      <c r="Q246" s="60"/>
      <c r="R246" s="60"/>
      <c r="S246" s="60"/>
      <c r="T246" s="61"/>
      <c r="U246" s="60"/>
      <c r="V246" s="60"/>
      <c r="W246" s="60"/>
      <c r="X246" s="60"/>
      <c r="Y246" s="60"/>
      <c r="Z246" s="60"/>
      <c r="AA246" s="61"/>
      <c r="AB246" s="60"/>
      <c r="AC246" s="60"/>
      <c r="AD246" s="60"/>
      <c r="AE246" s="60"/>
      <c r="AF246" s="60"/>
      <c r="AG246" s="60"/>
      <c r="AH246" s="14"/>
      <c r="AI246" s="14"/>
    </row>
    <row r="247" spans="1:35" ht="21" thickTop="1" thickBot="1">
      <c r="A247" s="62" t="s">
        <v>56</v>
      </c>
      <c r="B247" s="42">
        <f>+B243+B183+B123+B63</f>
        <v>0</v>
      </c>
      <c r="C247" s="43">
        <f t="shared" ref="C247:AF247" si="16">+C243+C183+C123+C63</f>
        <v>6650</v>
      </c>
      <c r="D247" s="43">
        <f t="shared" si="16"/>
        <v>6650</v>
      </c>
      <c r="E247" s="43">
        <f t="shared" si="16"/>
        <v>5600</v>
      </c>
      <c r="F247" s="42">
        <f t="shared" si="16"/>
        <v>0</v>
      </c>
      <c r="G247" s="43">
        <f t="shared" si="16"/>
        <v>4940</v>
      </c>
      <c r="H247" s="43">
        <f t="shared" si="16"/>
        <v>4940</v>
      </c>
      <c r="I247" s="43">
        <f t="shared" si="16"/>
        <v>3325</v>
      </c>
      <c r="J247" s="43">
        <f t="shared" si="16"/>
        <v>3325</v>
      </c>
      <c r="K247" s="43">
        <f t="shared" si="16"/>
        <v>3325</v>
      </c>
      <c r="L247" s="43">
        <f t="shared" si="16"/>
        <v>2800</v>
      </c>
      <c r="M247" s="42">
        <f t="shared" si="16"/>
        <v>0</v>
      </c>
      <c r="N247" s="43">
        <f t="shared" si="16"/>
        <v>3325</v>
      </c>
      <c r="O247" s="43">
        <f t="shared" si="16"/>
        <v>1710</v>
      </c>
      <c r="P247" s="43">
        <f t="shared" si="16"/>
        <v>1710</v>
      </c>
      <c r="Q247" s="43">
        <f t="shared" si="16"/>
        <v>0</v>
      </c>
      <c r="R247" s="43">
        <f t="shared" si="16"/>
        <v>0</v>
      </c>
      <c r="S247" s="43">
        <f t="shared" si="16"/>
        <v>0</v>
      </c>
      <c r="T247" s="42">
        <f t="shared" si="16"/>
        <v>0</v>
      </c>
      <c r="U247" s="43">
        <f t="shared" si="16"/>
        <v>0</v>
      </c>
      <c r="V247" s="43">
        <f t="shared" si="16"/>
        <v>0</v>
      </c>
      <c r="W247" s="43">
        <f t="shared" si="16"/>
        <v>0</v>
      </c>
      <c r="X247" s="43">
        <f t="shared" si="16"/>
        <v>0</v>
      </c>
      <c r="Y247" s="43">
        <f t="shared" si="16"/>
        <v>0</v>
      </c>
      <c r="Z247" s="43">
        <f t="shared" si="16"/>
        <v>0</v>
      </c>
      <c r="AA247" s="42">
        <f t="shared" si="16"/>
        <v>0</v>
      </c>
      <c r="AB247" s="43">
        <f t="shared" si="16"/>
        <v>0</v>
      </c>
      <c r="AC247" s="43">
        <f t="shared" si="16"/>
        <v>0</v>
      </c>
      <c r="AD247" s="43">
        <f t="shared" si="16"/>
        <v>0</v>
      </c>
      <c r="AE247" s="43">
        <f t="shared" si="16"/>
        <v>0</v>
      </c>
      <c r="AF247" s="43">
        <f t="shared" si="16"/>
        <v>0</v>
      </c>
      <c r="AG247" s="41">
        <f>SUM(B247:AF247)</f>
        <v>48300</v>
      </c>
      <c r="AH247" s="14"/>
      <c r="AI247" s="14"/>
    </row>
    <row r="248" spans="1:35" ht="29.25" thickTop="1">
      <c r="A248" s="63"/>
      <c r="B248" s="64"/>
      <c r="C248" s="65"/>
      <c r="D248" s="66" t="s">
        <v>57</v>
      </c>
      <c r="E248" s="67"/>
      <c r="F248" s="68"/>
      <c r="G248" s="68"/>
      <c r="H248" s="65"/>
      <c r="I248" s="64"/>
      <c r="J248" s="68" t="s">
        <v>58</v>
      </c>
      <c r="K248" s="68"/>
      <c r="L248" s="68"/>
      <c r="M248" s="68"/>
      <c r="N248" s="68"/>
      <c r="O248" s="65"/>
      <c r="P248" s="64"/>
      <c r="Q248" s="68"/>
      <c r="R248" s="68"/>
      <c r="S248" s="67"/>
      <c r="T248" s="65" t="s">
        <v>59</v>
      </c>
      <c r="U248" s="67"/>
      <c r="V248" s="68"/>
      <c r="W248" s="67"/>
      <c r="X248" s="64" t="s">
        <v>60</v>
      </c>
      <c r="Y248" s="69"/>
      <c r="Z248" s="68"/>
      <c r="AA248" s="65"/>
      <c r="AB248" s="68" t="s">
        <v>61</v>
      </c>
      <c r="AC248" s="68"/>
      <c r="AD248" s="64"/>
      <c r="AE248" s="68"/>
      <c r="AF248" s="65"/>
      <c r="AG248" s="69"/>
      <c r="AH248" s="70"/>
      <c r="AI248" s="67"/>
    </row>
  </sheetData>
  <mergeCells count="4">
    <mergeCell ref="A1:AI1"/>
    <mergeCell ref="U2:V2"/>
    <mergeCell ref="W2:Y2"/>
    <mergeCell ref="AG3:AG4"/>
  </mergeCells>
  <conditionalFormatting sqref="D219 A11 A25 A39 A53 A71 A85 A99 A113 A131 A145 A159 A173 A191 A205 A219 A233 D205 D191:E191">
    <cfRule type="cellIs" dxfId="31" priority="57" stopIfTrue="1" operator="lessThanOrEqual">
      <formula>0</formula>
    </cfRule>
  </conditionalFormatting>
  <conditionalFormatting sqref="G49:H49 H7 G35:H35 G21:H21">
    <cfRule type="duplicateValues" dxfId="30" priority="40"/>
  </conditionalFormatting>
  <conditionalFormatting sqref="K49 K7 K35 J21:K21">
    <cfRule type="duplicateValues" dxfId="29" priority="39"/>
  </conditionalFormatting>
  <conditionalFormatting sqref="I7:J7">
    <cfRule type="duplicateValues" dxfId="28" priority="38"/>
  </conditionalFormatting>
  <conditionalFormatting sqref="L49 L35 L21 L7">
    <cfRule type="duplicateValues" dxfId="27" priority="37"/>
  </conditionalFormatting>
  <conditionalFormatting sqref="N35 N49 N21 N7">
    <cfRule type="duplicateValues" dxfId="26" priority="36"/>
  </conditionalFormatting>
  <conditionalFormatting sqref="C127">
    <cfRule type="duplicateValues" dxfId="25" priority="34"/>
  </conditionalFormatting>
  <conditionalFormatting sqref="E169 E155 D141:E141">
    <cfRule type="duplicateValues" dxfId="24" priority="33"/>
  </conditionalFormatting>
  <conditionalFormatting sqref="G155 G141 G127">
    <cfRule type="duplicateValues" dxfId="23" priority="32"/>
  </conditionalFormatting>
  <conditionalFormatting sqref="H169 H155">
    <cfRule type="duplicateValues" dxfId="22" priority="31"/>
  </conditionalFormatting>
  <conditionalFormatting sqref="I155 I169">
    <cfRule type="duplicateValues" dxfId="21" priority="30"/>
  </conditionalFormatting>
  <conditionalFormatting sqref="C7">
    <cfRule type="duplicateValues" dxfId="20" priority="20"/>
  </conditionalFormatting>
  <conditionalFormatting sqref="C21">
    <cfRule type="duplicateValues" dxfId="19" priority="19"/>
  </conditionalFormatting>
  <conditionalFormatting sqref="C35">
    <cfRule type="duplicateValues" dxfId="18" priority="18"/>
  </conditionalFormatting>
  <conditionalFormatting sqref="C49">
    <cfRule type="duplicateValues" dxfId="17" priority="17"/>
  </conditionalFormatting>
  <conditionalFormatting sqref="D7">
    <cfRule type="duplicateValues" dxfId="16" priority="16"/>
  </conditionalFormatting>
  <conditionalFormatting sqref="D21">
    <cfRule type="duplicateValues" dxfId="15" priority="15"/>
  </conditionalFormatting>
  <conditionalFormatting sqref="D35">
    <cfRule type="duplicateValues" dxfId="14" priority="14"/>
  </conditionalFormatting>
  <conditionalFormatting sqref="E7">
    <cfRule type="duplicateValues" dxfId="13" priority="13"/>
  </conditionalFormatting>
  <conditionalFormatting sqref="E21">
    <cfRule type="duplicateValues" dxfId="12" priority="12"/>
  </conditionalFormatting>
  <conditionalFormatting sqref="G7">
    <cfRule type="duplicateValues" dxfId="11" priority="11"/>
  </conditionalFormatting>
  <conditionalFormatting sqref="C67">
    <cfRule type="duplicateValues" dxfId="10" priority="10"/>
  </conditionalFormatting>
  <conditionalFormatting sqref="D67">
    <cfRule type="duplicateValues" dxfId="9" priority="9"/>
  </conditionalFormatting>
  <conditionalFormatting sqref="C81">
    <cfRule type="duplicateValues" dxfId="8" priority="8"/>
  </conditionalFormatting>
  <conditionalFormatting sqref="D81">
    <cfRule type="duplicateValues" dxfId="7" priority="7"/>
  </conditionalFormatting>
  <conditionalFormatting sqref="D127">
    <cfRule type="duplicateValues" dxfId="6" priority="6"/>
  </conditionalFormatting>
  <conditionalFormatting sqref="E127">
    <cfRule type="duplicateValues" dxfId="5" priority="5"/>
  </conditionalFormatting>
  <conditionalFormatting sqref="H127">
    <cfRule type="duplicateValues" dxfId="4" priority="4"/>
  </conditionalFormatting>
  <conditionalFormatting sqref="I127">
    <cfRule type="duplicateValues" dxfId="3" priority="3"/>
  </conditionalFormatting>
  <conditionalFormatting sqref="J127">
    <cfRule type="duplicateValues" dxfId="2" priority="2"/>
  </conditionalFormatting>
  <conditionalFormatting sqref="J141">
    <cfRule type="duplicateValues" dxfId="1" priority="1"/>
  </conditionalFormatting>
  <pageMargins left="0" right="0" top="0" bottom="0" header="0.31496062992125984" footer="0.31496062992125984"/>
  <pageSetup paperSize="9" scale="55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N12" sqref="N12"/>
    </sheetView>
  </sheetViews>
  <sheetFormatPr defaultRowHeight="15"/>
  <cols>
    <col min="1" max="1" width="11.7109375" customWidth="1"/>
    <col min="2" max="2" width="12" customWidth="1"/>
    <col min="3" max="3" width="13" customWidth="1"/>
    <col min="5" max="5" width="12.5703125" customWidth="1"/>
    <col min="6" max="6" width="14.28515625" customWidth="1"/>
  </cols>
  <sheetData>
    <row r="1" spans="1:12" ht="15.75" thickBot="1"/>
    <row r="2" spans="1:12" ht="16.5" thickBot="1">
      <c r="A2" s="334" t="s">
        <v>524</v>
      </c>
      <c r="B2" s="335" t="s">
        <v>525</v>
      </c>
      <c r="C2" s="335" t="s">
        <v>526</v>
      </c>
      <c r="D2" s="335" t="s">
        <v>527</v>
      </c>
      <c r="E2" s="335" t="s">
        <v>528</v>
      </c>
      <c r="F2" s="335" t="s">
        <v>529</v>
      </c>
      <c r="G2" s="335" t="s">
        <v>530</v>
      </c>
      <c r="H2" s="335" t="s">
        <v>531</v>
      </c>
      <c r="K2" s="466" t="s">
        <v>494</v>
      </c>
      <c r="L2" s="466" t="s">
        <v>497</v>
      </c>
    </row>
    <row r="3" spans="1:12" ht="16.5" thickBot="1">
      <c r="A3" s="336" t="s">
        <v>532</v>
      </c>
      <c r="B3" s="337" t="s">
        <v>533</v>
      </c>
      <c r="C3" s="338">
        <v>2018121201</v>
      </c>
      <c r="D3" s="338">
        <v>250</v>
      </c>
      <c r="E3" s="339" t="s">
        <v>534</v>
      </c>
      <c r="F3" s="337" t="s">
        <v>535</v>
      </c>
      <c r="G3" s="337" t="s">
        <v>536</v>
      </c>
      <c r="H3" s="339" t="s">
        <v>537</v>
      </c>
      <c r="K3" s="467" t="s">
        <v>988</v>
      </c>
      <c r="L3" s="467" t="s">
        <v>989</v>
      </c>
    </row>
    <row r="4" spans="1:12" ht="16.5" thickBot="1">
      <c r="A4" s="336" t="s">
        <v>538</v>
      </c>
      <c r="B4" s="337" t="s">
        <v>533</v>
      </c>
      <c r="C4" s="338">
        <v>2018121202</v>
      </c>
      <c r="D4" s="338">
        <v>4495</v>
      </c>
      <c r="E4" s="339" t="s">
        <v>534</v>
      </c>
      <c r="F4" s="337" t="s">
        <v>33</v>
      </c>
      <c r="G4" s="337" t="s">
        <v>536</v>
      </c>
      <c r="H4" s="339" t="s">
        <v>537</v>
      </c>
      <c r="K4" s="468"/>
      <c r="L4" s="468"/>
    </row>
    <row r="5" spans="1:12" ht="16.5" thickBot="1">
      <c r="A5" s="336" t="s">
        <v>539</v>
      </c>
      <c r="B5" s="337" t="s">
        <v>533</v>
      </c>
      <c r="C5" s="338">
        <v>2018121203</v>
      </c>
      <c r="D5" s="338">
        <v>3310</v>
      </c>
      <c r="E5" s="339" t="s">
        <v>534</v>
      </c>
      <c r="F5" s="337" t="s">
        <v>29</v>
      </c>
      <c r="G5" s="337" t="s">
        <v>536</v>
      </c>
      <c r="H5" s="339" t="s">
        <v>537</v>
      </c>
      <c r="K5" s="469"/>
      <c r="L5" s="469"/>
    </row>
    <row r="6" spans="1:12" ht="16.5" thickBot="1">
      <c r="A6" s="336"/>
      <c r="B6" s="337"/>
      <c r="C6" s="338"/>
      <c r="D6" s="338"/>
      <c r="E6" s="339"/>
      <c r="F6" s="337"/>
      <c r="G6" s="337"/>
      <c r="H6" s="339"/>
      <c r="K6" s="470" t="s">
        <v>65</v>
      </c>
      <c r="L6" s="470" t="s">
        <v>49</v>
      </c>
    </row>
    <row r="7" spans="1:12" ht="16.5" thickBot="1">
      <c r="A7" s="336" t="s">
        <v>540</v>
      </c>
      <c r="B7" s="337" t="s">
        <v>541</v>
      </c>
      <c r="C7" s="338">
        <v>2018121204</v>
      </c>
      <c r="D7" s="338">
        <v>250</v>
      </c>
      <c r="E7" s="339" t="s">
        <v>542</v>
      </c>
      <c r="F7" s="337" t="s">
        <v>535</v>
      </c>
      <c r="G7" s="337" t="s">
        <v>536</v>
      </c>
      <c r="H7" s="339" t="s">
        <v>537</v>
      </c>
      <c r="K7" s="471" t="s">
        <v>990</v>
      </c>
      <c r="L7" s="471" t="s">
        <v>990</v>
      </c>
    </row>
    <row r="8" spans="1:12" ht="16.5" thickBot="1">
      <c r="A8" s="336" t="s">
        <v>543</v>
      </c>
      <c r="B8" s="337" t="s">
        <v>541</v>
      </c>
      <c r="C8" s="338">
        <v>2018121205</v>
      </c>
      <c r="D8" s="338">
        <v>2495</v>
      </c>
      <c r="E8" s="339" t="s">
        <v>542</v>
      </c>
      <c r="F8" s="337" t="s">
        <v>33</v>
      </c>
      <c r="G8" s="337" t="s">
        <v>536</v>
      </c>
      <c r="H8" s="339" t="s">
        <v>537</v>
      </c>
      <c r="K8" s="472"/>
      <c r="L8" s="472"/>
    </row>
    <row r="9" spans="1:12" ht="15.75" thickBot="1">
      <c r="A9" s="336" t="s">
        <v>544</v>
      </c>
      <c r="B9" s="337" t="s">
        <v>541</v>
      </c>
      <c r="C9" s="338">
        <v>2018121206</v>
      </c>
      <c r="D9" s="338">
        <v>3110</v>
      </c>
      <c r="E9" s="339" t="s">
        <v>542</v>
      </c>
      <c r="F9" s="337" t="s">
        <v>29</v>
      </c>
      <c r="G9" s="337" t="s">
        <v>536</v>
      </c>
      <c r="H9" s="339" t="s">
        <v>537</v>
      </c>
      <c r="K9" s="473"/>
      <c r="L9" s="473"/>
    </row>
    <row r="10" spans="1:12" ht="16.5" thickBot="1">
      <c r="A10" s="336"/>
      <c r="B10" s="337"/>
      <c r="C10" s="338"/>
      <c r="D10" s="338"/>
      <c r="E10" s="339"/>
      <c r="F10" s="337"/>
      <c r="G10" s="337"/>
      <c r="H10" s="339"/>
      <c r="K10" s="474" t="s">
        <v>425</v>
      </c>
      <c r="L10" s="474" t="s">
        <v>427</v>
      </c>
    </row>
    <row r="11" spans="1:12" ht="15.75" thickBot="1">
      <c r="A11" s="336" t="s">
        <v>545</v>
      </c>
      <c r="B11" s="337" t="s">
        <v>546</v>
      </c>
      <c r="C11" s="338">
        <v>2018121207</v>
      </c>
      <c r="D11" s="338">
        <v>6100</v>
      </c>
      <c r="E11" s="339" t="s">
        <v>547</v>
      </c>
      <c r="F11" s="337" t="s">
        <v>535</v>
      </c>
      <c r="G11" s="337" t="s">
        <v>536</v>
      </c>
      <c r="H11" s="339" t="s">
        <v>537</v>
      </c>
      <c r="K11" s="475"/>
      <c r="L11" s="475"/>
    </row>
    <row r="12" spans="1:12" ht="16.5" thickBot="1">
      <c r="A12" s="336" t="s">
        <v>548</v>
      </c>
      <c r="B12" s="337" t="s">
        <v>546</v>
      </c>
      <c r="C12" s="338">
        <v>2018121208</v>
      </c>
      <c r="D12" s="338">
        <v>891</v>
      </c>
      <c r="E12" s="339" t="s">
        <v>547</v>
      </c>
      <c r="F12" s="337" t="s">
        <v>29</v>
      </c>
      <c r="G12" s="337" t="s">
        <v>536</v>
      </c>
      <c r="H12" s="339" t="s">
        <v>537</v>
      </c>
      <c r="K12" s="470">
        <v>53000</v>
      </c>
      <c r="L12" s="470">
        <v>36612</v>
      </c>
    </row>
    <row r="13" spans="1:12" ht="16.5" thickBot="1">
      <c r="A13" s="336"/>
      <c r="B13" s="337"/>
      <c r="C13" s="338"/>
      <c r="D13" s="338"/>
      <c r="E13" s="339"/>
      <c r="F13" s="337"/>
      <c r="G13" s="337"/>
      <c r="H13" s="339"/>
      <c r="K13" s="476"/>
      <c r="L13" s="476"/>
    </row>
    <row r="14" spans="1:12" ht="16.5" thickBot="1">
      <c r="A14" s="336" t="s">
        <v>549</v>
      </c>
      <c r="B14" s="337" t="s">
        <v>550</v>
      </c>
      <c r="C14" s="338">
        <v>2018121209</v>
      </c>
      <c r="D14" s="338">
        <v>6100</v>
      </c>
      <c r="E14" s="339" t="s">
        <v>551</v>
      </c>
      <c r="F14" s="337" t="s">
        <v>535</v>
      </c>
      <c r="G14" s="337" t="s">
        <v>536</v>
      </c>
      <c r="H14" s="339" t="s">
        <v>537</v>
      </c>
      <c r="K14" s="477">
        <v>43521</v>
      </c>
      <c r="L14" s="477">
        <v>43521</v>
      </c>
    </row>
    <row r="15" spans="1:12" ht="15.75" thickBot="1">
      <c r="A15" s="336" t="s">
        <v>552</v>
      </c>
      <c r="B15" s="337" t="s">
        <v>550</v>
      </c>
      <c r="C15" s="338">
        <v>2018121210</v>
      </c>
      <c r="D15" s="338">
        <v>840</v>
      </c>
      <c r="E15" s="339" t="s">
        <v>551</v>
      </c>
      <c r="F15" s="337" t="s">
        <v>29</v>
      </c>
      <c r="G15" s="337" t="s">
        <v>536</v>
      </c>
      <c r="H15" s="339" t="s">
        <v>537</v>
      </c>
      <c r="K15" s="478" t="s">
        <v>29</v>
      </c>
      <c r="L15" s="478" t="s">
        <v>29</v>
      </c>
    </row>
    <row r="17" spans="1:10" ht="15.75" thickBot="1"/>
    <row r="18" spans="1:10" ht="64.5" thickBot="1">
      <c r="A18" s="340" t="s">
        <v>553</v>
      </c>
      <c r="B18" s="341" t="s">
        <v>554</v>
      </c>
      <c r="C18" s="341" t="s">
        <v>555</v>
      </c>
      <c r="D18" s="341" t="s">
        <v>556</v>
      </c>
      <c r="E18" s="342" t="s">
        <v>557</v>
      </c>
      <c r="F18" s="343" t="s">
        <v>558</v>
      </c>
      <c r="G18" s="344" t="s">
        <v>559</v>
      </c>
    </row>
    <row r="19" spans="1:10" ht="15.75" thickBot="1">
      <c r="A19" s="345" t="s">
        <v>560</v>
      </c>
      <c r="B19" s="346" t="s">
        <v>561</v>
      </c>
      <c r="C19" s="346" t="s">
        <v>562</v>
      </c>
      <c r="D19" s="347">
        <v>480</v>
      </c>
      <c r="E19" s="348">
        <v>43490</v>
      </c>
      <c r="F19" s="349">
        <v>100183224</v>
      </c>
      <c r="G19" s="350">
        <v>43546</v>
      </c>
    </row>
    <row r="20" spans="1:10" ht="15.75" thickBot="1">
      <c r="A20" s="345" t="s">
        <v>560</v>
      </c>
      <c r="B20" s="346" t="s">
        <v>563</v>
      </c>
      <c r="C20" s="346" t="s">
        <v>562</v>
      </c>
      <c r="D20" s="347">
        <v>588</v>
      </c>
      <c r="E20" s="348">
        <v>43490</v>
      </c>
      <c r="F20" s="349">
        <v>100183225</v>
      </c>
      <c r="G20" s="350">
        <v>43546</v>
      </c>
    </row>
    <row r="21" spans="1:10" ht="15.75" thickBot="1">
      <c r="A21" s="345" t="s">
        <v>560</v>
      </c>
      <c r="B21" s="346" t="s">
        <v>563</v>
      </c>
      <c r="C21" s="346" t="s">
        <v>562</v>
      </c>
      <c r="D21" s="347">
        <v>432</v>
      </c>
      <c r="E21" s="348">
        <v>43490</v>
      </c>
      <c r="F21" s="349">
        <v>100183226</v>
      </c>
      <c r="G21" s="350">
        <v>43546</v>
      </c>
    </row>
    <row r="22" spans="1:10" ht="15.75" thickBot="1">
      <c r="A22" s="345" t="s">
        <v>560</v>
      </c>
      <c r="B22" s="346" t="s">
        <v>563</v>
      </c>
      <c r="C22" s="346" t="s">
        <v>564</v>
      </c>
      <c r="D22" s="351">
        <v>1104</v>
      </c>
      <c r="E22" s="348">
        <v>43490</v>
      </c>
      <c r="F22" s="349">
        <v>100183227</v>
      </c>
      <c r="G22" s="350">
        <v>43546</v>
      </c>
    </row>
    <row r="23" spans="1:10" ht="15.75" thickBot="1">
      <c r="A23" s="345" t="s">
        <v>560</v>
      </c>
      <c r="B23" s="346" t="s">
        <v>563</v>
      </c>
      <c r="C23" s="346" t="s">
        <v>564</v>
      </c>
      <c r="D23" s="347">
        <v>924</v>
      </c>
      <c r="E23" s="348">
        <v>43490</v>
      </c>
      <c r="F23" s="349">
        <v>100183228</v>
      </c>
      <c r="G23" s="350">
        <v>43546</v>
      </c>
    </row>
    <row r="24" spans="1:10" ht="15.75" thickBot="1">
      <c r="A24" s="345" t="s">
        <v>560</v>
      </c>
      <c r="B24" s="346" t="s">
        <v>104</v>
      </c>
      <c r="C24" s="346" t="s">
        <v>565</v>
      </c>
      <c r="D24" s="351">
        <v>3000</v>
      </c>
      <c r="E24" s="348">
        <v>43490</v>
      </c>
      <c r="F24" s="349">
        <v>100183229</v>
      </c>
      <c r="G24" s="350">
        <v>43550</v>
      </c>
    </row>
    <row r="25" spans="1:10" ht="15.75" thickBot="1">
      <c r="A25" s="345" t="s">
        <v>560</v>
      </c>
      <c r="B25" s="346" t="s">
        <v>104</v>
      </c>
      <c r="C25" s="346" t="s">
        <v>562</v>
      </c>
      <c r="D25" s="351">
        <v>6000</v>
      </c>
      <c r="E25" s="348">
        <v>43490</v>
      </c>
      <c r="F25" s="349">
        <v>100183230</v>
      </c>
      <c r="G25" s="350">
        <v>43550</v>
      </c>
    </row>
    <row r="26" spans="1:10" ht="15.75" thickBot="1">
      <c r="A26" s="345" t="s">
        <v>560</v>
      </c>
      <c r="B26" s="346" t="s">
        <v>566</v>
      </c>
      <c r="C26" s="346" t="s">
        <v>562</v>
      </c>
      <c r="D26" s="347">
        <v>360</v>
      </c>
      <c r="E26" s="348">
        <v>43490</v>
      </c>
      <c r="F26" s="349">
        <v>100183231</v>
      </c>
      <c r="G26" s="350">
        <v>43546</v>
      </c>
    </row>
    <row r="27" spans="1:10" ht="15.75" thickBot="1">
      <c r="A27" s="345" t="s">
        <v>567</v>
      </c>
      <c r="B27" s="346" t="s">
        <v>568</v>
      </c>
      <c r="C27" s="346" t="s">
        <v>569</v>
      </c>
      <c r="D27" s="347">
        <v>792</v>
      </c>
      <c r="E27" s="348">
        <v>43490</v>
      </c>
      <c r="F27" s="349">
        <v>100183210</v>
      </c>
      <c r="G27" s="350">
        <v>43541</v>
      </c>
    </row>
    <row r="28" spans="1:10" ht="15.75" thickBot="1">
      <c r="A28" s="345" t="s">
        <v>570</v>
      </c>
      <c r="B28" s="352"/>
      <c r="C28" s="346" t="s">
        <v>571</v>
      </c>
      <c r="D28" s="347">
        <v>480</v>
      </c>
      <c r="E28" s="348">
        <v>43507</v>
      </c>
      <c r="F28" s="349">
        <v>4600067062</v>
      </c>
      <c r="G28" s="350">
        <v>43520</v>
      </c>
      <c r="J28" s="456"/>
    </row>
    <row r="29" spans="1:10" ht="15.75" thickBot="1">
      <c r="A29" s="345" t="s">
        <v>570</v>
      </c>
      <c r="B29" s="352"/>
      <c r="C29" s="346" t="s">
        <v>569</v>
      </c>
      <c r="D29" s="351">
        <v>3000</v>
      </c>
      <c r="E29" s="348">
        <v>43490</v>
      </c>
      <c r="F29" s="349">
        <v>4600067063</v>
      </c>
      <c r="G29" s="350">
        <v>43520</v>
      </c>
    </row>
    <row r="30" spans="1:10">
      <c r="D30">
        <f>SUM(D19:D29)</f>
        <v>17160</v>
      </c>
    </row>
    <row r="32" spans="1:10" ht="15.75" thickBot="1"/>
    <row r="33" spans="1:9" ht="15.75" thickBot="1">
      <c r="A33" s="410" t="s">
        <v>524</v>
      </c>
      <c r="B33" s="411" t="s">
        <v>525</v>
      </c>
      <c r="C33" s="411" t="s">
        <v>526</v>
      </c>
      <c r="D33" s="411" t="s">
        <v>527</v>
      </c>
      <c r="E33" s="411" t="s">
        <v>528</v>
      </c>
      <c r="F33" s="411" t="s">
        <v>529</v>
      </c>
      <c r="G33" s="411" t="s">
        <v>530</v>
      </c>
      <c r="H33" s="411" t="s">
        <v>660</v>
      </c>
    </row>
    <row r="34" spans="1:9" ht="15.75" thickBot="1">
      <c r="A34" s="414" t="s">
        <v>661</v>
      </c>
      <c r="B34" s="412" t="s">
        <v>662</v>
      </c>
      <c r="C34" s="412">
        <v>2018122005</v>
      </c>
      <c r="D34" s="412">
        <v>7000</v>
      </c>
      <c r="E34" s="413" t="s">
        <v>547</v>
      </c>
      <c r="F34" s="412" t="s">
        <v>535</v>
      </c>
      <c r="G34" s="412" t="s">
        <v>536</v>
      </c>
      <c r="H34" s="413" t="s">
        <v>663</v>
      </c>
    </row>
    <row r="35" spans="1:9" ht="15.75" thickBot="1">
      <c r="A35" s="414" t="s">
        <v>664</v>
      </c>
      <c r="B35" s="412" t="s">
        <v>665</v>
      </c>
      <c r="C35" s="412">
        <v>2018122006</v>
      </c>
      <c r="D35" s="412">
        <v>1500</v>
      </c>
      <c r="E35" s="413" t="s">
        <v>666</v>
      </c>
      <c r="F35" s="412" t="s">
        <v>535</v>
      </c>
      <c r="G35" s="412" t="s">
        <v>536</v>
      </c>
      <c r="H35" s="413" t="s">
        <v>663</v>
      </c>
    </row>
    <row r="36" spans="1:9" ht="15.75" thickBot="1">
      <c r="A36" s="414" t="s">
        <v>667</v>
      </c>
      <c r="B36" s="412" t="s">
        <v>668</v>
      </c>
      <c r="C36" s="412">
        <v>2018122007</v>
      </c>
      <c r="D36" s="412">
        <v>3000</v>
      </c>
      <c r="E36" s="413" t="s">
        <v>666</v>
      </c>
      <c r="F36" s="412" t="s">
        <v>535</v>
      </c>
      <c r="G36" s="412" t="s">
        <v>536</v>
      </c>
      <c r="H36" s="413" t="s">
        <v>663</v>
      </c>
    </row>
    <row r="37" spans="1:9" ht="15.75" thickBot="1">
      <c r="A37" s="452" t="s">
        <v>669</v>
      </c>
      <c r="B37" s="453" t="s">
        <v>670</v>
      </c>
      <c r="C37" s="453">
        <v>2018122009</v>
      </c>
      <c r="D37" s="453">
        <v>3000</v>
      </c>
      <c r="E37" s="454" t="s">
        <v>551</v>
      </c>
      <c r="F37" s="453" t="s">
        <v>535</v>
      </c>
      <c r="G37" s="453" t="s">
        <v>536</v>
      </c>
      <c r="H37" s="454" t="s">
        <v>663</v>
      </c>
      <c r="I37" s="455" t="s">
        <v>768</v>
      </c>
    </row>
    <row r="38" spans="1:9" ht="15.75" thickBot="1">
      <c r="A38" s="414" t="s">
        <v>671</v>
      </c>
      <c r="B38" s="412" t="s">
        <v>672</v>
      </c>
      <c r="C38" s="412">
        <v>2018122008</v>
      </c>
      <c r="D38" s="412">
        <v>7500</v>
      </c>
      <c r="E38" s="413" t="s">
        <v>551</v>
      </c>
      <c r="F38" s="412" t="s">
        <v>535</v>
      </c>
      <c r="G38" s="412" t="s">
        <v>536</v>
      </c>
      <c r="H38" s="413" t="s">
        <v>663</v>
      </c>
    </row>
    <row r="39" spans="1:9" ht="15.75" thickBot="1">
      <c r="A39" s="414" t="s">
        <v>673</v>
      </c>
      <c r="B39" s="412" t="s">
        <v>26</v>
      </c>
      <c r="C39" s="412">
        <v>2018122002</v>
      </c>
      <c r="D39" s="412">
        <v>9630</v>
      </c>
      <c r="E39" s="413" t="s">
        <v>547</v>
      </c>
      <c r="F39" s="412" t="s">
        <v>29</v>
      </c>
      <c r="G39" s="412" t="s">
        <v>536</v>
      </c>
      <c r="H39" s="413" t="s">
        <v>663</v>
      </c>
    </row>
    <row r="40" spans="1:9" ht="15.75" thickBot="1">
      <c r="A40" s="414" t="s">
        <v>674</v>
      </c>
      <c r="B40" s="412" t="s">
        <v>32</v>
      </c>
      <c r="C40" s="412">
        <v>2018122003</v>
      </c>
      <c r="D40" s="412">
        <v>3555</v>
      </c>
      <c r="E40" s="413" t="s">
        <v>547</v>
      </c>
      <c r="F40" s="412" t="s">
        <v>29</v>
      </c>
      <c r="G40" s="412" t="s">
        <v>536</v>
      </c>
      <c r="H40" s="413" t="s">
        <v>663</v>
      </c>
    </row>
    <row r="41" spans="1:9" ht="15.75" thickBot="1">
      <c r="A41" s="414" t="s">
        <v>675</v>
      </c>
      <c r="B41" s="412" t="s">
        <v>659</v>
      </c>
      <c r="C41" s="412">
        <v>2018122004</v>
      </c>
      <c r="D41" s="412">
        <v>7000</v>
      </c>
      <c r="E41" s="413" t="s">
        <v>547</v>
      </c>
      <c r="F41" s="412" t="s">
        <v>29</v>
      </c>
      <c r="G41" s="412" t="s">
        <v>536</v>
      </c>
      <c r="H41" s="413" t="s">
        <v>663</v>
      </c>
    </row>
  </sheetData>
  <conditionalFormatting sqref="K3:L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T12</vt:lpstr>
      <vt:lpstr>T01</vt:lpstr>
      <vt:lpstr>T02</vt:lpstr>
      <vt:lpstr>T03</vt:lpstr>
      <vt:lpstr>T04</vt:lpstr>
      <vt:lpstr> T05</vt:lpstr>
      <vt:lpstr>dk 1 buy</vt:lpstr>
      <vt:lpstr>' T05'!Print_Titles</vt:lpstr>
      <vt:lpstr>'T01'!Print_Titles</vt:lpstr>
      <vt:lpstr>'T02'!Print_Titles</vt:lpstr>
      <vt:lpstr>'T03'!Print_Titles</vt:lpstr>
      <vt:lpstr>'T04'!Print_Titles</vt:lpstr>
      <vt:lpstr>'T12'!Print_Titles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2019-02-12T03:34:50Z</dcterms:modified>
</cp:coreProperties>
</file>