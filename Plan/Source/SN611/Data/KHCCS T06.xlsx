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7350" yWindow="-60" windowWidth="14805" windowHeight="8010" tabRatio="783" firstSheet="55" activeTab="64"/>
  </bookViews>
  <sheets>
    <sheet name="A7 1.6" sheetId="993" r:id="rId1"/>
    <sheet name="A8 1.6" sheetId="994" r:id="rId2"/>
    <sheet name="A9 1.6" sheetId="995" r:id="rId3"/>
    <sheet name="A11 1.6" sheetId="996" r:id="rId4"/>
    <sheet name="A12 1.6" sheetId="997" r:id="rId5"/>
    <sheet name="A7 2.6" sheetId="998" r:id="rId6"/>
    <sheet name="A8 2.6" sheetId="999" r:id="rId7"/>
    <sheet name="A9 2.6" sheetId="1000" r:id="rId8"/>
    <sheet name="A11 2.6" sheetId="1001" r:id="rId9"/>
    <sheet name="A12 2.6" sheetId="1002" r:id="rId10"/>
    <sheet name="A7 4.6" sheetId="1003" r:id="rId11"/>
    <sheet name="A8 4.6" sheetId="1004" r:id="rId12"/>
    <sheet name="A9 4.6" sheetId="1005" r:id="rId13"/>
    <sheet name="A11 4.6" sheetId="1006" r:id="rId14"/>
    <sheet name="A12 4.6" sheetId="1007" r:id="rId15"/>
    <sheet name="A7 5.6" sheetId="1008" r:id="rId16"/>
    <sheet name="A8 5.6" sheetId="1009" r:id="rId17"/>
    <sheet name="A9 5.6" sheetId="1010" r:id="rId18"/>
    <sheet name="A11 5.6" sheetId="1011" r:id="rId19"/>
    <sheet name="A12 5.6" sheetId="1012" r:id="rId20"/>
    <sheet name="A7 6.6" sheetId="1013" r:id="rId21"/>
    <sheet name="A8 6.6" sheetId="1014" r:id="rId22"/>
    <sheet name="A9 6.6" sheetId="1015" r:id="rId23"/>
    <sheet name="A11 6.6" sheetId="1016" r:id="rId24"/>
    <sheet name="A12 6.6" sheetId="1017" r:id="rId25"/>
    <sheet name="A7 7.6" sheetId="1018" r:id="rId26"/>
    <sheet name="A8 7.6" sheetId="1019" r:id="rId27"/>
    <sheet name="A9 7.6" sheetId="1020" r:id="rId28"/>
    <sheet name="A11 7.6" sheetId="1021" r:id="rId29"/>
    <sheet name="A12 7.6" sheetId="1022" r:id="rId30"/>
    <sheet name="A7 8.6" sheetId="1023" r:id="rId31"/>
    <sheet name="A8 8.6" sheetId="1024" r:id="rId32"/>
    <sheet name="A9 8.6" sheetId="1025" r:id="rId33"/>
    <sheet name="A11 8.6" sheetId="1026" r:id="rId34"/>
    <sheet name="A12 8.6" sheetId="1027" r:id="rId35"/>
    <sheet name="A7 9.6" sheetId="1028" r:id="rId36"/>
    <sheet name="A8 9.6" sheetId="1029" r:id="rId37"/>
    <sheet name="A9 9.6" sheetId="1030" r:id="rId38"/>
    <sheet name="A11 9.6" sheetId="1031" r:id="rId39"/>
    <sheet name="A12 9.6" sheetId="1032" r:id="rId40"/>
    <sheet name="A7 11.6" sheetId="1033" r:id="rId41"/>
    <sheet name="A8 11.6" sheetId="1034" r:id="rId42"/>
    <sheet name="A9 11.6" sheetId="1035" r:id="rId43"/>
    <sheet name="A11 11.6" sheetId="1036" r:id="rId44"/>
    <sheet name="A12 11.6" sheetId="1037" r:id="rId45"/>
    <sheet name="A7 12.6" sheetId="1038" r:id="rId46"/>
    <sheet name="A8 12.6" sheetId="1039" r:id="rId47"/>
    <sheet name="A9 12.6" sheetId="1040" r:id="rId48"/>
    <sheet name="A11 12.6" sheetId="1041" r:id="rId49"/>
    <sheet name="A12 12.6" sheetId="1042" r:id="rId50"/>
    <sheet name="A7 13.6" sheetId="1043" r:id="rId51"/>
    <sheet name="A8 13.6" sheetId="1044" r:id="rId52"/>
    <sheet name="A9 13.6" sheetId="1045" r:id="rId53"/>
    <sheet name="A11 13.6" sheetId="1046" r:id="rId54"/>
    <sheet name="A12 13.6" sheetId="1047" r:id="rId55"/>
    <sheet name="A7 14.6" sheetId="1048" r:id="rId56"/>
    <sheet name="A8 14.6" sheetId="1049" r:id="rId57"/>
    <sheet name="A9 14.6" sheetId="1050" r:id="rId58"/>
    <sheet name="A11 14.6" sheetId="1051" r:id="rId59"/>
    <sheet name="A12 14.6" sheetId="1052" r:id="rId60"/>
    <sheet name="A7 15.6" sheetId="1053" r:id="rId61"/>
    <sheet name="A8 15.6" sheetId="1054" r:id="rId62"/>
    <sheet name="A9 15.6" sheetId="1055" r:id="rId63"/>
    <sheet name="A11 15.6" sheetId="1056" r:id="rId64"/>
    <sheet name="A12 15.6" sheetId="1057" r:id="rId65"/>
  </sheets>
  <calcPr calcId="144525"/>
</workbook>
</file>

<file path=xl/calcChain.xml><?xml version="1.0" encoding="utf-8"?>
<calcChain xmlns="http://schemas.openxmlformats.org/spreadsheetml/2006/main">
  <c r="I12" i="1057" l="1"/>
  <c r="I10" i="1057"/>
  <c r="I6" i="1057"/>
  <c r="I23" i="1055"/>
  <c r="I17" i="1055"/>
  <c r="I13" i="1055"/>
  <c r="I11" i="1055"/>
  <c r="I7" i="1055"/>
  <c r="I25" i="1054"/>
  <c r="I12" i="1054" l="1"/>
  <c r="I10" i="1054"/>
  <c r="I5" i="1054"/>
  <c r="I9" i="1054" s="1"/>
  <c r="I27" i="1053"/>
  <c r="I10" i="1053"/>
  <c r="I16" i="1053" s="1"/>
  <c r="I6" i="1053"/>
  <c r="I9" i="1053" s="1"/>
  <c r="I17" i="1057"/>
  <c r="I22" i="1057" s="1"/>
  <c r="I16" i="1057"/>
  <c r="I27" i="1056"/>
  <c r="I21" i="1056"/>
  <c r="I15" i="1056"/>
  <c r="I9" i="1056"/>
  <c r="I27" i="1055"/>
  <c r="I21" i="1055"/>
  <c r="I15" i="1055"/>
  <c r="I9" i="1055"/>
  <c r="I31" i="1054"/>
  <c r="I23" i="1054"/>
  <c r="I24" i="1053"/>
  <c r="R8" i="1045"/>
  <c r="R7" i="1045"/>
  <c r="G28" i="1040"/>
  <c r="G29" i="1040"/>
  <c r="G26" i="1043"/>
  <c r="G27" i="1043"/>
  <c r="I23" i="1057" l="1"/>
  <c r="I28" i="1056"/>
  <c r="I28" i="1055"/>
  <c r="I17" i="1054"/>
  <c r="I31" i="1053"/>
  <c r="I32" i="1053" s="1"/>
  <c r="I32" i="1054"/>
  <c r="I16" i="1052"/>
  <c r="I21" i="1052" s="1"/>
  <c r="I16" i="1051"/>
  <c r="I21" i="1051" s="1"/>
  <c r="I23" i="1050"/>
  <c r="I5" i="1050"/>
  <c r="I27" i="1049"/>
  <c r="I23" i="1049"/>
  <c r="I14" i="1049"/>
  <c r="I16" i="1049"/>
  <c r="I13" i="1049"/>
  <c r="I33" i="1048"/>
  <c r="I29" i="1048"/>
  <c r="I21" i="1048"/>
  <c r="I28" i="1048" s="1"/>
  <c r="I16" i="1048"/>
  <c r="I20" i="1048" s="1"/>
  <c r="I14" i="1048"/>
  <c r="I4" i="1048"/>
  <c r="I15" i="1052"/>
  <c r="I9" i="1052"/>
  <c r="I27" i="1051"/>
  <c r="I15" i="1051"/>
  <c r="I9" i="1051"/>
  <c r="I27" i="1050"/>
  <c r="I21" i="1050"/>
  <c r="I15" i="1050"/>
  <c r="I9" i="1050"/>
  <c r="I22" i="1049"/>
  <c r="I9" i="1049"/>
  <c r="I22" i="1052" l="1"/>
  <c r="I28" i="1051"/>
  <c r="I28" i="1050"/>
  <c r="I30" i="1049"/>
  <c r="I31" i="1049" s="1"/>
  <c r="I35" i="1048"/>
  <c r="I36" i="1048" s="1"/>
  <c r="I15" i="1046"/>
  <c r="I13" i="1044"/>
  <c r="I21" i="1045" l="1"/>
  <c r="I12" i="1040"/>
  <c r="I16" i="1040" s="1"/>
  <c r="I23" i="1047" l="1"/>
  <c r="I19" i="1047"/>
  <c r="I17" i="1047"/>
  <c r="I21" i="1046"/>
  <c r="I19" i="1046"/>
  <c r="I18" i="1046"/>
  <c r="I13" i="1046"/>
  <c r="I28" i="1045"/>
  <c r="I33" i="1045" s="1"/>
  <c r="I27" i="1045"/>
  <c r="I5" i="1045"/>
  <c r="I8" i="1045" s="1"/>
  <c r="I24" i="1044"/>
  <c r="I28" i="1044" s="1"/>
  <c r="I18" i="1044"/>
  <c r="I21" i="1044" s="1"/>
  <c r="I10" i="1044"/>
  <c r="I15" i="1044" s="1"/>
  <c r="I17" i="1043"/>
  <c r="I22" i="1043" s="1"/>
  <c r="I13" i="1043"/>
  <c r="I16" i="1043" s="1"/>
  <c r="I9" i="1043"/>
  <c r="I16" i="1047"/>
  <c r="I10" i="1047"/>
  <c r="I27" i="1046"/>
  <c r="I9" i="1046"/>
  <c r="I9" i="1044"/>
  <c r="I28" i="1043"/>
  <c r="I24" i="1047" l="1"/>
  <c r="I28" i="1046"/>
  <c r="I34" i="1045"/>
  <c r="I29" i="1044"/>
  <c r="I29" i="1043"/>
  <c r="I18" i="1042"/>
  <c r="I17" i="1042"/>
  <c r="I26" i="1040"/>
  <c r="I18" i="1040"/>
  <c r="I24" i="1040" s="1"/>
  <c r="I5" i="1040"/>
  <c r="I22" i="1039"/>
  <c r="I28" i="1039" s="1"/>
  <c r="I19" i="1039"/>
  <c r="I18" i="1039"/>
  <c r="I17" i="1039"/>
  <c r="I16" i="1039"/>
  <c r="I10" i="1039"/>
  <c r="I4" i="1039"/>
  <c r="I9" i="1039" s="1"/>
  <c r="I25" i="1038"/>
  <c r="I28" i="1038" s="1"/>
  <c r="I23" i="1038"/>
  <c r="I12" i="1038"/>
  <c r="I5" i="1038"/>
  <c r="I16" i="1042"/>
  <c r="I10" i="1042"/>
  <c r="I27" i="1041"/>
  <c r="I21" i="1041"/>
  <c r="I15" i="1041"/>
  <c r="I9" i="1041"/>
  <c r="I10" i="1040"/>
  <c r="I15" i="1039"/>
  <c r="I21" i="1038"/>
  <c r="I15" i="1038"/>
  <c r="I9" i="1038"/>
  <c r="I22" i="1042" l="1"/>
  <c r="I23" i="1042" s="1"/>
  <c r="I28" i="1041"/>
  <c r="I30" i="1040"/>
  <c r="I31" i="1040" s="1"/>
  <c r="I21" i="1039"/>
  <c r="I29" i="1039" s="1"/>
  <c r="I29" i="1038"/>
  <c r="I23" i="1034"/>
  <c r="I22" i="1034"/>
  <c r="I23" i="1037"/>
  <c r="I21" i="1037"/>
  <c r="I14" i="1037"/>
  <c r="I19" i="1037" s="1"/>
  <c r="I13" i="1037"/>
  <c r="I25" i="1035"/>
  <c r="I30" i="1035" s="1"/>
  <c r="I19" i="1035"/>
  <c r="I24" i="1035" s="1"/>
  <c r="I7" i="1035"/>
  <c r="I11" i="1034"/>
  <c r="I23" i="1033"/>
  <c r="I27" i="1033" s="1"/>
  <c r="I11" i="1033"/>
  <c r="I10" i="1037"/>
  <c r="I27" i="1036"/>
  <c r="I21" i="1036"/>
  <c r="I15" i="1036"/>
  <c r="I9" i="1036"/>
  <c r="I17" i="1035"/>
  <c r="I9" i="1035"/>
  <c r="I31" i="1034"/>
  <c r="I15" i="1034"/>
  <c r="I9" i="1034"/>
  <c r="I21" i="1033"/>
  <c r="I15" i="1033"/>
  <c r="I9" i="1033"/>
  <c r="I26" i="1028"/>
  <c r="I28" i="1036" l="1"/>
  <c r="I25" i="1037"/>
  <c r="I26" i="1037" s="1"/>
  <c r="I31" i="1035"/>
  <c r="I32" i="1034"/>
  <c r="I28" i="1033"/>
  <c r="I14" i="1032" l="1"/>
  <c r="I13" i="1032"/>
  <c r="I11" i="1032"/>
  <c r="I29" i="1030"/>
  <c r="I25" i="1030"/>
  <c r="I21" i="1030"/>
  <c r="I19" i="1030"/>
  <c r="I17" i="1030"/>
  <c r="I18" i="1030" s="1"/>
  <c r="I26" i="1029"/>
  <c r="I23" i="1029"/>
  <c r="I18" i="1029"/>
  <c r="I22" i="1029" s="1"/>
  <c r="I16" i="1029"/>
  <c r="I7" i="1029"/>
  <c r="I24" i="1028"/>
  <c r="I19" i="1028"/>
  <c r="I16" i="1028"/>
  <c r="I6" i="1028"/>
  <c r="I23" i="1032"/>
  <c r="I10" i="1032"/>
  <c r="I27" i="1031"/>
  <c r="I21" i="1031"/>
  <c r="I15" i="1031"/>
  <c r="I9" i="1031"/>
  <c r="I32" i="1030"/>
  <c r="I9" i="1030"/>
  <c r="I10" i="1029"/>
  <c r="I15" i="1028"/>
  <c r="I9" i="1028"/>
  <c r="I27" i="1025"/>
  <c r="I17" i="1032" l="1"/>
  <c r="I24" i="1032" s="1"/>
  <c r="I28" i="1031"/>
  <c r="I33" i="1030"/>
  <c r="I30" i="1029"/>
  <c r="I31" i="1029" s="1"/>
  <c r="I27" i="1028"/>
  <c r="I21" i="1028"/>
  <c r="I8" i="1027"/>
  <c r="I15" i="1024"/>
  <c r="I28" i="1028" l="1"/>
  <c r="I14" i="1027"/>
  <c r="I25" i="1025"/>
  <c r="I29" i="1025" s="1"/>
  <c r="I13" i="1025"/>
  <c r="I11" i="1025"/>
  <c r="I6" i="1025"/>
  <c r="I4" i="1025"/>
  <c r="I28" i="1024"/>
  <c r="I24" i="1024"/>
  <c r="I19" i="1024"/>
  <c r="I16" i="1024"/>
  <c r="I11" i="1024"/>
  <c r="I10" i="1024"/>
  <c r="I5" i="1024"/>
  <c r="I23" i="1023"/>
  <c r="I28" i="1023" s="1"/>
  <c r="I17" i="1023"/>
  <c r="I22" i="1023" s="1"/>
  <c r="I24" i="1027"/>
  <c r="I18" i="1027"/>
  <c r="I11" i="1027"/>
  <c r="I27" i="1026"/>
  <c r="I21" i="1026"/>
  <c r="I15" i="1026"/>
  <c r="I9" i="1026"/>
  <c r="I23" i="1025"/>
  <c r="I16" i="1023"/>
  <c r="I10" i="1023"/>
  <c r="I4" i="1019"/>
  <c r="G14" i="1014"/>
  <c r="G15" i="1014"/>
  <c r="G12" i="1009"/>
  <c r="G13" i="1009"/>
  <c r="G23" i="1013"/>
  <c r="G24" i="1013"/>
  <c r="G26" i="1013"/>
  <c r="G14" i="1015"/>
  <c r="G15" i="1015"/>
  <c r="G14" i="1009"/>
  <c r="G14" i="1013"/>
  <c r="G13" i="1013"/>
  <c r="I17" i="1025" l="1"/>
  <c r="I31" i="1024"/>
  <c r="I25" i="1027"/>
  <c r="I28" i="1026"/>
  <c r="I10" i="1025"/>
  <c r="I30" i="1025" s="1"/>
  <c r="I23" i="1024"/>
  <c r="I32" i="1024" s="1"/>
  <c r="I29" i="1023"/>
  <c r="I16" i="1022"/>
  <c r="I11" i="1022"/>
  <c r="I9" i="1022"/>
  <c r="I7" i="1022"/>
  <c r="I10" i="1021"/>
  <c r="I25" i="1020"/>
  <c r="I31" i="1020" s="1"/>
  <c r="I17" i="1020"/>
  <c r="I24" i="1020" s="1"/>
  <c r="I10" i="1020"/>
  <c r="I27" i="1019"/>
  <c r="I18" i="1019"/>
  <c r="I21" i="1019" s="1"/>
  <c r="I19" i="1018"/>
  <c r="I23" i="1018" s="1"/>
  <c r="I22" i="1022"/>
  <c r="I28" i="1021"/>
  <c r="I22" i="1021"/>
  <c r="I16" i="1021"/>
  <c r="I16" i="1020"/>
  <c r="I15" i="1019"/>
  <c r="I9" i="1019"/>
  <c r="I29" i="1018"/>
  <c r="I16" i="1018"/>
  <c r="I10" i="1018"/>
  <c r="I29" i="1021" l="1"/>
  <c r="I30" i="1018"/>
  <c r="I23" i="1022"/>
  <c r="I32" i="1020"/>
  <c r="I28" i="1019"/>
  <c r="I23" i="1014"/>
  <c r="I18" i="1014"/>
  <c r="I19" i="1017"/>
  <c r="I7" i="1017"/>
  <c r="I14" i="1015"/>
  <c r="I10" i="1015"/>
  <c r="I15" i="1014" l="1"/>
  <c r="I16" i="1017" l="1"/>
  <c r="I11" i="1017"/>
  <c r="I10" i="1017"/>
  <c r="I5" i="1017"/>
  <c r="I5" i="1016"/>
  <c r="I25" i="1015"/>
  <c r="I23" i="1015"/>
  <c r="I12" i="1015"/>
  <c r="I7" i="1015"/>
  <c r="I4" i="1015"/>
  <c r="I20" i="1014"/>
  <c r="I19" i="1014"/>
  <c r="I17" i="1014"/>
  <c r="I16" i="1014"/>
  <c r="I10" i="1014"/>
  <c r="I24" i="1013"/>
  <c r="I4" i="1013" l="1"/>
  <c r="I9" i="1013" s="1"/>
  <c r="I21" i="1017"/>
  <c r="I15" i="1017"/>
  <c r="I9" i="1017"/>
  <c r="I27" i="1016"/>
  <c r="I21" i="1016"/>
  <c r="I15" i="1016"/>
  <c r="I9" i="1016"/>
  <c r="I29" i="1015"/>
  <c r="I22" i="1015"/>
  <c r="I16" i="1015"/>
  <c r="I29" i="1014"/>
  <c r="I9" i="1014"/>
  <c r="I27" i="1013"/>
  <c r="I21" i="1013"/>
  <c r="I15" i="1013"/>
  <c r="I22" i="1017" l="1"/>
  <c r="I28" i="1016"/>
  <c r="I30" i="1015"/>
  <c r="I28" i="1013"/>
  <c r="I30" i="1014"/>
  <c r="I19" i="1012"/>
  <c r="I13" i="1012"/>
  <c r="I10" i="1012"/>
  <c r="I27" i="1010"/>
  <c r="I23" i="1010"/>
  <c r="I17" i="1010"/>
  <c r="I15" i="1010"/>
  <c r="I19" i="1009"/>
  <c r="I21" i="1009" s="1"/>
  <c r="I5" i="1009"/>
  <c r="I9" i="1009" s="1"/>
  <c r="I23" i="1008"/>
  <c r="I6" i="1008"/>
  <c r="I30" i="1012"/>
  <c r="I23" i="1012"/>
  <c r="I9" i="1012"/>
  <c r="I27" i="1011"/>
  <c r="I21" i="1011"/>
  <c r="I15" i="1011"/>
  <c r="I9" i="1011"/>
  <c r="I21" i="1010"/>
  <c r="I9" i="1010"/>
  <c r="I27" i="1009"/>
  <c r="I15" i="1009"/>
  <c r="I27" i="1008"/>
  <c r="I21" i="1008"/>
  <c r="I15" i="1008"/>
  <c r="I9" i="1008"/>
  <c r="I17" i="1012" l="1"/>
  <c r="I31" i="1012" s="1"/>
  <c r="I28" i="1011"/>
  <c r="I28" i="1008"/>
  <c r="I28" i="1010"/>
  <c r="I28" i="1009"/>
  <c r="I13" i="1005" l="1"/>
  <c r="I7" i="1005" l="1"/>
  <c r="H6" i="1002" l="1"/>
  <c r="I17" i="1007" l="1"/>
  <c r="I15" i="1002"/>
  <c r="I12" i="1002"/>
  <c r="I11" i="1006" l="1"/>
  <c r="I6" i="1006"/>
  <c r="I29" i="1007"/>
  <c r="I23" i="1007"/>
  <c r="I22" i="1007"/>
  <c r="I16" i="1007"/>
  <c r="I18" i="1005"/>
  <c r="I16" i="1005"/>
  <c r="I15" i="1005"/>
  <c r="I11" i="1005"/>
  <c r="I20" i="1004"/>
  <c r="I23" i="1004" s="1"/>
  <c r="I6" i="1004"/>
  <c r="I4" i="1004"/>
  <c r="I11" i="1004" s="1"/>
  <c r="I9" i="1007"/>
  <c r="I29" i="1006"/>
  <c r="I23" i="1006"/>
  <c r="I17" i="1006"/>
  <c r="I27" i="1005"/>
  <c r="I9" i="1005"/>
  <c r="I29" i="1004"/>
  <c r="I17" i="1004"/>
  <c r="I27" i="1003"/>
  <c r="I21" i="1003"/>
  <c r="I15" i="1003"/>
  <c r="I9" i="1003"/>
  <c r="I7" i="1000"/>
  <c r="I30" i="1007" l="1"/>
  <c r="I30" i="1006"/>
  <c r="I21" i="1005"/>
  <c r="I28" i="1005" s="1"/>
  <c r="I28" i="1003"/>
  <c r="I30" i="1004"/>
  <c r="I22" i="1002"/>
  <c r="I27" i="1002" s="1"/>
  <c r="I21" i="1002" l="1"/>
  <c r="I23" i="1001"/>
  <c r="I27" i="1001" s="1"/>
  <c r="I23" i="1000"/>
  <c r="I15" i="1000"/>
  <c r="I23" i="999"/>
  <c r="I17" i="999"/>
  <c r="I5" i="999"/>
  <c r="I10" i="999" s="1"/>
  <c r="I4" i="998"/>
  <c r="I9" i="1002"/>
  <c r="I21" i="1001"/>
  <c r="I15" i="1001"/>
  <c r="I9" i="1001"/>
  <c r="I27" i="1000"/>
  <c r="I21" i="1000"/>
  <c r="I9" i="1000"/>
  <c r="I29" i="999"/>
  <c r="I16" i="999"/>
  <c r="I27" i="998"/>
  <c r="I21" i="998"/>
  <c r="I15" i="998"/>
  <c r="I9" i="998"/>
  <c r="I15" i="993"/>
  <c r="I13" i="995"/>
  <c r="I28" i="1002" l="1"/>
  <c r="I28" i="1001"/>
  <c r="I30" i="999"/>
  <c r="I28" i="1000"/>
  <c r="I28" i="998"/>
  <c r="G17" i="997"/>
  <c r="I23" i="995"/>
  <c r="I18" i="995"/>
  <c r="I16" i="995"/>
  <c r="I11" i="995"/>
  <c r="I4" i="995"/>
  <c r="I24" i="994"/>
  <c r="I18" i="993"/>
  <c r="I10" i="993"/>
  <c r="I7" i="993"/>
  <c r="I4" i="993"/>
  <c r="I15" i="995" l="1"/>
  <c r="I29" i="997" l="1"/>
  <c r="I23" i="997"/>
  <c r="I15" i="994" l="1"/>
  <c r="I9" i="994"/>
  <c r="I23" i="993"/>
  <c r="I9" i="993"/>
  <c r="I15" i="997"/>
  <c r="I9" i="997"/>
  <c r="I27" i="996"/>
  <c r="I21" i="996"/>
  <c r="I15" i="996"/>
  <c r="I9" i="996"/>
  <c r="I27" i="995"/>
  <c r="I21" i="995"/>
  <c r="I9" i="995"/>
  <c r="I27" i="994"/>
  <c r="I21" i="994"/>
  <c r="I29" i="993"/>
  <c r="I30" i="997" l="1"/>
  <c r="I28" i="996"/>
  <c r="I28" i="995"/>
  <c r="I28" i="994"/>
  <c r="I30" i="993"/>
</calcChain>
</file>

<file path=xl/sharedStrings.xml><?xml version="1.0" encoding="utf-8"?>
<sst xmlns="http://schemas.openxmlformats.org/spreadsheetml/2006/main" count="9267" uniqueCount="1434">
  <si>
    <r>
      <t>BAÛNG KEÁ HOAÏCH SAÛN XUAÁT
A1 LEAN 线</t>
    </r>
    <r>
      <rPr>
        <b/>
        <sz val="15"/>
        <rFont val="細明體"/>
        <family val="3"/>
        <charset val="136"/>
      </rPr>
      <t>日計劃</t>
    </r>
  </si>
  <si>
    <r>
      <t>派工時間</t>
    </r>
    <r>
      <rPr>
        <b/>
        <sz val="10"/>
        <rFont val="VNI-Times"/>
      </rPr>
      <t>/TGKH :</t>
    </r>
  </si>
  <si>
    <t>課別
TOÅ</t>
  </si>
  <si>
    <t>訂單號碼           RY</t>
  </si>
  <si>
    <t>XH</t>
    <phoneticPr fontId="14" type="noConversion"/>
  </si>
  <si>
    <t>DT</t>
    <phoneticPr fontId="14" type="noConversion"/>
  </si>
  <si>
    <t>MG</t>
  </si>
  <si>
    <t>型體           SKU#</t>
  </si>
  <si>
    <t>訂單總數量     SL ÑH</t>
  </si>
  <si>
    <t>LY</t>
  </si>
  <si>
    <t>派工雙數 SL KH</t>
  </si>
  <si>
    <t>迴轉
TUA</t>
  </si>
  <si>
    <t>ST
TUA</t>
  </si>
  <si>
    <t>FOM</t>
  </si>
  <si>
    <t>DT</t>
  </si>
  <si>
    <t>DL</t>
  </si>
  <si>
    <t>送料時間 
THÔØI GIAN GIAO HAØNG</t>
  </si>
  <si>
    <t>STT</t>
  </si>
  <si>
    <r>
      <t>成型生產時間</t>
    </r>
    <r>
      <rPr>
        <sz val="7"/>
        <rFont val="VNI-Times"/>
      </rPr>
      <t xml:space="preserve">         TGGO SX </t>
    </r>
  </si>
  <si>
    <t>7:30 -9:30</t>
  </si>
  <si>
    <t>9:30 -11:30</t>
  </si>
  <si>
    <t>14:30 -16:30</t>
  </si>
  <si>
    <t>審核：</t>
  </si>
  <si>
    <t>主管：</t>
  </si>
  <si>
    <t>制表：</t>
  </si>
  <si>
    <r>
      <t>大</t>
    </r>
    <r>
      <rPr>
        <b/>
        <sz val="10"/>
        <rFont val="VNI-Times"/>
      </rPr>
      <t xml:space="preserve"> </t>
    </r>
    <r>
      <rPr>
        <b/>
        <sz val="10"/>
        <rFont val="細明體"/>
        <family val="3"/>
        <charset val="136"/>
      </rPr>
      <t>底</t>
    </r>
    <r>
      <rPr>
        <b/>
        <sz val="10"/>
        <rFont val="VNI-Times"/>
      </rPr>
      <t>/</t>
    </r>
    <r>
      <rPr>
        <b/>
        <sz val="10"/>
        <rFont val="細明體"/>
        <family val="3"/>
        <charset val="136"/>
      </rPr>
      <t>中底</t>
    </r>
    <r>
      <rPr>
        <b/>
        <sz val="10"/>
        <rFont val="VNI-Times"/>
      </rPr>
      <t>/</t>
    </r>
    <r>
      <rPr>
        <b/>
        <sz val="10"/>
        <rFont val="細明體"/>
        <family val="3"/>
        <charset val="136"/>
      </rPr>
      <t>鞋面</t>
    </r>
    <r>
      <rPr>
        <b/>
        <sz val="10"/>
        <rFont val="VNI-Times"/>
      </rPr>
      <t xml:space="preserve"> </t>
    </r>
    <r>
      <rPr>
        <b/>
        <sz val="10"/>
        <rFont val="細明體"/>
        <family val="3"/>
        <charset val="136"/>
      </rPr>
      <t>比照以上送料時間提前</t>
    </r>
    <r>
      <rPr>
        <b/>
        <sz val="10"/>
        <rFont val="VNI-Times"/>
      </rPr>
      <t>4</t>
    </r>
    <r>
      <rPr>
        <b/>
        <sz val="10"/>
        <rFont val="細明體"/>
        <family val="3"/>
        <charset val="136"/>
      </rPr>
      <t>小時送料到成型</t>
    </r>
    <r>
      <rPr>
        <b/>
        <sz val="10"/>
        <rFont val="VNI-Times"/>
      </rPr>
      <t>2</t>
    </r>
    <r>
      <rPr>
        <b/>
        <sz val="10"/>
        <rFont val="細明體"/>
        <family val="3"/>
        <charset val="136"/>
      </rPr>
      <t>樓備料區</t>
    </r>
  </si>
  <si>
    <t xml:space="preserve">             ÑEÁ LÔÙN /Ñ TRUNG/M GIAØYTHEO TG GOØ LC  CAÀN GIAO HAØNG QUA ÑAÀU CHUYEÀN GOØ TRÖÔÙC 4TIEÁNG</t>
  </si>
  <si>
    <r>
      <t xml:space="preserve">         大車按此成型生產時間提前</t>
    </r>
    <r>
      <rPr>
        <b/>
        <sz val="10"/>
        <rFont val="VNI-Times"/>
      </rPr>
      <t>2</t>
    </r>
    <r>
      <rPr>
        <b/>
        <sz val="10"/>
        <rFont val="細明體"/>
        <family val="3"/>
        <charset val="136"/>
      </rPr>
      <t>小時送料到成型各組別</t>
    </r>
  </si>
  <si>
    <t>T-DCC-022A</t>
  </si>
  <si>
    <t xml:space="preserve">               CCSU SO VÔÙI THÔØI GIAN BEÂN GOØ LEÂN CHUYEÀN CAÀN GIAO HAØNG TRÖÔÙC 2 TIEÁNG</t>
  </si>
  <si>
    <t>LEAN17</t>
    <phoneticPr fontId="3" type="noConversion"/>
  </si>
  <si>
    <t>LEAN18</t>
    <phoneticPr fontId="3" type="noConversion"/>
  </si>
  <si>
    <t>LEAN19</t>
    <phoneticPr fontId="3" type="noConversion"/>
  </si>
  <si>
    <t>LEAN20</t>
    <phoneticPr fontId="3" type="noConversion"/>
  </si>
  <si>
    <t>Vải 布</t>
  </si>
  <si>
    <t>USA</t>
  </si>
  <si>
    <t>LEAN1</t>
    <phoneticPr fontId="3" type="noConversion"/>
  </si>
  <si>
    <t>LEAN3</t>
    <phoneticPr fontId="3" type="noConversion"/>
  </si>
  <si>
    <t>LEAN4</t>
    <phoneticPr fontId="3" type="noConversion"/>
  </si>
  <si>
    <t>LEAN2</t>
    <phoneticPr fontId="3" type="noConversion"/>
  </si>
  <si>
    <t>LEAN5</t>
    <phoneticPr fontId="3" type="noConversion"/>
  </si>
  <si>
    <t>LEAN6</t>
    <phoneticPr fontId="3" type="noConversion"/>
  </si>
  <si>
    <t>LEAN7</t>
    <phoneticPr fontId="3" type="noConversion"/>
  </si>
  <si>
    <t>LEAN8</t>
    <phoneticPr fontId="3" type="noConversion"/>
  </si>
  <si>
    <t>LEAN9</t>
    <phoneticPr fontId="3" type="noConversion"/>
  </si>
  <si>
    <t>LEAN10</t>
    <phoneticPr fontId="3" type="noConversion"/>
  </si>
  <si>
    <t>LEAN11</t>
    <phoneticPr fontId="3" type="noConversion"/>
  </si>
  <si>
    <t>LEAN12</t>
    <phoneticPr fontId="3" type="noConversion"/>
  </si>
  <si>
    <t>LEAN13</t>
    <phoneticPr fontId="3" type="noConversion"/>
  </si>
  <si>
    <t>LEAN14</t>
    <phoneticPr fontId="3" type="noConversion"/>
  </si>
  <si>
    <t>LEAN15</t>
    <phoneticPr fontId="3" type="noConversion"/>
  </si>
  <si>
    <t>SK032U-A</t>
  </si>
  <si>
    <t>LEAN16</t>
    <phoneticPr fontId="3" type="noConversion"/>
  </si>
  <si>
    <t>HICR-XXX</t>
  </si>
  <si>
    <t>Da 皮</t>
  </si>
  <si>
    <t>1BUY</t>
  </si>
  <si>
    <t>vai (布)</t>
  </si>
  <si>
    <t>CHINA</t>
  </si>
  <si>
    <t>OS119U-B-1</t>
  </si>
  <si>
    <t>2BUY</t>
  </si>
  <si>
    <t>161576C</t>
  </si>
  <si>
    <t>13589DL</t>
    <phoneticPr fontId="3" type="noConversion"/>
  </si>
  <si>
    <t>OS119U-B</t>
  </si>
  <si>
    <t>01H-1</t>
    <phoneticPr fontId="3" type="noConversion"/>
  </si>
  <si>
    <t>提前</t>
  </si>
  <si>
    <t>(Sôùm      ngaøy)</t>
    <phoneticPr fontId="3" type="noConversion"/>
  </si>
  <si>
    <t>SA384U-A</t>
  </si>
  <si>
    <t>067L-1</t>
    <phoneticPr fontId="3" type="noConversion"/>
  </si>
  <si>
    <t>T4-T5</t>
    <phoneticPr fontId="3" type="noConversion"/>
  </si>
  <si>
    <t>vai (布)+TC</t>
  </si>
  <si>
    <t>OXCR-XXX</t>
  </si>
  <si>
    <r>
      <rPr>
        <b/>
        <sz val="7"/>
        <rFont val="細明體"/>
        <family val="3"/>
        <charset val="136"/>
      </rPr>
      <t>送料時間</t>
    </r>
    <r>
      <rPr>
        <b/>
        <sz val="7"/>
        <rFont val="VNI-Times"/>
      </rPr>
      <t xml:space="preserve"> 
THÔØI GIAN GIAO HAØNG</t>
    </r>
    <phoneticPr fontId="3" type="noConversion"/>
  </si>
  <si>
    <t>067H-1</t>
    <phoneticPr fontId="3" type="noConversion"/>
  </si>
  <si>
    <t>TC 8T</t>
  </si>
  <si>
    <t>TC 5T</t>
  </si>
  <si>
    <t>TC 17T</t>
  </si>
  <si>
    <t>155064C</t>
  </si>
  <si>
    <t>T1-T2</t>
    <phoneticPr fontId="3" type="noConversion"/>
  </si>
  <si>
    <t>T5</t>
    <phoneticPr fontId="3" type="noConversion"/>
  </si>
  <si>
    <t>067L-1</t>
    <phoneticPr fontId="3" type="noConversion"/>
  </si>
  <si>
    <t>01L-1</t>
    <phoneticPr fontId="3" type="noConversion"/>
  </si>
  <si>
    <t>13589DL</t>
    <phoneticPr fontId="3" type="noConversion"/>
  </si>
  <si>
    <t>T3-T4</t>
    <phoneticPr fontId="3" type="noConversion"/>
  </si>
  <si>
    <t>T14-T15</t>
    <phoneticPr fontId="3" type="noConversion"/>
  </si>
  <si>
    <t>T1</t>
    <phoneticPr fontId="3" type="noConversion"/>
  </si>
  <si>
    <t>T6-T7</t>
    <phoneticPr fontId="3" type="noConversion"/>
  </si>
  <si>
    <t>T16-T17</t>
    <phoneticPr fontId="3" type="noConversion"/>
  </si>
  <si>
    <t>M7650C</t>
    <phoneticPr fontId="3" type="noConversion"/>
  </si>
  <si>
    <t>KD686B-4</t>
  </si>
  <si>
    <t>SA170J-6B</t>
  </si>
  <si>
    <t>OS119U-12B</t>
  </si>
  <si>
    <t>PU</t>
  </si>
  <si>
    <t>661936C</t>
  </si>
  <si>
    <t>3BUY</t>
  </si>
  <si>
    <t>T2</t>
    <phoneticPr fontId="3" type="noConversion"/>
  </si>
  <si>
    <t>158369C</t>
  </si>
  <si>
    <t>162939C</t>
  </si>
  <si>
    <t>TC 4T</t>
  </si>
  <si>
    <t>(Sôùm      ngaøy)</t>
  </si>
  <si>
    <t>T6</t>
    <phoneticPr fontId="3" type="noConversion"/>
  </si>
  <si>
    <t>OS119U-5B-3</t>
  </si>
  <si>
    <t>161549C</t>
  </si>
  <si>
    <t>161551C</t>
  </si>
  <si>
    <t>161586C</t>
  </si>
  <si>
    <t>OS119U-5B-5</t>
  </si>
  <si>
    <t>TC 6T</t>
  </si>
  <si>
    <t>TC 9T</t>
  </si>
  <si>
    <t>1J793C</t>
  </si>
  <si>
    <t>155065C</t>
  </si>
  <si>
    <t>161599C</t>
  </si>
  <si>
    <t>155066C</t>
  </si>
  <si>
    <t>161577C</t>
  </si>
  <si>
    <t xml:space="preserve">  DON HANG XUAT NHANH(快速訂單)</t>
  </si>
  <si>
    <t>161601C</t>
  </si>
  <si>
    <t>TC 7T</t>
  </si>
  <si>
    <t>TC 31T</t>
  </si>
  <si>
    <t>162950C</t>
  </si>
  <si>
    <t>OS119U-B-2</t>
  </si>
  <si>
    <t>5BUY</t>
    <phoneticPr fontId="3" type="noConversion"/>
  </si>
  <si>
    <r>
      <t xml:space="preserve">10A TRANG(10A </t>
    </r>
    <r>
      <rPr>
        <b/>
        <sz val="9"/>
        <color indexed="8"/>
        <rFont val="細明體"/>
        <family val="3"/>
        <charset val="136"/>
      </rPr>
      <t>白</t>
    </r>
    <r>
      <rPr>
        <b/>
        <sz val="9"/>
        <color indexed="8"/>
        <rFont val="Arial"/>
        <family val="2"/>
      </rPr>
      <t>)</t>
    </r>
  </si>
  <si>
    <t>HICR-XXX</t>
    <phoneticPr fontId="3" type="noConversion"/>
  </si>
  <si>
    <t>5BUY</t>
  </si>
  <si>
    <t>T11-T12</t>
    <phoneticPr fontId="3" type="noConversion"/>
  </si>
  <si>
    <t>161608C</t>
  </si>
  <si>
    <t>SK032U-2B</t>
  </si>
  <si>
    <t>557944C</t>
  </si>
  <si>
    <t>CT840U-1B-1</t>
  </si>
  <si>
    <t>T5-T6</t>
    <phoneticPr fontId="3" type="noConversion"/>
  </si>
  <si>
    <t>TC 74T</t>
  </si>
  <si>
    <t>YL1806-0005B</t>
    <phoneticPr fontId="3" type="noConversion"/>
  </si>
  <si>
    <t>vai (布)</t>
    <phoneticPr fontId="3" type="noConversion"/>
  </si>
  <si>
    <t>Y1806-0412</t>
  </si>
  <si>
    <t>T7-T8</t>
    <phoneticPr fontId="3" type="noConversion"/>
  </si>
  <si>
    <t>YL1806-0002-2</t>
  </si>
  <si>
    <t>1J794C</t>
  </si>
  <si>
    <t>T28-T71</t>
  </si>
  <si>
    <t>Y1806-0402</t>
  </si>
  <si>
    <t>661925C</t>
  </si>
  <si>
    <t>TC 75T</t>
  </si>
  <si>
    <t>KD685B-10</t>
  </si>
  <si>
    <t>YL1806-0001</t>
  </si>
  <si>
    <t>TC 28T</t>
    <phoneticPr fontId="3" type="noConversion"/>
  </si>
  <si>
    <t>Y1806-0688</t>
  </si>
  <si>
    <t>vai (布</t>
  </si>
  <si>
    <t>YL1806-0002-1</t>
  </si>
  <si>
    <t>T1-T27</t>
  </si>
  <si>
    <t>Y1806-0023</t>
  </si>
  <si>
    <t>762012C</t>
  </si>
  <si>
    <t>SA216N-13B</t>
  </si>
  <si>
    <t>067L-1</t>
    <phoneticPr fontId="3" type="noConversion"/>
  </si>
  <si>
    <t>Y1806-0690</t>
  </si>
  <si>
    <t>Y1806-0011</t>
  </si>
  <si>
    <t>TC 28T</t>
  </si>
  <si>
    <t>Y1806-0196</t>
  </si>
  <si>
    <t>661918C</t>
  </si>
  <si>
    <t>Y1806-0120</t>
  </si>
  <si>
    <t>vai (布+TC</t>
  </si>
  <si>
    <t>Y1806-0571</t>
  </si>
  <si>
    <t>SA013L-1</t>
    <phoneticPr fontId="3" type="noConversion"/>
  </si>
  <si>
    <t>Y1806-0570</t>
  </si>
  <si>
    <t>Y1806-0010</t>
  </si>
  <si>
    <t>TC 16T</t>
  </si>
  <si>
    <t>Y1806-0497</t>
  </si>
  <si>
    <t>6/1 7:30 -9:30</t>
    <phoneticPr fontId="3" type="noConversion"/>
  </si>
  <si>
    <t>6/1 9:30 -11:30</t>
    <phoneticPr fontId="3" type="noConversion"/>
  </si>
  <si>
    <t>6/1 12:30 -14:30</t>
    <phoneticPr fontId="3" type="noConversion"/>
  </si>
  <si>
    <t>6/1 14:30 -16:30</t>
    <phoneticPr fontId="3" type="noConversion"/>
  </si>
  <si>
    <t>Y1806-0398</t>
  </si>
  <si>
    <t>T1-T2</t>
    <phoneticPr fontId="3" type="noConversion"/>
  </si>
  <si>
    <t>T3-T4</t>
    <phoneticPr fontId="3" type="noConversion"/>
  </si>
  <si>
    <t>T5-T6</t>
    <phoneticPr fontId="3" type="noConversion"/>
  </si>
  <si>
    <t>Y1806-0209</t>
  </si>
  <si>
    <t>762818C</t>
  </si>
  <si>
    <t>T1</t>
    <phoneticPr fontId="3" type="noConversion"/>
  </si>
  <si>
    <t>T42-T43</t>
    <phoneticPr fontId="3" type="noConversion"/>
  </si>
  <si>
    <t>Y1806-0413</t>
  </si>
  <si>
    <t>661937C</t>
  </si>
  <si>
    <t>TC 27T</t>
  </si>
  <si>
    <t>T3-T4</t>
    <phoneticPr fontId="3" type="noConversion"/>
  </si>
  <si>
    <t>Y1806-0089</t>
  </si>
  <si>
    <t>Y1806-0149</t>
  </si>
  <si>
    <t>TC 3T</t>
    <phoneticPr fontId="3" type="noConversion"/>
  </si>
  <si>
    <t>T3</t>
    <phoneticPr fontId="3" type="noConversion"/>
  </si>
  <si>
    <t>Y1806-0552</t>
  </si>
  <si>
    <t>Y1806-0047</t>
  </si>
  <si>
    <t>067L-1</t>
    <phoneticPr fontId="3" type="noConversion"/>
  </si>
  <si>
    <t>067L-1</t>
    <phoneticPr fontId="3" type="noConversion"/>
  </si>
  <si>
    <t>Y1806-0242</t>
  </si>
  <si>
    <t>067L-1</t>
    <phoneticPr fontId="3" type="noConversion"/>
  </si>
  <si>
    <t>T9-T10</t>
    <phoneticPr fontId="3" type="noConversion"/>
  </si>
  <si>
    <t>T3-T4</t>
    <phoneticPr fontId="3" type="noConversion"/>
  </si>
  <si>
    <t>Y1806-0641</t>
  </si>
  <si>
    <t>Y1807-0047</t>
  </si>
  <si>
    <t>13589DL</t>
    <phoneticPr fontId="3" type="noConversion"/>
  </si>
  <si>
    <t>T12-T13</t>
    <phoneticPr fontId="3" type="noConversion"/>
  </si>
  <si>
    <t>Y1806-0624</t>
  </si>
  <si>
    <t>Y1806-0715</t>
  </si>
  <si>
    <t>13589DL</t>
    <phoneticPr fontId="3" type="noConversion"/>
  </si>
  <si>
    <t>Y1806-0028</t>
  </si>
  <si>
    <t>TC 13T</t>
  </si>
  <si>
    <t>01L-1</t>
    <phoneticPr fontId="3" type="noConversion"/>
  </si>
  <si>
    <t>T5</t>
    <phoneticPr fontId="3" type="noConversion"/>
  </si>
  <si>
    <t>Y1806-0211</t>
  </si>
  <si>
    <t>067L-1</t>
    <phoneticPr fontId="3" type="noConversion"/>
  </si>
  <si>
    <t>Y1806-0143</t>
  </si>
  <si>
    <t>SA013L-1</t>
    <phoneticPr fontId="3" type="noConversion"/>
  </si>
  <si>
    <t>Y1806-0605</t>
  </si>
  <si>
    <t>Y1806-0656</t>
  </si>
  <si>
    <t>Y1806-0807</t>
  </si>
  <si>
    <t>TC 5T</t>
    <phoneticPr fontId="3" type="noConversion"/>
  </si>
  <si>
    <t>SA013L-1.</t>
    <phoneticPr fontId="3" type="noConversion"/>
  </si>
  <si>
    <t>T64-T65</t>
    <phoneticPr fontId="3" type="noConversion"/>
  </si>
  <si>
    <t>T66-T67</t>
    <phoneticPr fontId="3" type="noConversion"/>
  </si>
  <si>
    <t>T68-T69</t>
    <phoneticPr fontId="3" type="noConversion"/>
  </si>
  <si>
    <t>T70-T71</t>
    <phoneticPr fontId="3" type="noConversion"/>
  </si>
  <si>
    <t>T55-T56</t>
    <phoneticPr fontId="3" type="noConversion"/>
  </si>
  <si>
    <t>T57-T58</t>
    <phoneticPr fontId="3" type="noConversion"/>
  </si>
  <si>
    <t>T59-T60</t>
    <phoneticPr fontId="3" type="noConversion"/>
  </si>
  <si>
    <t>T14-T15</t>
    <phoneticPr fontId="3" type="noConversion"/>
  </si>
  <si>
    <t>T16-T17</t>
    <phoneticPr fontId="3" type="noConversion"/>
  </si>
  <si>
    <t>T18-T19</t>
    <phoneticPr fontId="3" type="noConversion"/>
  </si>
  <si>
    <t>T20-T21</t>
    <phoneticPr fontId="3" type="noConversion"/>
  </si>
  <si>
    <t>T20-T21</t>
    <phoneticPr fontId="3" type="noConversion"/>
  </si>
  <si>
    <t>T22-T23</t>
    <phoneticPr fontId="3" type="noConversion"/>
  </si>
  <si>
    <t>T24-T25</t>
    <phoneticPr fontId="3" type="noConversion"/>
  </si>
  <si>
    <t>Y1806-0229</t>
  </si>
  <si>
    <t>T5-T6</t>
    <phoneticPr fontId="3" type="noConversion"/>
  </si>
  <si>
    <t>T7</t>
    <phoneticPr fontId="3" type="noConversion"/>
  </si>
  <si>
    <t>067L-1</t>
    <phoneticPr fontId="3" type="noConversion"/>
  </si>
  <si>
    <t>T8-T9</t>
    <phoneticPr fontId="3" type="noConversion"/>
  </si>
  <si>
    <t>Y1807-0102</t>
  </si>
  <si>
    <t>557943C</t>
  </si>
  <si>
    <t>Y1806-0620</t>
    <phoneticPr fontId="3" type="noConversion"/>
  </si>
  <si>
    <t>Y1806-0535</t>
    <phoneticPr fontId="3" type="noConversion"/>
  </si>
  <si>
    <t>Y1806-0204</t>
    <phoneticPr fontId="3" type="noConversion"/>
  </si>
  <si>
    <t>Y1806-0004</t>
    <phoneticPr fontId="3" type="noConversion"/>
  </si>
  <si>
    <t>067H-1</t>
    <phoneticPr fontId="3" type="noConversion"/>
  </si>
  <si>
    <t>067H-1</t>
    <phoneticPr fontId="3" type="noConversion"/>
  </si>
  <si>
    <t>067H-1</t>
    <phoneticPr fontId="3" type="noConversion"/>
  </si>
  <si>
    <t>Y1806-0001</t>
  </si>
  <si>
    <t>157460C</t>
  </si>
  <si>
    <t>CT840U-B-1</t>
  </si>
  <si>
    <t>TC 4T</t>
    <phoneticPr fontId="3" type="noConversion"/>
  </si>
  <si>
    <t>T9</t>
    <phoneticPr fontId="3" type="noConversion"/>
  </si>
  <si>
    <t>Y1806-0569</t>
  </si>
  <si>
    <t>762818C</t>
    <phoneticPr fontId="3" type="noConversion"/>
  </si>
  <si>
    <t>T4</t>
    <phoneticPr fontId="3" type="noConversion"/>
  </si>
  <si>
    <t>T13</t>
    <phoneticPr fontId="3" type="noConversion"/>
  </si>
  <si>
    <t>T8</t>
    <phoneticPr fontId="3" type="noConversion"/>
  </si>
  <si>
    <t>T9</t>
    <phoneticPr fontId="3" type="noConversion"/>
  </si>
  <si>
    <t>T1-T2</t>
    <phoneticPr fontId="3" type="noConversion"/>
  </si>
  <si>
    <t>Y1807-0046</t>
  </si>
  <si>
    <t>T1-T2</t>
    <phoneticPr fontId="3" type="noConversion"/>
  </si>
  <si>
    <t>T3-T4</t>
    <phoneticPr fontId="3" type="noConversion"/>
  </si>
  <si>
    <t>13589DL</t>
    <phoneticPr fontId="3" type="noConversion"/>
  </si>
  <si>
    <t>T2</t>
    <phoneticPr fontId="3" type="noConversion"/>
  </si>
  <si>
    <t>T61-T62</t>
    <phoneticPr fontId="3" type="noConversion"/>
  </si>
  <si>
    <t>T8</t>
    <phoneticPr fontId="3" type="noConversion"/>
  </si>
  <si>
    <t>T9</t>
    <phoneticPr fontId="3" type="noConversion"/>
  </si>
  <si>
    <t>T5</t>
    <phoneticPr fontId="3" type="noConversion"/>
  </si>
  <si>
    <t>01L-1</t>
    <phoneticPr fontId="3" type="noConversion"/>
  </si>
  <si>
    <t>6/2 7:30 -9:30</t>
    <phoneticPr fontId="3" type="noConversion"/>
  </si>
  <si>
    <t>6/2 9:30 -11:30</t>
    <phoneticPr fontId="3" type="noConversion"/>
  </si>
  <si>
    <t>6/2 12:30 -14:30</t>
    <phoneticPr fontId="3" type="noConversion"/>
  </si>
  <si>
    <t>6/2 14:30 -16:30</t>
    <phoneticPr fontId="3" type="noConversion"/>
  </si>
  <si>
    <t>Y1806-0511</t>
  </si>
  <si>
    <t>Y1806-0392</t>
  </si>
  <si>
    <t>762011C</t>
  </si>
  <si>
    <t>TC 18T</t>
  </si>
  <si>
    <t>T3-T4</t>
    <phoneticPr fontId="3" type="noConversion"/>
  </si>
  <si>
    <t>Y1806-0231</t>
  </si>
  <si>
    <t>TC 32T</t>
  </si>
  <si>
    <t>T8-T9</t>
    <phoneticPr fontId="3" type="noConversion"/>
  </si>
  <si>
    <t>T14-T15</t>
    <phoneticPr fontId="3" type="noConversion"/>
  </si>
  <si>
    <t>T16-T17</t>
    <phoneticPr fontId="3" type="noConversion"/>
  </si>
  <si>
    <t>Y1806-0611</t>
  </si>
  <si>
    <t>159786C</t>
  </si>
  <si>
    <t>SK032U-A-2</t>
  </si>
  <si>
    <t>Y1806-0629</t>
  </si>
  <si>
    <t>Y1806-0674</t>
  </si>
  <si>
    <t>TC 3T</t>
    <phoneticPr fontId="3" type="noConversion"/>
  </si>
  <si>
    <t>13589DL</t>
    <phoneticPr fontId="3" type="noConversion"/>
  </si>
  <si>
    <t>13589DL</t>
    <phoneticPr fontId="3" type="noConversion"/>
  </si>
  <si>
    <t>T10-T11</t>
    <phoneticPr fontId="3" type="noConversion"/>
  </si>
  <si>
    <t>T12-T13</t>
    <phoneticPr fontId="3" type="noConversion"/>
  </si>
  <si>
    <t>Y1806-0596</t>
  </si>
  <si>
    <t>161609C</t>
  </si>
  <si>
    <t>Y1806-0614</t>
  </si>
  <si>
    <t>Y1806-0645</t>
  </si>
  <si>
    <t>T3-T4</t>
    <phoneticPr fontId="3" type="noConversion"/>
  </si>
  <si>
    <t>13589DL</t>
    <phoneticPr fontId="3" type="noConversion"/>
  </si>
  <si>
    <t>Y1807-0158</t>
  </si>
  <si>
    <t>T6-T7</t>
    <phoneticPr fontId="3" type="noConversion"/>
  </si>
  <si>
    <t>T10-T11</t>
    <phoneticPr fontId="3" type="noConversion"/>
  </si>
  <si>
    <t>Y1806-0721</t>
  </si>
  <si>
    <t>Y1806-0723</t>
  </si>
  <si>
    <t>Y1806-0002</t>
  </si>
  <si>
    <t>Y1806-0592</t>
  </si>
  <si>
    <t>Y1806-0623</t>
  </si>
  <si>
    <t>SA013L-1</t>
    <phoneticPr fontId="3" type="noConversion"/>
  </si>
  <si>
    <t>Y1806-0661</t>
  </si>
  <si>
    <t>Y1806-0666</t>
  </si>
  <si>
    <t>T72-T73</t>
    <phoneticPr fontId="3" type="noConversion"/>
  </si>
  <si>
    <t>T74</t>
    <phoneticPr fontId="3" type="noConversion"/>
  </si>
  <si>
    <t>YL1806-0004</t>
  </si>
  <si>
    <t>M5039C</t>
  </si>
  <si>
    <t>TC 10T</t>
    <phoneticPr fontId="3" type="noConversion"/>
  </si>
  <si>
    <t>T1-T2</t>
    <phoneticPr fontId="3" type="noConversion"/>
  </si>
  <si>
    <t>T3-T4</t>
    <phoneticPr fontId="3" type="noConversion"/>
  </si>
  <si>
    <t>067L-1</t>
    <phoneticPr fontId="3" type="noConversion"/>
  </si>
  <si>
    <t>T63-T64</t>
    <phoneticPr fontId="3" type="noConversion"/>
  </si>
  <si>
    <t>T65-T66</t>
    <phoneticPr fontId="3" type="noConversion"/>
  </si>
  <si>
    <t>T22-T23</t>
    <phoneticPr fontId="3" type="noConversion"/>
  </si>
  <si>
    <t>T24-T25</t>
    <phoneticPr fontId="3" type="noConversion"/>
  </si>
  <si>
    <t>Y1806-0772</t>
  </si>
  <si>
    <t>M9697C</t>
  </si>
  <si>
    <t>TC 68T</t>
  </si>
  <si>
    <t>T26-T27</t>
    <phoneticPr fontId="3" type="noConversion"/>
  </si>
  <si>
    <t>T28</t>
    <phoneticPr fontId="3" type="noConversion"/>
  </si>
  <si>
    <t>M7652C</t>
  </si>
  <si>
    <t>A2 CHUYEN A11</t>
  </si>
  <si>
    <t>T111-T224</t>
  </si>
  <si>
    <t>Y1806-0775.776.
Y1806-0777</t>
    <phoneticPr fontId="3" type="noConversion"/>
  </si>
  <si>
    <t>T111-T112</t>
    <phoneticPr fontId="3" type="noConversion"/>
  </si>
  <si>
    <t>067L-1</t>
    <phoneticPr fontId="3" type="noConversion"/>
  </si>
  <si>
    <t>T10-T11</t>
    <phoneticPr fontId="3" type="noConversion"/>
  </si>
  <si>
    <t>T10-T11</t>
    <phoneticPr fontId="3" type="noConversion"/>
  </si>
  <si>
    <t>Y1806-0480</t>
  </si>
  <si>
    <t>161566C</t>
  </si>
  <si>
    <t>OS119U-8B-1</t>
  </si>
  <si>
    <t>067H-1A</t>
    <phoneticPr fontId="3" type="noConversion"/>
  </si>
  <si>
    <t>157492C</t>
  </si>
  <si>
    <t>CT840U-2B</t>
  </si>
  <si>
    <t>Y1806-0491</t>
  </si>
  <si>
    <t>Y1806-0128</t>
  </si>
  <si>
    <t>067L-1</t>
    <phoneticPr fontId="3" type="noConversion"/>
  </si>
  <si>
    <t>TC 3T</t>
    <phoneticPr fontId="3" type="noConversion"/>
  </si>
  <si>
    <t>Y1806-0157</t>
  </si>
  <si>
    <t>Y1806-0647</t>
  </si>
  <si>
    <t>Y1806-0636</t>
  </si>
  <si>
    <t>161563C</t>
  </si>
  <si>
    <t>OS119U-8B-2</t>
  </si>
  <si>
    <t>T9</t>
    <phoneticPr fontId="3" type="noConversion"/>
  </si>
  <si>
    <t>T10-T11</t>
    <phoneticPr fontId="3" type="noConversion"/>
  </si>
  <si>
    <t>T12-T13</t>
    <phoneticPr fontId="3" type="noConversion"/>
  </si>
  <si>
    <t>T14-T15</t>
    <phoneticPr fontId="3" type="noConversion"/>
  </si>
  <si>
    <t>T21-T22</t>
    <phoneticPr fontId="3" type="noConversion"/>
  </si>
  <si>
    <t>T23-T24</t>
    <phoneticPr fontId="3" type="noConversion"/>
  </si>
  <si>
    <t>14:30 -16:30</t>
    <phoneticPr fontId="3" type="noConversion"/>
  </si>
  <si>
    <t>13589DL</t>
    <phoneticPr fontId="3" type="noConversion"/>
  </si>
  <si>
    <t>067L-1</t>
    <phoneticPr fontId="3" type="noConversion"/>
  </si>
  <si>
    <t>T27</t>
    <phoneticPr fontId="3" type="noConversion"/>
  </si>
  <si>
    <t>T25</t>
    <phoneticPr fontId="3" type="noConversion"/>
  </si>
  <si>
    <t>T26</t>
    <phoneticPr fontId="3" type="noConversion"/>
  </si>
  <si>
    <t>T3</t>
    <phoneticPr fontId="3" type="noConversion"/>
  </si>
  <si>
    <t>T4</t>
    <phoneticPr fontId="3" type="noConversion"/>
  </si>
  <si>
    <t>T5</t>
    <phoneticPr fontId="3" type="noConversion"/>
  </si>
  <si>
    <t>T16</t>
    <phoneticPr fontId="3" type="noConversion"/>
  </si>
  <si>
    <t>T12</t>
    <phoneticPr fontId="3" type="noConversion"/>
  </si>
  <si>
    <t>T13</t>
    <phoneticPr fontId="3" type="noConversion"/>
  </si>
  <si>
    <t>T14</t>
    <phoneticPr fontId="3" type="noConversion"/>
  </si>
  <si>
    <t>T6</t>
    <phoneticPr fontId="3" type="noConversion"/>
  </si>
  <si>
    <t>T67</t>
    <phoneticPr fontId="3" type="noConversion"/>
  </si>
  <si>
    <t>T68</t>
    <phoneticPr fontId="3" type="noConversion"/>
  </si>
  <si>
    <t>T26</t>
    <phoneticPr fontId="3" type="noConversion"/>
  </si>
  <si>
    <t>T113-T114</t>
    <phoneticPr fontId="3" type="noConversion"/>
  </si>
  <si>
    <t>T12-T13</t>
    <phoneticPr fontId="3" type="noConversion"/>
  </si>
  <si>
    <t>6/4 7:30 -9:30</t>
    <phoneticPr fontId="3" type="noConversion"/>
  </si>
  <si>
    <t>6/4 9:30 -11:30</t>
    <phoneticPr fontId="3" type="noConversion"/>
  </si>
  <si>
    <t>6/4 12:30 -14:30</t>
    <phoneticPr fontId="3" type="noConversion"/>
  </si>
  <si>
    <t>6/4 14:30 -16:30</t>
    <phoneticPr fontId="3" type="noConversion"/>
  </si>
  <si>
    <t>T10-T11</t>
    <phoneticPr fontId="3" type="noConversion"/>
  </si>
  <si>
    <t>T27-T28</t>
    <phoneticPr fontId="3" type="noConversion"/>
  </si>
  <si>
    <t>T29-T30</t>
    <phoneticPr fontId="3" type="noConversion"/>
  </si>
  <si>
    <t>T31-T32</t>
    <phoneticPr fontId="3" type="noConversion"/>
  </si>
  <si>
    <t>T33-T34</t>
    <phoneticPr fontId="3" type="noConversion"/>
  </si>
  <si>
    <t>T10-T11</t>
    <phoneticPr fontId="3" type="noConversion"/>
  </si>
  <si>
    <t>T17-T18</t>
    <phoneticPr fontId="3" type="noConversion"/>
  </si>
  <si>
    <t>T19-T20</t>
    <phoneticPr fontId="3" type="noConversion"/>
  </si>
  <si>
    <t>T21-T22</t>
    <phoneticPr fontId="3" type="noConversion"/>
  </si>
  <si>
    <t>T23-T24</t>
    <phoneticPr fontId="3" type="noConversion"/>
  </si>
  <si>
    <t>Y1806-0448</t>
  </si>
  <si>
    <t>159792C</t>
  </si>
  <si>
    <t>TC 3T</t>
  </si>
  <si>
    <t>USA</t>
    <phoneticPr fontId="3" type="noConversion"/>
  </si>
  <si>
    <t>13589DL</t>
    <phoneticPr fontId="3" type="noConversion"/>
  </si>
  <si>
    <t>Y1806-0646</t>
  </si>
  <si>
    <t>Y1806-0657</t>
  </si>
  <si>
    <t>13589DL</t>
    <phoneticPr fontId="3" type="noConversion"/>
  </si>
  <si>
    <t>Y1806-0634</t>
  </si>
  <si>
    <t>T5-T6</t>
    <phoneticPr fontId="3" type="noConversion"/>
  </si>
  <si>
    <t>T7-T8</t>
    <phoneticPr fontId="3" type="noConversion"/>
  </si>
  <si>
    <t>Y1806-0192</t>
  </si>
  <si>
    <t>Vải 布+TC</t>
  </si>
  <si>
    <t>161605C</t>
  </si>
  <si>
    <t>SK032U-3A-B</t>
  </si>
  <si>
    <t>Y1806-0601</t>
  </si>
  <si>
    <t>13589DL</t>
    <phoneticPr fontId="3" type="noConversion"/>
  </si>
  <si>
    <t>T9-T10</t>
    <phoneticPr fontId="3" type="noConversion"/>
  </si>
  <si>
    <t>T11-T12</t>
    <phoneticPr fontId="3" type="noConversion"/>
  </si>
  <si>
    <t>Y1806-0026</t>
  </si>
  <si>
    <t>636930C</t>
  </si>
  <si>
    <t>KD685B</t>
  </si>
  <si>
    <t>Y1806-0324</t>
  </si>
  <si>
    <t>01L-1</t>
    <phoneticPr fontId="3" type="noConversion"/>
  </si>
  <si>
    <t>TC 3T</t>
    <phoneticPr fontId="3" type="noConversion"/>
  </si>
  <si>
    <t>Y1806-0323</t>
  </si>
  <si>
    <t>TC 4T</t>
    <phoneticPr fontId="3" type="noConversion"/>
  </si>
  <si>
    <t>Y1806-0709</t>
  </si>
  <si>
    <t>067L-1</t>
    <phoneticPr fontId="3" type="noConversion"/>
  </si>
  <si>
    <t>Y1806-0846</t>
  </si>
  <si>
    <t>067L-1</t>
    <phoneticPr fontId="3" type="noConversion"/>
  </si>
  <si>
    <t>Y1806-0104</t>
  </si>
  <si>
    <t>TC 4T</t>
    <phoneticPr fontId="3" type="noConversion"/>
  </si>
  <si>
    <t>SA013L-1</t>
    <phoneticPr fontId="3" type="noConversion"/>
  </si>
  <si>
    <t>Y1806-0097</t>
  </si>
  <si>
    <t>161602C</t>
  </si>
  <si>
    <t>T69-T70</t>
    <phoneticPr fontId="3" type="noConversion"/>
  </si>
  <si>
    <t>T71</t>
    <phoneticPr fontId="3" type="noConversion"/>
  </si>
  <si>
    <t>YL1806-0002-2</t>
    <phoneticPr fontId="3" type="noConversion"/>
  </si>
  <si>
    <t>Y1806-0769</t>
  </si>
  <si>
    <t>TC 65T</t>
  </si>
  <si>
    <t>T1-T2</t>
    <phoneticPr fontId="3" type="noConversion"/>
  </si>
  <si>
    <t>T3-T4</t>
    <phoneticPr fontId="3" type="noConversion"/>
  </si>
  <si>
    <t>067L-1</t>
    <phoneticPr fontId="3" type="noConversion"/>
  </si>
  <si>
    <t>T5-T6</t>
    <phoneticPr fontId="3" type="noConversion"/>
  </si>
  <si>
    <t>T115-T116</t>
    <phoneticPr fontId="3" type="noConversion"/>
  </si>
  <si>
    <t>T117-T118</t>
    <phoneticPr fontId="3" type="noConversion"/>
  </si>
  <si>
    <t>T14-T15</t>
    <phoneticPr fontId="3" type="noConversion"/>
  </si>
  <si>
    <t>T16-T17</t>
    <phoneticPr fontId="3" type="noConversion"/>
  </si>
  <si>
    <t>Y1806-0650</t>
  </si>
  <si>
    <t>Y1806-0615</t>
  </si>
  <si>
    <t>Y1806-0649</t>
  </si>
  <si>
    <t>Y1806-0092</t>
  </si>
  <si>
    <t>067L-1</t>
    <phoneticPr fontId="3" type="noConversion"/>
  </si>
  <si>
    <t>Y1806-0122</t>
  </si>
  <si>
    <t>Y1806-0653</t>
  </si>
  <si>
    <t>Y1806-0662</t>
  </si>
  <si>
    <t>Y1806-0540</t>
  </si>
  <si>
    <t>161565C</t>
  </si>
  <si>
    <t>Y1806-0635</t>
  </si>
  <si>
    <t>T10</t>
    <phoneticPr fontId="3" type="noConversion"/>
  </si>
  <si>
    <t>Y1806-0852</t>
  </si>
  <si>
    <t>M9622</t>
  </si>
  <si>
    <t>067H-1</t>
    <phoneticPr fontId="3" type="noConversion"/>
  </si>
  <si>
    <t>Y1806-0853</t>
  </si>
  <si>
    <t>JORNEY'S</t>
  </si>
  <si>
    <t>067H-1</t>
    <phoneticPr fontId="3" type="noConversion"/>
  </si>
  <si>
    <t>掋内</t>
  </si>
  <si>
    <t>(Treå     ngaøy)</t>
  </si>
  <si>
    <t>T14-T16</t>
    <phoneticPr fontId="3" type="noConversion"/>
  </si>
  <si>
    <t>T1</t>
    <phoneticPr fontId="3" type="noConversion"/>
  </si>
  <si>
    <t>067L-1</t>
    <phoneticPr fontId="3" type="noConversion"/>
  </si>
  <si>
    <t>067L-1</t>
    <phoneticPr fontId="3" type="noConversion"/>
  </si>
  <si>
    <t>Y1806-0218</t>
  </si>
  <si>
    <t>161546C</t>
  </si>
  <si>
    <t>OS119U-5B</t>
  </si>
  <si>
    <t>T1-T2</t>
    <phoneticPr fontId="3" type="noConversion"/>
  </si>
  <si>
    <t>067L-1</t>
    <phoneticPr fontId="3" type="noConversion"/>
  </si>
  <si>
    <t>067H-1A</t>
  </si>
  <si>
    <t>T3-T4</t>
    <phoneticPr fontId="3" type="noConversion"/>
  </si>
  <si>
    <t>Y1806-0340+679</t>
  </si>
  <si>
    <t>067H-1A</t>
    <phoneticPr fontId="3" type="noConversion"/>
  </si>
  <si>
    <t>T12-T13</t>
    <phoneticPr fontId="3" type="noConversion"/>
  </si>
  <si>
    <t>T15</t>
    <phoneticPr fontId="3" type="noConversion"/>
  </si>
  <si>
    <t>T16</t>
    <phoneticPr fontId="3" type="noConversion"/>
  </si>
  <si>
    <t>T17</t>
    <phoneticPr fontId="3" type="noConversion"/>
  </si>
  <si>
    <t>T18</t>
    <phoneticPr fontId="3" type="noConversion"/>
  </si>
  <si>
    <t>T13</t>
    <phoneticPr fontId="3" type="noConversion"/>
  </si>
  <si>
    <t>T2</t>
    <phoneticPr fontId="3" type="noConversion"/>
  </si>
  <si>
    <t>T5</t>
    <phoneticPr fontId="3" type="noConversion"/>
  </si>
  <si>
    <t>T5</t>
    <phoneticPr fontId="3" type="noConversion"/>
  </si>
  <si>
    <t>T119</t>
    <phoneticPr fontId="3" type="noConversion"/>
  </si>
  <si>
    <t>T120</t>
    <phoneticPr fontId="3" type="noConversion"/>
  </si>
  <si>
    <t>T18</t>
    <phoneticPr fontId="3" type="noConversion"/>
  </si>
  <si>
    <t>T19</t>
    <phoneticPr fontId="3" type="noConversion"/>
  </si>
  <si>
    <t>6/5 7:30 -9:30</t>
    <phoneticPr fontId="3" type="noConversion"/>
  </si>
  <si>
    <t>6/5 9:30 -11:30</t>
    <phoneticPr fontId="3" type="noConversion"/>
  </si>
  <si>
    <t>6/5 12:30 -14:30</t>
    <phoneticPr fontId="3" type="noConversion"/>
  </si>
  <si>
    <t>6/5 14:30 -16:30</t>
    <phoneticPr fontId="3" type="noConversion"/>
  </si>
  <si>
    <t>Y1806-0483</t>
  </si>
  <si>
    <t>Y1806-0561</t>
  </si>
  <si>
    <t>T35-T36</t>
    <phoneticPr fontId="3" type="noConversion"/>
  </si>
  <si>
    <t>T37-T38</t>
    <phoneticPr fontId="3" type="noConversion"/>
  </si>
  <si>
    <t>T39-T40</t>
    <phoneticPr fontId="3" type="noConversion"/>
  </si>
  <si>
    <t>T14-T15</t>
    <phoneticPr fontId="3" type="noConversion"/>
  </si>
  <si>
    <t>T16-T17</t>
    <phoneticPr fontId="3" type="noConversion"/>
  </si>
  <si>
    <t>T18-T19</t>
    <phoneticPr fontId="3" type="noConversion"/>
  </si>
  <si>
    <t>T25-T26</t>
    <phoneticPr fontId="3" type="noConversion"/>
  </si>
  <si>
    <t>T27</t>
    <phoneticPr fontId="3" type="noConversion"/>
  </si>
  <si>
    <t>Y1806-0365</t>
  </si>
  <si>
    <t>646140C</t>
  </si>
  <si>
    <t>KD686B</t>
  </si>
  <si>
    <t>TC 10T</t>
  </si>
  <si>
    <t>T3-T4</t>
    <phoneticPr fontId="3" type="noConversion"/>
  </si>
  <si>
    <t>01L-1</t>
    <phoneticPr fontId="3" type="noConversion"/>
  </si>
  <si>
    <t>Y1806-0814</t>
  </si>
  <si>
    <t>Y1807-0156</t>
  </si>
  <si>
    <t>TC 12T</t>
  </si>
  <si>
    <t>13589DL</t>
    <phoneticPr fontId="3" type="noConversion"/>
  </si>
  <si>
    <t>13589DL</t>
    <phoneticPr fontId="3" type="noConversion"/>
  </si>
  <si>
    <t>T19-T20</t>
    <phoneticPr fontId="3" type="noConversion"/>
  </si>
  <si>
    <t>T21-T22</t>
    <phoneticPr fontId="3" type="noConversion"/>
  </si>
  <si>
    <t>T23-T24</t>
    <phoneticPr fontId="3" type="noConversion"/>
  </si>
  <si>
    <t>Y1806-0600</t>
  </si>
  <si>
    <t>Y1806-0038</t>
  </si>
  <si>
    <t>161606C</t>
  </si>
  <si>
    <t>Y1806-0755</t>
  </si>
  <si>
    <t>161607C</t>
  </si>
  <si>
    <t>T16-T17</t>
    <phoneticPr fontId="3" type="noConversion"/>
  </si>
  <si>
    <t>Y1807-0024</t>
  </si>
  <si>
    <t>Y1806-0393</t>
  </si>
  <si>
    <t>661916C</t>
  </si>
  <si>
    <t>T1-T2</t>
    <phoneticPr fontId="3" type="noConversion"/>
  </si>
  <si>
    <t>Y1806-0485</t>
  </si>
  <si>
    <t>Y1806-0795</t>
  </si>
  <si>
    <t>067L-1</t>
    <phoneticPr fontId="3" type="noConversion"/>
  </si>
  <si>
    <t>T2-T3</t>
    <phoneticPr fontId="3" type="noConversion"/>
  </si>
  <si>
    <t>Y1806-0811</t>
  </si>
  <si>
    <t>SA013L-1</t>
    <phoneticPr fontId="3" type="noConversion"/>
  </si>
  <si>
    <t>T6-T7</t>
    <phoneticPr fontId="3" type="noConversion"/>
  </si>
  <si>
    <t>Y1806-0141</t>
  </si>
  <si>
    <t>Y1807-0011</t>
  </si>
  <si>
    <t>SA013L-1</t>
    <phoneticPr fontId="3" type="noConversion"/>
  </si>
  <si>
    <t>T2-T3</t>
    <phoneticPr fontId="3" type="noConversion"/>
  </si>
  <si>
    <t>T4-T5</t>
    <phoneticPr fontId="3" type="noConversion"/>
  </si>
  <si>
    <t>T6-T7</t>
    <phoneticPr fontId="3" type="noConversion"/>
  </si>
  <si>
    <t>T10-T11</t>
    <phoneticPr fontId="3" type="noConversion"/>
  </si>
  <si>
    <t>T12-T13</t>
    <phoneticPr fontId="3" type="noConversion"/>
  </si>
  <si>
    <t>T10-T11</t>
    <phoneticPr fontId="3" type="noConversion"/>
  </si>
  <si>
    <t>T14-T15</t>
    <phoneticPr fontId="3" type="noConversion"/>
  </si>
  <si>
    <t>T121-T122</t>
    <phoneticPr fontId="3" type="noConversion"/>
  </si>
  <si>
    <t>T123-T124</t>
    <phoneticPr fontId="3" type="noConversion"/>
  </si>
  <si>
    <t>T125-T126</t>
    <phoneticPr fontId="3" type="noConversion"/>
  </si>
  <si>
    <t>T20-T21</t>
    <phoneticPr fontId="3" type="noConversion"/>
  </si>
  <si>
    <t>T22-T23</t>
    <phoneticPr fontId="3" type="noConversion"/>
  </si>
  <si>
    <t>T24-T25</t>
    <phoneticPr fontId="3" type="noConversion"/>
  </si>
  <si>
    <t>T26-T27</t>
    <phoneticPr fontId="3" type="noConversion"/>
  </si>
  <si>
    <t>Y1806-0219</t>
  </si>
  <si>
    <t>161547C</t>
  </si>
  <si>
    <t>067L-1</t>
    <phoneticPr fontId="3" type="noConversion"/>
  </si>
  <si>
    <t>Y1806-0520</t>
  </si>
  <si>
    <t>Y1806-0743</t>
  </si>
  <si>
    <t>T5-T6</t>
    <phoneticPr fontId="3" type="noConversion"/>
  </si>
  <si>
    <t>Y1806-0135</t>
  </si>
  <si>
    <t>Y1806-0119</t>
  </si>
  <si>
    <t>067H-1A</t>
    <phoneticPr fontId="3" type="noConversion"/>
  </si>
  <si>
    <t>067H-1A</t>
    <phoneticPr fontId="3" type="noConversion"/>
  </si>
  <si>
    <t>Y1806-0651</t>
  </si>
  <si>
    <t>Y1806-0652</t>
  </si>
  <si>
    <t>T1</t>
    <phoneticPr fontId="3" type="noConversion"/>
  </si>
  <si>
    <t>T41</t>
    <phoneticPr fontId="3" type="noConversion"/>
  </si>
  <si>
    <t>T20</t>
    <phoneticPr fontId="3" type="noConversion"/>
  </si>
  <si>
    <t>T25-T26</t>
    <phoneticPr fontId="3" type="noConversion"/>
  </si>
  <si>
    <t>T8-T9</t>
    <phoneticPr fontId="3" type="noConversion"/>
  </si>
  <si>
    <t>T127</t>
    <phoneticPr fontId="3" type="noConversion"/>
  </si>
  <si>
    <t>6/6 7:30 -9:30</t>
    <phoneticPr fontId="3" type="noConversion"/>
  </si>
  <si>
    <t>6/6 9:30 -11:30</t>
    <phoneticPr fontId="3" type="noConversion"/>
  </si>
  <si>
    <t>6/6 12:30 -14:30</t>
    <phoneticPr fontId="3" type="noConversion"/>
  </si>
  <si>
    <t>6/6 14:30 -16:30</t>
    <phoneticPr fontId="3" type="noConversion"/>
  </si>
  <si>
    <t>Y1806-0693</t>
  </si>
  <si>
    <t>162938C</t>
  </si>
  <si>
    <t>Y1806-0525</t>
  </si>
  <si>
    <t>TC 5T</t>
    <phoneticPr fontId="3" type="noConversion"/>
  </si>
  <si>
    <t>T1-T2</t>
    <phoneticPr fontId="3" type="noConversion"/>
  </si>
  <si>
    <t>T5</t>
    <phoneticPr fontId="3" type="noConversion"/>
  </si>
  <si>
    <t>Y1806-0704</t>
  </si>
  <si>
    <t>662759C</t>
  </si>
  <si>
    <t>SA216J-B-4B</t>
  </si>
  <si>
    <t>Y1806-0005</t>
  </si>
  <si>
    <t>660005C</t>
  </si>
  <si>
    <t>SA216J-B-5</t>
  </si>
  <si>
    <t>T42-T43</t>
    <phoneticPr fontId="3" type="noConversion"/>
  </si>
  <si>
    <t>T44-T45</t>
    <phoneticPr fontId="3" type="noConversion"/>
  </si>
  <si>
    <t>T46-T47</t>
    <phoneticPr fontId="3" type="noConversion"/>
  </si>
  <si>
    <t>T48-T49</t>
    <phoneticPr fontId="3" type="noConversion"/>
  </si>
  <si>
    <t>T21-T22</t>
    <phoneticPr fontId="3" type="noConversion"/>
  </si>
  <si>
    <t>T23-T24</t>
    <phoneticPr fontId="3" type="noConversion"/>
  </si>
  <si>
    <t>T25-T26</t>
    <phoneticPr fontId="3" type="noConversion"/>
  </si>
  <si>
    <t>T5-T6</t>
    <phoneticPr fontId="3" type="noConversion"/>
  </si>
  <si>
    <t>T9-T10</t>
    <phoneticPr fontId="3" type="noConversion"/>
  </si>
  <si>
    <t>Y1806-0363</t>
  </si>
  <si>
    <t>646139C</t>
  </si>
  <si>
    <t>01L-1</t>
    <phoneticPr fontId="3" type="noConversion"/>
  </si>
  <si>
    <t>T3-T4</t>
    <phoneticPr fontId="3" type="noConversion"/>
  </si>
  <si>
    <t>T5-T6</t>
    <phoneticPr fontId="3" type="noConversion"/>
  </si>
  <si>
    <t>T7-T8</t>
    <phoneticPr fontId="3" type="noConversion"/>
  </si>
  <si>
    <t>T9-T10</t>
    <phoneticPr fontId="3" type="noConversion"/>
  </si>
  <si>
    <t>T27-T28</t>
    <phoneticPr fontId="3" type="noConversion"/>
  </si>
  <si>
    <t>Y1806-0595</t>
  </si>
  <si>
    <t>Y1807-0005</t>
  </si>
  <si>
    <t>067L-1</t>
    <phoneticPr fontId="3" type="noConversion"/>
  </si>
  <si>
    <t>067L-1</t>
    <phoneticPr fontId="3" type="noConversion"/>
  </si>
  <si>
    <t>T4-T5</t>
    <phoneticPr fontId="3" type="noConversion"/>
  </si>
  <si>
    <t>T6</t>
    <phoneticPr fontId="3" type="noConversion"/>
  </si>
  <si>
    <t>Y1806-0756</t>
  </si>
  <si>
    <t>13589DL</t>
    <phoneticPr fontId="3" type="noConversion"/>
  </si>
  <si>
    <t>Y1806-0757</t>
  </si>
  <si>
    <t>13589DL</t>
    <phoneticPr fontId="3" type="noConversion"/>
  </si>
  <si>
    <t>T25-T26</t>
    <phoneticPr fontId="3" type="noConversion"/>
  </si>
  <si>
    <t>T27-T28</t>
    <phoneticPr fontId="3" type="noConversion"/>
  </si>
  <si>
    <t>T4-T5</t>
    <phoneticPr fontId="3" type="noConversion"/>
  </si>
  <si>
    <t>Y1806-0327</t>
  </si>
  <si>
    <t>Y1806-0297</t>
  </si>
  <si>
    <t>01L-1</t>
    <phoneticPr fontId="3" type="noConversion"/>
  </si>
  <si>
    <t>TC 3T</t>
    <phoneticPr fontId="3" type="noConversion"/>
  </si>
  <si>
    <t>Y1807-0060</t>
  </si>
  <si>
    <t>01L-1</t>
    <phoneticPr fontId="3" type="noConversion"/>
  </si>
  <si>
    <t>T5-T6</t>
    <phoneticPr fontId="3" type="noConversion"/>
  </si>
  <si>
    <t>Y1806-0800</t>
  </si>
  <si>
    <t>Y1805-1208</t>
  </si>
  <si>
    <t>Y1806-0831</t>
  </si>
  <si>
    <t>T3-T4</t>
    <phoneticPr fontId="3" type="noConversion"/>
  </si>
  <si>
    <t>T4</t>
    <phoneticPr fontId="3" type="noConversion"/>
  </si>
  <si>
    <t>Y1806-0144</t>
  </si>
  <si>
    <t>161600C</t>
  </si>
  <si>
    <t>TC 4T</t>
    <phoneticPr fontId="3" type="noConversion"/>
  </si>
  <si>
    <t>SA013L-1</t>
    <phoneticPr fontId="3" type="noConversion"/>
  </si>
  <si>
    <t>Y1806-0426</t>
  </si>
  <si>
    <t>Y1806-0048</t>
  </si>
  <si>
    <t>T10-T11</t>
    <phoneticPr fontId="3" type="noConversion"/>
  </si>
  <si>
    <t>T12-T13</t>
    <phoneticPr fontId="3" type="noConversion"/>
  </si>
  <si>
    <t>Y1806-0739</t>
  </si>
  <si>
    <t>3UY</t>
  </si>
  <si>
    <t>T1-T2</t>
    <phoneticPr fontId="3" type="noConversion"/>
  </si>
  <si>
    <t>067H-1</t>
    <phoneticPr fontId="3" type="noConversion"/>
  </si>
  <si>
    <t>T14-T15</t>
    <phoneticPr fontId="3" type="noConversion"/>
  </si>
  <si>
    <t>T16-T17</t>
    <phoneticPr fontId="3" type="noConversion"/>
  </si>
  <si>
    <t>T18-T19</t>
    <phoneticPr fontId="3" type="noConversion"/>
  </si>
  <si>
    <t>T16-T17</t>
    <phoneticPr fontId="3" type="noConversion"/>
  </si>
  <si>
    <t>T20-T21</t>
    <phoneticPr fontId="3" type="noConversion"/>
  </si>
  <si>
    <t>T22-T23</t>
    <phoneticPr fontId="3" type="noConversion"/>
  </si>
  <si>
    <t>T128-T129</t>
    <phoneticPr fontId="3" type="noConversion"/>
  </si>
  <si>
    <t>T130-T131</t>
    <phoneticPr fontId="3" type="noConversion"/>
  </si>
  <si>
    <t>T132-T133</t>
    <phoneticPr fontId="3" type="noConversion"/>
  </si>
  <si>
    <t>T134-T135</t>
    <phoneticPr fontId="3" type="noConversion"/>
  </si>
  <si>
    <t>T28-T29</t>
    <phoneticPr fontId="3" type="noConversion"/>
  </si>
  <si>
    <t>T30-T31</t>
    <phoneticPr fontId="3" type="noConversion"/>
  </si>
  <si>
    <t>Y1806-0306</t>
  </si>
  <si>
    <t>067L-1</t>
    <phoneticPr fontId="3" type="noConversion"/>
  </si>
  <si>
    <r>
      <t xml:space="preserve">Da </t>
    </r>
    <r>
      <rPr>
        <b/>
        <sz val="6"/>
        <color indexed="8"/>
        <rFont val="細明體"/>
        <family val="3"/>
        <charset val="136"/>
      </rPr>
      <t>皮</t>
    </r>
    <phoneticPr fontId="3" type="noConversion"/>
  </si>
  <si>
    <r>
      <t xml:space="preserve">THIEU DT </t>
    </r>
    <r>
      <rPr>
        <b/>
        <sz val="11"/>
        <color indexed="8"/>
        <rFont val="細明體"/>
        <family val="3"/>
        <charset val="136"/>
      </rPr>
      <t>欠鞋墊</t>
    </r>
    <phoneticPr fontId="14" type="noConversion"/>
  </si>
  <si>
    <t>Y1806-0744</t>
  </si>
  <si>
    <t>Y1806-0745</t>
  </si>
  <si>
    <t>067L-1</t>
    <phoneticPr fontId="3" type="noConversion"/>
  </si>
  <si>
    <t>Y1806-0708</t>
  </si>
  <si>
    <t>067H-1A</t>
    <phoneticPr fontId="3" type="noConversion"/>
  </si>
  <si>
    <t>Y1806-0703</t>
  </si>
  <si>
    <t>TC 24T</t>
  </si>
  <si>
    <t>T3</t>
    <phoneticPr fontId="3" type="noConversion"/>
  </si>
  <si>
    <t>T4</t>
    <phoneticPr fontId="3" type="noConversion"/>
  </si>
  <si>
    <t>T27</t>
    <phoneticPr fontId="3" type="noConversion"/>
  </si>
  <si>
    <t>Y1806-0014</t>
  </si>
  <si>
    <t>T2</t>
    <phoneticPr fontId="3" type="noConversion"/>
  </si>
  <si>
    <t>TC 2T</t>
    <phoneticPr fontId="3" type="noConversion"/>
  </si>
  <si>
    <t>T20</t>
    <phoneticPr fontId="3" type="noConversion"/>
  </si>
  <si>
    <t>T28-T29</t>
    <phoneticPr fontId="3" type="noConversion"/>
  </si>
  <si>
    <t>T2</t>
    <phoneticPr fontId="3" type="noConversion"/>
  </si>
  <si>
    <t>TC 2T</t>
    <phoneticPr fontId="3" type="noConversion"/>
  </si>
  <si>
    <t>T3</t>
    <phoneticPr fontId="3" type="noConversion"/>
  </si>
  <si>
    <t>T4</t>
    <phoneticPr fontId="3" type="noConversion"/>
  </si>
  <si>
    <t>6/7 7:30 -9:30</t>
    <phoneticPr fontId="3" type="noConversion"/>
  </si>
  <si>
    <t>6/7 9:30 -11:30</t>
    <phoneticPr fontId="3" type="noConversion"/>
  </si>
  <si>
    <t>6/7 12:30 -14:30</t>
    <phoneticPr fontId="3" type="noConversion"/>
  </si>
  <si>
    <t>6/7 14:30 -16:30</t>
    <phoneticPr fontId="3" type="noConversion"/>
  </si>
  <si>
    <t>Y1806-0212</t>
  </si>
  <si>
    <t>661927C</t>
  </si>
  <si>
    <t>SA216J-B-3</t>
  </si>
  <si>
    <t>Y1806-0006</t>
  </si>
  <si>
    <t>Y1806-0213</t>
  </si>
  <si>
    <t>661928C</t>
  </si>
  <si>
    <t>01H-1</t>
    <phoneticPr fontId="3" type="noConversion"/>
  </si>
  <si>
    <t>01H-1</t>
    <phoneticPr fontId="3" type="noConversion"/>
  </si>
  <si>
    <t>01H-1</t>
    <phoneticPr fontId="3" type="noConversion"/>
  </si>
  <si>
    <t>T50-T51</t>
    <phoneticPr fontId="3" type="noConversion"/>
  </si>
  <si>
    <t>T52-T53</t>
    <phoneticPr fontId="3" type="noConversion"/>
  </si>
  <si>
    <t>T54-T55</t>
    <phoneticPr fontId="3" type="noConversion"/>
  </si>
  <si>
    <t>T30-T31</t>
    <phoneticPr fontId="3" type="noConversion"/>
  </si>
  <si>
    <t>T32</t>
    <phoneticPr fontId="3" type="noConversion"/>
  </si>
  <si>
    <t>Y1806-0259</t>
  </si>
  <si>
    <t>067L-1</t>
    <phoneticPr fontId="3" type="noConversion"/>
  </si>
  <si>
    <t>067L-1</t>
    <phoneticPr fontId="3" type="noConversion"/>
  </si>
  <si>
    <t>T5-T6</t>
    <phoneticPr fontId="3" type="noConversion"/>
  </si>
  <si>
    <t>T7-T8</t>
    <phoneticPr fontId="3" type="noConversion"/>
  </si>
  <si>
    <t>T11-T12</t>
    <phoneticPr fontId="3" type="noConversion"/>
  </si>
  <si>
    <t>Y1806-0806</t>
  </si>
  <si>
    <t>13589DL</t>
    <phoneticPr fontId="3" type="noConversion"/>
  </si>
  <si>
    <t>T5-T6</t>
    <phoneticPr fontId="3" type="noConversion"/>
  </si>
  <si>
    <t>Y1807-0098</t>
    <phoneticPr fontId="40" type="noConversion"/>
  </si>
  <si>
    <t>2BUY</t>
    <phoneticPr fontId="40" type="noConversion"/>
  </si>
  <si>
    <r>
      <t xml:space="preserve">Da </t>
    </r>
    <r>
      <rPr>
        <b/>
        <sz val="11"/>
        <color indexed="8"/>
        <rFont val="細明體"/>
        <family val="3"/>
        <charset val="136"/>
      </rPr>
      <t>皮</t>
    </r>
    <phoneticPr fontId="40" type="noConversion"/>
  </si>
  <si>
    <t>161551C</t>
    <phoneticPr fontId="40" type="noConversion"/>
  </si>
  <si>
    <t>OS119U-5B-3</t>
    <phoneticPr fontId="40" type="noConversion"/>
  </si>
  <si>
    <t>Y1806-0616</t>
    <phoneticPr fontId="40" type="noConversion"/>
  </si>
  <si>
    <t>161548C</t>
    <phoneticPr fontId="40" type="noConversion"/>
  </si>
  <si>
    <t>Y1807-0003</t>
    <phoneticPr fontId="40" type="noConversion"/>
  </si>
  <si>
    <t>1BUY</t>
    <phoneticPr fontId="40" type="noConversion"/>
  </si>
  <si>
    <t>TC 5T</t>
    <phoneticPr fontId="40" type="noConversion"/>
  </si>
  <si>
    <t>T2-T3</t>
    <phoneticPr fontId="3" type="noConversion"/>
  </si>
  <si>
    <t>T4-T5</t>
    <phoneticPr fontId="3" type="noConversion"/>
  </si>
  <si>
    <t>T6</t>
    <phoneticPr fontId="3" type="noConversion"/>
  </si>
  <si>
    <t>Y1806-0599</t>
  </si>
  <si>
    <t>T29-T30</t>
    <phoneticPr fontId="3" type="noConversion"/>
  </si>
  <si>
    <t>T31</t>
    <phoneticPr fontId="3" type="noConversion"/>
  </si>
  <si>
    <t>Y1806-0631</t>
  </si>
  <si>
    <t>Y1806-0727</t>
  </si>
  <si>
    <t>Y1806-0685</t>
    <phoneticPr fontId="3" type="noConversion"/>
  </si>
  <si>
    <t>TC 3T</t>
    <phoneticPr fontId="3" type="noConversion"/>
  </si>
  <si>
    <t>Y1806-0061</t>
  </si>
  <si>
    <t>Y1806-0063</t>
  </si>
  <si>
    <t>Y1806-0718</t>
  </si>
  <si>
    <t>01L-1</t>
    <phoneticPr fontId="3" type="noConversion"/>
  </si>
  <si>
    <t>TC 7T</t>
    <phoneticPr fontId="3" type="noConversion"/>
  </si>
  <si>
    <t>01L-1</t>
    <phoneticPr fontId="3" type="noConversion"/>
  </si>
  <si>
    <t>Y1806-0833</t>
  </si>
  <si>
    <t>Y1806-0664</t>
  </si>
  <si>
    <t>Y1806-0604</t>
  </si>
  <si>
    <t>Y1806-0633</t>
  </si>
  <si>
    <t>SA013L-1</t>
    <phoneticPr fontId="3" type="noConversion"/>
  </si>
  <si>
    <t>Y1806-0660</t>
  </si>
  <si>
    <t>TC 9T</t>
    <phoneticPr fontId="3" type="noConversion"/>
  </si>
  <si>
    <t>T2-T3</t>
    <phoneticPr fontId="3" type="noConversion"/>
  </si>
  <si>
    <t>SA013L-1</t>
    <phoneticPr fontId="3" type="noConversion"/>
  </si>
  <si>
    <t>6/7 7:30 -9:30</t>
    <phoneticPr fontId="3" type="noConversion"/>
  </si>
  <si>
    <t>Y1806-0593</t>
  </si>
  <si>
    <t>T4-T5</t>
    <phoneticPr fontId="3" type="noConversion"/>
  </si>
  <si>
    <t>067H-1</t>
    <phoneticPr fontId="3" type="noConversion"/>
  </si>
  <si>
    <t>Y1806-0771</t>
  </si>
  <si>
    <t>M9622C</t>
  </si>
  <si>
    <t>Y1806-0786</t>
  </si>
  <si>
    <t>M9621C</t>
  </si>
  <si>
    <t>Y1806-0785</t>
  </si>
  <si>
    <t>067H-1</t>
    <phoneticPr fontId="3" type="noConversion"/>
  </si>
  <si>
    <t>067H-1</t>
    <phoneticPr fontId="3" type="noConversion"/>
  </si>
  <si>
    <t>T1-T2</t>
    <phoneticPr fontId="3" type="noConversion"/>
  </si>
  <si>
    <t>M9621C</t>
    <phoneticPr fontId="3" type="noConversion"/>
  </si>
  <si>
    <t>M7650C</t>
  </si>
  <si>
    <t>10A TRANG(10A 白)</t>
  </si>
  <si>
    <t>T21-T22</t>
    <phoneticPr fontId="3" type="noConversion"/>
  </si>
  <si>
    <t>T23-T24</t>
    <phoneticPr fontId="3" type="noConversion"/>
  </si>
  <si>
    <t>T25-T26</t>
    <phoneticPr fontId="3" type="noConversion"/>
  </si>
  <si>
    <t>T26-T27</t>
    <phoneticPr fontId="3" type="noConversion"/>
  </si>
  <si>
    <t>T136-T137</t>
    <phoneticPr fontId="3" type="noConversion"/>
  </si>
  <si>
    <t>T138-T139</t>
    <phoneticPr fontId="3" type="noConversion"/>
  </si>
  <si>
    <t>T140-T141</t>
    <phoneticPr fontId="3" type="noConversion"/>
  </si>
  <si>
    <t>Y1807-0108</t>
    <phoneticPr fontId="40" type="noConversion"/>
  </si>
  <si>
    <t>2BUY</t>
    <phoneticPr fontId="40" type="noConversion"/>
  </si>
  <si>
    <r>
      <t xml:space="preserve">Da </t>
    </r>
    <r>
      <rPr>
        <b/>
        <sz val="11"/>
        <color indexed="8"/>
        <rFont val="細明體"/>
        <family val="3"/>
        <charset val="136"/>
      </rPr>
      <t>皮</t>
    </r>
    <phoneticPr fontId="40" type="noConversion"/>
  </si>
  <si>
    <t>162938C</t>
    <phoneticPr fontId="40" type="noConversion"/>
  </si>
  <si>
    <t>OS119U-12B</t>
    <phoneticPr fontId="40" type="noConversion"/>
  </si>
  <si>
    <t>Y1807-0030</t>
    <phoneticPr fontId="40" type="noConversion"/>
  </si>
  <si>
    <t>162938C</t>
    <phoneticPr fontId="40" type="noConversion"/>
  </si>
  <si>
    <t>067L-1</t>
    <phoneticPr fontId="3" type="noConversion"/>
  </si>
  <si>
    <t>T6-T7</t>
    <phoneticPr fontId="3" type="noConversion"/>
  </si>
  <si>
    <t>Y1807-0095</t>
    <phoneticPr fontId="40" type="noConversion"/>
  </si>
  <si>
    <r>
      <t xml:space="preserve">Da </t>
    </r>
    <r>
      <rPr>
        <b/>
        <sz val="9"/>
        <color indexed="8"/>
        <rFont val="細明體"/>
        <family val="3"/>
        <charset val="136"/>
      </rPr>
      <t>皮</t>
    </r>
    <phoneticPr fontId="40" type="noConversion"/>
  </si>
  <si>
    <t>Y1806-0519</t>
    <phoneticPr fontId="40" type="noConversion"/>
  </si>
  <si>
    <t>161546C</t>
    <phoneticPr fontId="40" type="noConversion"/>
  </si>
  <si>
    <t>OS119U-5B</t>
    <phoneticPr fontId="40" type="noConversion"/>
  </si>
  <si>
    <t>Y1807-0103</t>
    <phoneticPr fontId="40" type="noConversion"/>
  </si>
  <si>
    <t>067L-1</t>
    <phoneticPr fontId="3" type="noConversion"/>
  </si>
  <si>
    <t>Nhap Kho A6</t>
    <phoneticPr fontId="3" type="noConversion"/>
  </si>
  <si>
    <t>T56</t>
    <phoneticPr fontId="3" type="noConversion"/>
  </si>
  <si>
    <t>Y1806-0267</t>
  </si>
  <si>
    <t>T1</t>
    <phoneticPr fontId="3" type="noConversion"/>
  </si>
  <si>
    <t>067L-1</t>
    <phoneticPr fontId="3" type="noConversion"/>
  </si>
  <si>
    <t>T9-T10</t>
    <phoneticPr fontId="3" type="noConversion"/>
  </si>
  <si>
    <t>T6</t>
    <phoneticPr fontId="3" type="noConversion"/>
  </si>
  <si>
    <t>T27</t>
    <phoneticPr fontId="3" type="noConversion"/>
  </si>
  <si>
    <t>T30</t>
    <phoneticPr fontId="3" type="noConversion"/>
  </si>
  <si>
    <t>T142</t>
    <phoneticPr fontId="3" type="noConversion"/>
  </si>
  <si>
    <t>T5</t>
    <phoneticPr fontId="40" type="noConversion"/>
  </si>
  <si>
    <t>6/8 7:30 -9:30</t>
    <phoneticPr fontId="3" type="noConversion"/>
  </si>
  <si>
    <t>6/8 9:30 -11:30</t>
    <phoneticPr fontId="3" type="noConversion"/>
  </si>
  <si>
    <t>6/8 12:30 -14:30</t>
    <phoneticPr fontId="3" type="noConversion"/>
  </si>
  <si>
    <t>6/8 14:30 -16:30</t>
    <phoneticPr fontId="3" type="noConversion"/>
  </si>
  <si>
    <t>Y1806-0007</t>
  </si>
  <si>
    <t>Y1806-0008</t>
  </si>
  <si>
    <t>662817C</t>
  </si>
  <si>
    <t>Y1806-0214</t>
  </si>
  <si>
    <t>TC 11T</t>
  </si>
  <si>
    <t>T57-T58</t>
    <phoneticPr fontId="3" type="noConversion"/>
  </si>
  <si>
    <t>T59-T60</t>
    <phoneticPr fontId="3" type="noConversion"/>
  </si>
  <si>
    <t>T61-T62</t>
    <phoneticPr fontId="3" type="noConversion"/>
  </si>
  <si>
    <t>T2-T3</t>
    <phoneticPr fontId="3" type="noConversion"/>
  </si>
  <si>
    <t>Y1806-0269</t>
  </si>
  <si>
    <t>067L-1</t>
    <phoneticPr fontId="3" type="noConversion"/>
  </si>
  <si>
    <t>Y1806-0344</t>
  </si>
  <si>
    <t>661827C</t>
  </si>
  <si>
    <t>6G CTAS HI-5B</t>
  </si>
  <si>
    <t>01H-1</t>
    <phoneticPr fontId="3" type="noConversion"/>
  </si>
  <si>
    <t>Y1806-0817</t>
  </si>
  <si>
    <t>Y1806-0683</t>
  </si>
  <si>
    <t>Y1806-0804</t>
  </si>
  <si>
    <t>13589DL</t>
    <phoneticPr fontId="3" type="noConversion"/>
  </si>
  <si>
    <t>13589DL</t>
    <phoneticPr fontId="3" type="noConversion"/>
  </si>
  <si>
    <t>067L-1</t>
    <phoneticPr fontId="3" type="noConversion"/>
  </si>
  <si>
    <t>T4-T5</t>
    <phoneticPr fontId="3" type="noConversion"/>
  </si>
  <si>
    <t>Y1806-0659</t>
  </si>
  <si>
    <t>Y1807-0160</t>
  </si>
  <si>
    <t>13589DL</t>
    <phoneticPr fontId="3" type="noConversion"/>
  </si>
  <si>
    <r>
      <rPr>
        <b/>
        <sz val="10"/>
        <color indexed="8"/>
        <rFont val="細明體"/>
        <family val="3"/>
        <charset val="136"/>
      </rPr>
      <t>欠鞋垫</t>
    </r>
    <r>
      <rPr>
        <b/>
        <sz val="10"/>
        <color indexed="8"/>
        <rFont val="Arial"/>
        <family val="2"/>
      </rPr>
      <t>Thiếu đế trung tháo  -73**</t>
    </r>
    <phoneticPr fontId="3" type="noConversion"/>
  </si>
  <si>
    <t>Y1806-0818</t>
  </si>
  <si>
    <t>Y1806-0750</t>
  </si>
  <si>
    <t>TC 2T</t>
    <phoneticPr fontId="3" type="noConversion"/>
  </si>
  <si>
    <t>T6-T7</t>
    <phoneticPr fontId="3" type="noConversion"/>
  </si>
  <si>
    <t>Y1807-0124</t>
  </si>
  <si>
    <t>01L-1</t>
    <phoneticPr fontId="3" type="noConversion"/>
  </si>
  <si>
    <t>Y1806-0496</t>
  </si>
  <si>
    <t>158370C</t>
  </si>
  <si>
    <t>Y1806-0845</t>
  </si>
  <si>
    <t>158368C</t>
  </si>
  <si>
    <t>Y1806-0847</t>
  </si>
  <si>
    <t>158371C</t>
  </si>
  <si>
    <t>067L-1</t>
    <phoneticPr fontId="3" type="noConversion"/>
  </si>
  <si>
    <t>Y1806-0501</t>
  </si>
  <si>
    <t>T5-T6</t>
    <phoneticPr fontId="3" type="noConversion"/>
  </si>
  <si>
    <t>Y1806-0098</t>
  </si>
  <si>
    <t>Y1806-0594</t>
  </si>
  <si>
    <t>SA013L-1</t>
    <phoneticPr fontId="3" type="noConversion"/>
  </si>
  <si>
    <t>T1-T95</t>
  </si>
  <si>
    <t>Y1806-0773.774-1
Y1807-0159-1</t>
    <phoneticPr fontId="3" type="noConversion"/>
  </si>
  <si>
    <t>T1-T2</t>
    <phoneticPr fontId="3" type="noConversion"/>
  </si>
  <si>
    <t>T3-T4</t>
    <phoneticPr fontId="3" type="noConversion"/>
  </si>
  <si>
    <t>T5-T6</t>
    <phoneticPr fontId="3" type="noConversion"/>
  </si>
  <si>
    <t>067H-1</t>
    <phoneticPr fontId="3" type="noConversion"/>
  </si>
  <si>
    <t>T28-T29</t>
    <phoneticPr fontId="3" type="noConversion"/>
  </si>
  <si>
    <t>T30-T31</t>
    <phoneticPr fontId="3" type="noConversion"/>
  </si>
  <si>
    <t>T32-T33</t>
    <phoneticPr fontId="3" type="noConversion"/>
  </si>
  <si>
    <t>T31-T32</t>
    <phoneticPr fontId="3" type="noConversion"/>
  </si>
  <si>
    <t>T33-T34</t>
    <phoneticPr fontId="3" type="noConversion"/>
  </si>
  <si>
    <t>T35-T36</t>
    <phoneticPr fontId="3" type="noConversion"/>
  </si>
  <si>
    <t>T143-T144</t>
    <phoneticPr fontId="3" type="noConversion"/>
  </si>
  <si>
    <t>T145-T146</t>
    <phoneticPr fontId="3" type="noConversion"/>
  </si>
  <si>
    <t>T147-T148</t>
    <phoneticPr fontId="3" type="noConversion"/>
  </si>
  <si>
    <t>Y1807-0042</t>
  </si>
  <si>
    <t>ZS1807-002</t>
  </si>
  <si>
    <t>162938V</t>
  </si>
  <si>
    <t>Y1806-0444</t>
  </si>
  <si>
    <t>Y1806-0694</t>
  </si>
  <si>
    <t>Y1806-0443</t>
  </si>
  <si>
    <t>KOREA</t>
    <phoneticPr fontId="3" type="noConversion"/>
  </si>
  <si>
    <t>067L-1</t>
    <phoneticPr fontId="3" type="noConversion"/>
  </si>
  <si>
    <t>Y1807-0096</t>
  </si>
  <si>
    <t>Y1806-0127</t>
  </si>
  <si>
    <t>161541C</t>
  </si>
  <si>
    <t>067L-1'</t>
    <phoneticPr fontId="3" type="noConversion"/>
  </si>
  <si>
    <t>Y1806-0303</t>
  </si>
  <si>
    <t>161542C</t>
  </si>
  <si>
    <t>Y1806-0156</t>
  </si>
  <si>
    <t>T8-T9</t>
    <phoneticPr fontId="3" type="noConversion"/>
  </si>
  <si>
    <t>T10-T11</t>
    <phoneticPr fontId="3" type="noConversion"/>
  </si>
  <si>
    <t>T12-T13</t>
    <phoneticPr fontId="40" type="noConversion"/>
  </si>
  <si>
    <t>TC 7T</t>
    <phoneticPr fontId="3" type="noConversion"/>
  </si>
  <si>
    <t>Y1806-0034</t>
  </si>
  <si>
    <t>161589C</t>
  </si>
  <si>
    <t>T1-T2</t>
    <phoneticPr fontId="3" type="noConversion"/>
  </si>
  <si>
    <t>Y1806-0035</t>
  </si>
  <si>
    <t>161590C</t>
  </si>
  <si>
    <t>T1</t>
    <phoneticPr fontId="3" type="noConversion"/>
  </si>
  <si>
    <t>067L-1</t>
    <phoneticPr fontId="3" type="noConversion"/>
  </si>
  <si>
    <t>T3-T4</t>
    <phoneticPr fontId="3" type="noConversion"/>
  </si>
  <si>
    <t>T5-T6</t>
    <phoneticPr fontId="3" type="noConversion"/>
  </si>
  <si>
    <t>T7</t>
    <phoneticPr fontId="3" type="noConversion"/>
  </si>
  <si>
    <t>T3</t>
    <phoneticPr fontId="3" type="noConversion"/>
  </si>
  <si>
    <t>T63</t>
    <phoneticPr fontId="3" type="noConversion"/>
  </si>
  <si>
    <t>T4</t>
    <phoneticPr fontId="3" type="noConversion"/>
  </si>
  <si>
    <t>Y1807-0134</t>
  </si>
  <si>
    <t>661917C</t>
  </si>
  <si>
    <t>01L-1</t>
    <phoneticPr fontId="3" type="noConversion"/>
  </si>
  <si>
    <t>T34</t>
    <phoneticPr fontId="3" type="noConversion"/>
  </si>
  <si>
    <t>T37</t>
    <phoneticPr fontId="3" type="noConversion"/>
  </si>
  <si>
    <t>T149</t>
    <phoneticPr fontId="3" type="noConversion"/>
  </si>
  <si>
    <t>6/9 7:30 -9:30</t>
    <phoneticPr fontId="3" type="noConversion"/>
  </si>
  <si>
    <t>6/9 9:30 -11:30</t>
    <phoneticPr fontId="3" type="noConversion"/>
  </si>
  <si>
    <t>6/9 12:30 -14:30</t>
    <phoneticPr fontId="3" type="noConversion"/>
  </si>
  <si>
    <t>6/9 14:30 -16:30</t>
    <phoneticPr fontId="3" type="noConversion"/>
  </si>
  <si>
    <t>T6-T10</t>
    <phoneticPr fontId="3" type="noConversion"/>
  </si>
  <si>
    <t>T11</t>
    <phoneticPr fontId="3" type="noConversion"/>
  </si>
  <si>
    <t>Y1806-0487</t>
  </si>
  <si>
    <t>Y1806-0421</t>
  </si>
  <si>
    <t>01H-1</t>
    <phoneticPr fontId="3" type="noConversion"/>
  </si>
  <si>
    <t>T64-T65</t>
    <phoneticPr fontId="3" type="noConversion"/>
  </si>
  <si>
    <t>T66-T67</t>
    <phoneticPr fontId="3" type="noConversion"/>
  </si>
  <si>
    <t>T68-T69</t>
    <phoneticPr fontId="3" type="noConversion"/>
  </si>
  <si>
    <t>T70-T71</t>
    <phoneticPr fontId="3" type="noConversion"/>
  </si>
  <si>
    <t>Y1806-0238</t>
  </si>
  <si>
    <t>T3-T4</t>
    <phoneticPr fontId="3" type="noConversion"/>
  </si>
  <si>
    <t>T5-T6</t>
    <phoneticPr fontId="3" type="noConversion"/>
  </si>
  <si>
    <t>067L-1</t>
    <phoneticPr fontId="3" type="noConversion"/>
  </si>
  <si>
    <t>T9</t>
    <phoneticPr fontId="3" type="noConversion"/>
  </si>
  <si>
    <t>Y1806-0029</t>
  </si>
  <si>
    <t>661919C</t>
  </si>
  <si>
    <t>TC 3T</t>
    <phoneticPr fontId="3" type="noConversion"/>
  </si>
  <si>
    <t>T7-T8</t>
    <phoneticPr fontId="3" type="noConversion"/>
  </si>
  <si>
    <t>Y1806-0819</t>
  </si>
  <si>
    <t>13589DL</t>
    <phoneticPr fontId="3" type="noConversion"/>
  </si>
  <si>
    <t>Y1806-0700</t>
  </si>
  <si>
    <t>Y1806-0476</t>
  </si>
  <si>
    <t>561783C</t>
  </si>
  <si>
    <t>SK032U-3A</t>
  </si>
  <si>
    <t>Y1806-0460</t>
  </si>
  <si>
    <t>Y1806-0808</t>
  </si>
  <si>
    <t>TC 4T</t>
    <phoneticPr fontId="3" type="noConversion"/>
  </si>
  <si>
    <t>13589DL</t>
    <phoneticPr fontId="3" type="noConversion"/>
  </si>
  <si>
    <t>Y1806-0758</t>
  </si>
  <si>
    <t>13589DL</t>
    <phoneticPr fontId="3" type="noConversion"/>
  </si>
  <si>
    <t>T2-T3</t>
    <phoneticPr fontId="3" type="noConversion"/>
  </si>
  <si>
    <t>Y1806-0848</t>
  </si>
  <si>
    <t>158434C</t>
  </si>
  <si>
    <t>Y1806-0376</t>
  </si>
  <si>
    <t>261794C</t>
  </si>
  <si>
    <t>TC 5T</t>
    <phoneticPr fontId="3" type="noConversion"/>
  </si>
  <si>
    <t>067L-1</t>
    <phoneticPr fontId="3" type="noConversion"/>
  </si>
  <si>
    <t>TC 4T</t>
    <phoneticPr fontId="3" type="noConversion"/>
  </si>
  <si>
    <t>SA013L-1</t>
    <phoneticPr fontId="3" type="noConversion"/>
  </si>
  <si>
    <t>Y1806-0106</t>
  </si>
  <si>
    <t>361817C</t>
  </si>
  <si>
    <t>SA384Y-A</t>
  </si>
  <si>
    <t>Y1806-0148</t>
  </si>
  <si>
    <t>361818C</t>
  </si>
  <si>
    <t>Y1806-0630</t>
  </si>
  <si>
    <t>Y1806-0622</t>
  </si>
  <si>
    <t>Y1806-0665</t>
  </si>
  <si>
    <t>Y1806-0142</t>
  </si>
  <si>
    <t>Y1807-0012</t>
  </si>
  <si>
    <t>T14-T15</t>
    <phoneticPr fontId="3" type="noConversion"/>
  </si>
  <si>
    <t>T35-T36</t>
    <phoneticPr fontId="3" type="noConversion"/>
  </si>
  <si>
    <t>T37-T38</t>
    <phoneticPr fontId="3" type="noConversion"/>
  </si>
  <si>
    <t>T39-T40</t>
    <phoneticPr fontId="3" type="noConversion"/>
  </si>
  <si>
    <t>T41-T42</t>
    <phoneticPr fontId="3" type="noConversion"/>
  </si>
  <si>
    <t>T38-T39</t>
    <phoneticPr fontId="3" type="noConversion"/>
  </si>
  <si>
    <t>T40-T41</t>
    <phoneticPr fontId="3" type="noConversion"/>
  </si>
  <si>
    <t>T42-T43</t>
    <phoneticPr fontId="3" type="noConversion"/>
  </si>
  <si>
    <t>T44-T45</t>
    <phoneticPr fontId="3" type="noConversion"/>
  </si>
  <si>
    <t>T150-T151</t>
    <phoneticPr fontId="3" type="noConversion"/>
  </si>
  <si>
    <t>T152-T153</t>
    <phoneticPr fontId="3" type="noConversion"/>
  </si>
  <si>
    <t>T154-T155</t>
    <phoneticPr fontId="3" type="noConversion"/>
  </si>
  <si>
    <t>T156-T157</t>
    <phoneticPr fontId="3" type="noConversion"/>
  </si>
  <si>
    <t>ZS1807-001</t>
  </si>
  <si>
    <t>162939V</t>
  </si>
  <si>
    <t>In meo kitty</t>
  </si>
  <si>
    <t>067L-1</t>
    <phoneticPr fontId="3" type="noConversion"/>
  </si>
  <si>
    <t>Y1806-0766</t>
  </si>
  <si>
    <t>162134C</t>
  </si>
  <si>
    <t>OS128U-B</t>
  </si>
  <si>
    <t>TC 33T</t>
  </si>
  <si>
    <t>KIEM PEAC</t>
  </si>
  <si>
    <t>067L-1</t>
    <phoneticPr fontId="3" type="noConversion"/>
  </si>
  <si>
    <t>T2-T3</t>
    <phoneticPr fontId="3" type="noConversion"/>
  </si>
  <si>
    <t>Y1806-0617</t>
  </si>
  <si>
    <t>Y1806-0740</t>
  </si>
  <si>
    <t>161544C</t>
  </si>
  <si>
    <t>TC 3T</t>
    <phoneticPr fontId="3" type="noConversion"/>
  </si>
  <si>
    <t>Y1806-0741</t>
  </si>
  <si>
    <t>TC 2T</t>
    <phoneticPr fontId="3" type="noConversion"/>
  </si>
  <si>
    <t>T18-T19</t>
    <phoneticPr fontId="3" type="noConversion"/>
  </si>
  <si>
    <t>067L-1</t>
    <phoneticPr fontId="3" type="noConversion"/>
  </si>
  <si>
    <t>T3</t>
    <phoneticPr fontId="3" type="noConversion"/>
  </si>
  <si>
    <t>T2</t>
    <phoneticPr fontId="3" type="noConversion"/>
  </si>
  <si>
    <t>T20</t>
    <phoneticPr fontId="40" type="noConversion"/>
  </si>
  <si>
    <t>6/11 7:30 -9:30</t>
    <phoneticPr fontId="3" type="noConversion"/>
  </si>
  <si>
    <t>6/11 9:30 -11:30</t>
    <phoneticPr fontId="3" type="noConversion"/>
  </si>
  <si>
    <t>6/11 12:30 -14:30</t>
    <phoneticPr fontId="3" type="noConversion"/>
  </si>
  <si>
    <t>6/11 14:30 -16:30</t>
    <phoneticPr fontId="3" type="noConversion"/>
  </si>
  <si>
    <t>T72-T73</t>
    <phoneticPr fontId="3" type="noConversion"/>
  </si>
  <si>
    <t>T74-T75</t>
    <phoneticPr fontId="3" type="noConversion"/>
  </si>
  <si>
    <t>Y1806-0494</t>
  </si>
  <si>
    <t>661923C</t>
  </si>
  <si>
    <t>Y1806-0470</t>
  </si>
  <si>
    <t>661922C</t>
  </si>
  <si>
    <t>01H-1</t>
    <phoneticPr fontId="3" type="noConversion"/>
  </si>
  <si>
    <t>01H-1</t>
    <phoneticPr fontId="3" type="noConversion"/>
  </si>
  <si>
    <t>Y1806-0311</t>
  </si>
  <si>
    <t>Y1806-0308</t>
  </si>
  <si>
    <t>067L-1</t>
    <phoneticPr fontId="3" type="noConversion"/>
  </si>
  <si>
    <t>Y1806-0245</t>
    <phoneticPr fontId="40" type="noConversion"/>
  </si>
  <si>
    <t>2BUY</t>
    <phoneticPr fontId="40" type="noConversion"/>
  </si>
  <si>
    <t>661936C</t>
    <phoneticPr fontId="40" type="noConversion"/>
  </si>
  <si>
    <t>KD686B-4</t>
    <phoneticPr fontId="40" type="noConversion"/>
  </si>
  <si>
    <t>Y1806-0577</t>
  </si>
  <si>
    <t>Y1806-0246</t>
  </si>
  <si>
    <t>Y1806-0318</t>
  </si>
  <si>
    <t>01L-1</t>
    <phoneticPr fontId="3" type="noConversion"/>
  </si>
  <si>
    <t>01L-1</t>
    <phoneticPr fontId="3" type="noConversion"/>
  </si>
  <si>
    <t>Y1806-0805</t>
  </si>
  <si>
    <t>T5-T6</t>
    <phoneticPr fontId="3" type="noConversion"/>
  </si>
  <si>
    <t>067L-1</t>
    <phoneticPr fontId="3" type="noConversion"/>
  </si>
  <si>
    <t>4BUY</t>
  </si>
  <si>
    <t>650502C</t>
  </si>
  <si>
    <t>KD685A-4</t>
  </si>
  <si>
    <t>Y1806-0326</t>
    <phoneticPr fontId="3" type="noConversion"/>
  </si>
  <si>
    <t>Y1806-0523</t>
  </si>
  <si>
    <t>Y1806-0521</t>
  </si>
  <si>
    <t>261789C</t>
  </si>
  <si>
    <t>Y1806-0522</t>
  </si>
  <si>
    <t>261790C</t>
  </si>
  <si>
    <t>Y1806-0678</t>
  </si>
  <si>
    <t>Y1807-0008</t>
  </si>
  <si>
    <t>161818F</t>
  </si>
  <si>
    <t>T2-T3</t>
    <phoneticPr fontId="3" type="noConversion"/>
  </si>
  <si>
    <t>Y1806-0482</t>
  </si>
  <si>
    <t>161604C</t>
  </si>
  <si>
    <t>SA013L-1</t>
    <phoneticPr fontId="3" type="noConversion"/>
  </si>
  <si>
    <t>T18-T19</t>
    <phoneticPr fontId="3" type="noConversion"/>
  </si>
  <si>
    <t>T43-T44</t>
    <phoneticPr fontId="3" type="noConversion"/>
  </si>
  <si>
    <t>T45-T46</t>
    <phoneticPr fontId="3" type="noConversion"/>
  </si>
  <si>
    <t>T47-T48</t>
    <phoneticPr fontId="3" type="noConversion"/>
  </si>
  <si>
    <t>T49-T50</t>
    <phoneticPr fontId="3" type="noConversion"/>
  </si>
  <si>
    <t>T46-T47</t>
    <phoneticPr fontId="3" type="noConversion"/>
  </si>
  <si>
    <t>T48-T49</t>
    <phoneticPr fontId="3" type="noConversion"/>
  </si>
  <si>
    <t>T50-T51</t>
    <phoneticPr fontId="3" type="noConversion"/>
  </si>
  <si>
    <t>T52-T53</t>
    <phoneticPr fontId="3" type="noConversion"/>
  </si>
  <si>
    <t>T158-T159</t>
    <phoneticPr fontId="3" type="noConversion"/>
  </si>
  <si>
    <t>T160-T161</t>
    <phoneticPr fontId="3" type="noConversion"/>
  </si>
  <si>
    <t>T162-T163</t>
    <phoneticPr fontId="3" type="noConversion"/>
  </si>
  <si>
    <t>T9-T10</t>
    <phoneticPr fontId="3" type="noConversion"/>
  </si>
  <si>
    <t>T11</t>
    <phoneticPr fontId="3" type="noConversion"/>
  </si>
  <si>
    <t>Y1806-0742</t>
    <phoneticPr fontId="40" type="noConversion"/>
  </si>
  <si>
    <t>3BUY</t>
    <phoneticPr fontId="40" type="noConversion"/>
  </si>
  <si>
    <t>161544C</t>
    <phoneticPr fontId="40" type="noConversion"/>
  </si>
  <si>
    <t>USA</t>
    <phoneticPr fontId="40" type="noConversion"/>
  </si>
  <si>
    <t>T1-T2</t>
    <phoneticPr fontId="3" type="noConversion"/>
  </si>
  <si>
    <t>T3-T4</t>
    <phoneticPr fontId="3" type="noConversion"/>
  </si>
  <si>
    <t>Y1807-0138</t>
  </si>
  <si>
    <t>Y1806-0518</t>
  </si>
  <si>
    <t>161545C</t>
  </si>
  <si>
    <t>Y1807-0104</t>
  </si>
  <si>
    <t>067L-1</t>
    <phoneticPr fontId="3" type="noConversion"/>
  </si>
  <si>
    <t>067L-1</t>
    <phoneticPr fontId="3" type="noConversion"/>
  </si>
  <si>
    <t>T21-T22</t>
    <phoneticPr fontId="3" type="noConversion"/>
  </si>
  <si>
    <t>T23-T24</t>
    <phoneticPr fontId="3" type="noConversion"/>
  </si>
  <si>
    <t>Y1807-0002</t>
  </si>
  <si>
    <t>Y1807-0163B</t>
  </si>
  <si>
    <t>067H-1A</t>
    <phoneticPr fontId="3" type="noConversion"/>
  </si>
  <si>
    <t>Y1807-0051</t>
  </si>
  <si>
    <t>Y1807-0050</t>
  </si>
  <si>
    <t>561785C</t>
  </si>
  <si>
    <t>Y1807-0168A</t>
  </si>
  <si>
    <t>13589DL</t>
    <phoneticPr fontId="3" type="noConversion"/>
  </si>
  <si>
    <t>TC 4T</t>
    <phoneticPr fontId="3" type="noConversion"/>
  </si>
  <si>
    <t>Y1806-0759</t>
    <phoneticPr fontId="40" type="noConversion"/>
  </si>
  <si>
    <t>159786C</t>
    <phoneticPr fontId="40" type="noConversion"/>
  </si>
  <si>
    <t>SK032U-A-2</t>
    <phoneticPr fontId="40" type="noConversion"/>
  </si>
  <si>
    <t>Y1807-0257</t>
    <phoneticPr fontId="40" type="noConversion"/>
  </si>
  <si>
    <t>4BUY</t>
    <phoneticPr fontId="40" type="noConversion"/>
  </si>
  <si>
    <t>TC 3T</t>
    <phoneticPr fontId="40" type="noConversion"/>
  </si>
  <si>
    <r>
      <t xml:space="preserve">Vải </t>
    </r>
    <r>
      <rPr>
        <b/>
        <sz val="5"/>
        <color indexed="8"/>
        <rFont val="細明體"/>
        <family val="3"/>
        <charset val="136"/>
      </rPr>
      <t>布</t>
    </r>
    <phoneticPr fontId="40" type="noConversion"/>
  </si>
  <si>
    <t>161587C</t>
  </si>
  <si>
    <t>TC 4T</t>
    <phoneticPr fontId="3" type="noConversion"/>
  </si>
  <si>
    <t>067L-1</t>
    <phoneticPr fontId="3" type="noConversion"/>
  </si>
  <si>
    <t>T7</t>
    <phoneticPr fontId="3" type="noConversion"/>
  </si>
  <si>
    <t>Y1806-0065</t>
    <phoneticPr fontId="3" type="noConversion"/>
  </si>
  <si>
    <t>T7-T8</t>
    <phoneticPr fontId="3" type="noConversion"/>
  </si>
  <si>
    <t>T2</t>
    <phoneticPr fontId="3" type="noConversion"/>
  </si>
  <si>
    <t>Y1807-0341</t>
  </si>
  <si>
    <t>T1</t>
    <phoneticPr fontId="40" type="noConversion"/>
  </si>
  <si>
    <t>13589DL</t>
    <phoneticPr fontId="40" type="noConversion"/>
  </si>
  <si>
    <t>T20</t>
    <phoneticPr fontId="3" type="noConversion"/>
  </si>
  <si>
    <t>T21</t>
    <phoneticPr fontId="3" type="noConversion"/>
  </si>
  <si>
    <t>T54-T55</t>
    <phoneticPr fontId="3" type="noConversion"/>
  </si>
  <si>
    <t>OS119U-5B</t>
    <phoneticPr fontId="40" type="noConversion"/>
  </si>
  <si>
    <t>T164-T165</t>
    <phoneticPr fontId="3" type="noConversion"/>
  </si>
  <si>
    <t>6/12 7:30 -9:30</t>
    <phoneticPr fontId="3" type="noConversion"/>
  </si>
  <si>
    <t>6/12  9:30 -11:30</t>
    <phoneticPr fontId="3" type="noConversion"/>
  </si>
  <si>
    <t>6/12 12:30 -14:30</t>
    <phoneticPr fontId="3" type="noConversion"/>
  </si>
  <si>
    <t>6/12 14:30 -16:30</t>
    <phoneticPr fontId="3" type="noConversion"/>
  </si>
  <si>
    <t>T8-T9</t>
    <phoneticPr fontId="3" type="noConversion"/>
  </si>
  <si>
    <t>Y1806-0268</t>
  </si>
  <si>
    <t>Y1806-0548</t>
  </si>
  <si>
    <t>01H-1</t>
    <phoneticPr fontId="3" type="noConversion"/>
  </si>
  <si>
    <t>TC 2T</t>
    <phoneticPr fontId="3" type="noConversion"/>
  </si>
  <si>
    <t>01H-1</t>
    <phoneticPr fontId="3" type="noConversion"/>
  </si>
  <si>
    <t>T4-T5</t>
    <phoneticPr fontId="3" type="noConversion"/>
  </si>
  <si>
    <t>T6-T7</t>
    <phoneticPr fontId="3" type="noConversion"/>
  </si>
  <si>
    <t>Y1806-0298</t>
  </si>
  <si>
    <t>T1-T3</t>
    <phoneticPr fontId="3" type="noConversion"/>
  </si>
  <si>
    <t>01H-1</t>
    <phoneticPr fontId="3" type="noConversion"/>
  </si>
  <si>
    <t>Y1806-0473</t>
  </si>
  <si>
    <t>T10-T11</t>
    <phoneticPr fontId="3" type="noConversion"/>
  </si>
  <si>
    <t>Y1806-0317</t>
  </si>
  <si>
    <t>01L-1</t>
    <phoneticPr fontId="3" type="noConversion"/>
  </si>
  <si>
    <t>Y1806-0320</t>
  </si>
  <si>
    <t>651830C</t>
  </si>
  <si>
    <t>KD686B-7A</t>
  </si>
  <si>
    <t>Y1806-0820</t>
  </si>
  <si>
    <t>Y1807-0157</t>
  </si>
  <si>
    <t>TC 22T</t>
  </si>
  <si>
    <t>13589DL</t>
    <phoneticPr fontId="3" type="noConversion"/>
  </si>
  <si>
    <t>Y1806-0667</t>
  </si>
  <si>
    <t>Y1807-0004</t>
  </si>
  <si>
    <t>067L-1</t>
    <phoneticPr fontId="3" type="noConversion"/>
  </si>
  <si>
    <t>Y1807-0097</t>
  </si>
  <si>
    <t>T2-T3</t>
    <phoneticPr fontId="3" type="noConversion"/>
  </si>
  <si>
    <t>Y1807-0168B</t>
  </si>
  <si>
    <t>13589DL</t>
    <phoneticPr fontId="3" type="noConversion"/>
  </si>
  <si>
    <t>Y1807-0472</t>
  </si>
  <si>
    <t>Y1807-0599</t>
  </si>
  <si>
    <t>Y1806-0325</t>
  </si>
  <si>
    <t>TC 3T</t>
    <phoneticPr fontId="3" type="noConversion"/>
  </si>
  <si>
    <t>Y1806-0471</t>
  </si>
  <si>
    <t>144150C</t>
  </si>
  <si>
    <t>SA224-A</t>
  </si>
  <si>
    <t>SK001L-1</t>
    <phoneticPr fontId="3" type="noConversion"/>
  </si>
  <si>
    <t>Y1806-0295</t>
  </si>
  <si>
    <t>Y1806-0572</t>
  </si>
  <si>
    <t>161603C</t>
  </si>
  <si>
    <t>Y1806-0427</t>
  </si>
  <si>
    <t>Y1806-0602</t>
  </si>
  <si>
    <t>SA013L-1</t>
    <phoneticPr fontId="3" type="noConversion"/>
  </si>
  <si>
    <t>Y1806-0603</t>
  </si>
  <si>
    <t>TC3T</t>
  </si>
  <si>
    <t>Y1806-0131</t>
  </si>
  <si>
    <t>TC 4T</t>
    <phoneticPr fontId="3" type="noConversion"/>
  </si>
  <si>
    <t>Y1806-0050</t>
  </si>
  <si>
    <t>T22-T23</t>
    <phoneticPr fontId="3" type="noConversion"/>
  </si>
  <si>
    <t>T24-T25</t>
    <phoneticPr fontId="3" type="noConversion"/>
  </si>
  <si>
    <t>T26-T27</t>
    <phoneticPr fontId="3" type="noConversion"/>
  </si>
  <si>
    <t>T28-T29</t>
    <phoneticPr fontId="3" type="noConversion"/>
  </si>
  <si>
    <t>T51-T52</t>
    <phoneticPr fontId="3" type="noConversion"/>
  </si>
  <si>
    <t>T53-T54</t>
    <phoneticPr fontId="3" type="noConversion"/>
  </si>
  <si>
    <t>T55-T56</t>
    <phoneticPr fontId="3" type="noConversion"/>
  </si>
  <si>
    <t>T57-T58</t>
    <phoneticPr fontId="3" type="noConversion"/>
  </si>
  <si>
    <t>T56-T57</t>
    <phoneticPr fontId="3" type="noConversion"/>
  </si>
  <si>
    <t>T58-T59</t>
    <phoneticPr fontId="3" type="noConversion"/>
  </si>
  <si>
    <t>T60-T61</t>
    <phoneticPr fontId="3" type="noConversion"/>
  </si>
  <si>
    <t>T62-T63</t>
    <phoneticPr fontId="3" type="noConversion"/>
  </si>
  <si>
    <t>T166-T167</t>
    <phoneticPr fontId="3" type="noConversion"/>
  </si>
  <si>
    <t>T168-T169</t>
    <phoneticPr fontId="3" type="noConversion"/>
  </si>
  <si>
    <t>T170-T171</t>
    <phoneticPr fontId="3" type="noConversion"/>
  </si>
  <si>
    <t>T172-T173</t>
    <phoneticPr fontId="3" type="noConversion"/>
  </si>
  <si>
    <t>T16-T17</t>
    <phoneticPr fontId="3" type="noConversion"/>
  </si>
  <si>
    <t>Y1807-0001</t>
  </si>
  <si>
    <t>157459C</t>
  </si>
  <si>
    <t>067H-1A</t>
    <phoneticPr fontId="3" type="noConversion"/>
  </si>
  <si>
    <t>Y1806-0702</t>
  </si>
  <si>
    <t>067H-1A</t>
    <phoneticPr fontId="3" type="noConversion"/>
  </si>
  <si>
    <t>Y1807-0657</t>
  </si>
  <si>
    <t>TC 2T</t>
    <phoneticPr fontId="3" type="noConversion"/>
  </si>
  <si>
    <t>Y1806-0322</t>
  </si>
  <si>
    <t>144151C</t>
  </si>
  <si>
    <t>TC 5T</t>
    <phoneticPr fontId="3" type="noConversion"/>
  </si>
  <si>
    <t>T1</t>
    <phoneticPr fontId="3" type="noConversion"/>
  </si>
  <si>
    <t>SK001L-1</t>
    <phoneticPr fontId="3" type="noConversion"/>
  </si>
  <si>
    <t>646140C</t>
    <phoneticPr fontId="3" type="noConversion"/>
  </si>
  <si>
    <t>T2</t>
    <phoneticPr fontId="3" type="noConversion"/>
  </si>
  <si>
    <t>144151C</t>
    <phoneticPr fontId="3" type="noConversion"/>
  </si>
  <si>
    <t>6/13 7:30 -9:30</t>
    <phoneticPr fontId="3" type="noConversion"/>
  </si>
  <si>
    <t>6/13  9:30 -11:30</t>
    <phoneticPr fontId="3" type="noConversion"/>
  </si>
  <si>
    <t>6/13 12:30 -14:30</t>
    <phoneticPr fontId="3" type="noConversion"/>
  </si>
  <si>
    <t>6/13 14:30 -16:30</t>
    <phoneticPr fontId="3" type="noConversion"/>
  </si>
  <si>
    <t>Y1806-0566</t>
  </si>
  <si>
    <t>T3-T4</t>
    <phoneticPr fontId="3" type="noConversion"/>
  </si>
  <si>
    <t>Y1806-0547</t>
  </si>
  <si>
    <t>661926C</t>
  </si>
  <si>
    <t>Y1806-0479</t>
  </si>
  <si>
    <t>TC 5T</t>
    <phoneticPr fontId="3" type="noConversion"/>
  </si>
  <si>
    <t>01H-1</t>
    <phoneticPr fontId="3" type="noConversion"/>
  </si>
  <si>
    <t>Y1806-0554</t>
  </si>
  <si>
    <t>Y1806-0309</t>
  </si>
  <si>
    <t>Y1806-0310</t>
  </si>
  <si>
    <t>067L-1</t>
    <phoneticPr fontId="3" type="noConversion"/>
  </si>
  <si>
    <t>Y1806-0809</t>
  </si>
  <si>
    <t>Y1806-0319</t>
  </si>
  <si>
    <t>Y1807-0064</t>
  </si>
  <si>
    <t>Y1806-0328</t>
  </si>
  <si>
    <t>746139C</t>
  </si>
  <si>
    <t>KD251A</t>
  </si>
  <si>
    <t>Y1806-0316</t>
  </si>
  <si>
    <t>746140C</t>
  </si>
  <si>
    <t>T5-T6</t>
    <phoneticPr fontId="3" type="noConversion"/>
  </si>
  <si>
    <t>T9-T10</t>
    <phoneticPr fontId="3" type="noConversion"/>
  </si>
  <si>
    <t>T11-T12</t>
    <phoneticPr fontId="3" type="noConversion"/>
  </si>
  <si>
    <t>Y1807-0151</t>
  </si>
  <si>
    <t>Y1807-0149</t>
  </si>
  <si>
    <t>Y1806-0129</t>
  </si>
  <si>
    <t>067L-1</t>
    <phoneticPr fontId="3" type="noConversion"/>
  </si>
  <si>
    <t>Y1806-0158</t>
  </si>
  <si>
    <t>Y1807-0597</t>
  </si>
  <si>
    <t>13589DL</t>
    <phoneticPr fontId="3" type="noConversion"/>
  </si>
  <si>
    <t>Y1807-0606</t>
  </si>
  <si>
    <t>TC 90T</t>
  </si>
  <si>
    <t>T10-T11</t>
    <phoneticPr fontId="3" type="noConversion"/>
  </si>
  <si>
    <t>Y1807-0638</t>
  </si>
  <si>
    <t>13589DL</t>
    <phoneticPr fontId="3" type="noConversion"/>
  </si>
  <si>
    <t>T2-T3</t>
    <phoneticPr fontId="3" type="noConversion"/>
  </si>
  <si>
    <t>Y1806-0321</t>
  </si>
  <si>
    <t>TC 7T</t>
    <phoneticPr fontId="3" type="noConversion"/>
  </si>
  <si>
    <t>SK001L-1</t>
    <phoneticPr fontId="3" type="noConversion"/>
  </si>
  <si>
    <t>Y1806-0632</t>
  </si>
  <si>
    <t>Y1806-0644</t>
  </si>
  <si>
    <t>SA013L-1</t>
    <phoneticPr fontId="3" type="noConversion"/>
  </si>
  <si>
    <t>Y1806-0851</t>
  </si>
  <si>
    <t>T5-T6</t>
    <phoneticPr fontId="3" type="noConversion"/>
  </si>
  <si>
    <t>T30-T31</t>
    <phoneticPr fontId="3" type="noConversion"/>
  </si>
  <si>
    <t>T32-T33</t>
    <phoneticPr fontId="3" type="noConversion"/>
  </si>
  <si>
    <t>T34-T35</t>
    <phoneticPr fontId="3" type="noConversion"/>
  </si>
  <si>
    <t>T59-T60</t>
    <phoneticPr fontId="3" type="noConversion"/>
  </si>
  <si>
    <t>T61-T62</t>
    <phoneticPr fontId="3" type="noConversion"/>
  </si>
  <si>
    <t>T63-T64</t>
    <phoneticPr fontId="3" type="noConversion"/>
  </si>
  <si>
    <t>T65</t>
    <phoneticPr fontId="3" type="noConversion"/>
  </si>
  <si>
    <t>T64-T65</t>
    <phoneticPr fontId="3" type="noConversion"/>
  </si>
  <si>
    <t>T66-T67</t>
    <phoneticPr fontId="3" type="noConversion"/>
  </si>
  <si>
    <t>T68</t>
    <phoneticPr fontId="3" type="noConversion"/>
  </si>
  <si>
    <t>Y1806-0787</t>
  </si>
  <si>
    <t>T1-T2</t>
    <phoneticPr fontId="3" type="noConversion"/>
  </si>
  <si>
    <t>Y1806-0789</t>
  </si>
  <si>
    <t>T174-T175</t>
    <phoneticPr fontId="3" type="noConversion"/>
  </si>
  <si>
    <t>T176-T177</t>
    <phoneticPr fontId="3" type="noConversion"/>
  </si>
  <si>
    <t>T180-T181</t>
    <phoneticPr fontId="3" type="noConversion"/>
  </si>
  <si>
    <t>T5-T6</t>
    <phoneticPr fontId="3" type="noConversion"/>
  </si>
  <si>
    <t>T7-T8</t>
    <phoneticPr fontId="3" type="noConversion"/>
  </si>
  <si>
    <t>Y1807-0163A</t>
  </si>
  <si>
    <t>TC 57T</t>
  </si>
  <si>
    <t>T1-T2</t>
    <phoneticPr fontId="3" type="noConversion"/>
  </si>
  <si>
    <t>067H-1A</t>
    <phoneticPr fontId="3" type="noConversion"/>
  </si>
  <si>
    <t>Y1805-1207</t>
  </si>
  <si>
    <t>563046C</t>
  </si>
  <si>
    <t>OS119U-3B-2</t>
  </si>
  <si>
    <t>TC 4T</t>
    <phoneticPr fontId="3" type="noConversion"/>
  </si>
  <si>
    <t>T1-T2</t>
    <phoneticPr fontId="3" type="noConversion"/>
  </si>
  <si>
    <t>T3-T4</t>
    <phoneticPr fontId="3" type="noConversion"/>
  </si>
  <si>
    <t>Y1806-0767</t>
  </si>
  <si>
    <t>T1</t>
    <phoneticPr fontId="3" type="noConversion"/>
  </si>
  <si>
    <t>067L-1</t>
    <phoneticPr fontId="3" type="noConversion"/>
  </si>
  <si>
    <t>Y1806-0791</t>
  </si>
  <si>
    <t>067L-1</t>
    <phoneticPr fontId="3" type="noConversion"/>
  </si>
  <si>
    <t>361818F</t>
    <phoneticPr fontId="3" type="noConversion"/>
  </si>
  <si>
    <t>Y1806-0792</t>
  </si>
  <si>
    <t>Y1806-0850</t>
  </si>
  <si>
    <t>Y1807-0126</t>
  </si>
  <si>
    <t>Y1808-0005</t>
  </si>
  <si>
    <t>KOREA</t>
  </si>
  <si>
    <t>T1-T2</t>
    <phoneticPr fontId="3" type="noConversion"/>
  </si>
  <si>
    <t>T1</t>
    <phoneticPr fontId="3" type="noConversion"/>
  </si>
  <si>
    <t>067L-1</t>
    <phoneticPr fontId="3" type="noConversion"/>
  </si>
  <si>
    <t>Y1806-0711+712</t>
  </si>
  <si>
    <t>Y1806-0761+713</t>
  </si>
  <si>
    <t>Y1808-0004</t>
  </si>
  <si>
    <t>CHINA</t>
    <phoneticPr fontId="3" type="noConversion"/>
  </si>
  <si>
    <t>Y1806-0239</t>
  </si>
  <si>
    <t>262951C</t>
  </si>
  <si>
    <t>067L-1</t>
    <phoneticPr fontId="3" type="noConversion"/>
  </si>
  <si>
    <t>067L-1</t>
    <phoneticPr fontId="3" type="noConversion"/>
  </si>
  <si>
    <t>067L-1</t>
    <phoneticPr fontId="3" type="noConversion"/>
  </si>
  <si>
    <t>TC 13T</t>
    <phoneticPr fontId="3" type="noConversion"/>
  </si>
  <si>
    <t>067L-1</t>
    <phoneticPr fontId="3" type="noConversion"/>
  </si>
  <si>
    <t>GIAY KEO LANH</t>
  </si>
  <si>
    <t>T6</t>
    <phoneticPr fontId="3" type="noConversion"/>
  </si>
  <si>
    <t>TC 2T</t>
    <phoneticPr fontId="3" type="noConversion"/>
  </si>
  <si>
    <t>T3</t>
    <phoneticPr fontId="3" type="noConversion"/>
  </si>
  <si>
    <t>T36</t>
    <phoneticPr fontId="3" type="noConversion"/>
  </si>
  <si>
    <t>T178</t>
    <phoneticPr fontId="3" type="noConversion"/>
  </si>
  <si>
    <t>T179</t>
    <phoneticPr fontId="3" type="noConversion"/>
  </si>
  <si>
    <t>T22</t>
    <phoneticPr fontId="3" type="noConversion"/>
  </si>
  <si>
    <t>T19-T20</t>
    <phoneticPr fontId="3" type="noConversion"/>
  </si>
  <si>
    <t>T21</t>
    <phoneticPr fontId="3" type="noConversion"/>
  </si>
  <si>
    <t>T23</t>
    <phoneticPr fontId="3" type="noConversion"/>
  </si>
  <si>
    <t>KD686B-4</t>
    <phoneticPr fontId="3" type="noConversion"/>
  </si>
  <si>
    <t>6/14 7:30 -9:30</t>
    <phoneticPr fontId="3" type="noConversion"/>
  </si>
  <si>
    <t>6/14  9:30 -11:30</t>
    <phoneticPr fontId="3" type="noConversion"/>
  </si>
  <si>
    <t>6/14 12:30 -14:30</t>
    <phoneticPr fontId="3" type="noConversion"/>
  </si>
  <si>
    <t>6/14 14:30 -16:30</t>
    <phoneticPr fontId="3" type="noConversion"/>
  </si>
  <si>
    <t>Y1806-0565</t>
  </si>
  <si>
    <t>Y1806-0550</t>
  </si>
  <si>
    <t>Y1806-0568</t>
  </si>
  <si>
    <t>01H-1</t>
    <phoneticPr fontId="3" type="noConversion"/>
  </si>
  <si>
    <t>01H-1</t>
    <phoneticPr fontId="3" type="noConversion"/>
  </si>
  <si>
    <t>01H-1</t>
    <phoneticPr fontId="3" type="noConversion"/>
  </si>
  <si>
    <t>Y1806-0451</t>
  </si>
  <si>
    <t>Y1806-0549</t>
  </si>
  <si>
    <t>01H-1</t>
    <phoneticPr fontId="3" type="noConversion"/>
  </si>
  <si>
    <t>Y1806-0567</t>
  </si>
  <si>
    <t>TC 7T</t>
    <phoneticPr fontId="3" type="noConversion"/>
  </si>
  <si>
    <t>T2-T3</t>
    <phoneticPr fontId="3" type="noConversion"/>
  </si>
  <si>
    <t>Y1806-0541</t>
  </si>
  <si>
    <t>T3-T4</t>
    <phoneticPr fontId="3" type="noConversion"/>
  </si>
  <si>
    <t>Y1807-0022</t>
  </si>
  <si>
    <t>Y1806-0746</t>
  </si>
  <si>
    <t>161571C</t>
  </si>
  <si>
    <t>OS123U-5B</t>
  </si>
  <si>
    <t>067L-1</t>
    <phoneticPr fontId="3" type="noConversion"/>
  </si>
  <si>
    <t>Y1806-0747</t>
  </si>
  <si>
    <t>Y1806-0748</t>
  </si>
  <si>
    <t>161573C</t>
  </si>
  <si>
    <t>Y1806-0749</t>
  </si>
  <si>
    <t>TC 3T</t>
    <phoneticPr fontId="3" type="noConversion"/>
  </si>
  <si>
    <t>Y1806-0315</t>
  </si>
  <si>
    <t>751878C</t>
  </si>
  <si>
    <t>Y1806-0562</t>
  </si>
  <si>
    <t>762015C</t>
  </si>
  <si>
    <t>T13-T14</t>
    <phoneticPr fontId="3" type="noConversion"/>
  </si>
  <si>
    <t>T15-T16</t>
    <phoneticPr fontId="3" type="noConversion"/>
  </si>
  <si>
    <t>T17-T18</t>
    <phoneticPr fontId="3" type="noConversion"/>
  </si>
  <si>
    <t>TC 3T</t>
    <phoneticPr fontId="3" type="noConversion"/>
  </si>
  <si>
    <t>Y1807-0224</t>
  </si>
  <si>
    <t>067L-1</t>
    <phoneticPr fontId="3" type="noConversion"/>
  </si>
  <si>
    <t>T5-T6</t>
    <phoneticPr fontId="3" type="noConversion"/>
  </si>
  <si>
    <t>T7-T8</t>
    <phoneticPr fontId="3" type="noConversion"/>
  </si>
  <si>
    <t>Y1807-0585</t>
  </si>
  <si>
    <t>Y1807-0342</t>
  </si>
  <si>
    <t>13589DL</t>
    <phoneticPr fontId="3" type="noConversion"/>
  </si>
  <si>
    <t>TC 5T</t>
    <phoneticPr fontId="3" type="noConversion"/>
  </si>
  <si>
    <t>Y1807-0234</t>
  </si>
  <si>
    <t>359786F</t>
  </si>
  <si>
    <t>SK032Y-A-1</t>
  </si>
  <si>
    <t>T6-T7</t>
    <phoneticPr fontId="3" type="noConversion"/>
  </si>
  <si>
    <t>Y1806-0813</t>
  </si>
  <si>
    <t>Y1806-0829</t>
  </si>
  <si>
    <t>SK001L-1</t>
    <phoneticPr fontId="3" type="noConversion"/>
  </si>
  <si>
    <t>T7-T8</t>
    <phoneticPr fontId="3" type="noConversion"/>
  </si>
  <si>
    <t>T2-T3</t>
    <phoneticPr fontId="3" type="noConversion"/>
  </si>
  <si>
    <t>T9-T10</t>
    <phoneticPr fontId="3" type="noConversion"/>
  </si>
  <si>
    <t>Y1806-0642</t>
  </si>
  <si>
    <t>Y1806-0643</t>
  </si>
  <si>
    <t>TC  6T</t>
  </si>
  <si>
    <t>SA013L-1</t>
    <phoneticPr fontId="3" type="noConversion"/>
  </si>
  <si>
    <t>T37-T38</t>
    <phoneticPr fontId="3" type="noConversion"/>
  </si>
  <si>
    <t>T39-T40</t>
    <phoneticPr fontId="3" type="noConversion"/>
  </si>
  <si>
    <t>T41-T42</t>
    <phoneticPr fontId="3" type="noConversion"/>
  </si>
  <si>
    <t>T96-T131</t>
  </si>
  <si>
    <t>T1</t>
    <phoneticPr fontId="3" type="noConversion"/>
  </si>
  <si>
    <t>Y1806-0773.774-2
Y1807-0159-2</t>
    <phoneticPr fontId="3" type="noConversion"/>
  </si>
  <si>
    <t>T96-T97</t>
    <phoneticPr fontId="3" type="noConversion"/>
  </si>
  <si>
    <t>T98-T99</t>
    <phoneticPr fontId="3" type="noConversion"/>
  </si>
  <si>
    <t>T100-T101</t>
    <phoneticPr fontId="3" type="noConversion"/>
  </si>
  <si>
    <t>T102</t>
    <phoneticPr fontId="3" type="noConversion"/>
  </si>
  <si>
    <t>067H-1</t>
    <phoneticPr fontId="3" type="noConversion"/>
  </si>
  <si>
    <t>T132-T175</t>
  </si>
  <si>
    <t>Y1806-0773.774-3
Y1807-0159-3</t>
    <phoneticPr fontId="3" type="noConversion"/>
  </si>
  <si>
    <t>067H-1</t>
    <phoneticPr fontId="3" type="noConversion"/>
  </si>
  <si>
    <t>T182-T183</t>
    <phoneticPr fontId="3" type="noConversion"/>
  </si>
  <si>
    <t>T184-T185</t>
    <phoneticPr fontId="3" type="noConversion"/>
  </si>
  <si>
    <t>T186-T187</t>
    <phoneticPr fontId="3" type="noConversion"/>
  </si>
  <si>
    <t>T24-T25</t>
    <phoneticPr fontId="3" type="noConversion"/>
  </si>
  <si>
    <t>T10-T11</t>
    <phoneticPr fontId="3" type="noConversion"/>
  </si>
  <si>
    <t>T12-T13</t>
    <phoneticPr fontId="3" type="noConversion"/>
  </si>
  <si>
    <t>TC 3T</t>
    <phoneticPr fontId="3" type="noConversion"/>
  </si>
  <si>
    <t>T19</t>
    <phoneticPr fontId="3" type="noConversion"/>
  </si>
  <si>
    <t>T7</t>
    <phoneticPr fontId="3" type="noConversion"/>
  </si>
  <si>
    <t>T43</t>
    <phoneticPr fontId="3" type="noConversion"/>
  </si>
  <si>
    <t>T136</t>
    <phoneticPr fontId="3" type="noConversion"/>
  </si>
  <si>
    <t>T9</t>
    <phoneticPr fontId="3" type="noConversion"/>
  </si>
  <si>
    <t>T26</t>
    <phoneticPr fontId="3" type="noConversion"/>
  </si>
  <si>
    <t>T27</t>
    <phoneticPr fontId="3" type="noConversion"/>
  </si>
  <si>
    <t>T28</t>
    <phoneticPr fontId="3" type="noConversion"/>
  </si>
  <si>
    <t>T12</t>
    <phoneticPr fontId="3" type="noConversion"/>
  </si>
  <si>
    <t>T13</t>
    <phoneticPr fontId="3" type="noConversion"/>
  </si>
  <si>
    <t>T14</t>
    <phoneticPr fontId="3" type="noConversion"/>
  </si>
  <si>
    <t>6/15 7:30 -9:30</t>
    <phoneticPr fontId="3" type="noConversion"/>
  </si>
  <si>
    <t>6/15  9:30 -11:30</t>
    <phoneticPr fontId="3" type="noConversion"/>
  </si>
  <si>
    <t>6/15 12:30 -14:30</t>
    <phoneticPr fontId="3" type="noConversion"/>
  </si>
  <si>
    <t>6/15 14:30 -16:30</t>
    <phoneticPr fontId="3" type="noConversion"/>
  </si>
  <si>
    <t>T4-T5</t>
    <phoneticPr fontId="3" type="noConversion"/>
  </si>
  <si>
    <t>T6-T7</t>
    <phoneticPr fontId="3" type="noConversion"/>
  </si>
  <si>
    <t>Y1806-0445</t>
  </si>
  <si>
    <t>01H-1</t>
    <phoneticPr fontId="3" type="noConversion"/>
  </si>
  <si>
    <t>Y1806-0147</t>
  </si>
  <si>
    <t>Y1806-0108</t>
  </si>
  <si>
    <t>Y1806-0146</t>
  </si>
  <si>
    <t>01L-1</t>
    <phoneticPr fontId="3" type="noConversion"/>
  </si>
  <si>
    <t>Y1807-0205</t>
  </si>
  <si>
    <t>Y1807-0244</t>
  </si>
  <si>
    <t>162578C</t>
  </si>
  <si>
    <t>OS123U-3B</t>
  </si>
  <si>
    <t>Y1807-0316</t>
  </si>
  <si>
    <t>162551C</t>
  </si>
  <si>
    <t>OS123U-6B</t>
  </si>
  <si>
    <t>T3-T4</t>
    <phoneticPr fontId="3" type="noConversion"/>
  </si>
  <si>
    <t>Y1806-0575</t>
  </si>
  <si>
    <t>TC 4T</t>
    <phoneticPr fontId="3" type="noConversion"/>
  </si>
  <si>
    <t>Y1806-0563</t>
  </si>
  <si>
    <t>762016C</t>
  </si>
  <si>
    <t>Y1806-0583</t>
  </si>
  <si>
    <t>T20-T21</t>
    <phoneticPr fontId="3" type="noConversion"/>
  </si>
  <si>
    <t>T22</t>
    <phoneticPr fontId="3" type="noConversion"/>
  </si>
  <si>
    <t>SA013L-1</t>
    <phoneticPr fontId="3" type="noConversion"/>
  </si>
  <si>
    <t>Y1807-0475</t>
  </si>
  <si>
    <t>13589DL</t>
    <phoneticPr fontId="3" type="noConversion"/>
  </si>
  <si>
    <t>Y1807-0538</t>
  </si>
  <si>
    <t>Y1807-0416</t>
  </si>
  <si>
    <t>067L-1</t>
    <phoneticPr fontId="3" type="noConversion"/>
  </si>
  <si>
    <t>Y1807-0266</t>
  </si>
  <si>
    <t>TC 2T</t>
    <phoneticPr fontId="3" type="noConversion"/>
  </si>
  <si>
    <t>T13-T14</t>
    <phoneticPr fontId="3" type="noConversion"/>
  </si>
  <si>
    <t>T15-T16</t>
    <phoneticPr fontId="3" type="noConversion"/>
  </si>
  <si>
    <t>T2-T3</t>
    <phoneticPr fontId="3" type="noConversion"/>
  </si>
  <si>
    <t>Y1807-0235</t>
  </si>
  <si>
    <t>01L-1</t>
    <phoneticPr fontId="3" type="noConversion"/>
  </si>
  <si>
    <t>T6-T7</t>
    <phoneticPr fontId="3" type="noConversion"/>
  </si>
  <si>
    <t>T8</t>
    <phoneticPr fontId="3" type="noConversion"/>
  </si>
  <si>
    <t>Y1806-0087</t>
  </si>
  <si>
    <t>161575C</t>
  </si>
  <si>
    <t>TC 3T</t>
    <phoneticPr fontId="3" type="noConversion"/>
  </si>
  <si>
    <t>067L-1</t>
    <phoneticPr fontId="3" type="noConversion"/>
  </si>
  <si>
    <t>Y1806-0088</t>
  </si>
  <si>
    <t>T8-T9</t>
    <phoneticPr fontId="3" type="noConversion"/>
  </si>
  <si>
    <t>T10-T11</t>
    <phoneticPr fontId="3" type="noConversion"/>
  </si>
  <si>
    <t>Y1806-0085</t>
  </si>
  <si>
    <t>Y1807-0169</t>
  </si>
  <si>
    <t>SA013L-1</t>
    <phoneticPr fontId="3" type="noConversion"/>
  </si>
  <si>
    <t>T3-T4</t>
    <phoneticPr fontId="3" type="noConversion"/>
  </si>
  <si>
    <t>T5-T6</t>
    <phoneticPr fontId="3" type="noConversion"/>
  </si>
  <si>
    <t>Y1806-0132</t>
  </si>
  <si>
    <t>T44-T45</t>
    <phoneticPr fontId="3" type="noConversion"/>
  </si>
  <si>
    <t>T46-T47</t>
    <phoneticPr fontId="3" type="noConversion"/>
  </si>
  <si>
    <t>T48-T49</t>
    <phoneticPr fontId="3" type="noConversion"/>
  </si>
  <si>
    <t>T50-T51</t>
    <phoneticPr fontId="3" type="noConversion"/>
  </si>
  <si>
    <t>T103-T104</t>
    <phoneticPr fontId="3" type="noConversion"/>
  </si>
  <si>
    <t>T105-T106</t>
    <phoneticPr fontId="3" type="noConversion"/>
  </si>
  <si>
    <t>T107-T108</t>
    <phoneticPr fontId="3" type="noConversion"/>
  </si>
  <si>
    <t>T109-T110</t>
    <phoneticPr fontId="3" type="noConversion"/>
  </si>
  <si>
    <t>T137-T138</t>
    <phoneticPr fontId="3" type="noConversion"/>
  </si>
  <si>
    <t>T139-T140</t>
    <phoneticPr fontId="3" type="noConversion"/>
  </si>
  <si>
    <t>T141-T142</t>
    <phoneticPr fontId="3" type="noConversion"/>
  </si>
  <si>
    <t>T143-T144</t>
    <phoneticPr fontId="3" type="noConversion"/>
  </si>
  <si>
    <t>T188-T189</t>
    <phoneticPr fontId="3" type="noConversion"/>
  </si>
  <si>
    <t>T190-T191</t>
    <phoneticPr fontId="3" type="noConversion"/>
  </si>
  <si>
    <t>T192-T193</t>
    <phoneticPr fontId="3" type="noConversion"/>
  </si>
  <si>
    <t>T194-T195</t>
    <phoneticPr fontId="3" type="noConversion"/>
  </si>
  <si>
    <t>T29-T30</t>
    <phoneticPr fontId="3" type="noConversion"/>
  </si>
  <si>
    <t>T31-T32</t>
    <phoneticPr fontId="3" type="noConversion"/>
  </si>
  <si>
    <t>T33</t>
    <phoneticPr fontId="3" type="noConversion"/>
  </si>
  <si>
    <t>Y1806-0849</t>
  </si>
  <si>
    <t>067L-1</t>
    <phoneticPr fontId="3" type="noConversion"/>
  </si>
  <si>
    <t>Y1808-0012</t>
  </si>
  <si>
    <t>T15-T16</t>
    <phoneticPr fontId="3" type="noConversion"/>
  </si>
  <si>
    <t>T17-T18</t>
    <phoneticPr fontId="3" type="noConversion"/>
  </si>
  <si>
    <t>Y1807-0165C</t>
  </si>
  <si>
    <t>T1-T2</t>
    <phoneticPr fontId="3" type="noConversion"/>
  </si>
  <si>
    <t>T3-T4</t>
    <phoneticPr fontId="3" type="noConversion"/>
  </si>
  <si>
    <t>T18-T19</t>
    <phoneticPr fontId="3" type="noConversion"/>
  </si>
  <si>
    <t>T20-T21</t>
    <phoneticPr fontId="3" type="noConversion"/>
  </si>
  <si>
    <t xml:space="preserve">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</si>
</sst>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m&quot;月&quot;d&quot;日&quot;;@"/>
    <numFmt numFmtId="178" formatCode="m/d;@"/>
  </numFmts>
  <fonts count="44" x14ac:knownFonts="1">
    <font>
      <sz val="11"/>
      <color theme="1"/>
      <name val="新細明體"/>
      <family val="2"/>
      <scheme val="minor"/>
    </font>
    <font>
      <b/>
      <sz val="15"/>
      <name val="VNI-Times"/>
    </font>
    <font>
      <b/>
      <sz val="15"/>
      <name val="細明體"/>
      <family val="3"/>
      <charset val="136"/>
    </font>
    <font>
      <sz val="9"/>
      <name val="新細明體"/>
      <family val="3"/>
      <charset val="136"/>
      <scheme val="minor"/>
    </font>
    <font>
      <sz val="10"/>
      <name val="VNI-Times"/>
    </font>
    <font>
      <b/>
      <sz val="10"/>
      <name val="細明體"/>
      <family val="3"/>
      <charset val="136"/>
    </font>
    <font>
      <b/>
      <sz val="10"/>
      <name val="VNI-Times"/>
    </font>
    <font>
      <b/>
      <sz val="10"/>
      <name val="Arial"/>
      <family val="2"/>
    </font>
    <font>
      <b/>
      <sz val="12"/>
      <name val="VNI-Times"/>
    </font>
    <font>
      <b/>
      <sz val="8"/>
      <name val="VNI-Times"/>
    </font>
    <font>
      <b/>
      <sz val="11"/>
      <name val="VNI-Times"/>
    </font>
    <font>
      <b/>
      <sz val="9"/>
      <name val="VNI-Times"/>
    </font>
    <font>
      <sz val="12"/>
      <name val="VNI-Times"/>
    </font>
    <font>
      <b/>
      <sz val="9"/>
      <name val="Arial Narrow"/>
      <family val="2"/>
    </font>
    <font>
      <sz val="9"/>
      <name val="新細明體"/>
      <family val="1"/>
      <charset val="136"/>
    </font>
    <font>
      <b/>
      <sz val="8"/>
      <name val="Arial Narrow"/>
      <family val="2"/>
    </font>
    <font>
      <b/>
      <sz val="8"/>
      <name val="細明體"/>
      <family val="3"/>
      <charset val="136"/>
    </font>
    <font>
      <b/>
      <sz val="7"/>
      <name val="VNI-Times"/>
    </font>
    <font>
      <sz val="7"/>
      <name val="VNI-Times"/>
    </font>
    <font>
      <b/>
      <sz val="11"/>
      <color theme="1"/>
      <name val="新細明體"/>
      <family val="1"/>
      <charset val="136"/>
      <scheme val="minor"/>
    </font>
    <font>
      <sz val="11"/>
      <name val="VNI-Times"/>
    </font>
    <font>
      <b/>
      <sz val="9"/>
      <name val="細明體"/>
      <family val="3"/>
      <charset val="136"/>
    </font>
    <font>
      <sz val="8"/>
      <name val="VNI-Times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6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6"/>
      <name val="VNI-Times"/>
    </font>
    <font>
      <b/>
      <sz val="7"/>
      <color indexed="8"/>
      <name val="Arial"/>
      <family val="2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theme="1"/>
      <name val="新細明體"/>
      <family val="1"/>
      <charset val="136"/>
      <scheme val="minor"/>
    </font>
    <font>
      <b/>
      <sz val="11"/>
      <name val="細明體"/>
      <family val="3"/>
      <charset val="136"/>
    </font>
    <font>
      <b/>
      <sz val="7"/>
      <name val="細明體"/>
      <family val="3"/>
      <charset val="136"/>
    </font>
    <font>
      <b/>
      <sz val="9"/>
      <color indexed="8"/>
      <name val="細明體"/>
      <family val="3"/>
      <charset val="136"/>
    </font>
    <font>
      <b/>
      <sz val="6"/>
      <color indexed="8"/>
      <name val="細明體"/>
      <family val="3"/>
      <charset val="136"/>
    </font>
    <font>
      <b/>
      <sz val="11"/>
      <color indexed="8"/>
      <name val="細明體"/>
      <family val="3"/>
      <charset val="136"/>
    </font>
    <font>
      <sz val="9"/>
      <name val="細明體"/>
      <family val="3"/>
      <charset val="136"/>
    </font>
    <font>
      <b/>
      <sz val="10"/>
      <color indexed="8"/>
      <name val="細明體"/>
      <family val="3"/>
      <charset val="136"/>
    </font>
    <font>
      <b/>
      <sz val="5"/>
      <color indexed="8"/>
      <name val="Arial"/>
      <family val="2"/>
    </font>
    <font>
      <b/>
      <sz val="5"/>
      <color indexed="8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0">
    <xf numFmtId="0" fontId="0" fillId="0" borderId="0"/>
    <xf numFmtId="0" fontId="30" fillId="0" borderId="0" applyProtection="0"/>
    <xf numFmtId="176" fontId="30" fillId="0" borderId="0" applyFont="0" applyFill="0" applyBorder="0" applyAlignment="0" applyProtection="0"/>
    <xf numFmtId="0" fontId="33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2" fillId="0" borderId="0"/>
    <xf numFmtId="0" fontId="31" fillId="0" borderId="0" applyProtection="0"/>
    <xf numFmtId="0" fontId="31" fillId="0" borderId="0" applyProtection="0"/>
  </cellStyleXfs>
  <cellXfs count="360">
    <xf numFmtId="0" fontId="0" fillId="0" borderId="0" xfId="0"/>
    <xf numFmtId="0" fontId="4" fillId="0" borderId="0" xfId="0" applyFont="1"/>
    <xf numFmtId="14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8" fontId="13" fillId="0" borderId="3" xfId="0" applyNumberFormat="1" applyFont="1" applyFill="1" applyBorder="1" applyAlignment="1">
      <alignment horizontal="center" vertical="center" wrapText="1" shrinkToFit="1"/>
    </xf>
    <xf numFmtId="0" fontId="15" fillId="0" borderId="3" xfId="0" applyFont="1" applyFill="1" applyBorder="1" applyAlignment="1">
      <alignment horizontal="center" vertical="center" wrapText="1" shrinkToFit="1"/>
    </xf>
    <xf numFmtId="0" fontId="16" fillId="0" borderId="3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 shrinkToFit="1"/>
    </xf>
    <xf numFmtId="0" fontId="17" fillId="0" borderId="3" xfId="0" applyFont="1" applyBorder="1" applyAlignment="1">
      <alignment horizontal="center" vertical="center" wrapText="1"/>
    </xf>
    <xf numFmtId="0" fontId="9" fillId="0" borderId="0" xfId="0" applyFont="1"/>
    <xf numFmtId="0" fontId="17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11" xfId="0" applyBorder="1"/>
    <xf numFmtId="0" fontId="20" fillId="2" borderId="11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20" fillId="2" borderId="7" xfId="0" applyFont="1" applyFill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5" fillId="4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178" fontId="11" fillId="0" borderId="0" xfId="0" applyNumberFormat="1" applyFont="1" applyBorder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16" fillId="0" borderId="0" xfId="0" applyFont="1"/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9" fillId="0" borderId="0" xfId="0" quotePrefix="1" applyFont="1" applyAlignment="1">
      <alignment horizontal="right"/>
    </xf>
    <xf numFmtId="178" fontId="11" fillId="0" borderId="0" xfId="0" quotePrefix="1" applyNumberFormat="1" applyFont="1" applyAlignment="1">
      <alignment horizontal="right"/>
    </xf>
    <xf numFmtId="0" fontId="9" fillId="0" borderId="0" xfId="0" quotePrefix="1" applyFont="1" applyBorder="1" applyAlignment="1">
      <alignment horizontal="right"/>
    </xf>
    <xf numFmtId="178" fontId="21" fillId="0" borderId="0" xfId="0" applyNumberFormat="1" applyFont="1" applyAlignment="1"/>
    <xf numFmtId="0" fontId="16" fillId="0" borderId="0" xfId="0" applyFont="1" applyAlignment="1"/>
    <xf numFmtId="0" fontId="21" fillId="0" borderId="17" xfId="0" applyFont="1" applyFill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 shrinkToFit="1"/>
    </xf>
    <xf numFmtId="0" fontId="23" fillId="0" borderId="10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178" fontId="25" fillId="0" borderId="23" xfId="0" applyNumberFormat="1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0" borderId="23" xfId="0" applyFont="1" applyBorder="1" applyAlignment="1">
      <alignment horizontal="center" shrinkToFit="1"/>
    </xf>
    <xf numFmtId="0" fontId="0" fillId="0" borderId="23" xfId="0" applyBorder="1"/>
    <xf numFmtId="0" fontId="10" fillId="0" borderId="23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3" fillId="0" borderId="23" xfId="0" quotePrefix="1" applyFont="1" applyBorder="1" applyAlignment="1">
      <alignment horizontal="center" shrinkToFit="1"/>
    </xf>
    <xf numFmtId="0" fontId="23" fillId="0" borderId="11" xfId="0" quotePrefix="1" applyFont="1" applyBorder="1" applyAlignment="1">
      <alignment horizontal="center" shrinkToFit="1"/>
    </xf>
    <xf numFmtId="0" fontId="27" fillId="0" borderId="23" xfId="0" applyFont="1" applyBorder="1" applyAlignment="1">
      <alignment horizontal="center"/>
    </xf>
    <xf numFmtId="178" fontId="25" fillId="0" borderId="7" xfId="0" applyNumberFormat="1" applyFont="1" applyBorder="1" applyAlignment="1">
      <alignment horizontal="center"/>
    </xf>
    <xf numFmtId="0" fontId="0" fillId="0" borderId="24" xfId="0" applyBorder="1"/>
    <xf numFmtId="0" fontId="23" fillId="0" borderId="7" xfId="0" applyFont="1" applyBorder="1" applyAlignment="1">
      <alignment horizontal="center" shrinkToFit="1"/>
    </xf>
    <xf numFmtId="0" fontId="23" fillId="0" borderId="7" xfId="0" quotePrefix="1" applyFont="1" applyBorder="1" applyAlignment="1">
      <alignment horizontal="center" shrinkToFit="1"/>
    </xf>
    <xf numFmtId="178" fontId="25" fillId="0" borderId="11" xfId="0" applyNumberFormat="1" applyFont="1" applyBorder="1" applyAlignment="1">
      <alignment horizontal="center"/>
    </xf>
    <xf numFmtId="0" fontId="0" fillId="0" borderId="27" xfId="0" applyBorder="1"/>
    <xf numFmtId="0" fontId="9" fillId="3" borderId="29" xfId="0" applyFont="1" applyFill="1" applyBorder="1" applyAlignment="1">
      <alignment horizontal="center" vertical="center" shrinkToFit="1"/>
    </xf>
    <xf numFmtId="0" fontId="11" fillId="3" borderId="30" xfId="0" applyFont="1" applyFill="1" applyBorder="1" applyAlignment="1">
      <alignment horizontal="center" vertical="center" shrinkToFit="1"/>
    </xf>
    <xf numFmtId="0" fontId="10" fillId="3" borderId="30" xfId="0" applyFont="1" applyFill="1" applyBorder="1" applyAlignment="1">
      <alignment horizontal="center" vertical="center" shrinkToFit="1"/>
    </xf>
    <xf numFmtId="0" fontId="9" fillId="3" borderId="30" xfId="0" applyFont="1" applyFill="1" applyBorder="1" applyAlignment="1">
      <alignment horizontal="center" vertical="center" shrinkToFit="1"/>
    </xf>
    <xf numFmtId="0" fontId="10" fillId="3" borderId="31" xfId="0" applyFont="1" applyFill="1" applyBorder="1" applyAlignment="1">
      <alignment horizontal="center" vertical="center" shrinkToFit="1"/>
    </xf>
    <xf numFmtId="0" fontId="8" fillId="3" borderId="30" xfId="0" applyFont="1" applyFill="1" applyBorder="1" applyAlignment="1">
      <alignment horizontal="center" vertical="center" shrinkToFit="1"/>
    </xf>
    <xf numFmtId="0" fontId="8" fillId="3" borderId="30" xfId="0" quotePrefix="1" applyFont="1" applyFill="1" applyBorder="1" applyAlignment="1">
      <alignment horizontal="center" vertical="center" shrinkToFit="1"/>
    </xf>
    <xf numFmtId="0" fontId="6" fillId="3" borderId="30" xfId="0" applyFont="1" applyFill="1" applyBorder="1" applyAlignment="1">
      <alignment horizontal="center" vertical="center" shrinkToFit="1"/>
    </xf>
    <xf numFmtId="0" fontId="8" fillId="3" borderId="32" xfId="0" applyFont="1" applyFill="1" applyBorder="1" applyAlignment="1">
      <alignment horizontal="center" vertical="center" shrinkToFit="1"/>
    </xf>
    <xf numFmtId="0" fontId="21" fillId="0" borderId="28" xfId="0" applyFont="1" applyFill="1" applyBorder="1" applyAlignment="1">
      <alignment horizontal="center" vertical="center" wrapText="1" shrinkToFit="1"/>
    </xf>
    <xf numFmtId="0" fontId="22" fillId="0" borderId="0" xfId="0" applyFont="1" applyBorder="1" applyAlignment="1"/>
    <xf numFmtId="0" fontId="28" fillId="0" borderId="14" xfId="0" applyFont="1" applyBorder="1" applyAlignment="1"/>
    <xf numFmtId="0" fontId="28" fillId="0" borderId="0" xfId="0" applyFont="1" applyBorder="1" applyAlignment="1"/>
    <xf numFmtId="0" fontId="25" fillId="0" borderId="11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3" fillId="0" borderId="19" xfId="0" applyFont="1" applyBorder="1" applyAlignment="1">
      <alignment horizontal="center" shrinkToFit="1"/>
    </xf>
    <xf numFmtId="0" fontId="11" fillId="3" borderId="19" xfId="0" applyFont="1" applyFill="1" applyBorder="1" applyAlignment="1">
      <alignment horizontal="center" vertical="center" shrinkToFit="1"/>
    </xf>
    <xf numFmtId="0" fontId="23" fillId="0" borderId="20" xfId="0" applyFont="1" applyBorder="1" applyAlignment="1">
      <alignment horizontal="center" shrinkToFit="1"/>
    </xf>
    <xf numFmtId="0" fontId="25" fillId="0" borderId="19" xfId="0" applyFont="1" applyBorder="1" applyAlignment="1">
      <alignment horizontal="center"/>
    </xf>
    <xf numFmtId="0" fontId="0" fillId="0" borderId="19" xfId="0" applyBorder="1"/>
    <xf numFmtId="0" fontId="23" fillId="0" borderId="23" xfId="0" quotePrefix="1" applyFont="1" applyBorder="1" applyAlignment="1">
      <alignment horizontal="center"/>
    </xf>
    <xf numFmtId="0" fontId="23" fillId="6" borderId="22" xfId="0" applyFont="1" applyFill="1" applyBorder="1" applyAlignment="1">
      <alignment horizontal="center"/>
    </xf>
    <xf numFmtId="178" fontId="25" fillId="0" borderId="19" xfId="0" applyNumberFormat="1" applyFont="1" applyBorder="1" applyAlignment="1">
      <alignment horizontal="center"/>
    </xf>
    <xf numFmtId="0" fontId="0" fillId="0" borderId="18" xfId="0" applyBorder="1"/>
    <xf numFmtId="0" fontId="27" fillId="0" borderId="19" xfId="0" applyFont="1" applyBorder="1" applyAlignment="1">
      <alignment horizontal="center"/>
    </xf>
    <xf numFmtId="0" fontId="23" fillId="6" borderId="23" xfId="0" applyFont="1" applyFill="1" applyBorder="1" applyAlignment="1">
      <alignment horizontal="center" shrinkToFit="1"/>
    </xf>
    <xf numFmtId="0" fontId="26" fillId="0" borderId="11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3" fillId="6" borderId="10" xfId="0" applyFont="1" applyFill="1" applyBorder="1" applyAlignment="1">
      <alignment horizontal="center"/>
    </xf>
    <xf numFmtId="0" fontId="35" fillId="3" borderId="22" xfId="0" applyFont="1" applyFill="1" applyBorder="1" applyAlignment="1">
      <alignment horizontal="center" vertical="center" shrinkToFit="1"/>
    </xf>
    <xf numFmtId="0" fontId="35" fillId="3" borderId="9" xfId="0" applyFont="1" applyFill="1" applyBorder="1" applyAlignment="1">
      <alignment horizontal="center" vertical="center" shrinkToFit="1"/>
    </xf>
    <xf numFmtId="0" fontId="0" fillId="0" borderId="20" xfId="0" applyBorder="1"/>
    <xf numFmtId="0" fontId="11" fillId="3" borderId="25" xfId="0" applyFont="1" applyFill="1" applyBorder="1" applyAlignment="1">
      <alignment horizontal="center" vertical="center" shrinkToFit="1"/>
    </xf>
    <xf numFmtId="0" fontId="29" fillId="0" borderId="11" xfId="0" applyFont="1" applyBorder="1" applyAlignment="1">
      <alignment horizontal="center"/>
    </xf>
    <xf numFmtId="0" fontId="0" fillId="0" borderId="37" xfId="0" applyBorder="1"/>
    <xf numFmtId="0" fontId="29" fillId="0" borderId="7" xfId="0" applyFont="1" applyBorder="1" applyAlignment="1">
      <alignment horizontal="center"/>
    </xf>
    <xf numFmtId="0" fontId="20" fillId="2" borderId="23" xfId="0" applyFont="1" applyFill="1" applyBorder="1" applyAlignment="1">
      <alignment horizontal="center" vertical="center" shrinkToFit="1"/>
    </xf>
    <xf numFmtId="0" fontId="23" fillId="6" borderId="19" xfId="0" applyFont="1" applyFill="1" applyBorder="1" applyAlignment="1">
      <alignment horizontal="center"/>
    </xf>
    <xf numFmtId="0" fontId="25" fillId="6" borderId="19" xfId="0" applyFont="1" applyFill="1" applyBorder="1" applyAlignment="1">
      <alignment horizontal="center"/>
    </xf>
    <xf numFmtId="178" fontId="27" fillId="0" borderId="7" xfId="0" quotePrefix="1" applyNumberFormat="1" applyFont="1" applyBorder="1" applyAlignment="1">
      <alignment horizontal="center"/>
    </xf>
    <xf numFmtId="178" fontId="27" fillId="0" borderId="11" xfId="0" quotePrefix="1" applyNumberFormat="1" applyFont="1" applyBorder="1" applyAlignment="1">
      <alignment horizontal="center"/>
    </xf>
    <xf numFmtId="0" fontId="23" fillId="6" borderId="7" xfId="0" applyFont="1" applyFill="1" applyBorder="1" applyAlignment="1">
      <alignment horizontal="center" shrinkToFit="1"/>
    </xf>
    <xf numFmtId="0" fontId="27" fillId="0" borderId="7" xfId="0" quotePrefix="1" applyFont="1" applyBorder="1" applyAlignment="1">
      <alignment horizontal="center"/>
    </xf>
    <xf numFmtId="0" fontId="27" fillId="0" borderId="11" xfId="0" quotePrefix="1" applyFont="1" applyBorder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24" fillId="0" borderId="11" xfId="0" applyFont="1" applyBorder="1" applyAlignment="1">
      <alignment horizontal="center" shrinkToFit="1"/>
    </xf>
    <xf numFmtId="0" fontId="24" fillId="0" borderId="19" xfId="0" applyFont="1" applyBorder="1" applyAlignment="1">
      <alignment horizontal="center" shrinkToFit="1"/>
    </xf>
    <xf numFmtId="0" fontId="23" fillId="0" borderId="38" xfId="0" applyFont="1" applyBorder="1" applyAlignment="1">
      <alignment horizontal="center"/>
    </xf>
    <xf numFmtId="178" fontId="23" fillId="0" borderId="19" xfId="0" applyNumberFormat="1" applyFont="1" applyBorder="1" applyAlignment="1">
      <alignment horizontal="center" shrinkToFit="1"/>
    </xf>
    <xf numFmtId="0" fontId="24" fillId="0" borderId="7" xfId="0" applyFont="1" applyBorder="1" applyAlignment="1">
      <alignment horizontal="center" shrinkToFit="1"/>
    </xf>
    <xf numFmtId="0" fontId="10" fillId="3" borderId="19" xfId="0" applyFont="1" applyFill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178" fontId="25" fillId="0" borderId="20" xfId="0" applyNumberFormat="1" applyFont="1" applyBorder="1" applyAlignment="1">
      <alignment horizontal="center"/>
    </xf>
    <xf numFmtId="178" fontId="23" fillId="0" borderId="7" xfId="0" applyNumberFormat="1" applyFont="1" applyBorder="1" applyAlignment="1">
      <alignment horizontal="center" shrinkToFit="1"/>
    </xf>
    <xf numFmtId="0" fontId="23" fillId="6" borderId="7" xfId="0" applyFont="1" applyFill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78" fontId="23" fillId="0" borderId="11" xfId="0" applyNumberFormat="1" applyFont="1" applyBorder="1" applyAlignment="1">
      <alignment horizontal="center" shrinkToFit="1"/>
    </xf>
    <xf numFmtId="0" fontId="25" fillId="6" borderId="11" xfId="0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0" fillId="2" borderId="19" xfId="0" applyFont="1" applyFill="1" applyBorder="1" applyAlignment="1">
      <alignment horizontal="center" vertical="center" shrinkToFit="1"/>
    </xf>
    <xf numFmtId="0" fontId="25" fillId="0" borderId="24" xfId="0" applyFont="1" applyBorder="1" applyAlignment="1">
      <alignment horizontal="center"/>
    </xf>
    <xf numFmtId="178" fontId="23" fillId="0" borderId="22" xfId="0" applyNumberFormat="1" applyFont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0" fontId="23" fillId="0" borderId="7" xfId="0" quotePrefix="1" applyFont="1" applyBorder="1" applyAlignment="1">
      <alignment horizontal="center"/>
    </xf>
    <xf numFmtId="0" fontId="27" fillId="0" borderId="23" xfId="0" applyFont="1" applyBorder="1" applyAlignment="1">
      <alignment horizontal="center" shrinkToFit="1"/>
    </xf>
    <xf numFmtId="0" fontId="27" fillId="0" borderId="19" xfId="0" quotePrefix="1" applyFont="1" applyBorder="1" applyAlignment="1">
      <alignment horizontal="center" shrinkToFit="1"/>
    </xf>
    <xf numFmtId="178" fontId="26" fillId="0" borderId="19" xfId="0" applyNumberFormat="1" applyFont="1" applyBorder="1" applyAlignment="1">
      <alignment horizontal="center"/>
    </xf>
    <xf numFmtId="0" fontId="26" fillId="0" borderId="23" xfId="0" applyFont="1" applyBorder="1" applyAlignment="1">
      <alignment horizontal="center" shrinkToFit="1"/>
    </xf>
    <xf numFmtId="178" fontId="27" fillId="0" borderId="19" xfId="0" quotePrefix="1" applyNumberFormat="1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178" fontId="24" fillId="0" borderId="19" xfId="0" applyNumberFormat="1" applyFont="1" applyBorder="1" applyAlignment="1">
      <alignment shrinkToFit="1"/>
    </xf>
    <xf numFmtId="178" fontId="23" fillId="0" borderId="36" xfId="0" applyNumberFormat="1" applyFont="1" applyBorder="1" applyAlignment="1">
      <alignment horizontal="center" shrinkToFit="1"/>
    </xf>
    <xf numFmtId="0" fontId="26" fillId="0" borderId="7" xfId="0" applyFont="1" applyBorder="1" applyAlignment="1">
      <alignment horizontal="center" shrinkToFit="1"/>
    </xf>
    <xf numFmtId="178" fontId="24" fillId="0" borderId="11" xfId="0" applyNumberFormat="1" applyFont="1" applyBorder="1" applyAlignment="1">
      <alignment shrinkToFit="1"/>
    </xf>
    <xf numFmtId="0" fontId="27" fillId="0" borderId="7" xfId="0" applyFont="1" applyBorder="1" applyAlignment="1">
      <alignment horizontal="center" shrinkToFit="1"/>
    </xf>
    <xf numFmtId="178" fontId="26" fillId="0" borderId="11" xfId="0" applyNumberFormat="1" applyFont="1" applyBorder="1" applyAlignment="1">
      <alignment horizontal="center"/>
    </xf>
    <xf numFmtId="178" fontId="26" fillId="0" borderId="7" xfId="0" applyNumberFormat="1" applyFont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178" fontId="24" fillId="0" borderId="7" xfId="0" quotePrefix="1" applyNumberFormat="1" applyFont="1" applyBorder="1" applyAlignment="1">
      <alignment horizontal="center"/>
    </xf>
    <xf numFmtId="0" fontId="27" fillId="0" borderId="20" xfId="0" applyFont="1" applyBorder="1" applyAlignment="1">
      <alignment horizontal="center" shrinkToFit="1"/>
    </xf>
    <xf numFmtId="0" fontId="26" fillId="0" borderId="11" xfId="0" applyFont="1" applyBorder="1" applyAlignment="1">
      <alignment horizontal="center" shrinkToFit="1"/>
    </xf>
    <xf numFmtId="0" fontId="27" fillId="0" borderId="23" xfId="0" quotePrefix="1" applyFont="1" applyBorder="1" applyAlignment="1">
      <alignment horizontal="center" shrinkToFit="1"/>
    </xf>
    <xf numFmtId="0" fontId="10" fillId="3" borderId="41" xfId="0" applyFont="1" applyFill="1" applyBorder="1" applyAlignment="1">
      <alignment horizontal="center" vertical="center" shrinkToFit="1"/>
    </xf>
    <xf numFmtId="0" fontId="10" fillId="2" borderId="42" xfId="0" applyFont="1" applyFill="1" applyBorder="1" applyAlignment="1">
      <alignment horizontal="center" vertical="center" shrinkToFit="1"/>
    </xf>
    <xf numFmtId="0" fontId="27" fillId="0" borderId="11" xfId="0" quotePrefix="1" applyFont="1" applyBorder="1" applyAlignment="1">
      <alignment horizontal="center" shrinkToFit="1"/>
    </xf>
    <xf numFmtId="0" fontId="23" fillId="0" borderId="11" xfId="0" quotePrefix="1" applyFont="1" applyBorder="1" applyAlignment="1">
      <alignment horizontal="center"/>
    </xf>
    <xf numFmtId="0" fontId="10" fillId="3" borderId="42" xfId="0" applyFont="1" applyFill="1" applyBorder="1" applyAlignment="1">
      <alignment horizontal="center" vertical="center" shrinkToFit="1"/>
    </xf>
    <xf numFmtId="0" fontId="10" fillId="3" borderId="43" xfId="0" applyFont="1" applyFill="1" applyBorder="1" applyAlignment="1">
      <alignment horizontal="center" vertical="center" shrinkToFit="1"/>
    </xf>
    <xf numFmtId="0" fontId="10" fillId="2" borderId="44" xfId="0" applyFont="1" applyFill="1" applyBorder="1" applyAlignment="1">
      <alignment horizontal="center" vertical="center" shrinkToFit="1"/>
    </xf>
    <xf numFmtId="0" fontId="27" fillId="0" borderId="7" xfId="0" quotePrefix="1" applyFont="1" applyBorder="1" applyAlignment="1">
      <alignment horizontal="center" shrinkToFit="1"/>
    </xf>
    <xf numFmtId="0" fontId="23" fillId="0" borderId="2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1" fillId="3" borderId="23" xfId="0" applyFont="1" applyFill="1" applyBorder="1" applyAlignment="1">
      <alignment horizontal="center" vertical="center" shrinkToFit="1"/>
    </xf>
    <xf numFmtId="178" fontId="27" fillId="0" borderId="23" xfId="0" applyNumberFormat="1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10" fillId="3" borderId="12" xfId="0" applyFont="1" applyFill="1" applyBorder="1" applyAlignment="1">
      <alignment horizontal="center" vertical="center" shrinkToFit="1"/>
    </xf>
    <xf numFmtId="0" fontId="11" fillId="3" borderId="12" xfId="0" applyFont="1" applyFill="1" applyBorder="1" applyAlignment="1">
      <alignment horizontal="center" vertical="center" shrinkToFit="1"/>
    </xf>
    <xf numFmtId="0" fontId="23" fillId="0" borderId="23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178" fontId="27" fillId="0" borderId="3" xfId="0" quotePrefix="1" applyNumberFormat="1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7" fillId="0" borderId="26" xfId="0" applyFont="1" applyBorder="1" applyAlignment="1">
      <alignment horizontal="center" shrinkToFit="1"/>
    </xf>
    <xf numFmtId="0" fontId="23" fillId="0" borderId="3" xfId="0" applyFont="1" applyBorder="1" applyAlignment="1">
      <alignment horizontal="center"/>
    </xf>
    <xf numFmtId="0" fontId="27" fillId="0" borderId="3" xfId="0" quotePrefix="1" applyFont="1" applyBorder="1" applyAlignment="1">
      <alignment horizont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26" fillId="0" borderId="20" xfId="0" applyFont="1" applyBorder="1" applyAlignment="1">
      <alignment horizontal="center" shrinkToFit="1"/>
    </xf>
    <xf numFmtId="0" fontId="23" fillId="6" borderId="20" xfId="0" applyFont="1" applyFill="1" applyBorder="1" applyAlignment="1">
      <alignment horizontal="center" shrinkToFit="1"/>
    </xf>
    <xf numFmtId="178" fontId="25" fillId="0" borderId="3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6" xfId="0" applyFont="1" applyBorder="1" applyAlignment="1">
      <alignment horizontal="center" shrinkToFit="1"/>
    </xf>
    <xf numFmtId="0" fontId="27" fillId="0" borderId="26" xfId="0" applyFont="1" applyBorder="1" applyAlignment="1">
      <alignment horizontal="center"/>
    </xf>
    <xf numFmtId="178" fontId="23" fillId="0" borderId="45" xfId="0" applyNumberFormat="1" applyFont="1" applyBorder="1" applyAlignment="1">
      <alignment horizont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24" fillId="6" borderId="10" xfId="0" applyFont="1" applyFill="1" applyBorder="1" applyAlignment="1">
      <alignment horizontal="center"/>
    </xf>
    <xf numFmtId="0" fontId="24" fillId="0" borderId="23" xfId="0" applyFont="1" applyBorder="1" applyAlignment="1">
      <alignment horizontal="center" shrinkToFit="1"/>
    </xf>
    <xf numFmtId="0" fontId="25" fillId="0" borderId="48" xfId="0" applyFont="1" applyBorder="1" applyAlignment="1">
      <alignment horizontal="center"/>
    </xf>
    <xf numFmtId="178" fontId="24" fillId="0" borderId="11" xfId="0" quotePrefix="1" applyNumberFormat="1" applyFont="1" applyBorder="1" applyAlignment="1">
      <alignment horizontal="center"/>
    </xf>
    <xf numFmtId="178" fontId="25" fillId="0" borderId="26" xfId="0" applyNumberFormat="1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178" fontId="27" fillId="0" borderId="26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 shrinkToFit="1"/>
    </xf>
    <xf numFmtId="0" fontId="23" fillId="0" borderId="18" xfId="0" applyFont="1" applyBorder="1" applyAlignment="1">
      <alignment horizontal="center" shrinkToFit="1"/>
    </xf>
    <xf numFmtId="0" fontId="23" fillId="0" borderId="18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3" fillId="0" borderId="20" xfId="0" quotePrefix="1" applyFont="1" applyBorder="1" applyAlignment="1">
      <alignment horizont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/>
    </xf>
    <xf numFmtId="0" fontId="27" fillId="0" borderId="20" xfId="0" quotePrefix="1" applyFont="1" applyBorder="1" applyAlignment="1">
      <alignment horizont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178" fontId="25" fillId="0" borderId="36" xfId="0" applyNumberFormat="1" applyFont="1" applyBorder="1" applyAlignment="1">
      <alignment horizontal="center"/>
    </xf>
    <xf numFmtId="0" fontId="23" fillId="0" borderId="24" xfId="0" applyFont="1" applyBorder="1" applyAlignment="1">
      <alignment horizontal="center" shrinkToFit="1"/>
    </xf>
    <xf numFmtId="178" fontId="26" fillId="0" borderId="24" xfId="0" applyNumberFormat="1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19" fillId="8" borderId="0" xfId="0" applyFont="1" applyFill="1" applyAlignment="1">
      <alignment vertical="center"/>
    </xf>
    <xf numFmtId="0" fontId="25" fillId="8" borderId="19" xfId="0" applyFont="1" applyFill="1" applyBorder="1" applyAlignment="1">
      <alignment horizontal="center"/>
    </xf>
    <xf numFmtId="0" fontId="23" fillId="8" borderId="19" xfId="0" applyFont="1" applyFill="1" applyBorder="1" applyAlignment="1">
      <alignment horizontal="center" shrinkToFit="1"/>
    </xf>
    <xf numFmtId="0" fontId="23" fillId="8" borderId="19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25" fillId="6" borderId="23" xfId="0" applyFont="1" applyFill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26" fillId="0" borderId="23" xfId="0" quotePrefix="1" applyFont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20" fillId="2" borderId="27" xfId="0" applyFont="1" applyFill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2" borderId="51" xfId="0" applyFont="1" applyFill="1" applyBorder="1" applyAlignment="1">
      <alignment horizontal="center" vertic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center" shrinkToFit="1"/>
    </xf>
    <xf numFmtId="178" fontId="24" fillId="0" borderId="19" xfId="0" applyNumberFormat="1" applyFont="1" applyBorder="1" applyAlignment="1">
      <alignment horizontal="center"/>
    </xf>
    <xf numFmtId="178" fontId="24" fillId="0" borderId="7" xfId="0" applyNumberFormat="1" applyFont="1" applyBorder="1" applyAlignment="1">
      <alignment horizontal="center"/>
    </xf>
    <xf numFmtId="178" fontId="26" fillId="0" borderId="20" xfId="0" applyNumberFormat="1" applyFont="1" applyBorder="1" applyAlignment="1">
      <alignment horizontal="center"/>
    </xf>
    <xf numFmtId="178" fontId="26" fillId="0" borderId="23" xfId="0" applyNumberFormat="1" applyFont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6" fillId="0" borderId="20" xfId="0" quotePrefix="1" applyFont="1" applyBorder="1" applyAlignment="1">
      <alignment horizontal="center"/>
    </xf>
    <xf numFmtId="0" fontId="23" fillId="6" borderId="11" xfId="0" applyFont="1" applyFill="1" applyBorder="1" applyAlignment="1">
      <alignment horizont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178" fontId="42" fillId="0" borderId="7" xfId="0" applyNumberFormat="1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178" fontId="42" fillId="0" borderId="11" xfId="0" applyNumberFormat="1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horizontal="center"/>
    </xf>
    <xf numFmtId="178" fontId="23" fillId="0" borderId="23" xfId="0" applyNumberFormat="1" applyFont="1" applyBorder="1" applyAlignment="1">
      <alignment horizontal="center" shrinkToFit="1"/>
    </xf>
    <xf numFmtId="0" fontId="24" fillId="0" borderId="24" xfId="0" applyFont="1" applyBorder="1" applyAlignment="1">
      <alignment horizontal="center" shrinkToFit="1"/>
    </xf>
    <xf numFmtId="0" fontId="25" fillId="6" borderId="24" xfId="0" applyFont="1" applyFill="1" applyBorder="1" applyAlignment="1">
      <alignment horizontal="center"/>
    </xf>
    <xf numFmtId="178" fontId="42" fillId="0" borderId="23" xfId="0" applyNumberFormat="1" applyFont="1" applyBorder="1" applyAlignment="1">
      <alignment horizontal="center"/>
    </xf>
    <xf numFmtId="0" fontId="23" fillId="6" borderId="19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/>
    </xf>
    <xf numFmtId="178" fontId="27" fillId="0" borderId="20" xfId="0" applyNumberFormat="1" applyFont="1" applyBorder="1" applyAlignment="1">
      <alignment horizontal="center"/>
    </xf>
    <xf numFmtId="0" fontId="23" fillId="0" borderId="20" xfId="0" quotePrefix="1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11" fillId="3" borderId="23" xfId="0" applyFont="1" applyFill="1" applyBorder="1" applyAlignment="1">
      <alignment horizontal="center" vertical="center" shrinkToFit="1"/>
    </xf>
    <xf numFmtId="178" fontId="42" fillId="0" borderId="20" xfId="0" applyNumberFormat="1" applyFont="1" applyBorder="1" applyAlignment="1">
      <alignment horizontal="center"/>
    </xf>
    <xf numFmtId="178" fontId="23" fillId="0" borderId="3" xfId="0" applyNumberFormat="1" applyFont="1" applyBorder="1" applyAlignment="1">
      <alignment horizontal="center" shrinkToFit="1"/>
    </xf>
    <xf numFmtId="178" fontId="24" fillId="0" borderId="3" xfId="0" applyNumberFormat="1" applyFont="1" applyBorder="1" applyAlignment="1">
      <alignment shrinkToFit="1"/>
    </xf>
    <xf numFmtId="0" fontId="27" fillId="0" borderId="3" xfId="0" applyFont="1" applyBorder="1" applyAlignment="1">
      <alignment horizontal="center"/>
    </xf>
    <xf numFmtId="178" fontId="24" fillId="0" borderId="7" xfId="0" applyNumberFormat="1" applyFont="1" applyBorder="1" applyAlignment="1">
      <alignment shrinkToFit="1"/>
    </xf>
    <xf numFmtId="178" fontId="25" fillId="0" borderId="18" xfId="0" applyNumberFormat="1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0" fillId="3" borderId="36" xfId="0" applyFont="1" applyFill="1" applyBorder="1" applyAlignment="1">
      <alignment horizontal="center" vertical="center" shrinkToFit="1"/>
    </xf>
    <xf numFmtId="0" fontId="10" fillId="3" borderId="24" xfId="0" applyFont="1" applyFill="1" applyBorder="1" applyAlignment="1">
      <alignment horizontal="center" vertical="center" shrinkToFit="1"/>
    </xf>
    <xf numFmtId="0" fontId="10" fillId="3" borderId="23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77" fontId="7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0" fillId="3" borderId="39" xfId="0" applyFont="1" applyFill="1" applyBorder="1" applyAlignment="1">
      <alignment horizontal="center" vertical="center" shrinkToFit="1"/>
    </xf>
    <xf numFmtId="0" fontId="10" fillId="3" borderId="40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178" fontId="27" fillId="5" borderId="21" xfId="0" applyNumberFormat="1" applyFont="1" applyFill="1" applyBorder="1" applyAlignment="1">
      <alignment horizontal="center"/>
    </xf>
    <xf numFmtId="178" fontId="27" fillId="5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78" fontId="27" fillId="5" borderId="21" xfId="0" quotePrefix="1" applyNumberFormat="1" applyFont="1" applyFill="1" applyBorder="1" applyAlignment="1">
      <alignment horizontal="center"/>
    </xf>
    <xf numFmtId="178" fontId="27" fillId="5" borderId="18" xfId="0" quotePrefix="1" applyNumberFormat="1" applyFont="1" applyFill="1" applyBorder="1" applyAlignment="1">
      <alignment horizontal="center"/>
    </xf>
    <xf numFmtId="178" fontId="27" fillId="5" borderId="21" xfId="0" applyNumberFormat="1" applyFont="1" applyFill="1" applyBorder="1" applyAlignment="1">
      <alignment horizontal="center" shrinkToFit="1"/>
    </xf>
    <xf numFmtId="178" fontId="27" fillId="5" borderId="18" xfId="0" applyNumberFormat="1" applyFont="1" applyFill="1" applyBorder="1" applyAlignment="1">
      <alignment horizontal="center" shrinkToFit="1"/>
    </xf>
    <xf numFmtId="0" fontId="11" fillId="3" borderId="36" xfId="0" applyFont="1" applyFill="1" applyBorder="1" applyAlignment="1">
      <alignment horizontal="center" vertical="center" shrinkToFit="1"/>
    </xf>
    <xf numFmtId="0" fontId="11" fillId="3" borderId="24" xfId="0" applyFont="1" applyFill="1" applyBorder="1" applyAlignment="1">
      <alignment horizontal="center" vertical="center" shrinkToFit="1"/>
    </xf>
    <xf numFmtId="0" fontId="11" fillId="3" borderId="23" xfId="0" applyFont="1" applyFill="1" applyBorder="1" applyAlignment="1">
      <alignment horizontal="center" vertical="center" shrinkToFit="1"/>
    </xf>
    <xf numFmtId="178" fontId="26" fillId="7" borderId="21" xfId="0" applyNumberFormat="1" applyFont="1" applyFill="1" applyBorder="1" applyAlignment="1">
      <alignment horizontal="center"/>
    </xf>
    <xf numFmtId="178" fontId="26" fillId="7" borderId="46" xfId="0" applyNumberFormat="1" applyFont="1" applyFill="1" applyBorder="1" applyAlignment="1">
      <alignment horizontal="center"/>
    </xf>
    <xf numFmtId="178" fontId="26" fillId="7" borderId="18" xfId="0" applyNumberFormat="1" applyFont="1" applyFill="1" applyBorder="1" applyAlignment="1">
      <alignment horizontal="center"/>
    </xf>
    <xf numFmtId="0" fontId="24" fillId="0" borderId="22" xfId="0" applyFont="1" applyBorder="1" applyAlignment="1">
      <alignment horizontal="center" wrapText="1"/>
    </xf>
    <xf numFmtId="0" fontId="24" fillId="0" borderId="47" xfId="0" applyFont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24" fillId="0" borderId="2" xfId="0" applyFont="1" applyBorder="1" applyAlignment="1">
      <alignment horizontal="center" wrapText="1"/>
    </xf>
    <xf numFmtId="178" fontId="27" fillId="5" borderId="46" xfId="0" applyNumberFormat="1" applyFont="1" applyFill="1" applyBorder="1" applyAlignment="1">
      <alignment horizontal="center"/>
    </xf>
    <xf numFmtId="178" fontId="27" fillId="8" borderId="21" xfId="0" quotePrefix="1" applyNumberFormat="1" applyFont="1" applyFill="1" applyBorder="1" applyAlignment="1">
      <alignment horizontal="center"/>
    </xf>
    <xf numFmtId="178" fontId="27" fillId="8" borderId="46" xfId="0" quotePrefix="1" applyNumberFormat="1" applyFont="1" applyFill="1" applyBorder="1" applyAlignment="1">
      <alignment horizontal="center"/>
    </xf>
    <xf numFmtId="178" fontId="27" fillId="8" borderId="18" xfId="0" quotePrefix="1" applyNumberFormat="1" applyFont="1" applyFill="1" applyBorder="1" applyAlignment="1">
      <alignment horizontal="center"/>
    </xf>
    <xf numFmtId="178" fontId="24" fillId="8" borderId="21" xfId="0" applyNumberFormat="1" applyFont="1" applyFill="1" applyBorder="1" applyAlignment="1">
      <alignment horizontal="center"/>
    </xf>
    <xf numFmtId="178" fontId="24" fillId="8" borderId="46" xfId="0" applyNumberFormat="1" applyFont="1" applyFill="1" applyBorder="1" applyAlignment="1">
      <alignment horizontal="center"/>
    </xf>
    <xf numFmtId="178" fontId="24" fillId="8" borderId="18" xfId="0" applyNumberFormat="1" applyFont="1" applyFill="1" applyBorder="1" applyAlignment="1">
      <alignment horizontal="center"/>
    </xf>
    <xf numFmtId="178" fontId="24" fillId="8" borderId="21" xfId="0" quotePrefix="1" applyNumberFormat="1" applyFont="1" applyFill="1" applyBorder="1" applyAlignment="1">
      <alignment horizontal="center"/>
    </xf>
    <xf numFmtId="178" fontId="24" fillId="8" borderId="46" xfId="0" quotePrefix="1" applyNumberFormat="1" applyFont="1" applyFill="1" applyBorder="1" applyAlignment="1">
      <alignment horizontal="center"/>
    </xf>
    <xf numFmtId="178" fontId="24" fillId="8" borderId="18" xfId="0" quotePrefix="1" applyNumberFormat="1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 wrapText="1"/>
    </xf>
    <xf numFmtId="0" fontId="27" fillId="6" borderId="47" xfId="0" applyFont="1" applyFill="1" applyBorder="1" applyAlignment="1">
      <alignment horizontal="center"/>
    </xf>
    <xf numFmtId="0" fontId="24" fillId="8" borderId="21" xfId="0" applyFont="1" applyFill="1" applyBorder="1" applyAlignment="1">
      <alignment horizontal="center" shrinkToFit="1"/>
    </xf>
    <xf numFmtId="0" fontId="24" fillId="8" borderId="46" xfId="0" applyFont="1" applyFill="1" applyBorder="1" applyAlignment="1">
      <alignment horizontal="center" shrinkToFit="1"/>
    </xf>
    <xf numFmtId="0" fontId="24" fillId="8" borderId="18" xfId="0" applyFont="1" applyFill="1" applyBorder="1" applyAlignment="1">
      <alignment horizontal="center" shrinkToFit="1"/>
    </xf>
    <xf numFmtId="0" fontId="27" fillId="8" borderId="46" xfId="0" applyFont="1" applyFill="1" applyBorder="1" applyAlignment="1">
      <alignment horizontal="center"/>
    </xf>
    <xf numFmtId="178" fontId="26" fillId="5" borderId="21" xfId="0" applyNumberFormat="1" applyFont="1" applyFill="1" applyBorder="1" applyAlignment="1">
      <alignment horizontal="center"/>
    </xf>
    <xf numFmtId="178" fontId="26" fillId="5" borderId="18" xfId="0" applyNumberFormat="1" applyFont="1" applyFill="1" applyBorder="1" applyAlignment="1">
      <alignment horizontal="center"/>
    </xf>
    <xf numFmtId="0" fontId="23" fillId="6" borderId="21" xfId="0" applyFont="1" applyFill="1" applyBorder="1" applyAlignment="1">
      <alignment horizontal="center"/>
    </xf>
    <xf numFmtId="0" fontId="23" fillId="6" borderId="46" xfId="0" applyFont="1" applyFill="1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6" fillId="9" borderId="21" xfId="0" applyFont="1" applyFill="1" applyBorder="1" applyAlignment="1">
      <alignment horizontal="center"/>
    </xf>
    <xf numFmtId="0" fontId="26" fillId="9" borderId="46" xfId="0" applyFont="1" applyFill="1" applyBorder="1" applyAlignment="1">
      <alignment horizontal="center"/>
    </xf>
    <xf numFmtId="0" fontId="26" fillId="9" borderId="18" xfId="0" applyFont="1" applyFill="1" applyBorder="1" applyAlignment="1">
      <alignment horizontal="center"/>
    </xf>
    <xf numFmtId="0" fontId="23" fillId="0" borderId="21" xfId="0" applyFont="1" applyBorder="1" applyAlignment="1">
      <alignment horizontal="center" shrinkToFit="1"/>
    </xf>
    <xf numFmtId="0" fontId="23" fillId="0" borderId="46" xfId="0" applyFont="1" applyBorder="1" applyAlignment="1">
      <alignment horizontal="center" shrinkToFit="1"/>
    </xf>
    <xf numFmtId="0" fontId="23" fillId="0" borderId="18" xfId="0" applyFont="1" applyBorder="1" applyAlignment="1">
      <alignment horizontal="center" shrinkToFit="1"/>
    </xf>
    <xf numFmtId="0" fontId="24" fillId="6" borderId="22" xfId="0" applyFont="1" applyFill="1" applyBorder="1" applyAlignment="1">
      <alignment horizontal="center" wrapText="1"/>
    </xf>
    <xf numFmtId="0" fontId="24" fillId="6" borderId="47" xfId="0" applyFont="1" applyFill="1" applyBorder="1" applyAlignment="1">
      <alignment horizontal="center"/>
    </xf>
    <xf numFmtId="0" fontId="24" fillId="6" borderId="2" xfId="0" applyFont="1" applyFill="1" applyBorder="1" applyAlignment="1">
      <alignment horizontal="center" wrapText="1"/>
    </xf>
    <xf numFmtId="0" fontId="24" fillId="6" borderId="47" xfId="0" applyFont="1" applyFill="1" applyBorder="1" applyAlignment="1">
      <alignment horizontal="center" wrapText="1"/>
    </xf>
    <xf numFmtId="0" fontId="24" fillId="0" borderId="47" xfId="0" applyFont="1" applyBorder="1" applyAlignment="1">
      <alignment horizontal="center" wrapText="1"/>
    </xf>
  </cellXfs>
  <cellStyles count="10">
    <cellStyle name="Currency 2" xfId="2"/>
    <cellStyle name="Excel.Chart" xfId="3"/>
    <cellStyle name="Normal" xfId="0" builtinId="0"/>
    <cellStyle name="Normal 13" xfId="4"/>
    <cellStyle name="Normal 2" xfId="5"/>
    <cellStyle name="Normal 3" xfId="6"/>
    <cellStyle name="Normal 4" xfId="1"/>
    <cellStyle name="Style 1" xfId="7"/>
    <cellStyle name="Style 1 2" xfId="8"/>
    <cellStyle name="一般_07X tracking  report 03-26-2007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  <xdr:twoCellAnchor>
    <xdr:from>
      <xdr:col>1</xdr:col>
      <xdr:colOff>915520</xdr:colOff>
      <xdr:row>8</xdr:row>
      <xdr:rowOff>148555</xdr:rowOff>
    </xdr:from>
    <xdr:to>
      <xdr:col>1</xdr:col>
      <xdr:colOff>961239</xdr:colOff>
      <xdr:row>10</xdr:row>
      <xdr:rowOff>227202</xdr:rowOff>
    </xdr:to>
    <xdr:sp macro="" textlink="">
      <xdr:nvSpPr>
        <xdr:cNvPr id="3" name="Right Brace 2"/>
        <xdr:cNvSpPr/>
      </xdr:nvSpPr>
      <xdr:spPr>
        <a:xfrm>
          <a:off x="1527217" y="2988578"/>
          <a:ext cx="45719" cy="62043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961239</xdr:colOff>
      <xdr:row>9</xdr:row>
      <xdr:rowOff>166033</xdr:rowOff>
    </xdr:from>
    <xdr:to>
      <xdr:col>2</xdr:col>
      <xdr:colOff>157294</xdr:colOff>
      <xdr:row>9</xdr:row>
      <xdr:rowOff>187879</xdr:rowOff>
    </xdr:to>
    <xdr:cxnSp macro="">
      <xdr:nvCxnSpPr>
        <xdr:cNvPr id="5" name="Straight Arrow Connector 4"/>
        <xdr:cNvCxnSpPr>
          <a:stCxn id="3" idx="1"/>
        </xdr:cNvCxnSpPr>
      </xdr:nvCxnSpPr>
      <xdr:spPr>
        <a:xfrm flipV="1">
          <a:off x="1572936" y="3276950"/>
          <a:ext cx="244679" cy="2184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  <xdr:twoCellAnchor>
    <xdr:from>
      <xdr:col>1</xdr:col>
      <xdr:colOff>952499</xdr:colOff>
      <xdr:row>22</xdr:row>
      <xdr:rowOff>173356</xdr:rowOff>
    </xdr:from>
    <xdr:to>
      <xdr:col>1</xdr:col>
      <xdr:colOff>1000124</xdr:colOff>
      <xdr:row>25</xdr:row>
      <xdr:rowOff>228600</xdr:rowOff>
    </xdr:to>
    <xdr:sp macro="" textlink="">
      <xdr:nvSpPr>
        <xdr:cNvPr id="3" name="Right Brace 2"/>
        <xdr:cNvSpPr/>
      </xdr:nvSpPr>
      <xdr:spPr>
        <a:xfrm>
          <a:off x="1562099" y="7631431"/>
          <a:ext cx="47625" cy="998219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1000125</xdr:colOff>
      <xdr:row>23</xdr:row>
      <xdr:rowOff>142875</xdr:rowOff>
    </xdr:from>
    <xdr:to>
      <xdr:col>2</xdr:col>
      <xdr:colOff>142875</xdr:colOff>
      <xdr:row>23</xdr:row>
      <xdr:rowOff>200025</xdr:rowOff>
    </xdr:to>
    <xdr:cxnSp macro="">
      <xdr:nvCxnSpPr>
        <xdr:cNvPr id="5" name="Straight Arrow Connector 4"/>
        <xdr:cNvCxnSpPr/>
      </xdr:nvCxnSpPr>
      <xdr:spPr>
        <a:xfrm>
          <a:off x="1609725" y="8229600"/>
          <a:ext cx="247650" cy="571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145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124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A8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</xdr:colOff>
      <xdr:row>0</xdr:row>
      <xdr:rowOff>78646</xdr:rowOff>
    </xdr:from>
    <xdr:to>
      <xdr:col>3</xdr:col>
      <xdr:colOff>123039</xdr:colOff>
      <xdr:row>1</xdr:row>
      <xdr:rowOff>57411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8739" y="78646"/>
          <a:ext cx="2057400" cy="693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A9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55485</xdr:rowOff>
    </xdr:from>
    <xdr:to>
      <xdr:col>3</xdr:col>
      <xdr:colOff>114300</xdr:colOff>
      <xdr:row>1</xdr:row>
      <xdr:rowOff>38747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55485"/>
          <a:ext cx="2143125" cy="697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A11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114300</xdr:colOff>
      <xdr:row>0</xdr:row>
      <xdr:rowOff>695325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0" y="0"/>
          <a:ext cx="20002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altLang="zh-TW" sz="3600" b="0" i="0" u="none" strike="noStrike" baseline="0">
              <a:solidFill>
                <a:srgbClr val="000000"/>
              </a:solidFill>
              <a:latin typeface="Arial Black"/>
            </a:rPr>
            <a:t>A12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zoomScaleNormal="100" workbookViewId="0">
      <selection activeCell="B8" sqref="B8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43251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thickBot="1" x14ac:dyDescent="0.3">
      <c r="A4" s="287" t="s">
        <v>36</v>
      </c>
      <c r="B4" s="42" t="s">
        <v>146</v>
      </c>
      <c r="C4" s="62">
        <v>43265</v>
      </c>
      <c r="D4" s="77" t="s">
        <v>55</v>
      </c>
      <c r="E4" s="41" t="s">
        <v>54</v>
      </c>
      <c r="F4" s="40" t="s">
        <v>147</v>
      </c>
      <c r="G4" s="40">
        <v>1032</v>
      </c>
      <c r="H4" s="41" t="s">
        <v>148</v>
      </c>
      <c r="I4" s="40">
        <f>1032-216*4</f>
        <v>168</v>
      </c>
      <c r="J4" s="40" t="s">
        <v>78</v>
      </c>
      <c r="K4" s="40"/>
      <c r="L4" s="54">
        <v>2689</v>
      </c>
      <c r="M4" s="16"/>
      <c r="N4" s="16"/>
      <c r="O4" s="17" t="s">
        <v>163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167</v>
      </c>
      <c r="C5" s="58">
        <v>43265</v>
      </c>
      <c r="D5" s="78" t="s">
        <v>59</v>
      </c>
      <c r="E5" s="60" t="s">
        <v>54</v>
      </c>
      <c r="F5" s="38" t="s">
        <v>245</v>
      </c>
      <c r="G5" s="38">
        <v>1224</v>
      </c>
      <c r="H5" s="60" t="s">
        <v>148</v>
      </c>
      <c r="I5" s="38">
        <v>432</v>
      </c>
      <c r="J5" s="38" t="s">
        <v>168</v>
      </c>
      <c r="K5" s="38"/>
      <c r="L5" s="44">
        <v>2689</v>
      </c>
      <c r="M5" s="16"/>
      <c r="N5" s="63"/>
      <c r="O5" s="20" t="s">
        <v>164</v>
      </c>
      <c r="P5" s="21">
        <v>2</v>
      </c>
      <c r="Q5" s="22" t="s">
        <v>20</v>
      </c>
    </row>
    <row r="6" spans="1:17" ht="22.5" customHeight="1" x14ac:dyDescent="0.25">
      <c r="A6" s="288"/>
      <c r="B6" s="43" t="s">
        <v>105</v>
      </c>
      <c r="C6" s="58"/>
      <c r="D6" s="78"/>
      <c r="E6" s="60"/>
      <c r="F6" s="38"/>
      <c r="G6" s="38"/>
      <c r="H6" s="60"/>
      <c r="I6" s="38">
        <v>432</v>
      </c>
      <c r="J6" s="38" t="s">
        <v>169</v>
      </c>
      <c r="K6" s="38"/>
      <c r="L6" s="44"/>
      <c r="M6" s="15"/>
      <c r="N6" s="63"/>
      <c r="O6" s="20" t="s">
        <v>165</v>
      </c>
      <c r="P6" s="21">
        <v>3</v>
      </c>
      <c r="Q6" s="22" t="s">
        <v>21</v>
      </c>
    </row>
    <row r="7" spans="1:17" ht="22.5" customHeight="1" x14ac:dyDescent="0.25">
      <c r="A7" s="288"/>
      <c r="B7" s="43"/>
      <c r="C7" s="58"/>
      <c r="D7" s="78"/>
      <c r="E7" s="60"/>
      <c r="F7" s="38"/>
      <c r="G7" s="38"/>
      <c r="H7" s="60"/>
      <c r="I7" s="38">
        <f>1224-216*4</f>
        <v>360</v>
      </c>
      <c r="J7" s="38" t="s">
        <v>170</v>
      </c>
      <c r="K7" s="38"/>
      <c r="L7" s="44"/>
      <c r="M7" s="15"/>
      <c r="N7" s="63"/>
      <c r="O7" s="20"/>
      <c r="P7" s="21"/>
      <c r="Q7" s="22"/>
    </row>
    <row r="8" spans="1:17" ht="22.5" customHeight="1" x14ac:dyDescent="0.25">
      <c r="A8" s="288"/>
      <c r="B8" s="43" t="s">
        <v>171</v>
      </c>
      <c r="C8" s="58">
        <v>43267</v>
      </c>
      <c r="D8" s="78" t="s">
        <v>59</v>
      </c>
      <c r="E8" s="60" t="s">
        <v>54</v>
      </c>
      <c r="F8" s="38" t="s">
        <v>172</v>
      </c>
      <c r="G8" s="38">
        <v>480</v>
      </c>
      <c r="H8" s="60" t="s">
        <v>148</v>
      </c>
      <c r="I8" s="38">
        <v>216</v>
      </c>
      <c r="J8" s="38" t="s">
        <v>173</v>
      </c>
      <c r="K8" s="38"/>
      <c r="L8" s="44">
        <v>2689</v>
      </c>
      <c r="M8" s="15"/>
      <c r="N8" s="63"/>
      <c r="O8" s="20" t="s">
        <v>166</v>
      </c>
      <c r="P8" s="21">
        <v>4</v>
      </c>
      <c r="Q8" s="22" t="s">
        <v>21</v>
      </c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57"/>
      <c r="H9" s="157"/>
      <c r="I9" s="157">
        <f>SUM(I4:I8)</f>
        <v>1608</v>
      </c>
      <c r="J9" s="157"/>
      <c r="K9" s="157"/>
      <c r="L9" s="158"/>
      <c r="M9" s="157"/>
      <c r="N9" s="157"/>
      <c r="O9" s="157"/>
      <c r="P9" s="161"/>
      <c r="Q9" s="161"/>
    </row>
    <row r="10" spans="1:17" ht="22.5" customHeight="1" x14ac:dyDescent="0.25">
      <c r="A10" s="287" t="s">
        <v>39</v>
      </c>
      <c r="B10" s="120" t="s">
        <v>131</v>
      </c>
      <c r="C10" s="176">
        <v>43257</v>
      </c>
      <c r="D10" s="177" t="s">
        <v>59</v>
      </c>
      <c r="E10" s="167" t="s">
        <v>54</v>
      </c>
      <c r="F10" s="178" t="s">
        <v>92</v>
      </c>
      <c r="G10" s="178">
        <v>9312</v>
      </c>
      <c r="H10" s="179" t="s">
        <v>88</v>
      </c>
      <c r="I10" s="178">
        <f>9312-216*41</f>
        <v>456</v>
      </c>
      <c r="J10" s="178" t="s">
        <v>174</v>
      </c>
      <c r="K10" s="178"/>
      <c r="L10" s="180" t="s">
        <v>80</v>
      </c>
      <c r="M10" s="16"/>
      <c r="N10" s="16"/>
      <c r="O10" s="17" t="s">
        <v>163</v>
      </c>
      <c r="P10" s="18">
        <v>1</v>
      </c>
      <c r="Q10" s="19" t="s">
        <v>19</v>
      </c>
    </row>
    <row r="11" spans="1:17" ht="22.5" customHeight="1" x14ac:dyDescent="0.25">
      <c r="A11" s="288"/>
      <c r="B11" s="45" t="s">
        <v>175</v>
      </c>
      <c r="C11" s="58">
        <v>43264</v>
      </c>
      <c r="D11" s="78" t="s">
        <v>59</v>
      </c>
      <c r="E11" s="129" t="s">
        <v>54</v>
      </c>
      <c r="F11" s="164" t="s">
        <v>176</v>
      </c>
      <c r="G11" s="164">
        <v>5772</v>
      </c>
      <c r="H11" s="48" t="s">
        <v>88</v>
      </c>
      <c r="I11" s="164">
        <v>432</v>
      </c>
      <c r="J11" s="164" t="s">
        <v>77</v>
      </c>
      <c r="K11" s="164"/>
      <c r="L11" s="57" t="s">
        <v>200</v>
      </c>
      <c r="M11" s="49"/>
      <c r="N11" s="63"/>
      <c r="O11" s="20" t="s">
        <v>164</v>
      </c>
      <c r="P11" s="21">
        <v>2</v>
      </c>
      <c r="Q11" s="22" t="s">
        <v>20</v>
      </c>
    </row>
    <row r="12" spans="1:17" ht="22.5" customHeight="1" x14ac:dyDescent="0.25">
      <c r="A12" s="288"/>
      <c r="B12" s="45" t="s">
        <v>177</v>
      </c>
      <c r="C12" s="58"/>
      <c r="D12" s="78"/>
      <c r="E12" s="129"/>
      <c r="F12" s="164"/>
      <c r="G12" s="164"/>
      <c r="H12" s="48"/>
      <c r="I12" s="164">
        <v>216</v>
      </c>
      <c r="J12" s="164" t="s">
        <v>182</v>
      </c>
      <c r="K12" s="164"/>
      <c r="L12" s="57"/>
      <c r="M12" s="49"/>
      <c r="N12" s="63"/>
      <c r="O12" s="20" t="s">
        <v>165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v>216</v>
      </c>
      <c r="J13" s="164" t="s">
        <v>246</v>
      </c>
      <c r="K13" s="164"/>
      <c r="L13" s="57"/>
      <c r="M13" s="49"/>
      <c r="N13" s="63"/>
      <c r="O13" s="20" t="s">
        <v>166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0"/>
      <c r="G14" s="160"/>
      <c r="H14" s="48"/>
      <c r="I14" s="160"/>
      <c r="J14" s="160"/>
      <c r="K14" s="160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57"/>
      <c r="H15" s="157"/>
      <c r="I15" s="157">
        <f>SUM(I10:I14)</f>
        <v>1320</v>
      </c>
      <c r="J15" s="157"/>
      <c r="K15" s="157"/>
      <c r="L15" s="158"/>
      <c r="M15" s="157"/>
      <c r="N15" s="157"/>
      <c r="O15" s="157"/>
      <c r="P15" s="161"/>
      <c r="Q15" s="161"/>
    </row>
    <row r="16" spans="1:17" ht="22.5" customHeight="1" x14ac:dyDescent="0.25">
      <c r="A16" s="287" t="s">
        <v>37</v>
      </c>
      <c r="B16" s="42" t="s">
        <v>179</v>
      </c>
      <c r="C16" s="116">
        <v>43274</v>
      </c>
      <c r="D16" s="52" t="s">
        <v>55</v>
      </c>
      <c r="E16" s="41" t="s">
        <v>54</v>
      </c>
      <c r="F16" s="40" t="s">
        <v>60</v>
      </c>
      <c r="G16" s="155">
        <v>120</v>
      </c>
      <c r="H16" s="81" t="s">
        <v>58</v>
      </c>
      <c r="I16" s="155">
        <v>120</v>
      </c>
      <c r="J16" s="155" t="s">
        <v>84</v>
      </c>
      <c r="K16" s="155"/>
      <c r="L16" s="53" t="s">
        <v>67</v>
      </c>
      <c r="M16" s="16"/>
      <c r="N16" s="16"/>
      <c r="O16" s="17" t="s">
        <v>163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180</v>
      </c>
      <c r="C17" s="46">
        <v>43274</v>
      </c>
      <c r="D17" s="47" t="s">
        <v>55</v>
      </c>
      <c r="E17" s="60" t="s">
        <v>54</v>
      </c>
      <c r="F17" s="38" t="s">
        <v>60</v>
      </c>
      <c r="G17" s="160">
        <v>564</v>
      </c>
      <c r="H17" s="48" t="s">
        <v>58</v>
      </c>
      <c r="I17" s="160">
        <v>432</v>
      </c>
      <c r="J17" s="160" t="s">
        <v>77</v>
      </c>
      <c r="K17" s="160"/>
      <c r="L17" s="57" t="s">
        <v>149</v>
      </c>
      <c r="M17" s="63"/>
      <c r="N17" s="63"/>
      <c r="O17" s="20"/>
      <c r="P17" s="21"/>
      <c r="Q17" s="22"/>
    </row>
    <row r="18" spans="1:17" ht="22.5" customHeight="1" x14ac:dyDescent="0.25">
      <c r="A18" s="288"/>
      <c r="B18" s="45" t="s">
        <v>181</v>
      </c>
      <c r="C18" s="46"/>
      <c r="D18" s="47"/>
      <c r="E18" s="60"/>
      <c r="F18" s="38"/>
      <c r="G18" s="160"/>
      <c r="H18" s="48"/>
      <c r="I18" s="160">
        <f>564-216*2</f>
        <v>132</v>
      </c>
      <c r="J18" s="160" t="s">
        <v>182</v>
      </c>
      <c r="K18" s="160"/>
      <c r="L18" s="57"/>
      <c r="M18" s="15"/>
      <c r="N18" s="15"/>
      <c r="O18" s="20" t="s">
        <v>164</v>
      </c>
      <c r="P18" s="21">
        <v>2</v>
      </c>
      <c r="Q18" s="22" t="s">
        <v>20</v>
      </c>
    </row>
    <row r="19" spans="1:17" ht="22.5" customHeight="1" x14ac:dyDescent="0.25">
      <c r="A19" s="288"/>
      <c r="B19" s="45" t="s">
        <v>183</v>
      </c>
      <c r="C19" s="46">
        <v>43271</v>
      </c>
      <c r="D19" s="47" t="s">
        <v>59</v>
      </c>
      <c r="E19" s="60" t="s">
        <v>54</v>
      </c>
      <c r="F19" s="38" t="s">
        <v>111</v>
      </c>
      <c r="G19" s="160">
        <v>144</v>
      </c>
      <c r="H19" s="48" t="s">
        <v>58</v>
      </c>
      <c r="I19" s="160">
        <v>144</v>
      </c>
      <c r="J19" s="160" t="s">
        <v>173</v>
      </c>
      <c r="K19" s="160"/>
      <c r="L19" s="57" t="s">
        <v>185</v>
      </c>
      <c r="M19" s="15"/>
      <c r="N19" s="15"/>
      <c r="O19" s="20"/>
      <c r="P19" s="21"/>
      <c r="Q19" s="22"/>
    </row>
    <row r="20" spans="1:17" ht="22.5" customHeight="1" x14ac:dyDescent="0.25">
      <c r="A20" s="288"/>
      <c r="B20" s="45" t="s">
        <v>184</v>
      </c>
      <c r="C20" s="46">
        <v>43276</v>
      </c>
      <c r="D20" s="47" t="s">
        <v>55</v>
      </c>
      <c r="E20" s="60" t="s">
        <v>54</v>
      </c>
      <c r="F20" s="38" t="s">
        <v>111</v>
      </c>
      <c r="G20" s="160">
        <v>504</v>
      </c>
      <c r="H20" s="48" t="s">
        <v>58</v>
      </c>
      <c r="I20" s="160">
        <v>504</v>
      </c>
      <c r="J20" s="160" t="s">
        <v>168</v>
      </c>
      <c r="K20" s="160"/>
      <c r="L20" s="57" t="s">
        <v>186</v>
      </c>
      <c r="M20" s="15"/>
      <c r="N20" s="15"/>
      <c r="O20" s="20" t="s">
        <v>165</v>
      </c>
      <c r="P20" s="21">
        <v>3</v>
      </c>
      <c r="Q20" s="22" t="s">
        <v>21</v>
      </c>
    </row>
    <row r="21" spans="1:17" ht="22.5" customHeight="1" x14ac:dyDescent="0.25">
      <c r="A21" s="288"/>
      <c r="B21" s="45"/>
      <c r="C21" s="305" t="s">
        <v>35</v>
      </c>
      <c r="D21" s="306"/>
      <c r="E21" s="60"/>
      <c r="F21" s="38"/>
      <c r="G21" s="160"/>
      <c r="H21" s="48"/>
      <c r="I21" s="160"/>
      <c r="J21" s="160"/>
      <c r="K21" s="160"/>
      <c r="L21" s="57"/>
      <c r="M21" s="49"/>
      <c r="N21" s="49"/>
      <c r="O21" s="20"/>
      <c r="P21" s="21"/>
      <c r="Q21" s="22"/>
    </row>
    <row r="22" spans="1:17" ht="22.5" customHeight="1" x14ac:dyDescent="0.25">
      <c r="A22" s="288"/>
      <c r="B22" s="45" t="s">
        <v>187</v>
      </c>
      <c r="C22" s="46">
        <v>43266</v>
      </c>
      <c r="D22" s="47" t="s">
        <v>59</v>
      </c>
      <c r="E22" s="48" t="s">
        <v>54</v>
      </c>
      <c r="F22" s="160" t="s">
        <v>116</v>
      </c>
      <c r="G22" s="160">
        <v>360</v>
      </c>
      <c r="H22" s="48" t="s">
        <v>117</v>
      </c>
      <c r="I22" s="160">
        <v>360</v>
      </c>
      <c r="J22" s="160" t="s">
        <v>77</v>
      </c>
      <c r="K22" s="160"/>
      <c r="L22" s="57" t="s">
        <v>188</v>
      </c>
      <c r="M22" s="49"/>
      <c r="N22" s="49"/>
      <c r="O22" s="20" t="s">
        <v>166</v>
      </c>
      <c r="P22" s="21">
        <v>4</v>
      </c>
      <c r="Q22" s="22" t="s">
        <v>21</v>
      </c>
    </row>
    <row r="23" spans="1:17" ht="22.5" customHeight="1" thickBot="1" x14ac:dyDescent="0.3">
      <c r="A23" s="289"/>
      <c r="B23" s="93" t="s">
        <v>64</v>
      </c>
      <c r="C23" s="301" t="s">
        <v>98</v>
      </c>
      <c r="D23" s="302"/>
      <c r="E23" s="302"/>
      <c r="F23" s="303"/>
      <c r="G23" s="157"/>
      <c r="H23" s="157"/>
      <c r="I23" s="157">
        <f>SUM(I16:I22)</f>
        <v>1692</v>
      </c>
      <c r="J23" s="157"/>
      <c r="K23" s="157"/>
      <c r="L23" s="158"/>
      <c r="M23" s="157"/>
      <c r="N23" s="157"/>
      <c r="O23" s="157"/>
      <c r="P23" s="161"/>
      <c r="Q23" s="161"/>
    </row>
    <row r="24" spans="1:17" ht="22.5" customHeight="1" x14ac:dyDescent="0.25">
      <c r="A24" s="287" t="s">
        <v>38</v>
      </c>
      <c r="B24" s="42" t="s">
        <v>175</v>
      </c>
      <c r="C24" s="62">
        <v>43264</v>
      </c>
      <c r="D24" s="77" t="s">
        <v>59</v>
      </c>
      <c r="E24" s="81" t="s">
        <v>54</v>
      </c>
      <c r="F24" s="155" t="s">
        <v>176</v>
      </c>
      <c r="G24" s="155">
        <v>5772</v>
      </c>
      <c r="H24" s="81" t="s">
        <v>88</v>
      </c>
      <c r="I24" s="155">
        <v>432</v>
      </c>
      <c r="J24" s="155" t="s">
        <v>127</v>
      </c>
      <c r="K24" s="155"/>
      <c r="L24" s="53" t="s">
        <v>260</v>
      </c>
      <c r="M24" s="16"/>
      <c r="N24" s="16"/>
      <c r="O24" s="17" t="s">
        <v>163</v>
      </c>
      <c r="P24" s="18">
        <v>1</v>
      </c>
      <c r="Q24" s="19" t="s">
        <v>19</v>
      </c>
    </row>
    <row r="25" spans="1:17" ht="22.5" customHeight="1" x14ac:dyDescent="0.25">
      <c r="A25" s="288"/>
      <c r="B25" s="45" t="s">
        <v>177</v>
      </c>
      <c r="C25" s="58"/>
      <c r="D25" s="78"/>
      <c r="E25" s="129"/>
      <c r="F25" s="164"/>
      <c r="G25" s="164"/>
      <c r="H25" s="48"/>
      <c r="I25" s="164">
        <v>216</v>
      </c>
      <c r="J25" s="164" t="s">
        <v>227</v>
      </c>
      <c r="K25" s="164"/>
      <c r="L25" s="57"/>
      <c r="M25" s="15"/>
      <c r="N25" s="15"/>
      <c r="O25" s="20" t="s">
        <v>164</v>
      </c>
      <c r="P25" s="21">
        <v>2</v>
      </c>
      <c r="Q25" s="22" t="s">
        <v>20</v>
      </c>
    </row>
    <row r="26" spans="1:17" ht="22.5" customHeight="1" x14ac:dyDescent="0.25">
      <c r="A26" s="288"/>
      <c r="B26" s="45"/>
      <c r="C26" s="58"/>
      <c r="D26" s="78"/>
      <c r="E26" s="129"/>
      <c r="F26" s="164"/>
      <c r="G26" s="164"/>
      <c r="H26" s="48"/>
      <c r="I26" s="164">
        <v>216</v>
      </c>
      <c r="J26" s="164" t="s">
        <v>248</v>
      </c>
      <c r="K26" s="164"/>
      <c r="L26" s="57"/>
      <c r="M26" s="49"/>
      <c r="N26" s="15"/>
      <c r="O26" s="20" t="s">
        <v>165</v>
      </c>
      <c r="P26" s="21">
        <v>3</v>
      </c>
      <c r="Q26" s="22" t="s">
        <v>21</v>
      </c>
    </row>
    <row r="27" spans="1:17" ht="22.5" customHeight="1" x14ac:dyDescent="0.25">
      <c r="A27" s="288"/>
      <c r="B27" s="111"/>
      <c r="C27" s="58"/>
      <c r="D27" s="78"/>
      <c r="E27" s="48"/>
      <c r="F27" s="160"/>
      <c r="G27" s="160"/>
      <c r="H27" s="48"/>
      <c r="I27" s="84">
        <v>216</v>
      </c>
      <c r="J27" s="160" t="s">
        <v>342</v>
      </c>
      <c r="K27" s="160"/>
      <c r="L27" s="57"/>
      <c r="M27" s="15"/>
      <c r="N27" s="15"/>
      <c r="O27" s="20" t="s">
        <v>166</v>
      </c>
      <c r="P27" s="21">
        <v>4</v>
      </c>
      <c r="Q27" s="22" t="s">
        <v>21</v>
      </c>
    </row>
    <row r="28" spans="1:17" ht="22.5" customHeight="1" x14ac:dyDescent="0.25">
      <c r="A28" s="288"/>
      <c r="B28" s="111"/>
      <c r="C28" s="58"/>
      <c r="D28" s="78"/>
      <c r="E28" s="48"/>
      <c r="F28" s="160"/>
      <c r="G28" s="160"/>
      <c r="H28" s="48"/>
      <c r="I28" s="160"/>
      <c r="J28" s="160"/>
      <c r="K28" s="160"/>
      <c r="L28" s="57"/>
      <c r="M28" s="15"/>
      <c r="N28" s="15"/>
      <c r="O28" s="20"/>
      <c r="P28" s="21"/>
      <c r="Q28" s="22"/>
    </row>
    <row r="29" spans="1:17" ht="22.5" customHeight="1" thickBot="1" x14ac:dyDescent="0.3">
      <c r="A29" s="289"/>
      <c r="B29" s="93" t="s">
        <v>64</v>
      </c>
      <c r="C29" s="301" t="s">
        <v>98</v>
      </c>
      <c r="D29" s="302"/>
      <c r="E29" s="302"/>
      <c r="F29" s="303"/>
      <c r="G29" s="157"/>
      <c r="H29" s="157"/>
      <c r="I29" s="157">
        <f>SUM(I24:I28)</f>
        <v>1080</v>
      </c>
      <c r="J29" s="157"/>
      <c r="K29" s="157"/>
      <c r="L29" s="158"/>
      <c r="M29" s="157"/>
      <c r="N29" s="157"/>
      <c r="O29" s="157"/>
      <c r="P29" s="161"/>
      <c r="Q29" s="161"/>
    </row>
    <row r="30" spans="1:17" ht="29.2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SUM(I29,I23,I15,I9)</f>
        <v>5700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56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9">
    <mergeCell ref="B33:Q33"/>
    <mergeCell ref="F34:O34"/>
    <mergeCell ref="P34:Q34"/>
    <mergeCell ref="B35:O35"/>
    <mergeCell ref="A10:A15"/>
    <mergeCell ref="C15:F15"/>
    <mergeCell ref="A16:A23"/>
    <mergeCell ref="A24:A29"/>
    <mergeCell ref="C29:F29"/>
    <mergeCell ref="F32:Q32"/>
    <mergeCell ref="C21:D21"/>
    <mergeCell ref="C23:F23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2" zoomScaleNormal="100" workbookViewId="0">
      <selection activeCell="B4" sqref="B4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43251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150</v>
      </c>
      <c r="C4" s="62">
        <v>43268</v>
      </c>
      <c r="D4" s="77" t="s">
        <v>59</v>
      </c>
      <c r="E4" s="81" t="s">
        <v>34</v>
      </c>
      <c r="F4" s="40" t="s">
        <v>76</v>
      </c>
      <c r="G4" s="155">
        <v>3600</v>
      </c>
      <c r="H4" s="81" t="s">
        <v>51</v>
      </c>
      <c r="I4" s="155">
        <v>432</v>
      </c>
      <c r="J4" s="81" t="s">
        <v>132</v>
      </c>
      <c r="K4" s="155"/>
      <c r="L4" s="123" t="s">
        <v>81</v>
      </c>
      <c r="M4" s="16"/>
      <c r="N4" s="16"/>
      <c r="O4" s="17" t="s">
        <v>163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75</v>
      </c>
      <c r="C5" s="58"/>
      <c r="D5" s="78"/>
      <c r="E5" s="48"/>
      <c r="F5" s="39"/>
      <c r="G5" s="164"/>
      <c r="H5" s="48"/>
      <c r="I5" s="164">
        <v>432</v>
      </c>
      <c r="J5" s="48" t="s">
        <v>189</v>
      </c>
      <c r="K5" s="164"/>
      <c r="L5" s="51"/>
      <c r="M5" s="49"/>
      <c r="N5" s="15"/>
      <c r="O5" s="20" t="s">
        <v>164</v>
      </c>
      <c r="P5" s="21">
        <v>2</v>
      </c>
      <c r="Q5" s="22" t="s">
        <v>20</v>
      </c>
    </row>
    <row r="6" spans="1:17" ht="24" customHeight="1" x14ac:dyDescent="0.25">
      <c r="A6" s="288"/>
      <c r="B6" s="43"/>
      <c r="C6" s="58"/>
      <c r="D6" s="78"/>
      <c r="E6" s="60"/>
      <c r="F6" s="38"/>
      <c r="G6" s="38"/>
      <c r="H6" s="60"/>
      <c r="I6" s="38">
        <v>432</v>
      </c>
      <c r="J6" s="60" t="s">
        <v>122</v>
      </c>
      <c r="K6" s="38"/>
      <c r="L6" s="91"/>
      <c r="M6" s="49"/>
      <c r="N6" s="15"/>
      <c r="O6" s="20" t="s">
        <v>165</v>
      </c>
      <c r="P6" s="21">
        <v>3</v>
      </c>
      <c r="Q6" s="22" t="s">
        <v>21</v>
      </c>
    </row>
    <row r="7" spans="1:17" ht="24" customHeight="1" x14ac:dyDescent="0.25">
      <c r="A7" s="288"/>
      <c r="B7" s="43"/>
      <c r="C7" s="58"/>
      <c r="D7" s="78"/>
      <c r="E7" s="60"/>
      <c r="F7" s="38"/>
      <c r="G7" s="38"/>
      <c r="H7" s="60"/>
      <c r="I7" s="38">
        <v>216</v>
      </c>
      <c r="J7" s="60" t="s">
        <v>247</v>
      </c>
      <c r="K7" s="38"/>
      <c r="L7" s="91"/>
      <c r="M7" s="49"/>
      <c r="N7" s="15"/>
      <c r="O7" s="20" t="s">
        <v>166</v>
      </c>
      <c r="P7" s="21">
        <v>4</v>
      </c>
      <c r="Q7" s="22" t="s">
        <v>21</v>
      </c>
    </row>
    <row r="8" spans="1:17" ht="24" customHeight="1" x14ac:dyDescent="0.25">
      <c r="A8" s="288"/>
      <c r="B8" s="45"/>
      <c r="C8" s="58"/>
      <c r="D8" s="78"/>
      <c r="E8" s="48"/>
      <c r="F8" s="39"/>
      <c r="G8" s="160"/>
      <c r="H8" s="48"/>
      <c r="I8" s="160"/>
      <c r="J8" s="48"/>
      <c r="K8" s="160"/>
      <c r="L8" s="51"/>
      <c r="M8" s="49"/>
      <c r="N8" s="15"/>
      <c r="O8" s="20"/>
      <c r="P8" s="21"/>
      <c r="Q8" s="22"/>
    </row>
    <row r="9" spans="1:17" ht="24" customHeight="1" thickBot="1" x14ac:dyDescent="0.3">
      <c r="A9" s="289"/>
      <c r="B9" s="93"/>
      <c r="C9" s="157"/>
      <c r="D9" s="157"/>
      <c r="E9" s="157"/>
      <c r="F9" s="157"/>
      <c r="G9" s="157"/>
      <c r="H9" s="157"/>
      <c r="I9" s="157">
        <f>SUM(I4:I8)</f>
        <v>1512</v>
      </c>
      <c r="J9" s="157"/>
      <c r="K9" s="157"/>
      <c r="L9" s="158"/>
      <c r="M9" s="157"/>
      <c r="N9" s="157"/>
      <c r="O9" s="114"/>
      <c r="P9" s="161"/>
      <c r="Q9" s="152"/>
    </row>
    <row r="10" spans="1:17" ht="24" customHeight="1" x14ac:dyDescent="0.25">
      <c r="A10" s="287" t="s">
        <v>41</v>
      </c>
      <c r="B10" s="92" t="s">
        <v>151</v>
      </c>
      <c r="C10" s="62">
        <v>43259</v>
      </c>
      <c r="D10" s="140" t="s">
        <v>55</v>
      </c>
      <c r="E10" s="41" t="s">
        <v>54</v>
      </c>
      <c r="F10" s="40" t="s">
        <v>102</v>
      </c>
      <c r="G10" s="40">
        <v>6024</v>
      </c>
      <c r="H10" s="56" t="s">
        <v>100</v>
      </c>
      <c r="I10" s="40">
        <v>432</v>
      </c>
      <c r="J10" s="41" t="s">
        <v>190</v>
      </c>
      <c r="K10" s="40"/>
      <c r="L10" s="90" t="s">
        <v>67</v>
      </c>
      <c r="M10" s="16"/>
      <c r="N10" s="16"/>
      <c r="O10" s="17" t="s">
        <v>163</v>
      </c>
      <c r="P10" s="18">
        <v>1</v>
      </c>
      <c r="Q10" s="19" t="s">
        <v>19</v>
      </c>
    </row>
    <row r="11" spans="1:17" ht="24" customHeight="1" x14ac:dyDescent="0.25">
      <c r="A11" s="288"/>
      <c r="B11" s="43" t="s">
        <v>152</v>
      </c>
      <c r="C11" s="305" t="s">
        <v>57</v>
      </c>
      <c r="D11" s="306"/>
      <c r="E11" s="79"/>
      <c r="F11" s="38"/>
      <c r="G11" s="38"/>
      <c r="H11" s="60"/>
      <c r="I11" s="164">
        <v>432</v>
      </c>
      <c r="J11" s="48" t="s">
        <v>127</v>
      </c>
      <c r="K11" s="164"/>
      <c r="L11" s="88"/>
      <c r="M11" s="63"/>
      <c r="N11" s="63"/>
      <c r="O11" s="20" t="s">
        <v>164</v>
      </c>
      <c r="P11" s="21">
        <v>2</v>
      </c>
      <c r="Q11" s="22" t="s">
        <v>20</v>
      </c>
    </row>
    <row r="12" spans="1:17" ht="24" customHeight="1" x14ac:dyDescent="0.25">
      <c r="A12" s="288"/>
      <c r="B12" s="43"/>
      <c r="C12" s="58"/>
      <c r="D12" s="141"/>
      <c r="E12" s="79"/>
      <c r="F12" s="38"/>
      <c r="G12" s="38"/>
      <c r="H12" s="60"/>
      <c r="I12" s="164">
        <v>432</v>
      </c>
      <c r="J12" s="48" t="s">
        <v>132</v>
      </c>
      <c r="K12" s="164"/>
      <c r="L12" s="88"/>
      <c r="M12" s="49"/>
      <c r="N12" s="49"/>
      <c r="O12" s="20" t="s">
        <v>165</v>
      </c>
      <c r="P12" s="21">
        <v>3</v>
      </c>
      <c r="Q12" s="22" t="s">
        <v>348</v>
      </c>
    </row>
    <row r="13" spans="1:17" ht="24" customHeight="1" x14ac:dyDescent="0.25">
      <c r="A13" s="288"/>
      <c r="B13" s="43"/>
      <c r="C13" s="58"/>
      <c r="D13" s="141"/>
      <c r="E13" s="79"/>
      <c r="F13" s="38"/>
      <c r="G13" s="38"/>
      <c r="H13" s="60"/>
      <c r="I13" s="164">
        <v>216</v>
      </c>
      <c r="J13" s="48" t="s">
        <v>249</v>
      </c>
      <c r="K13" s="164"/>
      <c r="L13" s="88"/>
      <c r="M13" s="49"/>
      <c r="N13" s="49"/>
      <c r="O13" s="20" t="s">
        <v>166</v>
      </c>
      <c r="P13" s="21">
        <v>4</v>
      </c>
      <c r="Q13" s="22" t="s">
        <v>21</v>
      </c>
    </row>
    <row r="14" spans="1:17" ht="24" customHeight="1" x14ac:dyDescent="0.25">
      <c r="A14" s="288"/>
      <c r="B14" s="43"/>
      <c r="C14" s="58"/>
      <c r="D14" s="141"/>
      <c r="E14" s="79"/>
      <c r="F14" s="38"/>
      <c r="G14" s="38"/>
      <c r="H14" s="60"/>
      <c r="I14" s="160"/>
      <c r="J14" s="48"/>
      <c r="K14" s="160"/>
      <c r="L14" s="88"/>
      <c r="M14" s="49"/>
      <c r="N14" s="49"/>
      <c r="O14" s="20"/>
      <c r="P14" s="21"/>
      <c r="Q14" s="22"/>
    </row>
    <row r="15" spans="1:17" ht="24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157"/>
      <c r="H15" s="157"/>
      <c r="I15" s="157">
        <f>SUM(I10:I14)</f>
        <v>1512</v>
      </c>
      <c r="J15" s="157"/>
      <c r="K15" s="157"/>
      <c r="L15" s="158"/>
      <c r="M15" s="157"/>
      <c r="N15" s="157"/>
      <c r="O15" s="114"/>
      <c r="P15" s="161"/>
      <c r="Q15" s="152"/>
    </row>
    <row r="16" spans="1:17" ht="24" customHeight="1" x14ac:dyDescent="0.25">
      <c r="A16" s="287" t="s">
        <v>42</v>
      </c>
      <c r="B16" s="42" t="s">
        <v>191</v>
      </c>
      <c r="C16" s="62">
        <v>43281</v>
      </c>
      <c r="D16" s="90" t="s">
        <v>59</v>
      </c>
      <c r="E16" s="174" t="s">
        <v>91</v>
      </c>
      <c r="F16" s="40" t="s">
        <v>123</v>
      </c>
      <c r="G16" s="175">
        <v>120</v>
      </c>
      <c r="H16" s="41" t="s">
        <v>124</v>
      </c>
      <c r="I16" s="155">
        <v>120</v>
      </c>
      <c r="J16" s="155" t="s">
        <v>84</v>
      </c>
      <c r="K16" s="155"/>
      <c r="L16" s="90" t="s">
        <v>81</v>
      </c>
      <c r="M16" s="16"/>
      <c r="N16" s="16"/>
      <c r="O16" s="17" t="s">
        <v>163</v>
      </c>
      <c r="P16" s="18">
        <v>1</v>
      </c>
      <c r="Q16" s="19" t="s">
        <v>19</v>
      </c>
    </row>
    <row r="17" spans="1:17" ht="24" customHeight="1" x14ac:dyDescent="0.25">
      <c r="A17" s="288"/>
      <c r="B17" s="43" t="s">
        <v>192</v>
      </c>
      <c r="C17" s="58">
        <v>43282</v>
      </c>
      <c r="D17" s="91" t="s">
        <v>59</v>
      </c>
      <c r="E17" s="137" t="s">
        <v>91</v>
      </c>
      <c r="F17" s="38" t="s">
        <v>123</v>
      </c>
      <c r="G17" s="105">
        <v>516</v>
      </c>
      <c r="H17" s="60" t="s">
        <v>124</v>
      </c>
      <c r="I17" s="38">
        <v>516</v>
      </c>
      <c r="J17" s="38" t="s">
        <v>250</v>
      </c>
      <c r="K17" s="38"/>
      <c r="L17" s="91" t="s">
        <v>81</v>
      </c>
      <c r="M17" s="15"/>
      <c r="N17" s="15"/>
      <c r="O17" s="20" t="s">
        <v>164</v>
      </c>
      <c r="P17" s="21">
        <v>2</v>
      </c>
      <c r="Q17" s="22" t="s">
        <v>20</v>
      </c>
    </row>
    <row r="18" spans="1:17" ht="24" customHeight="1" x14ac:dyDescent="0.25">
      <c r="A18" s="288"/>
      <c r="B18" s="45" t="s">
        <v>251</v>
      </c>
      <c r="C18" s="58">
        <v>43282</v>
      </c>
      <c r="D18" s="91" t="s">
        <v>59</v>
      </c>
      <c r="E18" s="137" t="s">
        <v>91</v>
      </c>
      <c r="F18" s="38" t="s">
        <v>123</v>
      </c>
      <c r="G18" s="89">
        <v>1152</v>
      </c>
      <c r="H18" s="48" t="s">
        <v>124</v>
      </c>
      <c r="I18" s="164">
        <v>432</v>
      </c>
      <c r="J18" s="164" t="s">
        <v>252</v>
      </c>
      <c r="K18" s="164"/>
      <c r="L18" s="51" t="s">
        <v>254</v>
      </c>
      <c r="M18" s="15"/>
      <c r="N18" s="15"/>
      <c r="O18" s="20" t="s">
        <v>165</v>
      </c>
      <c r="P18" s="21">
        <v>3</v>
      </c>
      <c r="Q18" s="22" t="s">
        <v>21</v>
      </c>
    </row>
    <row r="19" spans="1:17" ht="24" customHeight="1" x14ac:dyDescent="0.25">
      <c r="A19" s="288"/>
      <c r="B19" s="45" t="s">
        <v>74</v>
      </c>
      <c r="C19" s="86"/>
      <c r="D19" s="134"/>
      <c r="E19" s="132"/>
      <c r="F19" s="39"/>
      <c r="G19" s="89"/>
      <c r="H19" s="79"/>
      <c r="I19" s="160">
        <v>432</v>
      </c>
      <c r="J19" s="160" t="s">
        <v>253</v>
      </c>
      <c r="K19" s="160"/>
      <c r="L19" s="134"/>
      <c r="M19" s="49"/>
      <c r="N19" s="49"/>
      <c r="O19" s="20" t="s">
        <v>166</v>
      </c>
      <c r="P19" s="21">
        <v>4</v>
      </c>
      <c r="Q19" s="22" t="s">
        <v>21</v>
      </c>
    </row>
    <row r="20" spans="1:17" ht="24" customHeight="1" x14ac:dyDescent="0.25">
      <c r="A20" s="288"/>
      <c r="B20" s="43"/>
      <c r="C20" s="58"/>
      <c r="D20" s="91"/>
      <c r="E20" s="137"/>
      <c r="F20" s="38"/>
      <c r="G20" s="105"/>
      <c r="H20" s="60"/>
      <c r="I20" s="38"/>
      <c r="J20" s="38"/>
      <c r="K20" s="38"/>
      <c r="L20" s="91"/>
      <c r="M20" s="49"/>
      <c r="N20" s="49"/>
      <c r="O20" s="20"/>
      <c r="P20" s="21"/>
      <c r="Q20" s="22"/>
    </row>
    <row r="21" spans="1:17" ht="24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157"/>
      <c r="H21" s="157"/>
      <c r="I21" s="157">
        <f>SUM(I16:I20)</f>
        <v>1500</v>
      </c>
      <c r="J21" s="157"/>
      <c r="K21" s="157"/>
      <c r="L21" s="158"/>
      <c r="M21" s="157"/>
      <c r="N21" s="157"/>
      <c r="O21" s="114"/>
      <c r="P21" s="161"/>
      <c r="Q21" s="152"/>
    </row>
    <row r="22" spans="1:17" ht="24" customHeight="1" x14ac:dyDescent="0.25">
      <c r="A22" s="287" t="s">
        <v>43</v>
      </c>
      <c r="B22" s="42" t="s">
        <v>142</v>
      </c>
      <c r="C22" s="140">
        <v>43268</v>
      </c>
      <c r="D22" s="90" t="s">
        <v>59</v>
      </c>
      <c r="E22" s="41" t="s">
        <v>34</v>
      </c>
      <c r="F22" s="40" t="s">
        <v>110</v>
      </c>
      <c r="G22" s="40">
        <v>3600</v>
      </c>
      <c r="H22" s="41" t="s">
        <v>51</v>
      </c>
      <c r="I22" s="40">
        <v>432</v>
      </c>
      <c r="J22" s="41" t="s">
        <v>194</v>
      </c>
      <c r="K22" s="40"/>
      <c r="L22" s="54" t="s">
        <v>61</v>
      </c>
      <c r="M22" s="16"/>
      <c r="N22" s="16"/>
      <c r="O22" s="17" t="s">
        <v>163</v>
      </c>
      <c r="P22" s="18">
        <v>1</v>
      </c>
      <c r="Q22" s="19" t="s">
        <v>19</v>
      </c>
    </row>
    <row r="23" spans="1:17" ht="24" customHeight="1" x14ac:dyDescent="0.25">
      <c r="A23" s="288"/>
      <c r="B23" s="45" t="s">
        <v>75</v>
      </c>
      <c r="C23" s="131"/>
      <c r="D23" s="134"/>
      <c r="E23" s="79"/>
      <c r="F23" s="160"/>
      <c r="G23" s="160"/>
      <c r="H23" s="48"/>
      <c r="I23" s="160">
        <v>432</v>
      </c>
      <c r="J23" s="48" t="s">
        <v>83</v>
      </c>
      <c r="K23" s="160"/>
      <c r="L23" s="57"/>
      <c r="M23" s="15"/>
      <c r="N23" s="15"/>
      <c r="O23" s="20" t="s">
        <v>164</v>
      </c>
      <c r="P23" s="21">
        <v>2</v>
      </c>
      <c r="Q23" s="22" t="s">
        <v>20</v>
      </c>
    </row>
    <row r="24" spans="1:17" ht="24" customHeight="1" x14ac:dyDescent="0.25">
      <c r="A24" s="288"/>
      <c r="B24" s="45"/>
      <c r="C24" s="141"/>
      <c r="D24" s="91"/>
      <c r="E24" s="48"/>
      <c r="F24" s="39"/>
      <c r="G24" s="39"/>
      <c r="H24" s="79"/>
      <c r="I24" s="38">
        <f>3600-216*15</f>
        <v>360</v>
      </c>
      <c r="J24" s="48" t="s">
        <v>86</v>
      </c>
      <c r="K24" s="160"/>
      <c r="L24" s="57"/>
      <c r="M24" s="49"/>
      <c r="N24" s="49"/>
      <c r="O24" s="20" t="s">
        <v>165</v>
      </c>
      <c r="P24" s="21">
        <v>3</v>
      </c>
      <c r="Q24" s="22" t="s">
        <v>21</v>
      </c>
    </row>
    <row r="25" spans="1:17" ht="24" customHeight="1" x14ac:dyDescent="0.25">
      <c r="A25" s="288"/>
      <c r="B25" s="43" t="s">
        <v>195</v>
      </c>
      <c r="C25" s="141">
        <v>43281</v>
      </c>
      <c r="D25" s="91" t="s">
        <v>59</v>
      </c>
      <c r="E25" s="60" t="s">
        <v>34</v>
      </c>
      <c r="F25" s="38" t="s">
        <v>108</v>
      </c>
      <c r="G25" s="38">
        <v>156</v>
      </c>
      <c r="H25" s="60" t="s">
        <v>51</v>
      </c>
      <c r="I25" s="38">
        <v>156</v>
      </c>
      <c r="J25" s="60" t="s">
        <v>173</v>
      </c>
      <c r="K25" s="38"/>
      <c r="L25" s="44" t="s">
        <v>197</v>
      </c>
      <c r="M25" s="49"/>
      <c r="N25" s="49"/>
      <c r="O25" s="20"/>
      <c r="P25" s="21"/>
      <c r="Q25" s="22"/>
    </row>
    <row r="26" spans="1:17" ht="24" customHeight="1" x14ac:dyDescent="0.25">
      <c r="A26" s="288"/>
      <c r="B26" s="43" t="s">
        <v>196</v>
      </c>
      <c r="C26" s="141">
        <v>43278</v>
      </c>
      <c r="D26" s="91" t="s">
        <v>93</v>
      </c>
      <c r="E26" s="60" t="s">
        <v>34</v>
      </c>
      <c r="F26" s="38" t="s">
        <v>108</v>
      </c>
      <c r="G26" s="38">
        <v>288</v>
      </c>
      <c r="H26" s="60" t="s">
        <v>51</v>
      </c>
      <c r="I26" s="38">
        <v>288</v>
      </c>
      <c r="J26" s="60" t="s">
        <v>173</v>
      </c>
      <c r="K26" s="38"/>
      <c r="L26" s="44" t="s">
        <v>193</v>
      </c>
      <c r="M26" s="49"/>
      <c r="N26" s="49"/>
      <c r="O26" s="20" t="s">
        <v>166</v>
      </c>
      <c r="P26" s="21">
        <v>4</v>
      </c>
      <c r="Q26" s="22" t="s">
        <v>21</v>
      </c>
    </row>
    <row r="27" spans="1:17" ht="24" customHeight="1" thickBot="1" x14ac:dyDescent="0.3">
      <c r="A27" s="289"/>
      <c r="B27" s="93" t="s">
        <v>64</v>
      </c>
      <c r="C27" s="290" t="s">
        <v>98</v>
      </c>
      <c r="D27" s="291"/>
      <c r="E27" s="291"/>
      <c r="F27" s="292"/>
      <c r="G27" s="157"/>
      <c r="H27" s="157"/>
      <c r="I27" s="157">
        <f>SUM(I22:I26)</f>
        <v>1668</v>
      </c>
      <c r="J27" s="157"/>
      <c r="K27" s="157"/>
      <c r="L27" s="158"/>
      <c r="M27" s="157"/>
      <c r="N27" s="157"/>
      <c r="O27" s="114"/>
      <c r="P27" s="161"/>
      <c r="Q27" s="152"/>
    </row>
    <row r="28" spans="1:17" ht="25.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6192</v>
      </c>
      <c r="J28" s="70"/>
      <c r="K28" s="70"/>
      <c r="L28" s="65"/>
      <c r="M28" s="71"/>
      <c r="N28" s="69"/>
      <c r="O28" s="70"/>
      <c r="P28" s="70"/>
      <c r="Q28" s="72"/>
    </row>
    <row r="29" spans="1:17" ht="17.25" customHeight="1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56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F30:Q30"/>
    <mergeCell ref="B31:Q31"/>
    <mergeCell ref="F32:O32"/>
    <mergeCell ref="P32:Q32"/>
    <mergeCell ref="B33:O33"/>
    <mergeCell ref="A22:A27"/>
    <mergeCell ref="A1:Q1"/>
    <mergeCell ref="A2:B2"/>
    <mergeCell ref="C2:E2"/>
    <mergeCell ref="F2:G2"/>
    <mergeCell ref="O2:Q2"/>
    <mergeCell ref="A4:A9"/>
    <mergeCell ref="A10:A15"/>
    <mergeCell ref="C15:F15"/>
    <mergeCell ref="A16:A21"/>
    <mergeCell ref="C21:F21"/>
    <mergeCell ref="C11:D11"/>
    <mergeCell ref="C27:F27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topLeftCell="A5" zoomScale="109" zoomScaleNormal="109" workbookViewId="0">
      <selection activeCell="B12" sqref="B12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43251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43252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153</v>
      </c>
      <c r="C4" s="121">
        <v>43255</v>
      </c>
      <c r="D4" s="109" t="s">
        <v>55</v>
      </c>
      <c r="E4" s="122" t="s">
        <v>54</v>
      </c>
      <c r="F4" s="108" t="s">
        <v>154</v>
      </c>
      <c r="G4" s="40">
        <v>468</v>
      </c>
      <c r="H4" s="41" t="s">
        <v>139</v>
      </c>
      <c r="I4" s="155">
        <f>468-216</f>
        <v>252</v>
      </c>
      <c r="J4" s="155" t="s">
        <v>94</v>
      </c>
      <c r="K4" s="155"/>
      <c r="L4" s="123" t="s">
        <v>80</v>
      </c>
      <c r="M4" s="16"/>
      <c r="N4" s="16"/>
      <c r="O4" s="17" t="s">
        <v>163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198</v>
      </c>
      <c r="C5" s="136">
        <v>43256</v>
      </c>
      <c r="D5" s="117" t="s">
        <v>55</v>
      </c>
      <c r="E5" s="113" t="s">
        <v>54</v>
      </c>
      <c r="F5" s="101" t="s">
        <v>154</v>
      </c>
      <c r="G5" s="101">
        <v>2712</v>
      </c>
      <c r="H5" s="79" t="s">
        <v>139</v>
      </c>
      <c r="I5" s="160">
        <v>432</v>
      </c>
      <c r="J5" s="160" t="s">
        <v>168</v>
      </c>
      <c r="K5" s="160"/>
      <c r="L5" s="51" t="s">
        <v>200</v>
      </c>
      <c r="M5" s="87"/>
      <c r="N5" s="87"/>
      <c r="O5" s="20" t="s">
        <v>164</v>
      </c>
      <c r="P5" s="21">
        <v>2</v>
      </c>
      <c r="Q5" s="22" t="s">
        <v>20</v>
      </c>
    </row>
    <row r="6" spans="1:28" ht="23.25" customHeight="1" x14ac:dyDescent="0.25">
      <c r="A6" s="308"/>
      <c r="B6" s="45" t="s">
        <v>199</v>
      </c>
      <c r="C6" s="117"/>
      <c r="D6" s="113"/>
      <c r="E6" s="102"/>
      <c r="F6" s="101"/>
      <c r="G6" s="160"/>
      <c r="H6" s="48"/>
      <c r="I6" s="160">
        <v>432</v>
      </c>
      <c r="J6" s="160" t="s">
        <v>82</v>
      </c>
      <c r="K6" s="160"/>
      <c r="L6" s="51"/>
      <c r="M6" s="49"/>
      <c r="N6" s="49"/>
      <c r="O6" s="20" t="s">
        <v>165</v>
      </c>
      <c r="P6" s="21">
        <v>3</v>
      </c>
      <c r="Q6" s="22" t="s">
        <v>21</v>
      </c>
    </row>
    <row r="7" spans="1:28" ht="23.25" customHeight="1" x14ac:dyDescent="0.25">
      <c r="A7" s="308"/>
      <c r="B7" s="45"/>
      <c r="C7" s="117"/>
      <c r="D7" s="113"/>
      <c r="E7" s="102"/>
      <c r="F7" s="101"/>
      <c r="G7" s="39"/>
      <c r="H7" s="79"/>
      <c r="I7" s="160">
        <v>216</v>
      </c>
      <c r="J7" s="160" t="s">
        <v>78</v>
      </c>
      <c r="K7" s="160"/>
      <c r="L7" s="51"/>
      <c r="M7" s="49"/>
      <c r="N7" s="49"/>
      <c r="O7" s="20" t="s">
        <v>166</v>
      </c>
      <c r="P7" s="21">
        <v>4</v>
      </c>
      <c r="Q7" s="22" t="s">
        <v>21</v>
      </c>
    </row>
    <row r="8" spans="1:28" ht="23.25" customHeight="1" x14ac:dyDescent="0.25">
      <c r="A8" s="308"/>
      <c r="B8" s="45"/>
      <c r="C8" s="117"/>
      <c r="D8" s="113"/>
      <c r="E8" s="102"/>
      <c r="F8" s="101"/>
      <c r="G8" s="160"/>
      <c r="H8" s="48"/>
      <c r="I8" s="160"/>
      <c r="J8" s="160"/>
      <c r="K8" s="160"/>
      <c r="L8" s="51"/>
      <c r="M8" s="49"/>
      <c r="N8" s="49"/>
      <c r="O8" s="20"/>
      <c r="P8" s="21"/>
      <c r="Q8" s="22"/>
    </row>
    <row r="9" spans="1:28" ht="23.25" customHeight="1" thickBot="1" x14ac:dyDescent="0.3">
      <c r="A9" s="309"/>
      <c r="B9" s="93"/>
      <c r="C9" s="170"/>
      <c r="D9" s="170"/>
      <c r="E9" s="170"/>
      <c r="F9" s="170"/>
      <c r="G9" s="157"/>
      <c r="H9" s="157"/>
      <c r="I9" s="157">
        <f>SUM(I4:I8)</f>
        <v>1332</v>
      </c>
      <c r="J9" s="157"/>
      <c r="K9" s="157"/>
      <c r="L9" s="158"/>
      <c r="M9" s="157"/>
      <c r="N9" s="157"/>
      <c r="O9" s="114"/>
      <c r="P9" s="161"/>
      <c r="Q9" s="161"/>
    </row>
    <row r="10" spans="1:28" ht="23.25" customHeight="1" x14ac:dyDescent="0.25">
      <c r="A10" s="287" t="s">
        <v>45</v>
      </c>
      <c r="B10" s="42" t="s">
        <v>155</v>
      </c>
      <c r="C10" s="121">
        <v>43256</v>
      </c>
      <c r="D10" s="109" t="s">
        <v>55</v>
      </c>
      <c r="E10" s="122" t="s">
        <v>54</v>
      </c>
      <c r="F10" s="108" t="s">
        <v>95</v>
      </c>
      <c r="G10" s="40">
        <v>1020</v>
      </c>
      <c r="H10" s="41" t="s">
        <v>62</v>
      </c>
      <c r="I10" s="155">
        <v>432</v>
      </c>
      <c r="J10" s="155" t="s">
        <v>82</v>
      </c>
      <c r="K10" s="155"/>
      <c r="L10" s="123" t="s">
        <v>67</v>
      </c>
      <c r="M10" s="95"/>
      <c r="N10" s="16"/>
      <c r="O10" s="17" t="s">
        <v>163</v>
      </c>
      <c r="P10" s="18">
        <v>1</v>
      </c>
      <c r="Q10" s="19" t="s">
        <v>19</v>
      </c>
    </row>
    <row r="11" spans="1:28" ht="23.25" customHeight="1" x14ac:dyDescent="0.25">
      <c r="A11" s="288"/>
      <c r="B11" s="45" t="s">
        <v>74</v>
      </c>
      <c r="C11" s="112"/>
      <c r="D11" s="110"/>
      <c r="E11" s="102"/>
      <c r="F11" s="101"/>
      <c r="G11" s="164"/>
      <c r="H11" s="48"/>
      <c r="I11" s="164">
        <f>1020-216*4</f>
        <v>156</v>
      </c>
      <c r="J11" s="164" t="s">
        <v>201</v>
      </c>
      <c r="K11" s="164"/>
      <c r="L11" s="51"/>
      <c r="M11" s="15"/>
      <c r="N11" s="63"/>
      <c r="O11" s="20" t="s">
        <v>164</v>
      </c>
      <c r="P11" s="21">
        <v>2</v>
      </c>
      <c r="Q11" s="22" t="s">
        <v>20</v>
      </c>
    </row>
    <row r="12" spans="1:28" ht="23.25" customHeight="1" x14ac:dyDescent="0.25">
      <c r="A12" s="288"/>
      <c r="B12" s="45" t="s">
        <v>202</v>
      </c>
      <c r="C12" s="112">
        <v>43267</v>
      </c>
      <c r="D12" s="110" t="s">
        <v>59</v>
      </c>
      <c r="E12" s="102" t="s">
        <v>54</v>
      </c>
      <c r="F12" s="101" t="s">
        <v>95</v>
      </c>
      <c r="G12" s="39">
        <v>960</v>
      </c>
      <c r="H12" s="79" t="s">
        <v>62</v>
      </c>
      <c r="I12" s="163">
        <v>432</v>
      </c>
      <c r="J12" s="163" t="s">
        <v>168</v>
      </c>
      <c r="K12" s="163"/>
      <c r="L12" s="51" t="s">
        <v>203</v>
      </c>
      <c r="M12" s="83"/>
      <c r="N12" s="83"/>
      <c r="O12" s="20" t="s">
        <v>165</v>
      </c>
      <c r="P12" s="21">
        <v>3</v>
      </c>
      <c r="Q12" s="22" t="s">
        <v>21</v>
      </c>
    </row>
    <row r="13" spans="1:28" ht="23.25" customHeight="1" x14ac:dyDescent="0.25">
      <c r="A13" s="288"/>
      <c r="B13" s="45" t="s">
        <v>97</v>
      </c>
      <c r="C13" s="112"/>
      <c r="D13" s="110"/>
      <c r="E13" s="102"/>
      <c r="F13" s="101"/>
      <c r="G13" s="39"/>
      <c r="H13" s="79"/>
      <c r="I13" s="163">
        <f>960-216*2</f>
        <v>528</v>
      </c>
      <c r="J13" s="163" t="s">
        <v>178</v>
      </c>
      <c r="K13" s="163"/>
      <c r="L13" s="51"/>
      <c r="M13" s="15"/>
      <c r="N13" s="15"/>
      <c r="O13" s="20" t="s">
        <v>166</v>
      </c>
      <c r="P13" s="21">
        <v>4</v>
      </c>
      <c r="Q13" s="22" t="s">
        <v>21</v>
      </c>
    </row>
    <row r="14" spans="1:28" ht="23.25" customHeight="1" x14ac:dyDescent="0.25">
      <c r="A14" s="288"/>
      <c r="B14" s="45"/>
      <c r="C14" s="112"/>
      <c r="D14" s="110"/>
      <c r="E14" s="102"/>
      <c r="F14" s="101"/>
      <c r="G14" s="39"/>
      <c r="H14" s="79"/>
      <c r="I14" s="163"/>
      <c r="J14" s="163"/>
      <c r="K14" s="163"/>
      <c r="L14" s="51"/>
      <c r="M14" s="15"/>
      <c r="N14" s="15"/>
      <c r="O14" s="20"/>
      <c r="P14" s="21"/>
      <c r="Q14" s="22"/>
    </row>
    <row r="15" spans="1:28" ht="23.25" customHeight="1" thickBot="1" x14ac:dyDescent="0.3">
      <c r="A15" s="289"/>
      <c r="B15" s="93"/>
      <c r="C15" s="170"/>
      <c r="D15" s="170"/>
      <c r="E15" s="170"/>
      <c r="F15" s="170"/>
      <c r="G15" s="157"/>
      <c r="H15" s="157"/>
      <c r="I15" s="157">
        <f>SUM(I10:I14)</f>
        <v>1548</v>
      </c>
      <c r="J15" s="157"/>
      <c r="K15" s="157"/>
      <c r="L15" s="158"/>
      <c r="M15" s="157"/>
      <c r="N15" s="157"/>
      <c r="O15" s="114"/>
      <c r="P15" s="157"/>
      <c r="Q15" s="157"/>
    </row>
    <row r="16" spans="1:28" ht="23.25" customHeight="1" x14ac:dyDescent="0.25">
      <c r="A16" s="287" t="s">
        <v>46</v>
      </c>
      <c r="B16" s="42" t="s">
        <v>157</v>
      </c>
      <c r="C16" s="62">
        <v>43271</v>
      </c>
      <c r="D16" s="77" t="s">
        <v>59</v>
      </c>
      <c r="E16" s="41" t="s">
        <v>156</v>
      </c>
      <c r="F16" s="40" t="s">
        <v>113</v>
      </c>
      <c r="G16" s="40">
        <v>420</v>
      </c>
      <c r="H16" s="41" t="s">
        <v>66</v>
      </c>
      <c r="I16" s="155">
        <f>420-216</f>
        <v>204</v>
      </c>
      <c r="J16" s="155" t="s">
        <v>94</v>
      </c>
      <c r="K16" s="155"/>
      <c r="L16" s="97" t="s">
        <v>158</v>
      </c>
      <c r="M16" s="95"/>
      <c r="N16" s="95"/>
      <c r="O16" s="17" t="s">
        <v>163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204</v>
      </c>
      <c r="C17" s="86">
        <v>43274</v>
      </c>
      <c r="D17" s="78" t="s">
        <v>55</v>
      </c>
      <c r="E17" s="60" t="s">
        <v>156</v>
      </c>
      <c r="F17" s="38" t="s">
        <v>113</v>
      </c>
      <c r="G17" s="164">
        <v>852</v>
      </c>
      <c r="H17" s="48" t="s">
        <v>66</v>
      </c>
      <c r="I17" s="164">
        <v>432</v>
      </c>
      <c r="J17" s="164" t="s">
        <v>168</v>
      </c>
      <c r="K17" s="164"/>
      <c r="L17" s="119" t="s">
        <v>205</v>
      </c>
      <c r="M17" s="49"/>
      <c r="N17" s="15"/>
      <c r="O17" s="20" t="s">
        <v>164</v>
      </c>
      <c r="P17" s="21">
        <v>2</v>
      </c>
      <c r="Q17" s="22" t="s">
        <v>20</v>
      </c>
    </row>
    <row r="18" spans="1:17" ht="23.25" customHeight="1" x14ac:dyDescent="0.25">
      <c r="A18" s="288"/>
      <c r="B18" s="43" t="s">
        <v>97</v>
      </c>
      <c r="C18" s="58"/>
      <c r="D18" s="78"/>
      <c r="E18" s="60"/>
      <c r="F18" s="38"/>
      <c r="G18" s="38"/>
      <c r="H18" s="60"/>
      <c r="I18" s="38">
        <f>852-216*2</f>
        <v>420</v>
      </c>
      <c r="J18" s="38" t="s">
        <v>178</v>
      </c>
      <c r="K18" s="38"/>
      <c r="L18" s="99"/>
      <c r="M18" s="49"/>
      <c r="N18" s="15"/>
      <c r="O18" s="20" t="s">
        <v>165</v>
      </c>
      <c r="P18" s="21">
        <v>3</v>
      </c>
      <c r="Q18" s="22" t="s">
        <v>21</v>
      </c>
    </row>
    <row r="19" spans="1:17" ht="23.25" customHeight="1" x14ac:dyDescent="0.25">
      <c r="A19" s="288"/>
      <c r="B19" s="43" t="s">
        <v>206</v>
      </c>
      <c r="C19" s="86">
        <v>43281</v>
      </c>
      <c r="D19" s="78" t="s">
        <v>59</v>
      </c>
      <c r="E19" s="60" t="s">
        <v>156</v>
      </c>
      <c r="F19" s="38" t="s">
        <v>113</v>
      </c>
      <c r="G19" s="38">
        <v>216</v>
      </c>
      <c r="H19" s="60" t="s">
        <v>66</v>
      </c>
      <c r="I19" s="160">
        <v>216</v>
      </c>
      <c r="J19" s="160" t="s">
        <v>173</v>
      </c>
      <c r="K19" s="160"/>
      <c r="L19" s="119" t="s">
        <v>205</v>
      </c>
      <c r="M19" s="49"/>
      <c r="N19" s="49"/>
      <c r="O19" s="20" t="s">
        <v>166</v>
      </c>
      <c r="P19" s="21">
        <v>4</v>
      </c>
      <c r="Q19" s="22" t="s">
        <v>21</v>
      </c>
    </row>
    <row r="20" spans="1:17" ht="23.25" customHeight="1" x14ac:dyDescent="0.25">
      <c r="A20" s="288"/>
      <c r="B20" s="43"/>
      <c r="C20" s="86"/>
      <c r="D20" s="78"/>
      <c r="E20" s="60"/>
      <c r="F20" s="38"/>
      <c r="G20" s="38"/>
      <c r="H20" s="60"/>
      <c r="I20" s="160"/>
      <c r="J20" s="160"/>
      <c r="K20" s="160"/>
      <c r="L20" s="99"/>
      <c r="M20" s="49"/>
      <c r="N20" s="5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57"/>
      <c r="H21" s="157"/>
      <c r="I21" s="157">
        <f>SUM(I16:I20)</f>
        <v>1272</v>
      </c>
      <c r="J21" s="157"/>
      <c r="K21" s="157"/>
      <c r="L21" s="80"/>
      <c r="M21" s="157"/>
      <c r="N21" s="157"/>
      <c r="O21" s="114"/>
      <c r="P21" s="157"/>
      <c r="Q21" s="161"/>
    </row>
    <row r="22" spans="1:17" ht="23.25" customHeight="1" x14ac:dyDescent="0.25">
      <c r="A22" s="310" t="s">
        <v>47</v>
      </c>
      <c r="B22" s="42" t="s">
        <v>159</v>
      </c>
      <c r="C22" s="62">
        <v>43271</v>
      </c>
      <c r="D22" s="77" t="s">
        <v>59</v>
      </c>
      <c r="E22" s="41" t="s">
        <v>143</v>
      </c>
      <c r="F22" s="108" t="s">
        <v>109</v>
      </c>
      <c r="G22" s="40">
        <v>1356</v>
      </c>
      <c r="H22" s="41" t="s">
        <v>66</v>
      </c>
      <c r="I22" s="40">
        <v>432</v>
      </c>
      <c r="J22" s="40" t="s">
        <v>68</v>
      </c>
      <c r="K22" s="40"/>
      <c r="L22" s="97" t="s">
        <v>158</v>
      </c>
      <c r="M22" s="16"/>
      <c r="N22" s="95"/>
      <c r="O22" s="17" t="s">
        <v>163</v>
      </c>
      <c r="P22" s="18">
        <v>1</v>
      </c>
      <c r="Q22" s="19" t="s">
        <v>19</v>
      </c>
    </row>
    <row r="23" spans="1:17" ht="23.25" customHeight="1" x14ac:dyDescent="0.25">
      <c r="A23" s="311"/>
      <c r="B23" s="45" t="s">
        <v>105</v>
      </c>
      <c r="C23" s="86"/>
      <c r="D23" s="82"/>
      <c r="E23" s="79"/>
      <c r="F23" s="101"/>
      <c r="G23" s="164"/>
      <c r="H23" s="48"/>
      <c r="I23" s="38">
        <f>1356-216*5</f>
        <v>276</v>
      </c>
      <c r="J23" s="38" t="s">
        <v>99</v>
      </c>
      <c r="K23" s="38"/>
      <c r="L23" s="99"/>
      <c r="M23" s="87"/>
      <c r="N23" s="87"/>
      <c r="O23" s="20" t="s">
        <v>164</v>
      </c>
      <c r="P23" s="21">
        <v>2</v>
      </c>
      <c r="Q23" s="22" t="s">
        <v>20</v>
      </c>
    </row>
    <row r="24" spans="1:17" ht="23.25" customHeight="1" x14ac:dyDescent="0.25">
      <c r="A24" s="311"/>
      <c r="B24" s="43" t="s">
        <v>208</v>
      </c>
      <c r="C24" s="58">
        <v>43274</v>
      </c>
      <c r="D24" s="78" t="s">
        <v>93</v>
      </c>
      <c r="E24" s="60" t="s">
        <v>69</v>
      </c>
      <c r="F24" s="118" t="s">
        <v>109</v>
      </c>
      <c r="G24" s="38">
        <v>900</v>
      </c>
      <c r="H24" s="60" t="s">
        <v>66</v>
      </c>
      <c r="I24" s="38">
        <v>180</v>
      </c>
      <c r="J24" s="38" t="s">
        <v>84</v>
      </c>
      <c r="K24" s="38"/>
      <c r="L24" s="99" t="s">
        <v>210</v>
      </c>
      <c r="M24" s="15"/>
      <c r="N24" s="15"/>
      <c r="O24" s="20" t="s">
        <v>165</v>
      </c>
      <c r="P24" s="21">
        <v>3</v>
      </c>
      <c r="Q24" s="22" t="s">
        <v>21</v>
      </c>
    </row>
    <row r="25" spans="1:17" ht="23.25" customHeight="1" x14ac:dyDescent="0.25">
      <c r="A25" s="311"/>
      <c r="B25" s="43" t="s">
        <v>209</v>
      </c>
      <c r="C25" s="58"/>
      <c r="D25" s="78"/>
      <c r="E25" s="60"/>
      <c r="F25" s="118"/>
      <c r="G25" s="38"/>
      <c r="H25" s="60"/>
      <c r="I25" s="38">
        <v>180</v>
      </c>
      <c r="J25" s="38" t="s">
        <v>255</v>
      </c>
      <c r="K25" s="38"/>
      <c r="L25" s="99"/>
      <c r="M25" s="15"/>
      <c r="N25" s="15"/>
      <c r="O25" s="20" t="s">
        <v>166</v>
      </c>
      <c r="P25" s="21">
        <v>4</v>
      </c>
      <c r="Q25" s="22" t="s">
        <v>21</v>
      </c>
    </row>
    <row r="26" spans="1:17" ht="23.25" customHeight="1" x14ac:dyDescent="0.25">
      <c r="A26" s="311"/>
      <c r="B26" s="45"/>
      <c r="C26" s="86"/>
      <c r="D26" s="82"/>
      <c r="E26" s="79"/>
      <c r="F26" s="101"/>
      <c r="G26" s="160"/>
      <c r="H26" s="48"/>
      <c r="I26" s="38"/>
      <c r="J26" s="38"/>
      <c r="K26" s="38"/>
      <c r="L26" s="99"/>
      <c r="M26" s="15"/>
      <c r="N26" s="49"/>
      <c r="O26" s="20"/>
      <c r="P26" s="21"/>
      <c r="Q26" s="22"/>
    </row>
    <row r="27" spans="1:17" ht="23.25" customHeight="1" thickBot="1" x14ac:dyDescent="0.3">
      <c r="A27" s="312"/>
      <c r="B27" s="93" t="s">
        <v>64</v>
      </c>
      <c r="C27" s="290" t="s">
        <v>65</v>
      </c>
      <c r="D27" s="291"/>
      <c r="E27" s="291"/>
      <c r="F27" s="292"/>
      <c r="G27" s="157"/>
      <c r="H27" s="157"/>
      <c r="I27" s="161">
        <f>SUM(I22:I26)</f>
        <v>1068</v>
      </c>
      <c r="J27" s="161"/>
      <c r="K27" s="161"/>
      <c r="L27" s="162"/>
      <c r="M27" s="161"/>
      <c r="N27" s="161"/>
      <c r="O27" s="161"/>
      <c r="P27" s="161"/>
      <c r="Q27" s="161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5220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56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6">
    <mergeCell ref="B31:Q31"/>
    <mergeCell ref="F32:O32"/>
    <mergeCell ref="P32:Q32"/>
    <mergeCell ref="B33:O33"/>
    <mergeCell ref="F30:Q30"/>
    <mergeCell ref="A10:A15"/>
    <mergeCell ref="A16:A21"/>
    <mergeCell ref="C21:F21"/>
    <mergeCell ref="A22:A27"/>
    <mergeCell ref="C27:F27"/>
    <mergeCell ref="A4:A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4" zoomScale="115" zoomScaleNormal="115" workbookViewId="0">
      <selection activeCell="B16" sqref="B1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43251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142" t="s">
        <v>129</v>
      </c>
      <c r="C4" s="121">
        <v>43270</v>
      </c>
      <c r="D4" s="138" t="s">
        <v>118</v>
      </c>
      <c r="E4" s="77" t="s">
        <v>130</v>
      </c>
      <c r="F4" s="40" t="s">
        <v>87</v>
      </c>
      <c r="G4" s="40">
        <v>16776</v>
      </c>
      <c r="H4" s="41" t="s">
        <v>120</v>
      </c>
      <c r="I4" s="155">
        <v>456</v>
      </c>
      <c r="J4" s="40" t="s">
        <v>211</v>
      </c>
      <c r="K4" s="155"/>
      <c r="L4" s="54" t="s">
        <v>72</v>
      </c>
      <c r="M4" s="16"/>
      <c r="N4" s="16"/>
      <c r="O4" s="17" t="s">
        <v>163</v>
      </c>
      <c r="P4" s="18">
        <v>1</v>
      </c>
      <c r="Q4" s="19" t="s">
        <v>19</v>
      </c>
    </row>
    <row r="5" spans="1:17" ht="23.25" customHeight="1" x14ac:dyDescent="0.25">
      <c r="A5" s="288"/>
      <c r="B5" s="45" t="s">
        <v>128</v>
      </c>
      <c r="C5" s="112"/>
      <c r="D5" s="135"/>
      <c r="E5" s="82"/>
      <c r="F5" s="88" t="s">
        <v>119</v>
      </c>
      <c r="G5" s="39"/>
      <c r="H5" s="60"/>
      <c r="I5" s="160">
        <v>456</v>
      </c>
      <c r="J5" s="160" t="s">
        <v>212</v>
      </c>
      <c r="K5" s="160"/>
      <c r="L5" s="57"/>
      <c r="M5" s="98"/>
      <c r="N5" s="63"/>
      <c r="O5" s="20" t="s">
        <v>164</v>
      </c>
      <c r="P5" s="21">
        <v>2</v>
      </c>
      <c r="Q5" s="22" t="s">
        <v>20</v>
      </c>
    </row>
    <row r="6" spans="1:17" ht="23.25" customHeight="1" x14ac:dyDescent="0.25">
      <c r="A6" s="288"/>
      <c r="B6" s="45"/>
      <c r="C6" s="58"/>
      <c r="D6" s="78"/>
      <c r="E6" s="125"/>
      <c r="F6" s="143"/>
      <c r="G6" s="160"/>
      <c r="H6" s="48"/>
      <c r="I6" s="160">
        <v>456</v>
      </c>
      <c r="J6" s="160" t="s">
        <v>213</v>
      </c>
      <c r="K6" s="160"/>
      <c r="L6" s="57"/>
      <c r="M6" s="98"/>
      <c r="N6" s="63"/>
      <c r="O6" s="20" t="s">
        <v>165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58"/>
      <c r="D7" s="78"/>
      <c r="E7" s="125"/>
      <c r="F7" s="143"/>
      <c r="G7" s="38"/>
      <c r="H7" s="60"/>
      <c r="I7" s="84">
        <v>456</v>
      </c>
      <c r="J7" s="160" t="s">
        <v>214</v>
      </c>
      <c r="K7" s="160"/>
      <c r="L7" s="57"/>
      <c r="M7" s="63"/>
      <c r="N7" s="63"/>
      <c r="O7" s="20" t="s">
        <v>166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112"/>
      <c r="D8" s="135"/>
      <c r="E8" s="82"/>
      <c r="F8" s="103" t="s">
        <v>112</v>
      </c>
      <c r="G8" s="39"/>
      <c r="H8" s="60"/>
      <c r="I8" s="160"/>
      <c r="J8" s="160"/>
      <c r="K8" s="160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57"/>
      <c r="H9" s="157"/>
      <c r="I9" s="157">
        <f>SUM(I4:I8)</f>
        <v>1824</v>
      </c>
      <c r="J9" s="157"/>
      <c r="K9" s="157"/>
      <c r="L9" s="158"/>
      <c r="M9" s="157"/>
      <c r="N9" s="157"/>
      <c r="O9" s="157"/>
      <c r="P9" s="161"/>
      <c r="Q9" s="161"/>
    </row>
    <row r="10" spans="1:17" ht="23.25" customHeight="1" x14ac:dyDescent="0.25">
      <c r="A10" s="287" t="s">
        <v>49</v>
      </c>
      <c r="B10" s="92" t="s">
        <v>133</v>
      </c>
      <c r="C10" s="121">
        <v>43270</v>
      </c>
      <c r="D10" s="138" t="s">
        <v>121</v>
      </c>
      <c r="E10" s="77" t="s">
        <v>56</v>
      </c>
      <c r="F10" s="40" t="s">
        <v>134</v>
      </c>
      <c r="G10" s="40">
        <v>9942</v>
      </c>
      <c r="H10" s="41" t="s">
        <v>70</v>
      </c>
      <c r="I10" s="155">
        <v>456</v>
      </c>
      <c r="J10" s="155" t="s">
        <v>215</v>
      </c>
      <c r="K10" s="155"/>
      <c r="L10" s="54" t="s">
        <v>67</v>
      </c>
      <c r="M10" s="16"/>
      <c r="N10" s="16"/>
      <c r="O10" s="17" t="s">
        <v>163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135</v>
      </c>
      <c r="C11" s="112"/>
      <c r="D11" s="135"/>
      <c r="E11" s="82"/>
      <c r="F11" s="103" t="s">
        <v>112</v>
      </c>
      <c r="G11" s="39"/>
      <c r="H11" s="60"/>
      <c r="I11" s="160">
        <v>456</v>
      </c>
      <c r="J11" s="160" t="s">
        <v>216</v>
      </c>
      <c r="K11" s="160"/>
      <c r="L11" s="88"/>
      <c r="M11" s="63"/>
      <c r="N11" s="63"/>
      <c r="O11" s="20" t="s">
        <v>164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88"/>
      <c r="G12" s="39"/>
      <c r="H12" s="60"/>
      <c r="I12" s="160">
        <v>456</v>
      </c>
      <c r="J12" s="160" t="s">
        <v>217</v>
      </c>
      <c r="K12" s="160"/>
      <c r="L12" s="88"/>
      <c r="M12" s="63"/>
      <c r="N12" s="63"/>
      <c r="O12" s="20" t="s">
        <v>165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0">
        <v>456</v>
      </c>
      <c r="J13" s="160" t="s">
        <v>256</v>
      </c>
      <c r="K13" s="160"/>
      <c r="L13" s="88"/>
      <c r="M13" s="15"/>
      <c r="N13" s="15"/>
      <c r="O13" s="20" t="s">
        <v>166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0"/>
      <c r="J14" s="160"/>
      <c r="K14" s="160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1824</v>
      </c>
      <c r="J15" s="115"/>
      <c r="K15" s="115"/>
      <c r="L15" s="96"/>
      <c r="M15" s="114"/>
      <c r="N15" s="114"/>
      <c r="O15" s="114"/>
      <c r="P15" s="161"/>
      <c r="Q15" s="161"/>
    </row>
    <row r="16" spans="1:17" ht="23.25" customHeight="1" x14ac:dyDescent="0.25">
      <c r="A16" s="287" t="s">
        <v>50</v>
      </c>
      <c r="B16" s="142" t="s">
        <v>144</v>
      </c>
      <c r="C16" s="121">
        <v>43270</v>
      </c>
      <c r="D16" s="138" t="s">
        <v>121</v>
      </c>
      <c r="E16" s="77" t="s">
        <v>56</v>
      </c>
      <c r="F16" s="40" t="s">
        <v>134</v>
      </c>
      <c r="G16" s="40">
        <v>6156</v>
      </c>
      <c r="H16" s="41" t="s">
        <v>70</v>
      </c>
      <c r="I16" s="160">
        <v>456</v>
      </c>
      <c r="J16" s="160" t="s">
        <v>218</v>
      </c>
      <c r="K16" s="160"/>
      <c r="L16" s="57" t="s">
        <v>67</v>
      </c>
      <c r="M16" s="16"/>
      <c r="N16" s="16"/>
      <c r="O16" s="17" t="s">
        <v>163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145</v>
      </c>
      <c r="C17" s="46"/>
      <c r="D17" s="47"/>
      <c r="E17" s="48"/>
      <c r="F17" s="88"/>
      <c r="G17" s="39"/>
      <c r="H17" s="79"/>
      <c r="I17" s="160">
        <v>456</v>
      </c>
      <c r="J17" s="160" t="s">
        <v>219</v>
      </c>
      <c r="K17" s="160"/>
      <c r="L17" s="57"/>
      <c r="M17" s="15"/>
      <c r="N17" s="15"/>
      <c r="O17" s="20" t="s">
        <v>164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88"/>
      <c r="G18" s="39"/>
      <c r="H18" s="79"/>
      <c r="I18" s="160">
        <v>456</v>
      </c>
      <c r="J18" s="160" t="s">
        <v>220</v>
      </c>
      <c r="K18" s="160"/>
      <c r="L18" s="57"/>
      <c r="M18" s="15"/>
      <c r="N18" s="15"/>
      <c r="O18" s="20" t="s">
        <v>165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0" t="s">
        <v>221</v>
      </c>
      <c r="K19" s="160"/>
      <c r="L19" s="57"/>
      <c r="M19" s="49"/>
      <c r="N19" s="49"/>
      <c r="O19" s="20" t="s">
        <v>166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 t="s">
        <v>112</v>
      </c>
      <c r="G20" s="39"/>
      <c r="H20" s="79"/>
      <c r="I20" s="160"/>
      <c r="J20" s="57"/>
      <c r="K20" s="160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161">
        <f>SUM(I16:I20)</f>
        <v>1824</v>
      </c>
      <c r="J21" s="161"/>
      <c r="K21" s="161"/>
      <c r="L21" s="162"/>
      <c r="M21" s="161"/>
      <c r="N21" s="161"/>
      <c r="O21" s="161"/>
      <c r="P21" s="161"/>
      <c r="Q21" s="161"/>
    </row>
    <row r="22" spans="1:17" ht="23.25" customHeight="1" x14ac:dyDescent="0.25">
      <c r="A22" s="287" t="s">
        <v>52</v>
      </c>
      <c r="B22" s="42" t="s">
        <v>140</v>
      </c>
      <c r="C22" s="116">
        <v>43270</v>
      </c>
      <c r="D22" s="52" t="s">
        <v>121</v>
      </c>
      <c r="E22" s="81" t="s">
        <v>56</v>
      </c>
      <c r="F22" s="40" t="s">
        <v>107</v>
      </c>
      <c r="G22" s="40">
        <v>6336</v>
      </c>
      <c r="H22" s="81" t="s">
        <v>53</v>
      </c>
      <c r="I22" s="160">
        <v>456</v>
      </c>
      <c r="J22" s="160" t="s">
        <v>220</v>
      </c>
      <c r="K22" s="160"/>
      <c r="L22" s="57" t="s">
        <v>72</v>
      </c>
      <c r="M22" s="15"/>
      <c r="N22" s="16"/>
      <c r="O22" s="17" t="s">
        <v>163</v>
      </c>
      <c r="P22" s="18">
        <v>1</v>
      </c>
      <c r="Q22" s="19" t="s">
        <v>19</v>
      </c>
    </row>
    <row r="23" spans="1:17" ht="23.25" customHeight="1" x14ac:dyDescent="0.25">
      <c r="A23" s="288"/>
      <c r="B23" s="45" t="s">
        <v>141</v>
      </c>
      <c r="C23" s="46"/>
      <c r="D23" s="47"/>
      <c r="E23" s="48"/>
      <c r="F23" s="159"/>
      <c r="G23" s="39"/>
      <c r="H23" s="79"/>
      <c r="I23" s="160">
        <v>456</v>
      </c>
      <c r="J23" s="160" t="s">
        <v>222</v>
      </c>
      <c r="K23" s="160"/>
      <c r="L23" s="57"/>
      <c r="M23" s="49"/>
      <c r="N23" s="15"/>
      <c r="O23" s="20" t="s">
        <v>164</v>
      </c>
      <c r="P23" s="21">
        <v>2</v>
      </c>
      <c r="Q23" s="22" t="s">
        <v>20</v>
      </c>
    </row>
    <row r="24" spans="1:17" ht="23.25" customHeight="1" x14ac:dyDescent="0.25">
      <c r="A24" s="288"/>
      <c r="B24" s="45"/>
      <c r="C24" s="46"/>
      <c r="D24" s="47"/>
      <c r="E24" s="48"/>
      <c r="F24" s="159"/>
      <c r="G24" s="39"/>
      <c r="H24" s="79"/>
      <c r="I24" s="160">
        <v>456</v>
      </c>
      <c r="J24" s="160" t="s">
        <v>223</v>
      </c>
      <c r="K24" s="160"/>
      <c r="L24" s="57"/>
      <c r="M24" s="49"/>
      <c r="N24" s="15"/>
      <c r="O24" s="20" t="s">
        <v>165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48"/>
      <c r="F25" s="103" t="s">
        <v>112</v>
      </c>
      <c r="G25" s="39"/>
      <c r="H25" s="48"/>
      <c r="I25" s="160">
        <v>456</v>
      </c>
      <c r="J25" s="160" t="s">
        <v>224</v>
      </c>
      <c r="K25" s="160"/>
      <c r="L25" s="57"/>
      <c r="M25" s="49"/>
      <c r="N25" s="49"/>
      <c r="O25" s="20" t="s">
        <v>166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48"/>
      <c r="F26" s="103"/>
      <c r="G26" s="39"/>
      <c r="H26" s="48"/>
      <c r="I26" s="160"/>
      <c r="J26" s="160"/>
      <c r="K26" s="160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161"/>
      <c r="Q27" s="161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7296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56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7">
    <mergeCell ref="B33:O33"/>
    <mergeCell ref="A10:A15"/>
    <mergeCell ref="A16:A21"/>
    <mergeCell ref="A22:A27"/>
    <mergeCell ref="F30:Q30"/>
    <mergeCell ref="B31:Q31"/>
    <mergeCell ref="F32:O32"/>
    <mergeCell ref="P32:Q32"/>
    <mergeCell ref="C15:F15"/>
    <mergeCell ref="C21:F21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6"/>
  <sheetViews>
    <sheetView topLeftCell="A13" zoomScaleNormal="100" workbookViewId="0">
      <selection activeCell="B19" sqref="B19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43251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43252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30</v>
      </c>
      <c r="B4" s="92" t="s">
        <v>225</v>
      </c>
      <c r="C4" s="104">
        <v>43259</v>
      </c>
      <c r="D4" s="90" t="s">
        <v>59</v>
      </c>
      <c r="E4" s="144" t="s">
        <v>54</v>
      </c>
      <c r="F4" s="40" t="s">
        <v>96</v>
      </c>
      <c r="G4" s="40">
        <v>6648</v>
      </c>
      <c r="H4" s="149" t="s">
        <v>90</v>
      </c>
      <c r="I4" s="150">
        <v>432</v>
      </c>
      <c r="J4" s="40" t="s">
        <v>168</v>
      </c>
      <c r="K4" s="40"/>
      <c r="L4" s="107" t="s">
        <v>228</v>
      </c>
      <c r="M4" s="16"/>
      <c r="N4" s="16"/>
      <c r="O4" s="17" t="s">
        <v>163</v>
      </c>
      <c r="P4" s="18">
        <v>1</v>
      </c>
      <c r="Q4" s="19" t="s">
        <v>19</v>
      </c>
    </row>
    <row r="5" spans="1:17" ht="22.5" customHeight="1" x14ac:dyDescent="0.25">
      <c r="A5" s="288"/>
      <c r="B5" s="127" t="s">
        <v>115</v>
      </c>
      <c r="C5" s="313" t="s">
        <v>57</v>
      </c>
      <c r="D5" s="314"/>
      <c r="E5" s="79"/>
      <c r="F5" s="39"/>
      <c r="G5" s="160"/>
      <c r="H5" s="55"/>
      <c r="I5" s="128">
        <v>432</v>
      </c>
      <c r="J5" s="160" t="s">
        <v>178</v>
      </c>
      <c r="K5" s="160"/>
      <c r="L5" s="44"/>
      <c r="M5" s="15"/>
      <c r="N5" s="15"/>
      <c r="O5" s="20" t="s">
        <v>164</v>
      </c>
      <c r="P5" s="21">
        <v>2</v>
      </c>
      <c r="Q5" s="22" t="s">
        <v>20</v>
      </c>
    </row>
    <row r="6" spans="1:17" ht="22.5" customHeight="1" x14ac:dyDescent="0.25">
      <c r="A6" s="288"/>
      <c r="B6" s="127"/>
      <c r="C6" s="112"/>
      <c r="D6" s="110"/>
      <c r="E6" s="79"/>
      <c r="F6" s="39"/>
      <c r="G6" s="160"/>
      <c r="H6" s="55"/>
      <c r="I6" s="128">
        <v>432</v>
      </c>
      <c r="J6" s="160" t="s">
        <v>226</v>
      </c>
      <c r="K6" s="160"/>
      <c r="L6" s="44"/>
      <c r="M6" s="15"/>
      <c r="N6" s="15"/>
      <c r="O6" s="20" t="s">
        <v>165</v>
      </c>
      <c r="P6" s="21">
        <v>3</v>
      </c>
      <c r="Q6" s="22" t="s">
        <v>21</v>
      </c>
    </row>
    <row r="7" spans="1:17" ht="22.5" customHeight="1" x14ac:dyDescent="0.25">
      <c r="A7" s="288"/>
      <c r="B7" s="127"/>
      <c r="C7" s="112"/>
      <c r="D7" s="110"/>
      <c r="E7" s="79"/>
      <c r="F7" s="39"/>
      <c r="G7" s="160"/>
      <c r="H7" s="55"/>
      <c r="I7" s="128">
        <v>216</v>
      </c>
      <c r="J7" s="163" t="s">
        <v>227</v>
      </c>
      <c r="K7" s="160"/>
      <c r="L7" s="44"/>
      <c r="M7" s="15"/>
      <c r="N7" s="15"/>
      <c r="O7" s="20" t="s">
        <v>166</v>
      </c>
      <c r="P7" s="21">
        <v>4</v>
      </c>
      <c r="Q7" s="22" t="s">
        <v>21</v>
      </c>
    </row>
    <row r="8" spans="1:17" ht="22.5" customHeight="1" x14ac:dyDescent="0.25">
      <c r="A8" s="288"/>
      <c r="B8" s="85"/>
      <c r="C8" s="112"/>
      <c r="D8" s="110"/>
      <c r="E8" s="79"/>
      <c r="F8" s="39"/>
      <c r="G8" s="160"/>
      <c r="H8" s="55"/>
      <c r="I8" s="84"/>
      <c r="J8" s="160"/>
      <c r="K8" s="160"/>
      <c r="L8" s="57"/>
      <c r="M8" s="49"/>
      <c r="N8" s="49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57"/>
      <c r="H9" s="157"/>
      <c r="I9" s="157">
        <f>SUM(I4:I7)</f>
        <v>1512</v>
      </c>
      <c r="J9" s="157"/>
      <c r="K9" s="157"/>
      <c r="L9" s="158"/>
      <c r="M9" s="157"/>
      <c r="N9" s="157"/>
      <c r="O9" s="157"/>
      <c r="P9" s="161"/>
      <c r="Q9" s="147"/>
    </row>
    <row r="10" spans="1:17" ht="22.5" customHeight="1" x14ac:dyDescent="0.25">
      <c r="A10" s="288" t="s">
        <v>31</v>
      </c>
      <c r="B10" s="42" t="s">
        <v>160</v>
      </c>
      <c r="C10" s="104">
        <v>43259</v>
      </c>
      <c r="D10" s="90" t="s">
        <v>55</v>
      </c>
      <c r="E10" s="144" t="s">
        <v>54</v>
      </c>
      <c r="F10" s="40" t="s">
        <v>101</v>
      </c>
      <c r="G10" s="40">
        <v>3324</v>
      </c>
      <c r="H10" s="149" t="s">
        <v>100</v>
      </c>
      <c r="I10" s="155">
        <v>432</v>
      </c>
      <c r="J10" s="155" t="s">
        <v>68</v>
      </c>
      <c r="K10" s="155"/>
      <c r="L10" s="53" t="s">
        <v>79</v>
      </c>
      <c r="M10" s="16"/>
      <c r="N10" s="16"/>
      <c r="O10" s="17" t="s">
        <v>163</v>
      </c>
      <c r="P10" s="18">
        <v>1</v>
      </c>
      <c r="Q10" s="19" t="s">
        <v>19</v>
      </c>
    </row>
    <row r="11" spans="1:17" ht="22.5" customHeight="1" x14ac:dyDescent="0.25">
      <c r="A11" s="288"/>
      <c r="B11" s="45" t="s">
        <v>161</v>
      </c>
      <c r="C11" s="313" t="s">
        <v>57</v>
      </c>
      <c r="D11" s="314"/>
      <c r="E11" s="129"/>
      <c r="F11" s="39"/>
      <c r="G11" s="39"/>
      <c r="H11" s="130"/>
      <c r="I11" s="164">
        <v>432</v>
      </c>
      <c r="J11" s="164" t="s">
        <v>85</v>
      </c>
      <c r="K11" s="164"/>
      <c r="L11" s="57"/>
      <c r="M11" s="15"/>
      <c r="N11" s="15"/>
      <c r="O11" s="20" t="s">
        <v>164</v>
      </c>
      <c r="P11" s="21">
        <v>2</v>
      </c>
      <c r="Q11" s="22" t="s">
        <v>20</v>
      </c>
    </row>
    <row r="12" spans="1:17" ht="22.5" customHeight="1" x14ac:dyDescent="0.25">
      <c r="A12" s="288"/>
      <c r="B12" s="45"/>
      <c r="C12" s="133"/>
      <c r="D12" s="134"/>
      <c r="E12" s="129"/>
      <c r="F12" s="39"/>
      <c r="G12" s="39"/>
      <c r="H12" s="146"/>
      <c r="I12" s="164">
        <v>216</v>
      </c>
      <c r="J12" s="164" t="s">
        <v>257</v>
      </c>
      <c r="K12" s="164"/>
      <c r="L12" s="57"/>
      <c r="M12" s="15"/>
      <c r="N12" s="15"/>
      <c r="O12" s="20" t="s">
        <v>165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133"/>
      <c r="D13" s="134"/>
      <c r="E13" s="129"/>
      <c r="F13" s="39"/>
      <c r="G13" s="39"/>
      <c r="H13" s="130"/>
      <c r="I13" s="160">
        <v>216</v>
      </c>
      <c r="J13" s="160" t="s">
        <v>258</v>
      </c>
      <c r="K13" s="160"/>
      <c r="L13" s="57"/>
      <c r="M13" s="49"/>
      <c r="N13" s="49"/>
      <c r="O13" s="20" t="s">
        <v>166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133"/>
      <c r="D14" s="134"/>
      <c r="E14" s="129"/>
      <c r="F14" s="39"/>
      <c r="G14" s="39"/>
      <c r="H14" s="146"/>
      <c r="I14" s="160"/>
      <c r="J14" s="160"/>
      <c r="K14" s="160"/>
      <c r="L14" s="57"/>
      <c r="M14" s="49"/>
      <c r="N14" s="49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57"/>
      <c r="H15" s="157"/>
      <c r="I15" s="157">
        <f>SUM(I10:I13)</f>
        <v>1296</v>
      </c>
      <c r="J15" s="157"/>
      <c r="K15" s="157"/>
      <c r="L15" s="158"/>
      <c r="M15" s="157"/>
      <c r="N15" s="157"/>
      <c r="O15" s="157"/>
      <c r="P15" s="157"/>
      <c r="Q15" s="151"/>
    </row>
    <row r="16" spans="1:17" ht="22.5" customHeight="1" x14ac:dyDescent="0.25">
      <c r="A16" s="287" t="s">
        <v>32</v>
      </c>
      <c r="B16" s="120" t="s">
        <v>233</v>
      </c>
      <c r="C16" s="165">
        <v>43271</v>
      </c>
      <c r="D16" s="166" t="s">
        <v>59</v>
      </c>
      <c r="E16" s="167" t="s">
        <v>54</v>
      </c>
      <c r="F16" s="168" t="s">
        <v>125</v>
      </c>
      <c r="G16" s="168">
        <v>120</v>
      </c>
      <c r="H16" s="169" t="s">
        <v>126</v>
      </c>
      <c r="I16" s="155">
        <v>120</v>
      </c>
      <c r="J16" s="155" t="s">
        <v>173</v>
      </c>
      <c r="K16" s="155"/>
      <c r="L16" s="53" t="s">
        <v>236</v>
      </c>
      <c r="M16" s="16"/>
      <c r="N16" s="16"/>
      <c r="O16" s="17" t="s">
        <v>163</v>
      </c>
      <c r="P16" s="18">
        <v>1</v>
      </c>
      <c r="Q16" s="19" t="s">
        <v>19</v>
      </c>
    </row>
    <row r="17" spans="1:17" ht="22.5" customHeight="1" x14ac:dyDescent="0.25">
      <c r="A17" s="288"/>
      <c r="B17" s="43" t="s">
        <v>232</v>
      </c>
      <c r="C17" s="103">
        <v>43271</v>
      </c>
      <c r="D17" s="91" t="s">
        <v>59</v>
      </c>
      <c r="E17" s="139" t="s">
        <v>54</v>
      </c>
      <c r="F17" s="38" t="s">
        <v>125</v>
      </c>
      <c r="G17" s="38">
        <f>288-120</f>
        <v>168</v>
      </c>
      <c r="H17" s="154" t="s">
        <v>126</v>
      </c>
      <c r="I17" s="160">
        <v>168</v>
      </c>
      <c r="J17" s="160" t="s">
        <v>173</v>
      </c>
      <c r="K17" s="160"/>
      <c r="L17" s="57" t="s">
        <v>237</v>
      </c>
      <c r="M17" s="15"/>
      <c r="N17" s="15"/>
      <c r="O17" s="20" t="s">
        <v>164</v>
      </c>
      <c r="P17" s="21">
        <v>2</v>
      </c>
      <c r="Q17" s="22" t="s">
        <v>20</v>
      </c>
    </row>
    <row r="18" spans="1:17" ht="22.5" customHeight="1" x14ac:dyDescent="0.25">
      <c r="A18" s="288"/>
      <c r="B18" s="45" t="s">
        <v>230</v>
      </c>
      <c r="C18" s="133">
        <v>43282</v>
      </c>
      <c r="D18" s="134" t="s">
        <v>59</v>
      </c>
      <c r="E18" s="129" t="s">
        <v>54</v>
      </c>
      <c r="F18" s="39" t="s">
        <v>125</v>
      </c>
      <c r="G18" s="39">
        <v>132</v>
      </c>
      <c r="H18" s="130" t="s">
        <v>126</v>
      </c>
      <c r="I18" s="128">
        <v>132</v>
      </c>
      <c r="J18" s="38" t="s">
        <v>173</v>
      </c>
      <c r="K18" s="38"/>
      <c r="L18" s="106" t="s">
        <v>238</v>
      </c>
      <c r="M18" s="15"/>
      <c r="N18" s="15"/>
      <c r="O18" s="20"/>
      <c r="P18" s="21"/>
      <c r="Q18" s="22"/>
    </row>
    <row r="19" spans="1:17" ht="22.5" customHeight="1" x14ac:dyDescent="0.25">
      <c r="A19" s="288"/>
      <c r="B19" s="127" t="s">
        <v>234</v>
      </c>
      <c r="C19" s="133">
        <v>43266</v>
      </c>
      <c r="D19" s="134" t="s">
        <v>55</v>
      </c>
      <c r="E19" s="129" t="s">
        <v>54</v>
      </c>
      <c r="F19" s="38" t="s">
        <v>231</v>
      </c>
      <c r="G19" s="38">
        <v>180</v>
      </c>
      <c r="H19" s="154" t="s">
        <v>126</v>
      </c>
      <c r="I19" s="160">
        <v>180</v>
      </c>
      <c r="J19" s="160" t="s">
        <v>173</v>
      </c>
      <c r="K19" s="160"/>
      <c r="L19" s="57" t="s">
        <v>237</v>
      </c>
      <c r="M19" s="49"/>
      <c r="N19" s="49"/>
      <c r="O19" s="20" t="s">
        <v>165</v>
      </c>
      <c r="P19" s="21">
        <v>3</v>
      </c>
      <c r="Q19" s="22" t="s">
        <v>21</v>
      </c>
    </row>
    <row r="20" spans="1:17" ht="22.5" customHeight="1" x14ac:dyDescent="0.25">
      <c r="A20" s="288"/>
      <c r="B20" s="127" t="s">
        <v>235</v>
      </c>
      <c r="C20" s="133">
        <v>43266</v>
      </c>
      <c r="D20" s="134" t="s">
        <v>55</v>
      </c>
      <c r="E20" s="129" t="s">
        <v>54</v>
      </c>
      <c r="F20" s="38" t="s">
        <v>231</v>
      </c>
      <c r="G20" s="38">
        <v>216</v>
      </c>
      <c r="H20" s="154" t="s">
        <v>126</v>
      </c>
      <c r="I20" s="160">
        <v>216</v>
      </c>
      <c r="J20" s="160" t="s">
        <v>173</v>
      </c>
      <c r="K20" s="160"/>
      <c r="L20" s="57" t="s">
        <v>238</v>
      </c>
      <c r="M20" s="49"/>
      <c r="N20" s="49"/>
      <c r="O20" s="20"/>
      <c r="P20" s="21"/>
      <c r="Q20" s="22"/>
    </row>
    <row r="21" spans="1:17" ht="22.5" customHeight="1" x14ac:dyDescent="0.25">
      <c r="A21" s="288"/>
      <c r="B21" s="45" t="s">
        <v>239</v>
      </c>
      <c r="C21" s="133">
        <v>43267</v>
      </c>
      <c r="D21" s="134" t="s">
        <v>55</v>
      </c>
      <c r="E21" s="129" t="s">
        <v>54</v>
      </c>
      <c r="F21" s="39" t="s">
        <v>240</v>
      </c>
      <c r="G21" s="39">
        <v>792</v>
      </c>
      <c r="H21" s="130" t="s">
        <v>241</v>
      </c>
      <c r="I21" s="160">
        <v>216</v>
      </c>
      <c r="J21" s="160" t="s">
        <v>84</v>
      </c>
      <c r="K21" s="160"/>
      <c r="L21" s="57" t="s">
        <v>330</v>
      </c>
      <c r="M21" s="49"/>
      <c r="N21" s="49"/>
      <c r="O21" s="20" t="s">
        <v>166</v>
      </c>
      <c r="P21" s="21">
        <v>4</v>
      </c>
      <c r="Q21" s="22" t="s">
        <v>21</v>
      </c>
    </row>
    <row r="22" spans="1:17" ht="22.5" customHeight="1" x14ac:dyDescent="0.25">
      <c r="A22" s="288"/>
      <c r="B22" s="45" t="s">
        <v>242</v>
      </c>
      <c r="C22" s="133"/>
      <c r="D22" s="134"/>
      <c r="E22" s="129"/>
      <c r="F22" s="39"/>
      <c r="G22" s="39"/>
      <c r="H22" s="130"/>
      <c r="I22" s="160"/>
      <c r="J22" s="160"/>
      <c r="K22" s="160"/>
      <c r="L22" s="57"/>
      <c r="M22" s="49"/>
      <c r="N22" s="49"/>
      <c r="O22" s="20"/>
      <c r="P22" s="21"/>
      <c r="Q22" s="22"/>
    </row>
    <row r="23" spans="1:17" ht="22.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157"/>
      <c r="H23" s="157"/>
      <c r="I23" s="157">
        <f>SUM(I16:I22)</f>
        <v>1032</v>
      </c>
      <c r="J23" s="157"/>
      <c r="K23" s="157"/>
      <c r="L23" s="158"/>
      <c r="M23" s="157"/>
      <c r="N23" s="157"/>
      <c r="O23" s="157"/>
      <c r="P23" s="157"/>
      <c r="Q23" s="147"/>
    </row>
    <row r="24" spans="1:17" ht="22.5" customHeight="1" x14ac:dyDescent="0.25">
      <c r="A24" s="287" t="s">
        <v>33</v>
      </c>
      <c r="B24" s="42" t="s">
        <v>162</v>
      </c>
      <c r="C24" s="116">
        <v>43266</v>
      </c>
      <c r="D24" s="52" t="s">
        <v>59</v>
      </c>
      <c r="E24" s="144" t="s">
        <v>69</v>
      </c>
      <c r="F24" s="40" t="s">
        <v>103</v>
      </c>
      <c r="G24" s="40">
        <v>1920</v>
      </c>
      <c r="H24" s="56" t="s">
        <v>104</v>
      </c>
      <c r="I24" s="155">
        <v>432</v>
      </c>
      <c r="J24" s="41" t="s">
        <v>82</v>
      </c>
      <c r="K24" s="40"/>
      <c r="L24" s="53" t="s">
        <v>67</v>
      </c>
      <c r="M24" s="16"/>
      <c r="N24" s="16"/>
      <c r="O24" s="17" t="s">
        <v>163</v>
      </c>
      <c r="P24" s="18">
        <v>1</v>
      </c>
      <c r="Q24" s="19" t="s">
        <v>19</v>
      </c>
    </row>
    <row r="25" spans="1:17" ht="22.5" customHeight="1" x14ac:dyDescent="0.25">
      <c r="A25" s="288"/>
      <c r="B25" s="45" t="s">
        <v>106</v>
      </c>
      <c r="C25" s="46"/>
      <c r="D25" s="47"/>
      <c r="E25" s="129"/>
      <c r="F25" s="38"/>
      <c r="G25" s="164"/>
      <c r="H25" s="55"/>
      <c r="I25" s="164">
        <v>432</v>
      </c>
      <c r="J25" s="48" t="s">
        <v>127</v>
      </c>
      <c r="K25" s="164"/>
      <c r="L25" s="44"/>
      <c r="M25" s="15"/>
      <c r="N25" s="63"/>
      <c r="O25" s="20" t="s">
        <v>164</v>
      </c>
      <c r="P25" s="21">
        <v>2</v>
      </c>
      <c r="Q25" s="22" t="s">
        <v>20</v>
      </c>
    </row>
    <row r="26" spans="1:17" ht="22.5" customHeight="1" x14ac:dyDescent="0.25">
      <c r="A26" s="288"/>
      <c r="B26" s="45"/>
      <c r="C26" s="46"/>
      <c r="D26" s="47"/>
      <c r="E26" s="129"/>
      <c r="F26" s="38"/>
      <c r="G26" s="164"/>
      <c r="H26" s="55"/>
      <c r="I26" s="164">
        <v>216</v>
      </c>
      <c r="J26" s="48" t="s">
        <v>227</v>
      </c>
      <c r="K26" s="164"/>
      <c r="L26" s="57"/>
      <c r="M26" s="15"/>
      <c r="N26" s="15"/>
      <c r="O26" s="20" t="s">
        <v>165</v>
      </c>
      <c r="P26" s="21">
        <v>3</v>
      </c>
      <c r="Q26" s="22" t="s">
        <v>21</v>
      </c>
    </row>
    <row r="27" spans="1:17" ht="22.5" customHeight="1" x14ac:dyDescent="0.25">
      <c r="A27" s="288"/>
      <c r="B27" s="45"/>
      <c r="C27" s="46"/>
      <c r="D27" s="47"/>
      <c r="E27" s="129"/>
      <c r="F27" s="38"/>
      <c r="G27" s="38"/>
      <c r="H27" s="61"/>
      <c r="I27" s="160">
        <v>216</v>
      </c>
      <c r="J27" s="60" t="s">
        <v>248</v>
      </c>
      <c r="K27" s="38"/>
      <c r="L27" s="44"/>
      <c r="M27" s="15"/>
      <c r="N27" s="15"/>
      <c r="O27" s="20" t="s">
        <v>166</v>
      </c>
      <c r="P27" s="21">
        <v>4</v>
      </c>
      <c r="Q27" s="22" t="s">
        <v>21</v>
      </c>
    </row>
    <row r="28" spans="1:17" ht="22.5" customHeight="1" x14ac:dyDescent="0.25">
      <c r="A28" s="288"/>
      <c r="B28" s="45"/>
      <c r="C28" s="46"/>
      <c r="D28" s="47"/>
      <c r="E28" s="129"/>
      <c r="F28" s="38"/>
      <c r="G28" s="160"/>
      <c r="H28" s="55"/>
      <c r="I28" s="160"/>
      <c r="J28" s="48"/>
      <c r="K28" s="160"/>
      <c r="L28" s="57"/>
      <c r="M28" s="49"/>
      <c r="N28" s="49"/>
      <c r="O28" s="20"/>
      <c r="P28" s="21"/>
      <c r="Q28" s="22"/>
    </row>
    <row r="29" spans="1:17" ht="22.5" customHeight="1" thickBot="1" x14ac:dyDescent="0.3">
      <c r="A29" s="289"/>
      <c r="B29" s="93" t="s">
        <v>64</v>
      </c>
      <c r="C29" s="301" t="s">
        <v>65</v>
      </c>
      <c r="D29" s="302"/>
      <c r="E29" s="302"/>
      <c r="F29" s="303"/>
      <c r="G29" s="161"/>
      <c r="H29" s="161"/>
      <c r="I29" s="161">
        <f>SUM(I24:I28)</f>
        <v>1296</v>
      </c>
      <c r="J29" s="161"/>
      <c r="K29" s="161"/>
      <c r="L29" s="162"/>
      <c r="M29" s="161"/>
      <c r="N29" s="161"/>
      <c r="O29" s="161"/>
      <c r="P29" s="161"/>
      <c r="Q29" s="147"/>
    </row>
    <row r="30" spans="1:17" ht="29.25" customHeight="1" thickBot="1" x14ac:dyDescent="0.3">
      <c r="A30" s="73"/>
      <c r="B30" s="64"/>
      <c r="C30" s="65"/>
      <c r="D30" s="66"/>
      <c r="E30" s="67"/>
      <c r="F30" s="68"/>
      <c r="G30" s="67"/>
      <c r="H30" s="67"/>
      <c r="I30" s="69">
        <f>SUM(I29,I23,I15,I9)</f>
        <v>5136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56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297" t="s">
        <v>26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76" t="s">
        <v>28</v>
      </c>
      <c r="Q34" s="75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  <row r="36" spans="1:17" x14ac:dyDescent="0.25">
      <c r="O36" s="74"/>
    </row>
  </sheetData>
  <mergeCells count="19">
    <mergeCell ref="B35:O35"/>
    <mergeCell ref="A24:A29"/>
    <mergeCell ref="C29:F29"/>
    <mergeCell ref="F32:Q32"/>
    <mergeCell ref="A33:Q33"/>
    <mergeCell ref="F34:O34"/>
    <mergeCell ref="A10:A15"/>
    <mergeCell ref="C11:D11"/>
    <mergeCell ref="C15:F15"/>
    <mergeCell ref="A16:A23"/>
    <mergeCell ref="C23:F23"/>
    <mergeCell ref="A4:A9"/>
    <mergeCell ref="C5:D5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zoomScaleNormal="100" workbookViewId="0">
      <selection activeCell="B4" sqref="B4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171</v>
      </c>
      <c r="C4" s="62">
        <v>43267</v>
      </c>
      <c r="D4" s="77" t="s">
        <v>59</v>
      </c>
      <c r="E4" s="41" t="s">
        <v>54</v>
      </c>
      <c r="F4" s="40" t="s">
        <v>172</v>
      </c>
      <c r="G4" s="40">
        <v>480</v>
      </c>
      <c r="H4" s="41" t="s">
        <v>148</v>
      </c>
      <c r="I4" s="40">
        <f>480-216</f>
        <v>264</v>
      </c>
      <c r="J4" s="40" t="s">
        <v>94</v>
      </c>
      <c r="K4" s="40"/>
      <c r="L4" s="54">
        <v>2689</v>
      </c>
      <c r="M4" s="16"/>
      <c r="N4" s="16"/>
      <c r="O4" s="17" t="s">
        <v>261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265</v>
      </c>
      <c r="C5" s="58">
        <v>43269</v>
      </c>
      <c r="D5" s="78" t="s">
        <v>59</v>
      </c>
      <c r="E5" s="60" t="s">
        <v>54</v>
      </c>
      <c r="F5" s="38" t="s">
        <v>172</v>
      </c>
      <c r="G5" s="38">
        <v>144</v>
      </c>
      <c r="H5" s="60" t="s">
        <v>148</v>
      </c>
      <c r="I5" s="38">
        <v>144</v>
      </c>
      <c r="J5" s="38" t="s">
        <v>84</v>
      </c>
      <c r="K5" s="38"/>
      <c r="L5" s="44">
        <v>2689</v>
      </c>
      <c r="M5" s="15"/>
      <c r="N5" s="63"/>
      <c r="O5" s="20"/>
      <c r="P5" s="21"/>
      <c r="Q5" s="22"/>
    </row>
    <row r="6" spans="1:17" ht="22.5" customHeight="1" x14ac:dyDescent="0.25">
      <c r="A6" s="288"/>
      <c r="B6" s="43" t="s">
        <v>266</v>
      </c>
      <c r="C6" s="58">
        <v>43265</v>
      </c>
      <c r="D6" s="78" t="s">
        <v>59</v>
      </c>
      <c r="E6" s="60" t="s">
        <v>54</v>
      </c>
      <c r="F6" s="38" t="s">
        <v>267</v>
      </c>
      <c r="G6" s="38">
        <v>3876</v>
      </c>
      <c r="H6" s="60" t="s">
        <v>148</v>
      </c>
      <c r="I6" s="38">
        <v>432</v>
      </c>
      <c r="J6" s="38" t="s">
        <v>77</v>
      </c>
      <c r="K6" s="38"/>
      <c r="L6" s="44">
        <v>2689</v>
      </c>
      <c r="M6" s="15"/>
      <c r="N6" s="63"/>
      <c r="O6" s="20" t="s">
        <v>262</v>
      </c>
      <c r="P6" s="21">
        <v>2</v>
      </c>
      <c r="Q6" s="22" t="s">
        <v>20</v>
      </c>
    </row>
    <row r="7" spans="1:17" ht="22.5" customHeight="1" x14ac:dyDescent="0.25">
      <c r="A7" s="288"/>
      <c r="B7" s="43" t="s">
        <v>268</v>
      </c>
      <c r="C7" s="58"/>
      <c r="D7" s="78"/>
      <c r="E7" s="60"/>
      <c r="F7" s="38"/>
      <c r="G7" s="38"/>
      <c r="H7" s="60"/>
      <c r="I7" s="38">
        <v>432</v>
      </c>
      <c r="J7" s="38" t="s">
        <v>269</v>
      </c>
      <c r="K7" s="38"/>
      <c r="L7" s="44"/>
      <c r="M7" s="15"/>
      <c r="N7" s="63"/>
      <c r="O7" s="20" t="s">
        <v>263</v>
      </c>
      <c r="P7" s="21">
        <v>3</v>
      </c>
      <c r="Q7" s="22" t="s">
        <v>21</v>
      </c>
    </row>
    <row r="8" spans="1:17" ht="22.5" customHeight="1" x14ac:dyDescent="0.25">
      <c r="A8" s="288"/>
      <c r="B8" s="43"/>
      <c r="C8" s="58"/>
      <c r="D8" s="78"/>
      <c r="E8" s="60"/>
      <c r="F8" s="38"/>
      <c r="G8" s="38"/>
      <c r="H8" s="60"/>
      <c r="I8" s="38">
        <v>216</v>
      </c>
      <c r="J8" s="38" t="s">
        <v>201</v>
      </c>
      <c r="K8" s="38"/>
      <c r="L8" s="44"/>
      <c r="M8" s="15"/>
      <c r="N8" s="63"/>
      <c r="O8" s="20" t="s">
        <v>264</v>
      </c>
      <c r="P8" s="21">
        <v>4</v>
      </c>
      <c r="Q8" s="22" t="s">
        <v>21</v>
      </c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70"/>
      <c r="H9" s="170"/>
      <c r="I9" s="170">
        <f>SUM(I4:I8)</f>
        <v>1488</v>
      </c>
      <c r="J9" s="170"/>
      <c r="K9" s="170"/>
      <c r="L9" s="173"/>
      <c r="M9" s="170"/>
      <c r="N9" s="170"/>
      <c r="O9" s="170"/>
      <c r="P9" s="171"/>
      <c r="Q9" s="171"/>
    </row>
    <row r="10" spans="1:17" ht="22.5" customHeight="1" x14ac:dyDescent="0.25">
      <c r="A10" s="287" t="s">
        <v>39</v>
      </c>
      <c r="B10" s="42" t="s">
        <v>136</v>
      </c>
      <c r="C10" s="62">
        <v>43265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346</v>
      </c>
      <c r="K10" s="40"/>
      <c r="L10" s="54" t="s">
        <v>63</v>
      </c>
      <c r="M10" s="16"/>
      <c r="N10" s="16"/>
      <c r="O10" s="17" t="s">
        <v>261</v>
      </c>
      <c r="P10" s="18">
        <v>1</v>
      </c>
      <c r="Q10" s="19" t="s">
        <v>19</v>
      </c>
    </row>
    <row r="11" spans="1:17" ht="22.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v>432</v>
      </c>
      <c r="J11" s="164" t="s">
        <v>347</v>
      </c>
      <c r="K11" s="164"/>
      <c r="L11" s="57"/>
      <c r="M11" s="49"/>
      <c r="N11" s="63"/>
      <c r="O11" s="20" t="s">
        <v>262</v>
      </c>
      <c r="P11" s="21">
        <v>2</v>
      </c>
      <c r="Q11" s="22" t="s">
        <v>20</v>
      </c>
    </row>
    <row r="12" spans="1:17" ht="22.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v>216</v>
      </c>
      <c r="J12" s="164" t="s">
        <v>352</v>
      </c>
      <c r="K12" s="164"/>
      <c r="L12" s="57"/>
      <c r="M12" s="49"/>
      <c r="N12" s="63"/>
      <c r="O12" s="20" t="s">
        <v>263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v>216</v>
      </c>
      <c r="J13" s="164" t="s">
        <v>353</v>
      </c>
      <c r="K13" s="164"/>
      <c r="L13" s="57"/>
      <c r="M13" s="49"/>
      <c r="N13" s="63"/>
      <c r="O13" s="20" t="s">
        <v>264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/>
      <c r="J14" s="164"/>
      <c r="K14" s="164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70"/>
      <c r="H15" s="170"/>
      <c r="I15" s="170">
        <f>SUM(I10:I14)</f>
        <v>1296</v>
      </c>
      <c r="J15" s="170"/>
      <c r="K15" s="170"/>
      <c r="L15" s="173"/>
      <c r="M15" s="170"/>
      <c r="N15" s="170"/>
      <c r="O15" s="170"/>
      <c r="P15" s="171"/>
      <c r="Q15" s="171"/>
    </row>
    <row r="16" spans="1:17" ht="22.5" customHeight="1" x14ac:dyDescent="0.25">
      <c r="A16" s="287" t="s">
        <v>37</v>
      </c>
      <c r="B16" s="42" t="s">
        <v>270</v>
      </c>
      <c r="C16" s="116">
        <v>43269</v>
      </c>
      <c r="D16" s="52" t="s">
        <v>59</v>
      </c>
      <c r="E16" s="41" t="s">
        <v>54</v>
      </c>
      <c r="F16" s="40" t="s">
        <v>116</v>
      </c>
      <c r="G16" s="155">
        <v>7008</v>
      </c>
      <c r="H16" s="81" t="s">
        <v>117</v>
      </c>
      <c r="I16" s="155">
        <v>432</v>
      </c>
      <c r="J16" s="155" t="s">
        <v>77</v>
      </c>
      <c r="K16" s="155"/>
      <c r="L16" s="53" t="s">
        <v>67</v>
      </c>
      <c r="M16" s="16"/>
      <c r="N16" s="16"/>
      <c r="O16" s="17" t="s">
        <v>261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271</v>
      </c>
      <c r="C17" s="46"/>
      <c r="D17" s="47"/>
      <c r="E17" s="60"/>
      <c r="F17" s="38"/>
      <c r="G17" s="164"/>
      <c r="H17" s="48"/>
      <c r="I17" s="164">
        <v>216</v>
      </c>
      <c r="J17" s="164" t="s">
        <v>354</v>
      </c>
      <c r="K17" s="164"/>
      <c r="L17" s="57"/>
      <c r="M17" s="63"/>
      <c r="N17" s="63"/>
      <c r="O17" s="20" t="s">
        <v>262</v>
      </c>
      <c r="P17" s="21">
        <v>2</v>
      </c>
      <c r="Q17" s="22" t="s">
        <v>20</v>
      </c>
    </row>
    <row r="18" spans="1:17" ht="22.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216</v>
      </c>
      <c r="J18" s="164" t="s">
        <v>355</v>
      </c>
      <c r="K18" s="164"/>
      <c r="L18" s="57"/>
      <c r="M18" s="15"/>
      <c r="N18" s="15"/>
      <c r="O18" s="20" t="s">
        <v>263</v>
      </c>
      <c r="P18" s="21">
        <v>3</v>
      </c>
      <c r="Q18" s="22" t="s">
        <v>21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v>216</v>
      </c>
      <c r="J19" s="164" t="s">
        <v>356</v>
      </c>
      <c r="K19" s="164"/>
      <c r="L19" s="57"/>
      <c r="M19" s="15"/>
      <c r="N19" s="15"/>
      <c r="O19" s="20" t="s">
        <v>264</v>
      </c>
      <c r="P19" s="21">
        <v>4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301" t="s">
        <v>98</v>
      </c>
      <c r="D21" s="302"/>
      <c r="E21" s="302"/>
      <c r="F21" s="303"/>
      <c r="G21" s="170"/>
      <c r="H21" s="170"/>
      <c r="I21" s="170">
        <f>SUM(I16:I20)</f>
        <v>1080</v>
      </c>
      <c r="J21" s="170"/>
      <c r="K21" s="170"/>
      <c r="L21" s="173"/>
      <c r="M21" s="170"/>
      <c r="N21" s="170"/>
      <c r="O21" s="170"/>
      <c r="P21" s="171"/>
      <c r="Q21" s="171"/>
    </row>
    <row r="22" spans="1:17" ht="22.5" customHeight="1" x14ac:dyDescent="0.25">
      <c r="A22" s="287" t="s">
        <v>38</v>
      </c>
      <c r="B22" s="42" t="s">
        <v>175</v>
      </c>
      <c r="C22" s="62">
        <v>43264</v>
      </c>
      <c r="D22" s="77" t="s">
        <v>59</v>
      </c>
      <c r="E22" s="81" t="s">
        <v>54</v>
      </c>
      <c r="F22" s="155" t="s">
        <v>176</v>
      </c>
      <c r="G22" s="155">
        <v>5772</v>
      </c>
      <c r="H22" s="81" t="s">
        <v>88</v>
      </c>
      <c r="I22" s="155">
        <v>432</v>
      </c>
      <c r="J22" s="155" t="s">
        <v>343</v>
      </c>
      <c r="K22" s="155"/>
      <c r="L22" s="53" t="s">
        <v>260</v>
      </c>
      <c r="M22" s="16"/>
      <c r="N22" s="16"/>
      <c r="O22" s="17" t="s">
        <v>261</v>
      </c>
      <c r="P22" s="18">
        <v>1</v>
      </c>
      <c r="Q22" s="19" t="s">
        <v>19</v>
      </c>
    </row>
    <row r="23" spans="1:17" ht="22.5" customHeight="1" x14ac:dyDescent="0.25">
      <c r="A23" s="288"/>
      <c r="B23" s="45" t="s">
        <v>177</v>
      </c>
      <c r="C23" s="58"/>
      <c r="D23" s="78"/>
      <c r="E23" s="129"/>
      <c r="F23" s="164"/>
      <c r="G23" s="164"/>
      <c r="H23" s="48"/>
      <c r="I23" s="164">
        <v>432</v>
      </c>
      <c r="J23" s="164" t="s">
        <v>344</v>
      </c>
      <c r="K23" s="164"/>
      <c r="L23" s="57"/>
      <c r="M23" s="15"/>
      <c r="N23" s="15"/>
      <c r="O23" s="20" t="s">
        <v>262</v>
      </c>
      <c r="P23" s="21">
        <v>2</v>
      </c>
      <c r="Q23" s="22" t="s">
        <v>20</v>
      </c>
    </row>
    <row r="24" spans="1:17" ht="22.5" customHeight="1" x14ac:dyDescent="0.25">
      <c r="A24" s="288"/>
      <c r="B24" s="45"/>
      <c r="C24" s="58"/>
      <c r="D24" s="78"/>
      <c r="E24" s="129"/>
      <c r="F24" s="164"/>
      <c r="G24" s="164"/>
      <c r="H24" s="48"/>
      <c r="I24" s="164">
        <v>432</v>
      </c>
      <c r="J24" s="164" t="s">
        <v>345</v>
      </c>
      <c r="K24" s="164"/>
      <c r="L24" s="57"/>
      <c r="M24" s="49"/>
      <c r="N24" s="15"/>
      <c r="O24" s="20" t="s">
        <v>263</v>
      </c>
      <c r="P24" s="21">
        <v>3</v>
      </c>
      <c r="Q24" s="22" t="s">
        <v>21</v>
      </c>
    </row>
    <row r="25" spans="1:17" ht="22.5" customHeight="1" x14ac:dyDescent="0.25">
      <c r="A25" s="288"/>
      <c r="B25" s="111"/>
      <c r="C25" s="58"/>
      <c r="D25" s="78"/>
      <c r="E25" s="48"/>
      <c r="F25" s="164"/>
      <c r="G25" s="164"/>
      <c r="H25" s="48"/>
      <c r="I25" s="84">
        <v>216</v>
      </c>
      <c r="J25" s="164" t="s">
        <v>357</v>
      </c>
      <c r="K25" s="164"/>
      <c r="L25" s="57"/>
      <c r="M25" s="15"/>
      <c r="N25" s="15"/>
      <c r="O25" s="20" t="s">
        <v>264</v>
      </c>
      <c r="P25" s="21">
        <v>4</v>
      </c>
      <c r="Q25" s="22" t="s">
        <v>21</v>
      </c>
    </row>
    <row r="26" spans="1:17" ht="22.5" customHeight="1" x14ac:dyDescent="0.25">
      <c r="A26" s="288"/>
      <c r="B26" s="111"/>
      <c r="C26" s="58"/>
      <c r="D26" s="78"/>
      <c r="E26" s="48"/>
      <c r="F26" s="164"/>
      <c r="G26" s="164"/>
      <c r="H26" s="48"/>
      <c r="I26" s="164"/>
      <c r="J26" s="164"/>
      <c r="K26" s="164"/>
      <c r="L26" s="57"/>
      <c r="M26" s="15"/>
      <c r="N26" s="15"/>
      <c r="O26" s="20"/>
      <c r="P26" s="21"/>
      <c r="Q26" s="22"/>
    </row>
    <row r="27" spans="1:17" ht="22.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170"/>
      <c r="H27" s="170"/>
      <c r="I27" s="170">
        <f>SUM(I22:I26)</f>
        <v>1512</v>
      </c>
      <c r="J27" s="170"/>
      <c r="K27" s="170"/>
      <c r="L27" s="173"/>
      <c r="M27" s="170"/>
      <c r="N27" s="170"/>
      <c r="O27" s="170"/>
      <c r="P27" s="171"/>
      <c r="Q27" s="171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5376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72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F30:Q30"/>
    <mergeCell ref="B31:Q31"/>
    <mergeCell ref="F32:O32"/>
    <mergeCell ref="P32:Q32"/>
    <mergeCell ref="B33:O33"/>
    <mergeCell ref="A10:A15"/>
    <mergeCell ref="C15:F15"/>
    <mergeCell ref="A16:A21"/>
    <mergeCell ref="C21:F21"/>
    <mergeCell ref="A22:A27"/>
    <mergeCell ref="C27:F27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zoomScaleNormal="100" workbookViewId="0">
      <selection activeCell="B4" sqref="B4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150</v>
      </c>
      <c r="C4" s="62">
        <v>43268</v>
      </c>
      <c r="D4" s="77" t="s">
        <v>59</v>
      </c>
      <c r="E4" s="81" t="s">
        <v>34</v>
      </c>
      <c r="F4" s="40" t="s">
        <v>76</v>
      </c>
      <c r="G4" s="155">
        <v>3600</v>
      </c>
      <c r="H4" s="81" t="s">
        <v>51</v>
      </c>
      <c r="I4" s="155">
        <v>432</v>
      </c>
      <c r="J4" s="81" t="s">
        <v>273</v>
      </c>
      <c r="K4" s="155"/>
      <c r="L4" s="123" t="s">
        <v>81</v>
      </c>
      <c r="M4" s="16"/>
      <c r="N4" s="16"/>
      <c r="O4" s="17" t="s">
        <v>261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75</v>
      </c>
      <c r="C5" s="58"/>
      <c r="D5" s="78"/>
      <c r="E5" s="48"/>
      <c r="F5" s="39"/>
      <c r="G5" s="164"/>
      <c r="H5" s="48"/>
      <c r="I5" s="164">
        <f>3600-216*15</f>
        <v>360</v>
      </c>
      <c r="J5" s="48" t="s">
        <v>274</v>
      </c>
      <c r="K5" s="164"/>
      <c r="L5" s="51"/>
      <c r="M5" s="49"/>
      <c r="N5" s="15"/>
      <c r="O5" s="20" t="s">
        <v>262</v>
      </c>
      <c r="P5" s="21">
        <v>2</v>
      </c>
      <c r="Q5" s="22" t="s">
        <v>20</v>
      </c>
    </row>
    <row r="6" spans="1:17" ht="24" customHeight="1" x14ac:dyDescent="0.25">
      <c r="A6" s="288"/>
      <c r="B6" s="43" t="s">
        <v>275</v>
      </c>
      <c r="C6" s="58">
        <v>43281</v>
      </c>
      <c r="D6" s="78" t="s">
        <v>59</v>
      </c>
      <c r="E6" s="60" t="s">
        <v>34</v>
      </c>
      <c r="F6" s="38" t="s">
        <v>276</v>
      </c>
      <c r="G6" s="38">
        <v>180</v>
      </c>
      <c r="H6" s="60" t="s">
        <v>277</v>
      </c>
      <c r="I6" s="38">
        <v>180</v>
      </c>
      <c r="J6" s="60" t="s">
        <v>84</v>
      </c>
      <c r="K6" s="38"/>
      <c r="L6" s="91" t="s">
        <v>281</v>
      </c>
      <c r="M6" s="49"/>
      <c r="N6" s="15"/>
      <c r="O6" s="20" t="s">
        <v>263</v>
      </c>
      <c r="P6" s="21">
        <v>3</v>
      </c>
      <c r="Q6" s="22" t="s">
        <v>21</v>
      </c>
    </row>
    <row r="7" spans="1:17" ht="24" customHeight="1" x14ac:dyDescent="0.25">
      <c r="A7" s="288"/>
      <c r="B7" s="43" t="s">
        <v>278</v>
      </c>
      <c r="C7" s="58">
        <v>43281</v>
      </c>
      <c r="D7" s="78" t="s">
        <v>59</v>
      </c>
      <c r="E7" s="60" t="s">
        <v>34</v>
      </c>
      <c r="F7" s="38" t="s">
        <v>276</v>
      </c>
      <c r="G7" s="38">
        <v>120</v>
      </c>
      <c r="H7" s="60" t="s">
        <v>277</v>
      </c>
      <c r="I7" s="38">
        <v>120</v>
      </c>
      <c r="J7" s="60" t="s">
        <v>84</v>
      </c>
      <c r="K7" s="38"/>
      <c r="L7" s="91" t="s">
        <v>281</v>
      </c>
      <c r="M7" s="49"/>
      <c r="N7" s="15"/>
      <c r="O7" s="20"/>
      <c r="P7" s="21"/>
      <c r="Q7" s="22"/>
    </row>
    <row r="8" spans="1:17" ht="24" customHeight="1" x14ac:dyDescent="0.25">
      <c r="A8" s="288"/>
      <c r="B8" s="45" t="s">
        <v>279</v>
      </c>
      <c r="C8" s="58">
        <v>43281</v>
      </c>
      <c r="D8" s="78" t="s">
        <v>59</v>
      </c>
      <c r="E8" s="48" t="s">
        <v>34</v>
      </c>
      <c r="F8" s="39" t="s">
        <v>276</v>
      </c>
      <c r="G8" s="164">
        <v>576</v>
      </c>
      <c r="H8" s="48" t="s">
        <v>277</v>
      </c>
      <c r="I8" s="164">
        <v>432</v>
      </c>
      <c r="J8" s="48" t="s">
        <v>77</v>
      </c>
      <c r="K8" s="164"/>
      <c r="L8" s="51" t="s">
        <v>282</v>
      </c>
      <c r="M8" s="49"/>
      <c r="N8" s="15"/>
      <c r="O8" s="20" t="s">
        <v>264</v>
      </c>
      <c r="P8" s="21">
        <v>4</v>
      </c>
      <c r="Q8" s="22" t="s">
        <v>21</v>
      </c>
    </row>
    <row r="9" spans="1:17" ht="24" customHeight="1" x14ac:dyDescent="0.25">
      <c r="A9" s="288"/>
      <c r="B9" s="45" t="s">
        <v>280</v>
      </c>
      <c r="C9" s="46"/>
      <c r="D9" s="47"/>
      <c r="E9" s="48"/>
      <c r="F9" s="164"/>
      <c r="G9" s="164"/>
      <c r="H9" s="48"/>
      <c r="I9" s="164"/>
      <c r="J9" s="48"/>
      <c r="K9" s="164"/>
      <c r="L9" s="51"/>
      <c r="M9" s="49"/>
      <c r="N9" s="49"/>
      <c r="O9" s="124"/>
      <c r="P9" s="50"/>
      <c r="Q9" s="153"/>
    </row>
    <row r="10" spans="1:17" ht="24" customHeight="1" thickBot="1" x14ac:dyDescent="0.3">
      <c r="A10" s="289"/>
      <c r="B10" s="93"/>
      <c r="C10" s="170"/>
      <c r="D10" s="170"/>
      <c r="E10" s="170"/>
      <c r="F10" s="170"/>
      <c r="G10" s="170"/>
      <c r="H10" s="170"/>
      <c r="I10" s="170">
        <f>SUM(I4:I9)</f>
        <v>1524</v>
      </c>
      <c r="J10" s="170"/>
      <c r="K10" s="170"/>
      <c r="L10" s="173"/>
      <c r="M10" s="170"/>
      <c r="N10" s="170"/>
      <c r="O10" s="114"/>
      <c r="P10" s="171"/>
      <c r="Q10" s="152"/>
    </row>
    <row r="11" spans="1:17" ht="24" customHeight="1" x14ac:dyDescent="0.25">
      <c r="A11" s="287" t="s">
        <v>41</v>
      </c>
      <c r="B11" s="92" t="s">
        <v>151</v>
      </c>
      <c r="C11" s="62">
        <v>43259</v>
      </c>
      <c r="D11" s="140" t="s">
        <v>55</v>
      </c>
      <c r="E11" s="41" t="s">
        <v>54</v>
      </c>
      <c r="F11" s="40" t="s">
        <v>102</v>
      </c>
      <c r="G11" s="40">
        <v>6024</v>
      </c>
      <c r="H11" s="56" t="s">
        <v>100</v>
      </c>
      <c r="I11" s="40">
        <v>432</v>
      </c>
      <c r="J11" s="41" t="s">
        <v>283</v>
      </c>
      <c r="K11" s="40"/>
      <c r="L11" s="90" t="s">
        <v>67</v>
      </c>
      <c r="M11" s="16"/>
      <c r="N11" s="16"/>
      <c r="O11" s="17" t="s">
        <v>261</v>
      </c>
      <c r="P11" s="18">
        <v>1</v>
      </c>
      <c r="Q11" s="19" t="s">
        <v>19</v>
      </c>
    </row>
    <row r="12" spans="1:17" ht="24" customHeight="1" x14ac:dyDescent="0.25">
      <c r="A12" s="288"/>
      <c r="B12" s="43" t="s">
        <v>152</v>
      </c>
      <c r="C12" s="305" t="s">
        <v>57</v>
      </c>
      <c r="D12" s="306"/>
      <c r="E12" s="79"/>
      <c r="F12" s="38"/>
      <c r="G12" s="38"/>
      <c r="H12" s="60"/>
      <c r="I12" s="164">
        <v>216</v>
      </c>
      <c r="J12" s="48" t="s">
        <v>358</v>
      </c>
      <c r="K12" s="164"/>
      <c r="L12" s="88"/>
      <c r="M12" s="63"/>
      <c r="N12" s="63"/>
      <c r="O12" s="20" t="s">
        <v>262</v>
      </c>
      <c r="P12" s="21">
        <v>2</v>
      </c>
      <c r="Q12" s="22" t="s">
        <v>20</v>
      </c>
    </row>
    <row r="13" spans="1:17" ht="24" customHeight="1" x14ac:dyDescent="0.25">
      <c r="A13" s="288"/>
      <c r="B13" s="43"/>
      <c r="C13" s="58"/>
      <c r="D13" s="141"/>
      <c r="E13" s="79"/>
      <c r="F13" s="38"/>
      <c r="G13" s="38"/>
      <c r="H13" s="60"/>
      <c r="I13" s="164">
        <v>216</v>
      </c>
      <c r="J13" s="48" t="s">
        <v>359</v>
      </c>
      <c r="K13" s="164"/>
      <c r="L13" s="88"/>
      <c r="M13" s="49"/>
      <c r="N13" s="49"/>
      <c r="O13" s="20" t="s">
        <v>263</v>
      </c>
      <c r="P13" s="21">
        <v>3</v>
      </c>
      <c r="Q13" s="22" t="s">
        <v>21</v>
      </c>
    </row>
    <row r="14" spans="1:17" ht="24" customHeight="1" x14ac:dyDescent="0.25">
      <c r="A14" s="288"/>
      <c r="B14" s="43"/>
      <c r="C14" s="58"/>
      <c r="D14" s="141"/>
      <c r="E14" s="79"/>
      <c r="F14" s="38"/>
      <c r="G14" s="38"/>
      <c r="H14" s="60"/>
      <c r="I14" s="164">
        <v>216</v>
      </c>
      <c r="J14" s="48" t="s">
        <v>360</v>
      </c>
      <c r="K14" s="164"/>
      <c r="L14" s="88"/>
      <c r="M14" s="49"/>
      <c r="N14" s="49"/>
      <c r="O14" s="20" t="s">
        <v>264</v>
      </c>
      <c r="P14" s="21">
        <v>4</v>
      </c>
      <c r="Q14" s="22" t="s">
        <v>21</v>
      </c>
    </row>
    <row r="15" spans="1:17" ht="24" customHeight="1" x14ac:dyDescent="0.25">
      <c r="A15" s="288"/>
      <c r="B15" s="43"/>
      <c r="C15" s="58"/>
      <c r="D15" s="141"/>
      <c r="E15" s="79"/>
      <c r="F15" s="38"/>
      <c r="G15" s="38"/>
      <c r="H15" s="60"/>
      <c r="I15" s="164"/>
      <c r="J15" s="48"/>
      <c r="K15" s="164"/>
      <c r="L15" s="88"/>
      <c r="M15" s="49"/>
      <c r="N15" s="49"/>
      <c r="O15" s="20"/>
      <c r="P15" s="21"/>
      <c r="Q15" s="22"/>
    </row>
    <row r="16" spans="1:17" ht="24" customHeight="1" thickBot="1" x14ac:dyDescent="0.3">
      <c r="A16" s="289"/>
      <c r="B16" s="93" t="s">
        <v>64</v>
      </c>
      <c r="C16" s="290" t="s">
        <v>98</v>
      </c>
      <c r="D16" s="291"/>
      <c r="E16" s="291"/>
      <c r="F16" s="292"/>
      <c r="G16" s="170"/>
      <c r="H16" s="170"/>
      <c r="I16" s="170">
        <f>SUM(I11:I15)</f>
        <v>1080</v>
      </c>
      <c r="J16" s="170"/>
      <c r="K16" s="170"/>
      <c r="L16" s="173"/>
      <c r="M16" s="170"/>
      <c r="N16" s="170"/>
      <c r="O16" s="114"/>
      <c r="P16" s="171"/>
      <c r="Q16" s="152"/>
    </row>
    <row r="17" spans="1:17" ht="24" customHeight="1" x14ac:dyDescent="0.25">
      <c r="A17" s="287" t="s">
        <v>42</v>
      </c>
      <c r="B17" s="42" t="s">
        <v>251</v>
      </c>
      <c r="C17" s="62">
        <v>43282</v>
      </c>
      <c r="D17" s="90" t="s">
        <v>59</v>
      </c>
      <c r="E17" s="145" t="s">
        <v>91</v>
      </c>
      <c r="F17" s="40" t="s">
        <v>123</v>
      </c>
      <c r="G17" s="175">
        <v>1152</v>
      </c>
      <c r="H17" s="81" t="s">
        <v>124</v>
      </c>
      <c r="I17" s="155">
        <f>1152-216*4</f>
        <v>288</v>
      </c>
      <c r="J17" s="155" t="s">
        <v>259</v>
      </c>
      <c r="K17" s="155"/>
      <c r="L17" s="123" t="s">
        <v>254</v>
      </c>
      <c r="M17" s="16"/>
      <c r="N17" s="16"/>
      <c r="O17" s="17" t="s">
        <v>261</v>
      </c>
      <c r="P17" s="18">
        <v>1</v>
      </c>
      <c r="Q17" s="19" t="s">
        <v>19</v>
      </c>
    </row>
    <row r="18" spans="1:17" ht="24" customHeight="1" x14ac:dyDescent="0.25">
      <c r="A18" s="288"/>
      <c r="B18" s="45" t="s">
        <v>285</v>
      </c>
      <c r="C18" s="86">
        <v>43281</v>
      </c>
      <c r="D18" s="134" t="s">
        <v>59</v>
      </c>
      <c r="E18" s="132" t="s">
        <v>91</v>
      </c>
      <c r="F18" s="39" t="s">
        <v>286</v>
      </c>
      <c r="G18" s="89">
        <v>120</v>
      </c>
      <c r="H18" s="79" t="s">
        <v>124</v>
      </c>
      <c r="I18" s="164">
        <v>120</v>
      </c>
      <c r="J18" s="164" t="s">
        <v>84</v>
      </c>
      <c r="K18" s="164"/>
      <c r="L18" s="134" t="s">
        <v>290</v>
      </c>
      <c r="M18" s="15"/>
      <c r="N18" s="15"/>
      <c r="O18" s="20" t="s">
        <v>262</v>
      </c>
      <c r="P18" s="21">
        <v>2</v>
      </c>
      <c r="Q18" s="22" t="s">
        <v>20</v>
      </c>
    </row>
    <row r="19" spans="1:17" ht="24" customHeight="1" x14ac:dyDescent="0.25">
      <c r="A19" s="288"/>
      <c r="B19" s="45" t="s">
        <v>287</v>
      </c>
      <c r="C19" s="58">
        <v>43281</v>
      </c>
      <c r="D19" s="91" t="s">
        <v>59</v>
      </c>
      <c r="E19" s="137" t="s">
        <v>91</v>
      </c>
      <c r="F19" s="38" t="s">
        <v>286</v>
      </c>
      <c r="G19" s="89">
        <v>120</v>
      </c>
      <c r="H19" s="48" t="s">
        <v>124</v>
      </c>
      <c r="I19" s="164">
        <v>120</v>
      </c>
      <c r="J19" s="164" t="s">
        <v>84</v>
      </c>
      <c r="K19" s="164"/>
      <c r="L19" s="51" t="s">
        <v>81</v>
      </c>
      <c r="M19" s="15"/>
      <c r="N19" s="15"/>
      <c r="O19" s="20"/>
      <c r="P19" s="21"/>
      <c r="Q19" s="22"/>
    </row>
    <row r="20" spans="1:17" ht="24" customHeight="1" x14ac:dyDescent="0.25">
      <c r="A20" s="288"/>
      <c r="B20" s="45" t="s">
        <v>288</v>
      </c>
      <c r="C20" s="86">
        <v>43281</v>
      </c>
      <c r="D20" s="134" t="s">
        <v>59</v>
      </c>
      <c r="E20" s="132" t="s">
        <v>91</v>
      </c>
      <c r="F20" s="39" t="s">
        <v>286</v>
      </c>
      <c r="G20" s="89">
        <v>1920</v>
      </c>
      <c r="H20" s="79" t="s">
        <v>124</v>
      </c>
      <c r="I20" s="164">
        <v>432</v>
      </c>
      <c r="J20" s="164" t="s">
        <v>77</v>
      </c>
      <c r="K20" s="164"/>
      <c r="L20" s="134" t="s">
        <v>349</v>
      </c>
      <c r="M20" s="49"/>
      <c r="N20" s="49"/>
      <c r="O20" s="20" t="s">
        <v>263</v>
      </c>
      <c r="P20" s="21">
        <v>3</v>
      </c>
      <c r="Q20" s="22" t="s">
        <v>21</v>
      </c>
    </row>
    <row r="21" spans="1:17" ht="24" customHeight="1" x14ac:dyDescent="0.25">
      <c r="A21" s="288"/>
      <c r="B21" s="43" t="s">
        <v>106</v>
      </c>
      <c r="C21" s="58"/>
      <c r="D21" s="91"/>
      <c r="E21" s="137"/>
      <c r="F21" s="38"/>
      <c r="G21" s="105"/>
      <c r="H21" s="60"/>
      <c r="I21" s="38">
        <v>432</v>
      </c>
      <c r="J21" s="38" t="s">
        <v>289</v>
      </c>
      <c r="K21" s="38"/>
      <c r="L21" s="91"/>
      <c r="M21" s="49"/>
      <c r="N21" s="49"/>
      <c r="O21" s="20" t="s">
        <v>264</v>
      </c>
      <c r="P21" s="21">
        <v>4</v>
      </c>
      <c r="Q21" s="22" t="s">
        <v>21</v>
      </c>
    </row>
    <row r="22" spans="1:17" ht="24" customHeight="1" x14ac:dyDescent="0.25">
      <c r="A22" s="288"/>
      <c r="B22" s="45"/>
      <c r="C22" s="58"/>
      <c r="D22" s="91"/>
      <c r="E22" s="137"/>
      <c r="F22" s="38"/>
      <c r="G22" s="89"/>
      <c r="H22" s="48"/>
      <c r="I22" s="164"/>
      <c r="J22" s="164"/>
      <c r="K22" s="164"/>
      <c r="L22" s="51"/>
      <c r="M22" s="49"/>
      <c r="N22" s="49"/>
      <c r="O22" s="124"/>
      <c r="P22" s="50"/>
      <c r="Q22" s="153"/>
    </row>
    <row r="23" spans="1:17" ht="24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170"/>
      <c r="H23" s="170"/>
      <c r="I23" s="170">
        <f>SUM(I17:I22)</f>
        <v>1392</v>
      </c>
      <c r="J23" s="170"/>
      <c r="K23" s="170"/>
      <c r="L23" s="173"/>
      <c r="M23" s="170"/>
      <c r="N23" s="170"/>
      <c r="O23" s="114"/>
      <c r="P23" s="171"/>
      <c r="Q23" s="152"/>
    </row>
    <row r="24" spans="1:17" ht="24" customHeight="1" x14ac:dyDescent="0.25">
      <c r="A24" s="287" t="s">
        <v>43</v>
      </c>
      <c r="B24" s="42" t="s">
        <v>291</v>
      </c>
      <c r="C24" s="140">
        <v>43283</v>
      </c>
      <c r="D24" s="90" t="s">
        <v>93</v>
      </c>
      <c r="E24" s="41" t="s">
        <v>34</v>
      </c>
      <c r="F24" s="40" t="s">
        <v>76</v>
      </c>
      <c r="G24" s="40">
        <v>6732</v>
      </c>
      <c r="H24" s="41" t="s">
        <v>51</v>
      </c>
      <c r="I24" s="40">
        <v>432</v>
      </c>
      <c r="J24" s="41" t="s">
        <v>77</v>
      </c>
      <c r="K24" s="40"/>
      <c r="L24" s="54" t="s">
        <v>61</v>
      </c>
      <c r="M24" s="16"/>
      <c r="N24" s="16"/>
      <c r="O24" s="17" t="s">
        <v>261</v>
      </c>
      <c r="P24" s="18">
        <v>1</v>
      </c>
      <c r="Q24" s="19" t="s">
        <v>19</v>
      </c>
    </row>
    <row r="25" spans="1:17" ht="24" customHeight="1" x14ac:dyDescent="0.25">
      <c r="A25" s="288"/>
      <c r="B25" s="45" t="s">
        <v>115</v>
      </c>
      <c r="C25" s="131"/>
      <c r="D25" s="134"/>
      <c r="E25" s="79"/>
      <c r="F25" s="164"/>
      <c r="G25" s="164"/>
      <c r="H25" s="48"/>
      <c r="I25" s="164">
        <v>432</v>
      </c>
      <c r="J25" s="48" t="s">
        <v>82</v>
      </c>
      <c r="K25" s="164"/>
      <c r="L25" s="57"/>
      <c r="M25" s="15"/>
      <c r="N25" s="15"/>
      <c r="O25" s="20" t="s">
        <v>262</v>
      </c>
      <c r="P25" s="21">
        <v>2</v>
      </c>
      <c r="Q25" s="22" t="s">
        <v>20</v>
      </c>
    </row>
    <row r="26" spans="1:17" ht="24" customHeight="1" x14ac:dyDescent="0.25">
      <c r="A26" s="288"/>
      <c r="B26" s="45"/>
      <c r="C26" s="141"/>
      <c r="D26" s="91"/>
      <c r="E26" s="48"/>
      <c r="F26" s="39"/>
      <c r="G26" s="39"/>
      <c r="H26" s="79"/>
      <c r="I26" s="38">
        <v>216</v>
      </c>
      <c r="J26" s="48" t="s">
        <v>201</v>
      </c>
      <c r="K26" s="164"/>
      <c r="L26" s="57"/>
      <c r="M26" s="49"/>
      <c r="N26" s="49"/>
      <c r="O26" s="20" t="s">
        <v>263</v>
      </c>
      <c r="P26" s="21">
        <v>3</v>
      </c>
      <c r="Q26" s="22" t="s">
        <v>21</v>
      </c>
    </row>
    <row r="27" spans="1:17" ht="24" customHeight="1" x14ac:dyDescent="0.25">
      <c r="A27" s="288"/>
      <c r="B27" s="43"/>
      <c r="C27" s="141"/>
      <c r="D27" s="91"/>
      <c r="E27" s="60"/>
      <c r="F27" s="38"/>
      <c r="G27" s="38"/>
      <c r="H27" s="60"/>
      <c r="I27" s="38">
        <v>216</v>
      </c>
      <c r="J27" s="60" t="s">
        <v>361</v>
      </c>
      <c r="K27" s="38"/>
      <c r="L27" s="44"/>
      <c r="M27" s="49"/>
      <c r="N27" s="49"/>
      <c r="O27" s="20" t="s">
        <v>264</v>
      </c>
      <c r="P27" s="21">
        <v>4</v>
      </c>
      <c r="Q27" s="22" t="s">
        <v>21</v>
      </c>
    </row>
    <row r="28" spans="1:17" ht="24" customHeight="1" x14ac:dyDescent="0.25">
      <c r="A28" s="288"/>
      <c r="B28" s="43"/>
      <c r="C28" s="141"/>
      <c r="D28" s="91"/>
      <c r="E28" s="60"/>
      <c r="F28" s="38"/>
      <c r="G28" s="38"/>
      <c r="H28" s="60"/>
      <c r="I28" s="38"/>
      <c r="J28" s="60"/>
      <c r="K28" s="38"/>
      <c r="L28" s="44"/>
      <c r="M28" s="49"/>
      <c r="N28" s="49"/>
      <c r="O28" s="20"/>
      <c r="P28" s="21"/>
      <c r="Q28" s="22"/>
    </row>
    <row r="29" spans="1:17" ht="24" customHeight="1" thickBot="1" x14ac:dyDescent="0.3">
      <c r="A29" s="289"/>
      <c r="B29" s="93" t="s">
        <v>64</v>
      </c>
      <c r="C29" s="290" t="s">
        <v>98</v>
      </c>
      <c r="D29" s="291"/>
      <c r="E29" s="291"/>
      <c r="F29" s="292"/>
      <c r="G29" s="170"/>
      <c r="H29" s="170"/>
      <c r="I29" s="170">
        <f>SUM(I24:I28)</f>
        <v>1296</v>
      </c>
      <c r="J29" s="170"/>
      <c r="K29" s="170"/>
      <c r="L29" s="173"/>
      <c r="M29" s="170"/>
      <c r="N29" s="170"/>
      <c r="O29" s="114"/>
      <c r="P29" s="171"/>
      <c r="Q29" s="152"/>
    </row>
    <row r="30" spans="1:17" ht="25.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SUM(I29,I23,I16,I10)</f>
        <v>5292</v>
      </c>
      <c r="J30" s="70"/>
      <c r="K30" s="70"/>
      <c r="L30" s="65"/>
      <c r="M30" s="71"/>
      <c r="N30" s="69"/>
      <c r="O30" s="70"/>
      <c r="P30" s="70"/>
      <c r="Q30" s="72"/>
    </row>
    <row r="31" spans="1:17" ht="17.25" customHeight="1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72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8">
    <mergeCell ref="F32:Q32"/>
    <mergeCell ref="B33:Q33"/>
    <mergeCell ref="F34:O34"/>
    <mergeCell ref="P34:Q34"/>
    <mergeCell ref="B35:O35"/>
    <mergeCell ref="C29:F29"/>
    <mergeCell ref="A11:A16"/>
    <mergeCell ref="C12:D12"/>
    <mergeCell ref="C16:F16"/>
    <mergeCell ref="A17:A23"/>
    <mergeCell ref="C23:F23"/>
    <mergeCell ref="A24:A29"/>
    <mergeCell ref="A4:A10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topLeftCell="A4" zoomScale="109" zoomScaleNormal="109" workbookViewId="0">
      <selection activeCell="B11" sqref="B11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43253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198</v>
      </c>
      <c r="C4" s="181">
        <v>43257</v>
      </c>
      <c r="D4" s="121" t="s">
        <v>55</v>
      </c>
      <c r="E4" s="109" t="s">
        <v>54</v>
      </c>
      <c r="F4" s="108" t="s">
        <v>154</v>
      </c>
      <c r="G4" s="108">
        <v>2712</v>
      </c>
      <c r="H4" s="41" t="s">
        <v>139</v>
      </c>
      <c r="I4" s="155">
        <v>432</v>
      </c>
      <c r="J4" s="155" t="s">
        <v>292</v>
      </c>
      <c r="K4" s="155"/>
      <c r="L4" s="123" t="s">
        <v>80</v>
      </c>
      <c r="M4" s="16"/>
      <c r="N4" s="16"/>
      <c r="O4" s="17" t="s">
        <v>261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199</v>
      </c>
      <c r="C5" s="117"/>
      <c r="D5" s="113"/>
      <c r="E5" s="102"/>
      <c r="F5" s="101"/>
      <c r="G5" s="164"/>
      <c r="H5" s="48"/>
      <c r="I5" s="164">
        <v>432</v>
      </c>
      <c r="J5" s="164" t="s">
        <v>229</v>
      </c>
      <c r="K5" s="164"/>
      <c r="L5" s="51"/>
      <c r="M5" s="87"/>
      <c r="N5" s="87"/>
      <c r="O5" s="20" t="s">
        <v>262</v>
      </c>
      <c r="P5" s="21">
        <v>2</v>
      </c>
      <c r="Q5" s="22" t="s">
        <v>20</v>
      </c>
    </row>
    <row r="6" spans="1:28" ht="23.25" customHeight="1" x14ac:dyDescent="0.25">
      <c r="A6" s="308"/>
      <c r="B6" s="45"/>
      <c r="C6" s="117"/>
      <c r="D6" s="113"/>
      <c r="E6" s="102"/>
      <c r="F6" s="101"/>
      <c r="G6" s="39"/>
      <c r="H6" s="79"/>
      <c r="I6" s="164">
        <v>432</v>
      </c>
      <c r="J6" s="164" t="s">
        <v>293</v>
      </c>
      <c r="K6" s="164"/>
      <c r="L6" s="51"/>
      <c r="M6" s="49"/>
      <c r="N6" s="49"/>
      <c r="O6" s="20" t="s">
        <v>263</v>
      </c>
      <c r="P6" s="21">
        <v>3</v>
      </c>
      <c r="Q6" s="22" t="s">
        <v>21</v>
      </c>
    </row>
    <row r="7" spans="1:28" ht="23.25" customHeight="1" x14ac:dyDescent="0.25">
      <c r="A7" s="308"/>
      <c r="B7" s="45"/>
      <c r="C7" s="117"/>
      <c r="D7" s="113"/>
      <c r="E7" s="102"/>
      <c r="F7" s="101"/>
      <c r="G7" s="39"/>
      <c r="H7" s="79"/>
      <c r="I7" s="164">
        <f>2712-216*11</f>
        <v>336</v>
      </c>
      <c r="J7" s="164" t="s">
        <v>366</v>
      </c>
      <c r="K7" s="164"/>
      <c r="L7" s="51"/>
      <c r="M7" s="49"/>
      <c r="N7" s="49"/>
      <c r="O7" s="20" t="s">
        <v>264</v>
      </c>
      <c r="P7" s="21">
        <v>4</v>
      </c>
      <c r="Q7" s="22" t="s">
        <v>21</v>
      </c>
    </row>
    <row r="8" spans="1:28" ht="23.25" customHeight="1" x14ac:dyDescent="0.25">
      <c r="A8" s="308"/>
      <c r="B8" s="45"/>
      <c r="C8" s="117"/>
      <c r="D8" s="113"/>
      <c r="E8" s="102"/>
      <c r="F8" s="101"/>
      <c r="G8" s="164"/>
      <c r="H8" s="48"/>
      <c r="I8" s="164"/>
      <c r="J8" s="164"/>
      <c r="K8" s="164"/>
      <c r="L8" s="51"/>
      <c r="M8" s="49"/>
      <c r="N8" s="49"/>
      <c r="O8" s="20"/>
      <c r="P8" s="21"/>
      <c r="Q8" s="22"/>
    </row>
    <row r="9" spans="1:28" ht="23.25" customHeight="1" thickBot="1" x14ac:dyDescent="0.3">
      <c r="A9" s="309"/>
      <c r="B9" s="93"/>
      <c r="C9" s="170"/>
      <c r="D9" s="170"/>
      <c r="E9" s="170"/>
      <c r="F9" s="170"/>
      <c r="G9" s="170"/>
      <c r="H9" s="170"/>
      <c r="I9" s="170">
        <f>SUM(I4:I8)</f>
        <v>1632</v>
      </c>
      <c r="J9" s="170"/>
      <c r="K9" s="170"/>
      <c r="L9" s="173"/>
      <c r="M9" s="170"/>
      <c r="N9" s="170"/>
      <c r="O9" s="114"/>
      <c r="P9" s="171"/>
      <c r="Q9" s="171"/>
    </row>
    <row r="10" spans="1:28" ht="23.25" customHeight="1" x14ac:dyDescent="0.25">
      <c r="A10" s="287" t="s">
        <v>45</v>
      </c>
      <c r="B10" s="42" t="s">
        <v>294</v>
      </c>
      <c r="C10" s="121">
        <v>43256</v>
      </c>
      <c r="D10" s="109" t="s">
        <v>93</v>
      </c>
      <c r="E10" s="122" t="s">
        <v>54</v>
      </c>
      <c r="F10" s="108" t="s">
        <v>95</v>
      </c>
      <c r="G10" s="40">
        <v>504</v>
      </c>
      <c r="H10" s="41" t="s">
        <v>62</v>
      </c>
      <c r="I10" s="155">
        <v>504</v>
      </c>
      <c r="J10" s="155" t="s">
        <v>77</v>
      </c>
      <c r="K10" s="155"/>
      <c r="L10" s="123" t="s">
        <v>67</v>
      </c>
      <c r="M10" s="95"/>
      <c r="N10" s="16"/>
      <c r="O10" s="17" t="s">
        <v>261</v>
      </c>
      <c r="P10" s="18">
        <v>1</v>
      </c>
      <c r="Q10" s="19" t="s">
        <v>19</v>
      </c>
    </row>
    <row r="11" spans="1:28" ht="23.25" customHeight="1" x14ac:dyDescent="0.25">
      <c r="A11" s="288"/>
      <c r="B11" s="45" t="s">
        <v>295</v>
      </c>
      <c r="C11" s="112">
        <v>43265</v>
      </c>
      <c r="D11" s="110" t="s">
        <v>93</v>
      </c>
      <c r="E11" s="102" t="s">
        <v>54</v>
      </c>
      <c r="F11" s="101" t="s">
        <v>95</v>
      </c>
      <c r="G11" s="164">
        <v>864</v>
      </c>
      <c r="H11" s="48" t="s">
        <v>62</v>
      </c>
      <c r="I11" s="164">
        <v>432</v>
      </c>
      <c r="J11" s="164" t="s">
        <v>77</v>
      </c>
      <c r="K11" s="164"/>
      <c r="L11" s="51" t="s">
        <v>350</v>
      </c>
      <c r="M11" s="15"/>
      <c r="N11" s="63"/>
      <c r="O11" s="20" t="s">
        <v>262</v>
      </c>
      <c r="P11" s="21">
        <v>2</v>
      </c>
      <c r="Q11" s="22" t="s">
        <v>20</v>
      </c>
    </row>
    <row r="12" spans="1:28" ht="23.25" customHeight="1" x14ac:dyDescent="0.25">
      <c r="A12" s="288"/>
      <c r="B12" s="45" t="s">
        <v>242</v>
      </c>
      <c r="C12" s="315" t="s">
        <v>35</v>
      </c>
      <c r="D12" s="316"/>
      <c r="E12" s="102"/>
      <c r="F12" s="101"/>
      <c r="G12" s="39"/>
      <c r="H12" s="79"/>
      <c r="I12" s="164">
        <v>216</v>
      </c>
      <c r="J12" s="164" t="s">
        <v>354</v>
      </c>
      <c r="K12" s="164"/>
      <c r="L12" s="51"/>
      <c r="M12" s="83"/>
      <c r="N12" s="83"/>
      <c r="O12" s="20" t="s">
        <v>263</v>
      </c>
      <c r="P12" s="21">
        <v>3</v>
      </c>
      <c r="Q12" s="22" t="s">
        <v>21</v>
      </c>
    </row>
    <row r="13" spans="1:28" ht="23.25" customHeight="1" x14ac:dyDescent="0.25">
      <c r="A13" s="288"/>
      <c r="B13" s="45"/>
      <c r="C13" s="112"/>
      <c r="D13" s="110"/>
      <c r="E13" s="102"/>
      <c r="F13" s="101"/>
      <c r="G13" s="39"/>
      <c r="H13" s="79"/>
      <c r="I13" s="164">
        <v>216</v>
      </c>
      <c r="J13" s="164" t="s">
        <v>355</v>
      </c>
      <c r="K13" s="164"/>
      <c r="L13" s="51"/>
      <c r="M13" s="15"/>
      <c r="N13" s="15"/>
      <c r="O13" s="20" t="s">
        <v>264</v>
      </c>
      <c r="P13" s="21">
        <v>4</v>
      </c>
      <c r="Q13" s="22" t="s">
        <v>21</v>
      </c>
    </row>
    <row r="14" spans="1:28" ht="23.25" customHeight="1" x14ac:dyDescent="0.25">
      <c r="A14" s="288"/>
      <c r="B14" s="45"/>
      <c r="C14" s="112"/>
      <c r="D14" s="110"/>
      <c r="E14" s="102"/>
      <c r="F14" s="101"/>
      <c r="G14" s="39"/>
      <c r="H14" s="79"/>
      <c r="I14" s="164"/>
      <c r="J14" s="164"/>
      <c r="K14" s="164"/>
      <c r="L14" s="51"/>
      <c r="M14" s="15"/>
      <c r="N14" s="15"/>
      <c r="O14" s="20"/>
      <c r="P14" s="21"/>
      <c r="Q14" s="22"/>
    </row>
    <row r="15" spans="1:28" ht="23.25" customHeight="1" thickBot="1" x14ac:dyDescent="0.3">
      <c r="A15" s="289"/>
      <c r="B15" s="93"/>
      <c r="C15" s="170"/>
      <c r="D15" s="170"/>
      <c r="E15" s="170"/>
      <c r="F15" s="170"/>
      <c r="G15" s="170"/>
      <c r="H15" s="170"/>
      <c r="I15" s="170">
        <f>SUM(I10:I14)</f>
        <v>1368</v>
      </c>
      <c r="J15" s="170"/>
      <c r="K15" s="170"/>
      <c r="L15" s="173"/>
      <c r="M15" s="170"/>
      <c r="N15" s="170"/>
      <c r="O15" s="114"/>
      <c r="P15" s="170"/>
      <c r="Q15" s="170"/>
    </row>
    <row r="16" spans="1:28" ht="23.25" customHeight="1" x14ac:dyDescent="0.25">
      <c r="A16" s="287" t="s">
        <v>46</v>
      </c>
      <c r="B16" s="42" t="s">
        <v>207</v>
      </c>
      <c r="C16" s="62">
        <v>43281</v>
      </c>
      <c r="D16" s="77" t="s">
        <v>59</v>
      </c>
      <c r="E16" s="41" t="s">
        <v>156</v>
      </c>
      <c r="F16" s="40" t="s">
        <v>113</v>
      </c>
      <c r="G16" s="40">
        <v>1548</v>
      </c>
      <c r="H16" s="41" t="s">
        <v>66</v>
      </c>
      <c r="I16" s="155">
        <v>432</v>
      </c>
      <c r="J16" s="155" t="s">
        <v>77</v>
      </c>
      <c r="K16" s="155"/>
      <c r="L16" s="97" t="s">
        <v>158</v>
      </c>
      <c r="M16" s="95"/>
      <c r="N16" s="95"/>
      <c r="O16" s="17" t="s">
        <v>261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114</v>
      </c>
      <c r="C17" s="86"/>
      <c r="D17" s="78"/>
      <c r="E17" s="60"/>
      <c r="F17" s="38"/>
      <c r="G17" s="164"/>
      <c r="H17" s="48"/>
      <c r="I17" s="164">
        <v>432</v>
      </c>
      <c r="J17" s="164" t="s">
        <v>82</v>
      </c>
      <c r="K17" s="164"/>
      <c r="L17" s="119"/>
      <c r="M17" s="49"/>
      <c r="N17" s="15"/>
      <c r="O17" s="20" t="s">
        <v>262</v>
      </c>
      <c r="P17" s="21">
        <v>2</v>
      </c>
      <c r="Q17" s="22" t="s">
        <v>20</v>
      </c>
    </row>
    <row r="18" spans="1:17" ht="23.25" customHeight="1" x14ac:dyDescent="0.25">
      <c r="A18" s="288"/>
      <c r="B18" s="43"/>
      <c r="C18" s="58"/>
      <c r="D18" s="78"/>
      <c r="E18" s="60"/>
      <c r="F18" s="38"/>
      <c r="G18" s="38"/>
      <c r="H18" s="60"/>
      <c r="I18" s="38">
        <v>216</v>
      </c>
      <c r="J18" s="38" t="s">
        <v>201</v>
      </c>
      <c r="K18" s="38"/>
      <c r="L18" s="99"/>
      <c r="M18" s="49"/>
      <c r="N18" s="15"/>
      <c r="O18" s="20" t="s">
        <v>263</v>
      </c>
      <c r="P18" s="21">
        <v>3</v>
      </c>
      <c r="Q18" s="22" t="s">
        <v>21</v>
      </c>
    </row>
    <row r="19" spans="1:17" ht="23.25" customHeight="1" x14ac:dyDescent="0.25">
      <c r="A19" s="288"/>
      <c r="B19" s="43"/>
      <c r="C19" s="86"/>
      <c r="D19" s="78"/>
      <c r="E19" s="60"/>
      <c r="F19" s="38"/>
      <c r="G19" s="38"/>
      <c r="H19" s="60"/>
      <c r="I19" s="164">
        <v>216</v>
      </c>
      <c r="J19" s="164" t="s">
        <v>99</v>
      </c>
      <c r="K19" s="164"/>
      <c r="L19" s="119"/>
      <c r="M19" s="49"/>
      <c r="N19" s="49"/>
      <c r="O19" s="20" t="s">
        <v>264</v>
      </c>
      <c r="P19" s="21">
        <v>4</v>
      </c>
      <c r="Q19" s="22" t="s">
        <v>21</v>
      </c>
    </row>
    <row r="20" spans="1:17" ht="23.25" customHeight="1" x14ac:dyDescent="0.25">
      <c r="A20" s="288"/>
      <c r="B20" s="43"/>
      <c r="C20" s="86"/>
      <c r="D20" s="78"/>
      <c r="E20" s="60"/>
      <c r="F20" s="38"/>
      <c r="G20" s="38"/>
      <c r="H20" s="60"/>
      <c r="I20" s="164"/>
      <c r="J20" s="164"/>
      <c r="K20" s="164"/>
      <c r="L20" s="99"/>
      <c r="M20" s="49"/>
      <c r="N20" s="5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70"/>
      <c r="H21" s="170"/>
      <c r="I21" s="170">
        <f>SUM(I16:I20)</f>
        <v>1296</v>
      </c>
      <c r="J21" s="170"/>
      <c r="K21" s="170"/>
      <c r="L21" s="80"/>
      <c r="M21" s="170"/>
      <c r="N21" s="170"/>
      <c r="O21" s="114"/>
      <c r="P21" s="170"/>
      <c r="Q21" s="171"/>
    </row>
    <row r="22" spans="1:17" ht="23.25" customHeight="1" x14ac:dyDescent="0.25">
      <c r="A22" s="310" t="s">
        <v>47</v>
      </c>
      <c r="B22" s="42" t="s">
        <v>208</v>
      </c>
      <c r="C22" s="62">
        <v>43274</v>
      </c>
      <c r="D22" s="77" t="s">
        <v>93</v>
      </c>
      <c r="E22" s="41" t="s">
        <v>69</v>
      </c>
      <c r="F22" s="108" t="s">
        <v>109</v>
      </c>
      <c r="G22" s="40">
        <v>900</v>
      </c>
      <c r="H22" s="41" t="s">
        <v>66</v>
      </c>
      <c r="I22" s="40">
        <v>360</v>
      </c>
      <c r="J22" s="40" t="s">
        <v>82</v>
      </c>
      <c r="K22" s="40"/>
      <c r="L22" s="97" t="s">
        <v>210</v>
      </c>
      <c r="M22" s="16"/>
      <c r="N22" s="95"/>
      <c r="O22" s="17" t="s">
        <v>261</v>
      </c>
      <c r="P22" s="18">
        <v>1</v>
      </c>
      <c r="Q22" s="19" t="s">
        <v>19</v>
      </c>
    </row>
    <row r="23" spans="1:17" ht="23.25" customHeight="1" x14ac:dyDescent="0.25">
      <c r="A23" s="311"/>
      <c r="B23" s="43" t="s">
        <v>209</v>
      </c>
      <c r="C23" s="58"/>
      <c r="D23" s="78"/>
      <c r="E23" s="60"/>
      <c r="F23" s="118"/>
      <c r="G23" s="38"/>
      <c r="H23" s="60"/>
      <c r="I23" s="38">
        <f>900-180*4</f>
        <v>180</v>
      </c>
      <c r="J23" s="38" t="s">
        <v>259</v>
      </c>
      <c r="K23" s="38"/>
      <c r="L23" s="99"/>
      <c r="M23" s="87"/>
      <c r="N23" s="87"/>
      <c r="O23" s="20" t="s">
        <v>262</v>
      </c>
      <c r="P23" s="21">
        <v>2</v>
      </c>
      <c r="Q23" s="22" t="s">
        <v>20</v>
      </c>
    </row>
    <row r="24" spans="1:17" ht="23.25" customHeight="1" x14ac:dyDescent="0.25">
      <c r="A24" s="311"/>
      <c r="B24" s="43" t="s">
        <v>297</v>
      </c>
      <c r="C24" s="58">
        <v>43281</v>
      </c>
      <c r="D24" s="78" t="s">
        <v>59</v>
      </c>
      <c r="E24" s="60" t="s">
        <v>69</v>
      </c>
      <c r="F24" s="118" t="s">
        <v>109</v>
      </c>
      <c r="G24" s="38">
        <v>120</v>
      </c>
      <c r="H24" s="60" t="s">
        <v>66</v>
      </c>
      <c r="I24" s="38">
        <v>120</v>
      </c>
      <c r="J24" s="38" t="s">
        <v>84</v>
      </c>
      <c r="K24" s="38"/>
      <c r="L24" s="99" t="s">
        <v>299</v>
      </c>
      <c r="M24" s="15"/>
      <c r="N24" s="15"/>
      <c r="O24" s="20" t="s">
        <v>263</v>
      </c>
      <c r="P24" s="21">
        <v>3</v>
      </c>
      <c r="Q24" s="22" t="s">
        <v>21</v>
      </c>
    </row>
    <row r="25" spans="1:17" ht="23.25" customHeight="1" x14ac:dyDescent="0.25">
      <c r="A25" s="311"/>
      <c r="B25" s="43" t="s">
        <v>298</v>
      </c>
      <c r="C25" s="58">
        <v>43281</v>
      </c>
      <c r="D25" s="78" t="s">
        <v>59</v>
      </c>
      <c r="E25" s="60" t="s">
        <v>69</v>
      </c>
      <c r="F25" s="118" t="s">
        <v>109</v>
      </c>
      <c r="G25" s="38">
        <v>492</v>
      </c>
      <c r="H25" s="60" t="s">
        <v>66</v>
      </c>
      <c r="I25" s="38">
        <v>492</v>
      </c>
      <c r="J25" s="38" t="s">
        <v>77</v>
      </c>
      <c r="K25" s="38"/>
      <c r="L25" s="99" t="s">
        <v>299</v>
      </c>
      <c r="M25" s="15"/>
      <c r="N25" s="15"/>
      <c r="O25" s="20" t="s">
        <v>264</v>
      </c>
      <c r="P25" s="21">
        <v>4</v>
      </c>
      <c r="Q25" s="22" t="s">
        <v>21</v>
      </c>
    </row>
    <row r="26" spans="1:17" ht="23.25" customHeight="1" x14ac:dyDescent="0.25">
      <c r="A26" s="311"/>
      <c r="B26" s="45"/>
      <c r="C26" s="86"/>
      <c r="D26" s="82"/>
      <c r="E26" s="79"/>
      <c r="F26" s="101"/>
      <c r="G26" s="164"/>
      <c r="H26" s="48"/>
      <c r="I26" s="38"/>
      <c r="J26" s="38"/>
      <c r="K26" s="38"/>
      <c r="L26" s="99"/>
      <c r="M26" s="15"/>
      <c r="N26" s="49"/>
      <c r="O26" s="20"/>
      <c r="P26" s="21"/>
      <c r="Q26" s="22"/>
    </row>
    <row r="27" spans="1:17" ht="23.25" customHeight="1" thickBot="1" x14ac:dyDescent="0.3">
      <c r="A27" s="312"/>
      <c r="B27" s="93" t="s">
        <v>64</v>
      </c>
      <c r="C27" s="290" t="s">
        <v>65</v>
      </c>
      <c r="D27" s="291"/>
      <c r="E27" s="291"/>
      <c r="F27" s="292"/>
      <c r="G27" s="170"/>
      <c r="H27" s="170"/>
      <c r="I27" s="171">
        <f>SUM(I22:I26)</f>
        <v>1152</v>
      </c>
      <c r="J27" s="171"/>
      <c r="K27" s="171"/>
      <c r="L27" s="162"/>
      <c r="M27" s="171"/>
      <c r="N27" s="171"/>
      <c r="O27" s="171"/>
      <c r="P27" s="171"/>
      <c r="Q27" s="171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5448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72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7">
    <mergeCell ref="F30:Q30"/>
    <mergeCell ref="B31:Q31"/>
    <mergeCell ref="F32:O32"/>
    <mergeCell ref="P32:Q32"/>
    <mergeCell ref="B33:O33"/>
    <mergeCell ref="C12:D12"/>
    <mergeCell ref="A10:A15"/>
    <mergeCell ref="A16:A21"/>
    <mergeCell ref="C21:F21"/>
    <mergeCell ref="A22:A27"/>
    <mergeCell ref="C27:F27"/>
    <mergeCell ref="A4:A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4" zoomScale="115" zoomScaleNormal="115" workbookViewId="0">
      <selection activeCell="B4" sqref="B4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185" t="s">
        <v>129</v>
      </c>
      <c r="C4" s="121">
        <v>43270</v>
      </c>
      <c r="D4" s="138" t="s">
        <v>118</v>
      </c>
      <c r="E4" s="77" t="s">
        <v>130</v>
      </c>
      <c r="F4" s="40" t="s">
        <v>87</v>
      </c>
      <c r="G4" s="40">
        <v>16776</v>
      </c>
      <c r="H4" s="41" t="s">
        <v>120</v>
      </c>
      <c r="I4" s="155">
        <v>456</v>
      </c>
      <c r="J4" s="40" t="s">
        <v>302</v>
      </c>
      <c r="K4" s="155"/>
      <c r="L4" s="54" t="s">
        <v>72</v>
      </c>
      <c r="M4" s="16"/>
      <c r="N4" s="16"/>
      <c r="O4" s="17" t="s">
        <v>261</v>
      </c>
      <c r="P4" s="18">
        <v>1</v>
      </c>
      <c r="Q4" s="19" t="s">
        <v>19</v>
      </c>
    </row>
    <row r="5" spans="1:17" ht="23.25" customHeight="1" x14ac:dyDescent="0.25">
      <c r="A5" s="288"/>
      <c r="B5" s="45" t="s">
        <v>128</v>
      </c>
      <c r="C5" s="112"/>
      <c r="D5" s="135"/>
      <c r="E5" s="82"/>
      <c r="F5" s="88" t="s">
        <v>119</v>
      </c>
      <c r="G5" s="39"/>
      <c r="H5" s="60"/>
      <c r="I5" s="164">
        <v>132</v>
      </c>
      <c r="J5" s="164" t="s">
        <v>303</v>
      </c>
      <c r="K5" s="164"/>
      <c r="L5" s="57"/>
      <c r="M5" s="98"/>
      <c r="N5" s="63"/>
      <c r="O5" s="20" t="s">
        <v>262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304</v>
      </c>
      <c r="C6" s="58">
        <v>43258</v>
      </c>
      <c r="D6" s="78" t="s">
        <v>121</v>
      </c>
      <c r="E6" s="125" t="s">
        <v>56</v>
      </c>
      <c r="F6" s="143" t="s">
        <v>305</v>
      </c>
      <c r="G6" s="164">
        <v>2364</v>
      </c>
      <c r="H6" s="48" t="s">
        <v>70</v>
      </c>
      <c r="I6" s="164">
        <v>456</v>
      </c>
      <c r="J6" s="164" t="s">
        <v>307</v>
      </c>
      <c r="K6" s="164"/>
      <c r="L6" s="57" t="s">
        <v>309</v>
      </c>
      <c r="M6" s="98"/>
      <c r="N6" s="63"/>
      <c r="O6" s="20"/>
      <c r="P6" s="21"/>
      <c r="Q6" s="22"/>
    </row>
    <row r="7" spans="1:17" ht="23.25" customHeight="1" x14ac:dyDescent="0.25">
      <c r="A7" s="288"/>
      <c r="B7" s="126" t="s">
        <v>306</v>
      </c>
      <c r="C7" s="58"/>
      <c r="D7" s="78"/>
      <c r="E7" s="125"/>
      <c r="F7" s="143"/>
      <c r="G7" s="38"/>
      <c r="H7" s="60"/>
      <c r="I7" s="84">
        <v>456</v>
      </c>
      <c r="J7" s="164" t="s">
        <v>308</v>
      </c>
      <c r="K7" s="164"/>
      <c r="L7" s="57"/>
      <c r="M7" s="63"/>
      <c r="N7" s="63"/>
      <c r="O7" s="20" t="s">
        <v>263</v>
      </c>
      <c r="P7" s="21">
        <v>3</v>
      </c>
      <c r="Q7" s="22" t="s">
        <v>21</v>
      </c>
    </row>
    <row r="8" spans="1:17" ht="23.25" customHeight="1" x14ac:dyDescent="0.25">
      <c r="A8" s="288"/>
      <c r="B8" s="45"/>
      <c r="C8" s="112"/>
      <c r="D8" s="135"/>
      <c r="E8" s="82"/>
      <c r="F8" s="103" t="s">
        <v>112</v>
      </c>
      <c r="G8" s="39"/>
      <c r="H8" s="60"/>
      <c r="I8" s="164">
        <v>228</v>
      </c>
      <c r="J8" s="164" t="s">
        <v>356</v>
      </c>
      <c r="K8" s="164"/>
      <c r="L8" s="57"/>
      <c r="M8" s="49"/>
      <c r="N8" s="49"/>
      <c r="O8" s="20" t="s">
        <v>264</v>
      </c>
      <c r="P8" s="21">
        <v>4</v>
      </c>
      <c r="Q8" s="22" t="s">
        <v>21</v>
      </c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170"/>
      <c r="H9" s="170"/>
      <c r="I9" s="170">
        <f>SUM(I4:I8)</f>
        <v>1728</v>
      </c>
      <c r="J9" s="170"/>
      <c r="K9" s="170"/>
      <c r="L9" s="173"/>
      <c r="M9" s="170"/>
      <c r="N9" s="170"/>
      <c r="O9" s="170"/>
      <c r="P9" s="171"/>
      <c r="Q9" s="171"/>
    </row>
    <row r="10" spans="1:17" ht="23.25" customHeight="1" x14ac:dyDescent="0.25">
      <c r="A10" s="287" t="s">
        <v>49</v>
      </c>
      <c r="B10" s="92" t="s">
        <v>133</v>
      </c>
      <c r="C10" s="121">
        <v>43268</v>
      </c>
      <c r="D10" s="138" t="s">
        <v>121</v>
      </c>
      <c r="E10" s="77" t="s">
        <v>56</v>
      </c>
      <c r="F10" s="40" t="s">
        <v>134</v>
      </c>
      <c r="G10" s="40">
        <v>9942</v>
      </c>
      <c r="H10" s="41" t="s">
        <v>70</v>
      </c>
      <c r="I10" s="155">
        <v>456</v>
      </c>
      <c r="J10" s="155" t="s">
        <v>310</v>
      </c>
      <c r="K10" s="155"/>
      <c r="L10" s="54" t="s">
        <v>67</v>
      </c>
      <c r="M10" s="16"/>
      <c r="N10" s="16"/>
      <c r="O10" s="17" t="s">
        <v>261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135</v>
      </c>
      <c r="C11" s="112"/>
      <c r="D11" s="135"/>
      <c r="E11" s="82"/>
      <c r="F11" s="103" t="s">
        <v>112</v>
      </c>
      <c r="G11" s="39"/>
      <c r="H11" s="60"/>
      <c r="I11" s="164">
        <v>456</v>
      </c>
      <c r="J11" s="164" t="s">
        <v>311</v>
      </c>
      <c r="K11" s="164"/>
      <c r="L11" s="88"/>
      <c r="M11" s="63"/>
      <c r="N11" s="63"/>
      <c r="O11" s="20" t="s">
        <v>262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88"/>
      <c r="G12" s="39"/>
      <c r="H12" s="60"/>
      <c r="I12" s="164">
        <v>228</v>
      </c>
      <c r="J12" s="164" t="s">
        <v>362</v>
      </c>
      <c r="K12" s="164"/>
      <c r="L12" s="88"/>
      <c r="M12" s="63"/>
      <c r="N12" s="63"/>
      <c r="O12" s="20" t="s">
        <v>263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228</v>
      </c>
      <c r="J13" s="164" t="s">
        <v>363</v>
      </c>
      <c r="K13" s="164"/>
      <c r="L13" s="88"/>
      <c r="M13" s="15"/>
      <c r="N13" s="15"/>
      <c r="O13" s="20" t="s">
        <v>264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1368</v>
      </c>
      <c r="J15" s="115"/>
      <c r="K15" s="115"/>
      <c r="L15" s="96"/>
      <c r="M15" s="114"/>
      <c r="N15" s="114"/>
      <c r="O15" s="114"/>
      <c r="P15" s="171"/>
      <c r="Q15" s="171"/>
    </row>
    <row r="16" spans="1:17" ht="23.25" customHeight="1" x14ac:dyDescent="0.25">
      <c r="A16" s="287" t="s">
        <v>50</v>
      </c>
      <c r="B16" s="142" t="s">
        <v>144</v>
      </c>
      <c r="C16" s="121">
        <v>43268</v>
      </c>
      <c r="D16" s="138" t="s">
        <v>121</v>
      </c>
      <c r="E16" s="77" t="s">
        <v>56</v>
      </c>
      <c r="F16" s="40" t="s">
        <v>134</v>
      </c>
      <c r="G16" s="40">
        <v>6156</v>
      </c>
      <c r="H16" s="41" t="s">
        <v>70</v>
      </c>
      <c r="I16" s="164">
        <v>456</v>
      </c>
      <c r="J16" s="164" t="s">
        <v>312</v>
      </c>
      <c r="K16" s="164"/>
      <c r="L16" s="57" t="s">
        <v>67</v>
      </c>
      <c r="M16" s="16"/>
      <c r="N16" s="16"/>
      <c r="O16" s="17" t="s">
        <v>261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145</v>
      </c>
      <c r="C17" s="46"/>
      <c r="D17" s="47"/>
      <c r="E17" s="48"/>
      <c r="F17" s="88"/>
      <c r="G17" s="39"/>
      <c r="H17" s="79"/>
      <c r="I17" s="164">
        <v>456</v>
      </c>
      <c r="J17" s="164" t="s">
        <v>313</v>
      </c>
      <c r="K17" s="164"/>
      <c r="L17" s="57"/>
      <c r="M17" s="15"/>
      <c r="N17" s="15"/>
      <c r="O17" s="20" t="s">
        <v>262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 t="s">
        <v>112</v>
      </c>
      <c r="G18" s="39"/>
      <c r="H18" s="79"/>
      <c r="I18" s="164">
        <v>228</v>
      </c>
      <c r="J18" s="164" t="s">
        <v>364</v>
      </c>
      <c r="K18" s="164"/>
      <c r="L18" s="57"/>
      <c r="M18" s="15"/>
      <c r="N18" s="15"/>
      <c r="O18" s="20" t="s">
        <v>263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228</v>
      </c>
      <c r="J19" s="164" t="s">
        <v>351</v>
      </c>
      <c r="K19" s="164"/>
      <c r="L19" s="57"/>
      <c r="M19" s="49"/>
      <c r="N19" s="49"/>
      <c r="O19" s="20" t="s">
        <v>264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171">
        <f>SUM(I16:I20)</f>
        <v>1368</v>
      </c>
      <c r="J21" s="171"/>
      <c r="K21" s="171"/>
      <c r="L21" s="162"/>
      <c r="M21" s="171"/>
      <c r="N21" s="171"/>
      <c r="O21" s="171"/>
      <c r="P21" s="171"/>
      <c r="Q21" s="171"/>
    </row>
    <row r="22" spans="1:17" ht="23.25" customHeight="1" x14ac:dyDescent="0.25">
      <c r="A22" s="287" t="s">
        <v>52</v>
      </c>
      <c r="B22" s="42" t="s">
        <v>140</v>
      </c>
      <c r="C22" s="116">
        <v>43268</v>
      </c>
      <c r="D22" s="52" t="s">
        <v>121</v>
      </c>
      <c r="E22" s="81" t="s">
        <v>56</v>
      </c>
      <c r="F22" s="40" t="s">
        <v>107</v>
      </c>
      <c r="G22" s="40">
        <v>6336</v>
      </c>
      <c r="H22" s="81" t="s">
        <v>53</v>
      </c>
      <c r="I22" s="164">
        <v>456</v>
      </c>
      <c r="J22" s="164" t="s">
        <v>317</v>
      </c>
      <c r="K22" s="164"/>
      <c r="L22" s="57" t="s">
        <v>72</v>
      </c>
      <c r="M22" s="15"/>
      <c r="N22" s="16"/>
      <c r="O22" s="17" t="s">
        <v>261</v>
      </c>
      <c r="P22" s="18">
        <v>1</v>
      </c>
      <c r="Q22" s="19" t="s">
        <v>19</v>
      </c>
    </row>
    <row r="23" spans="1:17" ht="23.25" customHeight="1" x14ac:dyDescent="0.25">
      <c r="A23" s="288"/>
      <c r="B23" s="45" t="s">
        <v>141</v>
      </c>
      <c r="C23" s="46"/>
      <c r="D23" s="47"/>
      <c r="E23" s="48"/>
      <c r="F23" s="103" t="s">
        <v>112</v>
      </c>
      <c r="G23" s="39"/>
      <c r="H23" s="79"/>
      <c r="I23" s="164">
        <f>6336-228*27</f>
        <v>180</v>
      </c>
      <c r="J23" s="164" t="s">
        <v>318</v>
      </c>
      <c r="K23" s="164"/>
      <c r="L23" s="57"/>
      <c r="M23" s="49"/>
      <c r="N23" s="15"/>
      <c r="O23" s="20" t="s">
        <v>262</v>
      </c>
      <c r="P23" s="21">
        <v>2</v>
      </c>
      <c r="Q23" s="22" t="s">
        <v>20</v>
      </c>
    </row>
    <row r="24" spans="1:17" ht="23.25" customHeight="1" x14ac:dyDescent="0.25">
      <c r="A24" s="288"/>
      <c r="B24" s="323" t="s">
        <v>322</v>
      </c>
      <c r="C24" s="46">
        <v>43277</v>
      </c>
      <c r="D24" s="47" t="s">
        <v>93</v>
      </c>
      <c r="E24" s="48" t="s">
        <v>56</v>
      </c>
      <c r="F24" s="159" t="s">
        <v>319</v>
      </c>
      <c r="G24" s="39">
        <v>25980</v>
      </c>
      <c r="H24" s="79" t="s">
        <v>70</v>
      </c>
      <c r="I24" s="164">
        <v>456</v>
      </c>
      <c r="J24" s="57" t="s">
        <v>323</v>
      </c>
      <c r="K24" s="164"/>
      <c r="L24" s="57" t="s">
        <v>324</v>
      </c>
      <c r="M24" s="49"/>
      <c r="N24" s="15"/>
      <c r="O24" s="20" t="s">
        <v>263</v>
      </c>
      <c r="P24" s="21">
        <v>3</v>
      </c>
      <c r="Q24" s="22" t="s">
        <v>21</v>
      </c>
    </row>
    <row r="25" spans="1:17" ht="23.25" customHeight="1" x14ac:dyDescent="0.25">
      <c r="A25" s="288"/>
      <c r="B25" s="324"/>
      <c r="C25" s="320" t="s">
        <v>320</v>
      </c>
      <c r="D25" s="321"/>
      <c r="E25" s="322"/>
      <c r="F25" s="103"/>
      <c r="G25" s="39"/>
      <c r="H25" s="48"/>
      <c r="I25" s="164">
        <v>456</v>
      </c>
      <c r="J25" s="57" t="s">
        <v>365</v>
      </c>
      <c r="K25" s="164"/>
      <c r="L25" s="57"/>
      <c r="M25" s="49"/>
      <c r="N25" s="49"/>
      <c r="O25" s="20" t="s">
        <v>264</v>
      </c>
      <c r="P25" s="21">
        <v>4</v>
      </c>
      <c r="Q25" s="22" t="s">
        <v>21</v>
      </c>
    </row>
    <row r="26" spans="1:17" ht="23.25" customHeight="1" x14ac:dyDescent="0.25">
      <c r="A26" s="288"/>
      <c r="B26" s="45" t="s">
        <v>321</v>
      </c>
      <c r="C26" s="46"/>
      <c r="D26" s="47"/>
      <c r="E26" s="82"/>
      <c r="F26" s="88" t="s">
        <v>119</v>
      </c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1548</v>
      </c>
      <c r="J27" s="114"/>
      <c r="K27" s="114"/>
      <c r="L27" s="80"/>
      <c r="M27" s="114"/>
      <c r="N27" s="114"/>
      <c r="O27" s="114"/>
      <c r="P27" s="171"/>
      <c r="Q27" s="171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6012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72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9">
    <mergeCell ref="F30:Q30"/>
    <mergeCell ref="B31:Q31"/>
    <mergeCell ref="F32:O32"/>
    <mergeCell ref="P32:Q32"/>
    <mergeCell ref="B33:O33"/>
    <mergeCell ref="C25:E25"/>
    <mergeCell ref="B24:B25"/>
    <mergeCell ref="A10:A15"/>
    <mergeCell ref="C15:F15"/>
    <mergeCell ref="A16:A21"/>
    <mergeCell ref="C21:F21"/>
    <mergeCell ref="A22:A27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10" zoomScaleNormal="100" workbookViewId="0">
      <selection activeCell="B18" sqref="B18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43253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30</v>
      </c>
      <c r="B4" s="92" t="s">
        <v>225</v>
      </c>
      <c r="C4" s="104">
        <v>43259</v>
      </c>
      <c r="D4" s="90" t="s">
        <v>59</v>
      </c>
      <c r="E4" s="144" t="s">
        <v>54</v>
      </c>
      <c r="F4" s="40" t="s">
        <v>96</v>
      </c>
      <c r="G4" s="40">
        <v>6648</v>
      </c>
      <c r="H4" s="149" t="s">
        <v>90</v>
      </c>
      <c r="I4" s="150">
        <v>432</v>
      </c>
      <c r="J4" s="40" t="s">
        <v>272</v>
      </c>
      <c r="K4" s="40"/>
      <c r="L4" s="107" t="s">
        <v>79</v>
      </c>
      <c r="M4" s="16"/>
      <c r="N4" s="16"/>
      <c r="O4" s="17" t="s">
        <v>261</v>
      </c>
      <c r="P4" s="18">
        <v>1</v>
      </c>
      <c r="Q4" s="19" t="s">
        <v>19</v>
      </c>
    </row>
    <row r="5" spans="1:17" ht="22.5" customHeight="1" x14ac:dyDescent="0.25">
      <c r="A5" s="288"/>
      <c r="B5" s="127" t="s">
        <v>115</v>
      </c>
      <c r="C5" s="313" t="s">
        <v>57</v>
      </c>
      <c r="D5" s="314"/>
      <c r="E5" s="79"/>
      <c r="F5" s="39"/>
      <c r="G5" s="164"/>
      <c r="H5" s="55"/>
      <c r="I5" s="128">
        <v>432</v>
      </c>
      <c r="J5" s="164" t="s">
        <v>325</v>
      </c>
      <c r="K5" s="164"/>
      <c r="L5" s="44"/>
      <c r="M5" s="15"/>
      <c r="N5" s="15"/>
      <c r="O5" s="20" t="s">
        <v>262</v>
      </c>
      <c r="P5" s="21">
        <v>2</v>
      </c>
      <c r="Q5" s="22" t="s">
        <v>20</v>
      </c>
    </row>
    <row r="6" spans="1:17" ht="22.5" customHeight="1" x14ac:dyDescent="0.25">
      <c r="A6" s="288"/>
      <c r="B6" s="127"/>
      <c r="C6" s="112"/>
      <c r="D6" s="110"/>
      <c r="E6" s="79"/>
      <c r="F6" s="39"/>
      <c r="G6" s="164"/>
      <c r="H6" s="55">
        <f>6648-216*13</f>
        <v>3840</v>
      </c>
      <c r="I6" s="128">
        <v>216</v>
      </c>
      <c r="J6" s="164" t="s">
        <v>358</v>
      </c>
      <c r="K6" s="164"/>
      <c r="L6" s="44"/>
      <c r="M6" s="15"/>
      <c r="N6" s="15"/>
      <c r="O6" s="20" t="s">
        <v>263</v>
      </c>
      <c r="P6" s="21">
        <v>3</v>
      </c>
      <c r="Q6" s="22" t="s">
        <v>21</v>
      </c>
    </row>
    <row r="7" spans="1:17" ht="22.5" customHeight="1" x14ac:dyDescent="0.25">
      <c r="A7" s="288"/>
      <c r="B7" s="127"/>
      <c r="C7" s="112"/>
      <c r="D7" s="110"/>
      <c r="E7" s="79"/>
      <c r="F7" s="39"/>
      <c r="G7" s="164"/>
      <c r="H7" s="55"/>
      <c r="I7" s="128">
        <v>216</v>
      </c>
      <c r="J7" s="164" t="s">
        <v>359</v>
      </c>
      <c r="K7" s="164"/>
      <c r="L7" s="44"/>
      <c r="M7" s="15"/>
      <c r="N7" s="15"/>
      <c r="O7" s="20" t="s">
        <v>264</v>
      </c>
      <c r="P7" s="21">
        <v>4</v>
      </c>
      <c r="Q7" s="22" t="s">
        <v>21</v>
      </c>
    </row>
    <row r="8" spans="1:17" ht="22.5" customHeight="1" x14ac:dyDescent="0.25">
      <c r="A8" s="288"/>
      <c r="B8" s="85"/>
      <c r="C8" s="112"/>
      <c r="D8" s="110"/>
      <c r="E8" s="79"/>
      <c r="F8" s="39"/>
      <c r="G8" s="164"/>
      <c r="H8" s="55"/>
      <c r="I8" s="84"/>
      <c r="J8" s="164"/>
      <c r="K8" s="164"/>
      <c r="L8" s="57"/>
      <c r="M8" s="49"/>
      <c r="N8" s="49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70"/>
      <c r="H9" s="170"/>
      <c r="I9" s="170">
        <f>SUM(I4:I7)</f>
        <v>1296</v>
      </c>
      <c r="J9" s="170"/>
      <c r="K9" s="170"/>
      <c r="L9" s="173"/>
      <c r="M9" s="170"/>
      <c r="N9" s="170"/>
      <c r="O9" s="170"/>
      <c r="P9" s="171"/>
      <c r="Q9" s="147"/>
    </row>
    <row r="10" spans="1:17" ht="22.5" customHeight="1" x14ac:dyDescent="0.25">
      <c r="A10" s="288" t="s">
        <v>31</v>
      </c>
      <c r="B10" s="42" t="s">
        <v>160</v>
      </c>
      <c r="C10" s="104">
        <v>43259</v>
      </c>
      <c r="D10" s="90" t="s">
        <v>55</v>
      </c>
      <c r="E10" s="144" t="s">
        <v>54</v>
      </c>
      <c r="F10" s="40" t="s">
        <v>101</v>
      </c>
      <c r="G10" s="40">
        <v>3324</v>
      </c>
      <c r="H10" s="149" t="s">
        <v>100</v>
      </c>
      <c r="I10" s="155">
        <v>432</v>
      </c>
      <c r="J10" s="155" t="s">
        <v>326</v>
      </c>
      <c r="K10" s="155"/>
      <c r="L10" s="53" t="s">
        <v>79</v>
      </c>
      <c r="M10" s="16"/>
      <c r="N10" s="16"/>
      <c r="O10" s="17" t="s">
        <v>261</v>
      </c>
      <c r="P10" s="18">
        <v>1</v>
      </c>
      <c r="Q10" s="19" t="s">
        <v>19</v>
      </c>
    </row>
    <row r="11" spans="1:17" ht="22.5" customHeight="1" x14ac:dyDescent="0.25">
      <c r="A11" s="288"/>
      <c r="B11" s="45" t="s">
        <v>161</v>
      </c>
      <c r="C11" s="313" t="s">
        <v>57</v>
      </c>
      <c r="D11" s="314"/>
      <c r="E11" s="129"/>
      <c r="F11" s="39"/>
      <c r="G11" s="39"/>
      <c r="H11" s="130"/>
      <c r="I11" s="164">
        <v>432</v>
      </c>
      <c r="J11" s="164" t="s">
        <v>284</v>
      </c>
      <c r="K11" s="164"/>
      <c r="L11" s="57"/>
      <c r="M11" s="15"/>
      <c r="N11" s="15"/>
      <c r="O11" s="20" t="s">
        <v>262</v>
      </c>
      <c r="P11" s="21">
        <v>2</v>
      </c>
      <c r="Q11" s="22" t="s">
        <v>20</v>
      </c>
    </row>
    <row r="12" spans="1:17" ht="22.5" customHeight="1" x14ac:dyDescent="0.25">
      <c r="A12" s="288"/>
      <c r="B12" s="45"/>
      <c r="C12" s="133"/>
      <c r="D12" s="134"/>
      <c r="E12" s="129"/>
      <c r="F12" s="39"/>
      <c r="G12" s="39"/>
      <c r="H12" s="146"/>
      <c r="I12" s="164">
        <f>432+84</f>
        <v>516</v>
      </c>
      <c r="J12" s="164" t="s">
        <v>450</v>
      </c>
      <c r="K12" s="164"/>
      <c r="L12" s="57"/>
      <c r="M12" s="15"/>
      <c r="N12" s="15"/>
      <c r="O12" s="20" t="s">
        <v>263</v>
      </c>
      <c r="P12" s="21">
        <v>3</v>
      </c>
      <c r="Q12" s="22" t="s">
        <v>21</v>
      </c>
    </row>
    <row r="13" spans="1:17" ht="22.5" customHeight="1" x14ac:dyDescent="0.25">
      <c r="A13" s="288"/>
      <c r="B13" s="45" t="s">
        <v>327</v>
      </c>
      <c r="C13" s="133">
        <v>43266</v>
      </c>
      <c r="D13" s="134" t="s">
        <v>59</v>
      </c>
      <c r="E13" s="129" t="s">
        <v>54</v>
      </c>
      <c r="F13" s="39" t="s">
        <v>328</v>
      </c>
      <c r="G13" s="39">
        <v>192</v>
      </c>
      <c r="H13" s="130" t="s">
        <v>329</v>
      </c>
      <c r="I13" s="164">
        <v>192</v>
      </c>
      <c r="J13" s="164" t="s">
        <v>451</v>
      </c>
      <c r="K13" s="164"/>
      <c r="L13" s="57" t="s">
        <v>452</v>
      </c>
      <c r="M13" s="49"/>
      <c r="N13" s="49"/>
      <c r="O13" s="20"/>
      <c r="P13" s="21"/>
      <c r="Q13" s="22"/>
    </row>
    <row r="14" spans="1:17" ht="22.5" customHeight="1" x14ac:dyDescent="0.25">
      <c r="A14" s="288"/>
      <c r="B14" s="45" t="s">
        <v>430</v>
      </c>
      <c r="C14" s="133">
        <v>43281</v>
      </c>
      <c r="D14" s="134" t="s">
        <v>59</v>
      </c>
      <c r="E14" s="129" t="s">
        <v>54</v>
      </c>
      <c r="F14" s="39" t="s">
        <v>328</v>
      </c>
      <c r="G14" s="39">
        <v>156</v>
      </c>
      <c r="H14" s="146" t="s">
        <v>329</v>
      </c>
      <c r="I14" s="164">
        <v>156</v>
      </c>
      <c r="J14" s="164" t="s">
        <v>451</v>
      </c>
      <c r="K14" s="164"/>
      <c r="L14" s="57" t="s">
        <v>453</v>
      </c>
      <c r="M14" s="49"/>
      <c r="N14" s="49"/>
      <c r="O14" s="20" t="s">
        <v>264</v>
      </c>
      <c r="P14" s="21">
        <v>4</v>
      </c>
      <c r="Q14" s="22" t="s">
        <v>21</v>
      </c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70"/>
      <c r="H15" s="170"/>
      <c r="I15" s="170">
        <f>SUM(I10:I14)</f>
        <v>1728</v>
      </c>
      <c r="J15" s="170"/>
      <c r="K15" s="170"/>
      <c r="L15" s="173"/>
      <c r="M15" s="170"/>
      <c r="N15" s="170"/>
      <c r="O15" s="170"/>
      <c r="P15" s="170"/>
      <c r="Q15" s="151"/>
    </row>
    <row r="16" spans="1:17" ht="22.5" customHeight="1" x14ac:dyDescent="0.25">
      <c r="A16" s="287" t="s">
        <v>32</v>
      </c>
      <c r="B16" s="42"/>
      <c r="C16" s="104"/>
      <c r="D16" s="90"/>
      <c r="E16" s="144"/>
      <c r="F16" s="40"/>
      <c r="G16" s="40"/>
      <c r="H16" s="149"/>
      <c r="I16" s="155"/>
      <c r="J16" s="155"/>
      <c r="K16" s="155"/>
      <c r="L16" s="53"/>
      <c r="M16" s="16"/>
      <c r="N16" s="16"/>
      <c r="O16" s="17" t="s">
        <v>261</v>
      </c>
      <c r="P16" s="18">
        <v>1</v>
      </c>
      <c r="Q16" s="19" t="s">
        <v>19</v>
      </c>
    </row>
    <row r="17" spans="1:17" ht="22.5" customHeight="1" x14ac:dyDescent="0.25">
      <c r="A17" s="288"/>
      <c r="B17" s="45"/>
      <c r="C17" s="133"/>
      <c r="D17" s="134"/>
      <c r="E17" s="129"/>
      <c r="F17" s="39"/>
      <c r="G17" s="39"/>
      <c r="H17" s="130"/>
      <c r="I17" s="164"/>
      <c r="J17" s="164"/>
      <c r="K17" s="164"/>
      <c r="L17" s="57"/>
      <c r="M17" s="15"/>
      <c r="N17" s="15"/>
      <c r="O17" s="20" t="s">
        <v>262</v>
      </c>
      <c r="P17" s="21">
        <v>2</v>
      </c>
      <c r="Q17" s="22" t="s">
        <v>20</v>
      </c>
    </row>
    <row r="18" spans="1:17" ht="22.5" customHeight="1" x14ac:dyDescent="0.25">
      <c r="A18" s="288"/>
      <c r="B18" s="127" t="s">
        <v>239</v>
      </c>
      <c r="C18" s="133">
        <v>43267</v>
      </c>
      <c r="D18" s="134" t="s">
        <v>55</v>
      </c>
      <c r="E18" s="129" t="s">
        <v>54</v>
      </c>
      <c r="F18" s="38" t="s">
        <v>240</v>
      </c>
      <c r="G18" s="38">
        <v>792</v>
      </c>
      <c r="H18" s="154" t="s">
        <v>241</v>
      </c>
      <c r="I18" s="164">
        <v>216</v>
      </c>
      <c r="J18" s="164" t="s">
        <v>94</v>
      </c>
      <c r="K18" s="164"/>
      <c r="L18" s="57" t="s">
        <v>330</v>
      </c>
      <c r="M18" s="49"/>
      <c r="N18" s="15"/>
      <c r="O18" s="20" t="s">
        <v>263</v>
      </c>
      <c r="P18" s="21">
        <v>3</v>
      </c>
      <c r="Q18" s="22" t="s">
        <v>21</v>
      </c>
    </row>
    <row r="19" spans="1:17" ht="22.5" customHeight="1" x14ac:dyDescent="0.25">
      <c r="A19" s="288"/>
      <c r="B19" s="45" t="s">
        <v>242</v>
      </c>
      <c r="C19" s="133"/>
      <c r="D19" s="134"/>
      <c r="E19" s="129"/>
      <c r="F19" s="39"/>
      <c r="G19" s="39"/>
      <c r="H19" s="130"/>
      <c r="I19" s="164"/>
      <c r="J19" s="164"/>
      <c r="K19" s="164"/>
      <c r="L19" s="57"/>
      <c r="M19" s="15"/>
      <c r="N19" s="49"/>
      <c r="O19" s="20" t="s">
        <v>264</v>
      </c>
      <c r="P19" s="21">
        <v>4</v>
      </c>
      <c r="Q19" s="22" t="s">
        <v>21</v>
      </c>
    </row>
    <row r="20" spans="1:17" ht="22.5" customHeight="1" x14ac:dyDescent="0.25">
      <c r="A20" s="288"/>
      <c r="B20" s="127"/>
      <c r="C20" s="133"/>
      <c r="D20" s="134"/>
      <c r="E20" s="129"/>
      <c r="F20" s="38"/>
      <c r="G20" s="38"/>
      <c r="H20" s="154"/>
      <c r="I20" s="164"/>
      <c r="J20" s="164"/>
      <c r="K20" s="164"/>
      <c r="L20" s="57"/>
      <c r="M20" s="49"/>
      <c r="N20" s="49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70"/>
      <c r="H21" s="170"/>
      <c r="I21" s="170">
        <f>SUM(I16:I20)</f>
        <v>216</v>
      </c>
      <c r="J21" s="170"/>
      <c r="K21" s="170"/>
      <c r="L21" s="173"/>
      <c r="M21" s="170"/>
      <c r="N21" s="170"/>
      <c r="O21" s="170"/>
      <c r="P21" s="170"/>
      <c r="Q21" s="147"/>
    </row>
    <row r="22" spans="1:17" ht="22.5" customHeight="1" x14ac:dyDescent="0.25">
      <c r="A22" s="287" t="s">
        <v>33</v>
      </c>
      <c r="B22" s="42" t="s">
        <v>162</v>
      </c>
      <c r="C22" s="116">
        <v>43266</v>
      </c>
      <c r="D22" s="52" t="s">
        <v>59</v>
      </c>
      <c r="E22" s="144" t="s">
        <v>69</v>
      </c>
      <c r="F22" s="40" t="s">
        <v>103</v>
      </c>
      <c r="G22" s="40">
        <v>1920</v>
      </c>
      <c r="H22" s="56" t="s">
        <v>104</v>
      </c>
      <c r="I22" s="155">
        <f>1920-216*8</f>
        <v>192</v>
      </c>
      <c r="J22" s="41" t="s">
        <v>243</v>
      </c>
      <c r="K22" s="40"/>
      <c r="L22" s="53" t="s">
        <v>67</v>
      </c>
      <c r="M22" s="16"/>
      <c r="N22" s="16"/>
      <c r="O22" s="17" t="s">
        <v>261</v>
      </c>
      <c r="P22" s="18">
        <v>1</v>
      </c>
      <c r="Q22" s="19" t="s">
        <v>19</v>
      </c>
    </row>
    <row r="23" spans="1:17" ht="22.5" customHeight="1" x14ac:dyDescent="0.25">
      <c r="A23" s="288"/>
      <c r="B23" s="45" t="s">
        <v>244</v>
      </c>
      <c r="C23" s="46">
        <v>43271</v>
      </c>
      <c r="D23" s="47" t="s">
        <v>59</v>
      </c>
      <c r="E23" s="129" t="s">
        <v>69</v>
      </c>
      <c r="F23" s="38" t="s">
        <v>103</v>
      </c>
      <c r="G23" s="164">
        <v>300</v>
      </c>
      <c r="H23" s="55" t="s">
        <v>104</v>
      </c>
      <c r="I23" s="164">
        <v>300</v>
      </c>
      <c r="J23" s="48" t="s">
        <v>84</v>
      </c>
      <c r="K23" s="164"/>
      <c r="L23" s="44" t="s">
        <v>335</v>
      </c>
      <c r="M23" s="15"/>
      <c r="N23" s="63"/>
      <c r="O23" s="20" t="s">
        <v>262</v>
      </c>
      <c r="P23" s="21">
        <v>2</v>
      </c>
      <c r="Q23" s="22" t="s">
        <v>20</v>
      </c>
    </row>
    <row r="24" spans="1:17" ht="22.5" customHeight="1" x14ac:dyDescent="0.25">
      <c r="A24" s="288"/>
      <c r="B24" s="45" t="s">
        <v>334</v>
      </c>
      <c r="C24" s="46">
        <v>43274</v>
      </c>
      <c r="D24" s="47" t="s">
        <v>55</v>
      </c>
      <c r="E24" s="129" t="s">
        <v>69</v>
      </c>
      <c r="F24" s="38" t="s">
        <v>103</v>
      </c>
      <c r="G24" s="164">
        <v>540</v>
      </c>
      <c r="H24" s="55" t="s">
        <v>104</v>
      </c>
      <c r="I24" s="164">
        <v>216</v>
      </c>
      <c r="J24" s="48" t="s">
        <v>84</v>
      </c>
      <c r="K24" s="164"/>
      <c r="L24" s="57" t="s">
        <v>79</v>
      </c>
      <c r="M24" s="15"/>
      <c r="N24" s="15"/>
      <c r="O24" s="20" t="s">
        <v>263</v>
      </c>
      <c r="P24" s="21">
        <v>3</v>
      </c>
      <c r="Q24" s="22" t="s">
        <v>21</v>
      </c>
    </row>
    <row r="25" spans="1:17" ht="22.5" customHeight="1" x14ac:dyDescent="0.25">
      <c r="A25" s="288"/>
      <c r="B25" s="45" t="s">
        <v>336</v>
      </c>
      <c r="C25" s="46"/>
      <c r="D25" s="47"/>
      <c r="E25" s="129"/>
      <c r="F25" s="38"/>
      <c r="G25" s="38"/>
      <c r="H25" s="61"/>
      <c r="I25" s="164">
        <v>216</v>
      </c>
      <c r="J25" s="60" t="s">
        <v>94</v>
      </c>
      <c r="K25" s="38"/>
      <c r="L25" s="44"/>
      <c r="M25" s="15"/>
      <c r="N25" s="15"/>
      <c r="O25" s="20" t="s">
        <v>264</v>
      </c>
      <c r="P25" s="21">
        <v>4</v>
      </c>
      <c r="Q25" s="22" t="s">
        <v>21</v>
      </c>
    </row>
    <row r="26" spans="1:17" ht="22.5" customHeight="1" x14ac:dyDescent="0.25">
      <c r="A26" s="288"/>
      <c r="B26" s="45"/>
      <c r="C26" s="46"/>
      <c r="D26" s="47"/>
      <c r="E26" s="129"/>
      <c r="F26" s="38"/>
      <c r="G26" s="164"/>
      <c r="H26" s="55"/>
      <c r="I26" s="164"/>
      <c r="J26" s="48"/>
      <c r="K26" s="164"/>
      <c r="L26" s="57"/>
      <c r="M26" s="49"/>
      <c r="N26" s="49"/>
      <c r="O26" s="20"/>
      <c r="P26" s="21"/>
      <c r="Q26" s="22"/>
    </row>
    <row r="27" spans="1:17" ht="22.5" customHeight="1" thickBot="1" x14ac:dyDescent="0.3">
      <c r="A27" s="289"/>
      <c r="B27" s="93" t="s">
        <v>64</v>
      </c>
      <c r="C27" s="301" t="s">
        <v>65</v>
      </c>
      <c r="D27" s="302"/>
      <c r="E27" s="302"/>
      <c r="F27" s="303"/>
      <c r="G27" s="171"/>
      <c r="H27" s="171"/>
      <c r="I27" s="171">
        <f>SUM(I22:I26)</f>
        <v>924</v>
      </c>
      <c r="J27" s="171"/>
      <c r="K27" s="171"/>
      <c r="L27" s="162"/>
      <c r="M27" s="171"/>
      <c r="N27" s="171"/>
      <c r="O27" s="171"/>
      <c r="P27" s="171"/>
      <c r="Q27" s="147"/>
    </row>
    <row r="28" spans="1:17" ht="29.25" customHeight="1" thickBot="1" x14ac:dyDescent="0.3">
      <c r="A28" s="73"/>
      <c r="B28" s="64"/>
      <c r="C28" s="65"/>
      <c r="D28" s="66"/>
      <c r="E28" s="67"/>
      <c r="F28" s="68"/>
      <c r="G28" s="67"/>
      <c r="H28" s="67"/>
      <c r="I28" s="69">
        <f>SUM(I27,I21,I15,I9)</f>
        <v>4164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72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297" t="s">
        <v>26</v>
      </c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76" t="s">
        <v>28</v>
      </c>
      <c r="Q32" s="75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  <row r="34" spans="1:17" x14ac:dyDescent="0.25">
      <c r="O34" s="74"/>
    </row>
  </sheetData>
  <mergeCells count="19">
    <mergeCell ref="F30:Q30"/>
    <mergeCell ref="A31:Q31"/>
    <mergeCell ref="F32:O32"/>
    <mergeCell ref="B33:O33"/>
    <mergeCell ref="A10:A15"/>
    <mergeCell ref="C11:D11"/>
    <mergeCell ref="C15:F15"/>
    <mergeCell ref="A16:A21"/>
    <mergeCell ref="C21:F21"/>
    <mergeCell ref="A22:A27"/>
    <mergeCell ref="C27:F27"/>
    <mergeCell ref="A4:A9"/>
    <mergeCell ref="C5:D5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zoomScaleNormal="100" workbookViewId="0">
      <selection activeCell="B10" sqref="B10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266</v>
      </c>
      <c r="C4" s="62">
        <v>43265</v>
      </c>
      <c r="D4" s="77" t="s">
        <v>59</v>
      </c>
      <c r="E4" s="41" t="s">
        <v>54</v>
      </c>
      <c r="F4" s="40" t="s">
        <v>267</v>
      </c>
      <c r="G4" s="40">
        <v>3876</v>
      </c>
      <c r="H4" s="41" t="s">
        <v>148</v>
      </c>
      <c r="I4" s="40">
        <v>432</v>
      </c>
      <c r="J4" s="40" t="s">
        <v>85</v>
      </c>
      <c r="K4" s="40"/>
      <c r="L4" s="54">
        <v>2689</v>
      </c>
      <c r="M4" s="16"/>
      <c r="N4" s="16"/>
      <c r="O4" s="17" t="s">
        <v>367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268</v>
      </c>
      <c r="C5" s="58"/>
      <c r="D5" s="78"/>
      <c r="E5" s="60"/>
      <c r="F5" s="38"/>
      <c r="G5" s="38"/>
      <c r="H5" s="60"/>
      <c r="I5" s="38">
        <v>432</v>
      </c>
      <c r="J5" s="38" t="s">
        <v>272</v>
      </c>
      <c r="K5" s="38"/>
      <c r="L5" s="44"/>
      <c r="M5" s="15"/>
      <c r="N5" s="63"/>
      <c r="O5" s="20" t="s">
        <v>368</v>
      </c>
      <c r="P5" s="21">
        <v>2</v>
      </c>
      <c r="Q5" s="22" t="s">
        <v>20</v>
      </c>
    </row>
    <row r="6" spans="1:17" ht="22.5" customHeight="1" x14ac:dyDescent="0.25">
      <c r="A6" s="288"/>
      <c r="B6" s="43"/>
      <c r="C6" s="58"/>
      <c r="D6" s="78"/>
      <c r="E6" s="60"/>
      <c r="F6" s="38"/>
      <c r="G6" s="38"/>
      <c r="H6" s="60"/>
      <c r="I6" s="38">
        <v>432</v>
      </c>
      <c r="J6" s="38" t="s">
        <v>371</v>
      </c>
      <c r="K6" s="38"/>
      <c r="L6" s="44"/>
      <c r="M6" s="15"/>
      <c r="N6" s="63"/>
      <c r="O6" s="20" t="s">
        <v>369</v>
      </c>
      <c r="P6" s="21">
        <v>3</v>
      </c>
      <c r="Q6" s="22" t="s">
        <v>21</v>
      </c>
    </row>
    <row r="7" spans="1:17" ht="22.5" customHeight="1" x14ac:dyDescent="0.25">
      <c r="A7" s="288"/>
      <c r="B7" s="43"/>
      <c r="C7" s="58"/>
      <c r="D7" s="78"/>
      <c r="E7" s="60"/>
      <c r="F7" s="38"/>
      <c r="G7" s="38"/>
      <c r="H7" s="60"/>
      <c r="I7" s="38">
        <v>432</v>
      </c>
      <c r="J7" s="38" t="s">
        <v>463</v>
      </c>
      <c r="K7" s="38"/>
      <c r="L7" s="44"/>
      <c r="M7" s="15"/>
      <c r="N7" s="63"/>
      <c r="O7" s="20" t="s">
        <v>370</v>
      </c>
      <c r="P7" s="21">
        <v>4</v>
      </c>
      <c r="Q7" s="22" t="s">
        <v>21</v>
      </c>
    </row>
    <row r="8" spans="1:17" ht="22.5" customHeight="1" x14ac:dyDescent="0.25">
      <c r="A8" s="288"/>
      <c r="B8" s="43"/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82"/>
      <c r="H9" s="182"/>
      <c r="I9" s="182">
        <f>SUM(I4:I8)</f>
        <v>1728</v>
      </c>
      <c r="J9" s="182"/>
      <c r="K9" s="182"/>
      <c r="L9" s="173"/>
      <c r="M9" s="182"/>
      <c r="N9" s="182"/>
      <c r="O9" s="182"/>
      <c r="P9" s="183"/>
      <c r="Q9" s="183"/>
    </row>
    <row r="10" spans="1:17" ht="22.5" customHeight="1" x14ac:dyDescent="0.25">
      <c r="A10" s="287" t="s">
        <v>39</v>
      </c>
      <c r="B10" s="42" t="s">
        <v>136</v>
      </c>
      <c r="C10" s="62">
        <v>43265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372</v>
      </c>
      <c r="K10" s="40"/>
      <c r="L10" s="54" t="s">
        <v>63</v>
      </c>
      <c r="M10" s="16"/>
      <c r="N10" s="16"/>
      <c r="O10" s="17" t="s">
        <v>367</v>
      </c>
      <c r="P10" s="18">
        <v>1</v>
      </c>
      <c r="Q10" s="19" t="s">
        <v>19</v>
      </c>
    </row>
    <row r="11" spans="1:17" ht="22.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v>432</v>
      </c>
      <c r="J11" s="164" t="s">
        <v>373</v>
      </c>
      <c r="K11" s="164"/>
      <c r="L11" s="57"/>
      <c r="M11" s="49"/>
      <c r="N11" s="63"/>
      <c r="O11" s="20" t="s">
        <v>368</v>
      </c>
      <c r="P11" s="21">
        <v>2</v>
      </c>
      <c r="Q11" s="22" t="s">
        <v>20</v>
      </c>
    </row>
    <row r="12" spans="1:17" ht="22.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v>432</v>
      </c>
      <c r="J12" s="164" t="s">
        <v>374</v>
      </c>
      <c r="K12" s="164"/>
      <c r="L12" s="57"/>
      <c r="M12" s="49"/>
      <c r="N12" s="63"/>
      <c r="O12" s="20" t="s">
        <v>369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v>432</v>
      </c>
      <c r="J13" s="164" t="s">
        <v>375</v>
      </c>
      <c r="K13" s="164"/>
      <c r="L13" s="57"/>
      <c r="M13" s="49"/>
      <c r="N13" s="63"/>
      <c r="O13" s="20" t="s">
        <v>370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/>
      <c r="J14" s="164"/>
      <c r="K14" s="164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82"/>
      <c r="H15" s="182"/>
      <c r="I15" s="182">
        <f>SUM(I10:I14)</f>
        <v>1728</v>
      </c>
      <c r="J15" s="182"/>
      <c r="K15" s="182"/>
      <c r="L15" s="173"/>
      <c r="M15" s="182"/>
      <c r="N15" s="182"/>
      <c r="O15" s="182"/>
      <c r="P15" s="183"/>
      <c r="Q15" s="183"/>
    </row>
    <row r="16" spans="1:17" ht="22.5" customHeight="1" x14ac:dyDescent="0.25">
      <c r="A16" s="287" t="s">
        <v>37</v>
      </c>
      <c r="B16" s="42" t="s">
        <v>270</v>
      </c>
      <c r="C16" s="116">
        <v>43269</v>
      </c>
      <c r="D16" s="52" t="s">
        <v>59</v>
      </c>
      <c r="E16" s="41" t="s">
        <v>54</v>
      </c>
      <c r="F16" s="40" t="s">
        <v>116</v>
      </c>
      <c r="G16" s="155">
        <v>7008</v>
      </c>
      <c r="H16" s="81" t="s">
        <v>117</v>
      </c>
      <c r="I16" s="155">
        <v>432</v>
      </c>
      <c r="J16" s="155" t="s">
        <v>85</v>
      </c>
      <c r="K16" s="155"/>
      <c r="L16" s="53" t="s">
        <v>67</v>
      </c>
      <c r="M16" s="16"/>
      <c r="N16" s="16"/>
      <c r="O16" s="17" t="s">
        <v>367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271</v>
      </c>
      <c r="C17" s="46"/>
      <c r="D17" s="47"/>
      <c r="E17" s="60"/>
      <c r="F17" s="38"/>
      <c r="G17" s="164"/>
      <c r="H17" s="48"/>
      <c r="I17" s="164">
        <v>432</v>
      </c>
      <c r="J17" s="164" t="s">
        <v>272</v>
      </c>
      <c r="K17" s="164"/>
      <c r="L17" s="57"/>
      <c r="M17" s="63"/>
      <c r="N17" s="63"/>
      <c r="O17" s="20" t="s">
        <v>368</v>
      </c>
      <c r="P17" s="21">
        <v>2</v>
      </c>
      <c r="Q17" s="22" t="s">
        <v>20</v>
      </c>
    </row>
    <row r="18" spans="1:17" ht="22.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432</v>
      </c>
      <c r="J18" s="164" t="s">
        <v>376</v>
      </c>
      <c r="K18" s="164"/>
      <c r="L18" s="57"/>
      <c r="M18" s="15"/>
      <c r="N18" s="15"/>
      <c r="O18" s="20" t="s">
        <v>369</v>
      </c>
      <c r="P18" s="21">
        <v>3</v>
      </c>
      <c r="Q18" s="22" t="s">
        <v>21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v>432</v>
      </c>
      <c r="J19" s="164" t="s">
        <v>463</v>
      </c>
      <c r="K19" s="164"/>
      <c r="L19" s="57"/>
      <c r="M19" s="15"/>
      <c r="N19" s="15"/>
      <c r="O19" s="20" t="s">
        <v>370</v>
      </c>
      <c r="P19" s="21">
        <v>4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301" t="s">
        <v>98</v>
      </c>
      <c r="D21" s="302"/>
      <c r="E21" s="302"/>
      <c r="F21" s="303"/>
      <c r="G21" s="182"/>
      <c r="H21" s="182"/>
      <c r="I21" s="182">
        <f>SUM(I16:I20)</f>
        <v>1728</v>
      </c>
      <c r="J21" s="182"/>
      <c r="K21" s="182"/>
      <c r="L21" s="173"/>
      <c r="M21" s="182"/>
      <c r="N21" s="182"/>
      <c r="O21" s="182"/>
      <c r="P21" s="183"/>
      <c r="Q21" s="183"/>
    </row>
    <row r="22" spans="1:17" ht="22.5" customHeight="1" x14ac:dyDescent="0.25">
      <c r="A22" s="287" t="s">
        <v>38</v>
      </c>
      <c r="B22" s="42" t="s">
        <v>175</v>
      </c>
      <c r="C22" s="62">
        <v>43264</v>
      </c>
      <c r="D22" s="77" t="s">
        <v>59</v>
      </c>
      <c r="E22" s="81" t="s">
        <v>54</v>
      </c>
      <c r="F22" s="155" t="s">
        <v>176</v>
      </c>
      <c r="G22" s="155">
        <v>5772</v>
      </c>
      <c r="H22" s="81" t="s">
        <v>88</v>
      </c>
      <c r="I22" s="155">
        <v>432</v>
      </c>
      <c r="J22" s="155" t="s">
        <v>377</v>
      </c>
      <c r="K22" s="155"/>
      <c r="L22" s="53" t="s">
        <v>260</v>
      </c>
      <c r="M22" s="16"/>
      <c r="N22" s="16"/>
      <c r="O22" s="17" t="s">
        <v>367</v>
      </c>
      <c r="P22" s="18">
        <v>1</v>
      </c>
      <c r="Q22" s="19" t="s">
        <v>19</v>
      </c>
    </row>
    <row r="23" spans="1:17" ht="22.5" customHeight="1" x14ac:dyDescent="0.25">
      <c r="A23" s="288"/>
      <c r="B23" s="45" t="s">
        <v>177</v>
      </c>
      <c r="C23" s="58"/>
      <c r="D23" s="78"/>
      <c r="E23" s="129"/>
      <c r="F23" s="164"/>
      <c r="G23" s="164"/>
      <c r="H23" s="48"/>
      <c r="I23" s="164">
        <v>432</v>
      </c>
      <c r="J23" s="164" t="s">
        <v>378</v>
      </c>
      <c r="K23" s="164"/>
      <c r="L23" s="57"/>
      <c r="M23" s="15"/>
      <c r="N23" s="15"/>
      <c r="O23" s="20" t="s">
        <v>368</v>
      </c>
      <c r="P23" s="21">
        <v>2</v>
      </c>
      <c r="Q23" s="22" t="s">
        <v>20</v>
      </c>
    </row>
    <row r="24" spans="1:17" ht="22.5" customHeight="1" x14ac:dyDescent="0.25">
      <c r="A24" s="288"/>
      <c r="B24" s="45"/>
      <c r="C24" s="58"/>
      <c r="D24" s="78"/>
      <c r="E24" s="129"/>
      <c r="F24" s="164"/>
      <c r="G24" s="164"/>
      <c r="H24" s="48"/>
      <c r="I24" s="164">
        <v>432</v>
      </c>
      <c r="J24" s="164" t="s">
        <v>379</v>
      </c>
      <c r="K24" s="164"/>
      <c r="L24" s="57"/>
      <c r="M24" s="49"/>
      <c r="N24" s="15"/>
      <c r="O24" s="20" t="s">
        <v>369</v>
      </c>
      <c r="P24" s="21">
        <v>3</v>
      </c>
      <c r="Q24" s="22" t="s">
        <v>21</v>
      </c>
    </row>
    <row r="25" spans="1:17" ht="22.5" customHeight="1" x14ac:dyDescent="0.25">
      <c r="A25" s="288"/>
      <c r="B25" s="111"/>
      <c r="C25" s="58"/>
      <c r="D25" s="78"/>
      <c r="E25" s="48"/>
      <c r="F25" s="164"/>
      <c r="G25" s="164"/>
      <c r="H25" s="48"/>
      <c r="I25" s="84">
        <v>432</v>
      </c>
      <c r="J25" s="164" t="s">
        <v>380</v>
      </c>
      <c r="K25" s="164"/>
      <c r="L25" s="57"/>
      <c r="M25" s="15"/>
      <c r="N25" s="15"/>
      <c r="O25" s="20" t="s">
        <v>370</v>
      </c>
      <c r="P25" s="21">
        <v>4</v>
      </c>
      <c r="Q25" s="22" t="s">
        <v>21</v>
      </c>
    </row>
    <row r="26" spans="1:17" ht="22.5" customHeight="1" x14ac:dyDescent="0.25">
      <c r="A26" s="288"/>
      <c r="B26" s="111"/>
      <c r="C26" s="58"/>
      <c r="D26" s="78"/>
      <c r="E26" s="48"/>
      <c r="F26" s="164"/>
      <c r="G26" s="164"/>
      <c r="H26" s="48"/>
      <c r="I26" s="164"/>
      <c r="J26" s="164"/>
      <c r="K26" s="164"/>
      <c r="L26" s="57"/>
      <c r="M26" s="15"/>
      <c r="N26" s="15"/>
      <c r="O26" s="20"/>
      <c r="P26" s="21"/>
      <c r="Q26" s="22"/>
    </row>
    <row r="27" spans="1:17" ht="22.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182"/>
      <c r="H27" s="182"/>
      <c r="I27" s="182">
        <f>SUM(I22:I26)</f>
        <v>1728</v>
      </c>
      <c r="J27" s="182"/>
      <c r="K27" s="182"/>
      <c r="L27" s="173"/>
      <c r="M27" s="182"/>
      <c r="N27" s="182"/>
      <c r="O27" s="182"/>
      <c r="P27" s="183"/>
      <c r="Q27" s="183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6912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84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F30:Q30"/>
    <mergeCell ref="B31:Q31"/>
    <mergeCell ref="F32:O32"/>
    <mergeCell ref="P32:Q32"/>
    <mergeCell ref="B33:O33"/>
    <mergeCell ref="A10:A15"/>
    <mergeCell ref="C15:F15"/>
    <mergeCell ref="A16:A21"/>
    <mergeCell ref="C21:F21"/>
    <mergeCell ref="A22:A27"/>
    <mergeCell ref="C27:F27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topLeftCell="A14" zoomScaleNormal="100" workbookViewId="0">
      <selection activeCell="B21" sqref="B21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279</v>
      </c>
      <c r="C4" s="62">
        <v>43281</v>
      </c>
      <c r="D4" s="77" t="s">
        <v>59</v>
      </c>
      <c r="E4" s="81" t="s">
        <v>34</v>
      </c>
      <c r="F4" s="40" t="s">
        <v>276</v>
      </c>
      <c r="G4" s="155">
        <v>576</v>
      </c>
      <c r="H4" s="81" t="s">
        <v>277</v>
      </c>
      <c r="I4" s="155">
        <f>576-432</f>
        <v>144</v>
      </c>
      <c r="J4" s="81" t="s">
        <v>354</v>
      </c>
      <c r="K4" s="155"/>
      <c r="L4" s="123" t="s">
        <v>282</v>
      </c>
      <c r="M4" s="16"/>
      <c r="N4" s="16"/>
      <c r="O4" s="17" t="s">
        <v>367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381</v>
      </c>
      <c r="C5" s="46">
        <v>43276</v>
      </c>
      <c r="D5" s="47" t="s">
        <v>59</v>
      </c>
      <c r="E5" s="48" t="s">
        <v>34</v>
      </c>
      <c r="F5" s="164" t="s">
        <v>382</v>
      </c>
      <c r="G5" s="164">
        <v>696</v>
      </c>
      <c r="H5" s="48" t="s">
        <v>277</v>
      </c>
      <c r="I5" s="164">
        <v>432</v>
      </c>
      <c r="J5" s="48" t="s">
        <v>77</v>
      </c>
      <c r="K5" s="164"/>
      <c r="L5" s="51" t="s">
        <v>385</v>
      </c>
      <c r="M5" s="49"/>
      <c r="N5" s="15"/>
      <c r="O5" s="20" t="s">
        <v>368</v>
      </c>
      <c r="P5" s="21">
        <v>2</v>
      </c>
      <c r="Q5" s="22" t="s">
        <v>20</v>
      </c>
    </row>
    <row r="6" spans="1:17" ht="24" customHeight="1" x14ac:dyDescent="0.25">
      <c r="A6" s="288"/>
      <c r="B6" s="43" t="s">
        <v>383</v>
      </c>
      <c r="C6" s="305" t="s">
        <v>384</v>
      </c>
      <c r="D6" s="306"/>
      <c r="E6" s="60"/>
      <c r="F6" s="38"/>
      <c r="G6" s="38"/>
      <c r="H6" s="60"/>
      <c r="I6" s="38">
        <f>696-432</f>
        <v>264</v>
      </c>
      <c r="J6" s="60" t="s">
        <v>354</v>
      </c>
      <c r="K6" s="38"/>
      <c r="L6" s="91"/>
      <c r="M6" s="49"/>
      <c r="N6" s="15"/>
      <c r="O6" s="20"/>
      <c r="P6" s="21"/>
      <c r="Q6" s="22"/>
    </row>
    <row r="7" spans="1:17" ht="24" customHeight="1" x14ac:dyDescent="0.25">
      <c r="A7" s="288"/>
      <c r="B7" s="43" t="s">
        <v>386</v>
      </c>
      <c r="C7" s="58">
        <v>43281</v>
      </c>
      <c r="D7" s="78" t="s">
        <v>59</v>
      </c>
      <c r="E7" s="60" t="s">
        <v>34</v>
      </c>
      <c r="F7" s="38" t="s">
        <v>382</v>
      </c>
      <c r="G7" s="38">
        <v>144</v>
      </c>
      <c r="H7" s="60" t="s">
        <v>277</v>
      </c>
      <c r="I7" s="38">
        <v>144</v>
      </c>
      <c r="J7" s="60" t="s">
        <v>84</v>
      </c>
      <c r="K7" s="38"/>
      <c r="L7" s="91" t="s">
        <v>388</v>
      </c>
      <c r="M7" s="49"/>
      <c r="N7" s="15"/>
      <c r="O7" s="20" t="s">
        <v>369</v>
      </c>
      <c r="P7" s="21">
        <v>3</v>
      </c>
      <c r="Q7" s="22" t="s">
        <v>21</v>
      </c>
    </row>
    <row r="8" spans="1:17" ht="24" customHeight="1" x14ac:dyDescent="0.25">
      <c r="A8" s="288"/>
      <c r="B8" s="45" t="s">
        <v>387</v>
      </c>
      <c r="C8" s="58">
        <v>43281</v>
      </c>
      <c r="D8" s="78" t="s">
        <v>59</v>
      </c>
      <c r="E8" s="48" t="s">
        <v>34</v>
      </c>
      <c r="F8" s="39" t="s">
        <v>382</v>
      </c>
      <c r="G8" s="164">
        <v>120</v>
      </c>
      <c r="H8" s="48" t="s">
        <v>277</v>
      </c>
      <c r="I8" s="164">
        <v>120</v>
      </c>
      <c r="J8" s="48" t="s">
        <v>84</v>
      </c>
      <c r="K8" s="164"/>
      <c r="L8" s="51" t="s">
        <v>385</v>
      </c>
      <c r="M8" s="49"/>
      <c r="N8" s="15"/>
      <c r="O8" s="20"/>
      <c r="P8" s="21"/>
      <c r="Q8" s="22"/>
    </row>
    <row r="9" spans="1:17" ht="24" customHeight="1" x14ac:dyDescent="0.25">
      <c r="A9" s="288"/>
      <c r="B9" s="45" t="s">
        <v>389</v>
      </c>
      <c r="C9" s="46">
        <v>43281</v>
      </c>
      <c r="D9" s="47" t="s">
        <v>59</v>
      </c>
      <c r="E9" s="48" t="s">
        <v>34</v>
      </c>
      <c r="F9" s="164" t="s">
        <v>382</v>
      </c>
      <c r="G9" s="164">
        <v>1188</v>
      </c>
      <c r="H9" s="48" t="s">
        <v>277</v>
      </c>
      <c r="I9" s="164">
        <v>432</v>
      </c>
      <c r="J9" s="48" t="s">
        <v>77</v>
      </c>
      <c r="K9" s="164"/>
      <c r="L9" s="51" t="s">
        <v>385</v>
      </c>
      <c r="M9" s="49"/>
      <c r="N9" s="49"/>
      <c r="O9" s="20" t="s">
        <v>370</v>
      </c>
      <c r="P9" s="21">
        <v>4</v>
      </c>
      <c r="Q9" s="22" t="s">
        <v>21</v>
      </c>
    </row>
    <row r="10" spans="1:17" ht="24" customHeight="1" x14ac:dyDescent="0.25">
      <c r="A10" s="288"/>
      <c r="B10" s="45" t="s">
        <v>105</v>
      </c>
      <c r="C10" s="46"/>
      <c r="D10" s="47"/>
      <c r="E10" s="48"/>
      <c r="F10" s="164"/>
      <c r="G10" s="164"/>
      <c r="H10" s="48"/>
      <c r="I10" s="164"/>
      <c r="J10" s="48"/>
      <c r="K10" s="164"/>
      <c r="L10" s="51"/>
      <c r="M10" s="49"/>
      <c r="N10" s="49"/>
      <c r="O10" s="124"/>
      <c r="P10" s="50"/>
      <c r="Q10" s="153"/>
    </row>
    <row r="11" spans="1:17" ht="24" customHeight="1" thickBot="1" x14ac:dyDescent="0.3">
      <c r="A11" s="289"/>
      <c r="B11" s="93"/>
      <c r="C11" s="182"/>
      <c r="D11" s="182"/>
      <c r="E11" s="182"/>
      <c r="F11" s="182"/>
      <c r="G11" s="182"/>
      <c r="H11" s="182"/>
      <c r="I11" s="182">
        <f>SUM(I4:I10)</f>
        <v>1536</v>
      </c>
      <c r="J11" s="182"/>
      <c r="K11" s="182"/>
      <c r="L11" s="173"/>
      <c r="M11" s="182"/>
      <c r="N11" s="182"/>
      <c r="O11" s="114"/>
      <c r="P11" s="183"/>
      <c r="Q11" s="152"/>
    </row>
    <row r="12" spans="1:17" ht="24" customHeight="1" x14ac:dyDescent="0.25">
      <c r="A12" s="287" t="s">
        <v>41</v>
      </c>
      <c r="B12" s="92" t="s">
        <v>151</v>
      </c>
      <c r="C12" s="62">
        <v>43259</v>
      </c>
      <c r="D12" s="140" t="s">
        <v>55</v>
      </c>
      <c r="E12" s="41" t="s">
        <v>54</v>
      </c>
      <c r="F12" s="40" t="s">
        <v>102</v>
      </c>
      <c r="G12" s="40">
        <v>6024</v>
      </c>
      <c r="H12" s="56" t="s">
        <v>100</v>
      </c>
      <c r="I12" s="40">
        <v>216</v>
      </c>
      <c r="J12" s="41" t="s">
        <v>464</v>
      </c>
      <c r="K12" s="40"/>
      <c r="L12" s="90" t="s">
        <v>67</v>
      </c>
      <c r="M12" s="16"/>
      <c r="N12" s="16"/>
      <c r="O12" s="17" t="s">
        <v>367</v>
      </c>
      <c r="P12" s="18">
        <v>1</v>
      </c>
      <c r="Q12" s="19" t="s">
        <v>19</v>
      </c>
    </row>
    <row r="13" spans="1:17" ht="24" customHeight="1" x14ac:dyDescent="0.25">
      <c r="A13" s="288"/>
      <c r="B13" s="43" t="s">
        <v>152</v>
      </c>
      <c r="C13" s="305" t="s">
        <v>57</v>
      </c>
      <c r="D13" s="306"/>
      <c r="E13" s="79"/>
      <c r="F13" s="38"/>
      <c r="G13" s="38"/>
      <c r="H13" s="60"/>
      <c r="I13" s="164">
        <v>216</v>
      </c>
      <c r="J13" s="48" t="s">
        <v>465</v>
      </c>
      <c r="K13" s="164"/>
      <c r="L13" s="88"/>
      <c r="M13" s="63"/>
      <c r="N13" s="63"/>
      <c r="O13" s="20" t="s">
        <v>368</v>
      </c>
      <c r="P13" s="21">
        <v>2</v>
      </c>
      <c r="Q13" s="22" t="s">
        <v>20</v>
      </c>
    </row>
    <row r="14" spans="1:17" ht="24" customHeight="1" x14ac:dyDescent="0.25">
      <c r="A14" s="288"/>
      <c r="B14" s="43"/>
      <c r="C14" s="58"/>
      <c r="D14" s="141"/>
      <c r="E14" s="79"/>
      <c r="F14" s="38"/>
      <c r="G14" s="38"/>
      <c r="H14" s="60"/>
      <c r="I14" s="164">
        <v>216</v>
      </c>
      <c r="J14" s="48" t="s">
        <v>466</v>
      </c>
      <c r="K14" s="164"/>
      <c r="L14" s="88"/>
      <c r="M14" s="49"/>
      <c r="N14" s="49"/>
      <c r="O14" s="20" t="s">
        <v>369</v>
      </c>
      <c r="P14" s="21">
        <v>3</v>
      </c>
      <c r="Q14" s="22" t="s">
        <v>21</v>
      </c>
    </row>
    <row r="15" spans="1:17" ht="24" customHeight="1" x14ac:dyDescent="0.25">
      <c r="A15" s="288"/>
      <c r="B15" s="43"/>
      <c r="C15" s="58"/>
      <c r="D15" s="141"/>
      <c r="E15" s="79"/>
      <c r="F15" s="38"/>
      <c r="G15" s="38"/>
      <c r="H15" s="60"/>
      <c r="I15" s="164">
        <v>216</v>
      </c>
      <c r="J15" s="48" t="s">
        <v>467</v>
      </c>
      <c r="K15" s="164"/>
      <c r="L15" s="88"/>
      <c r="M15" s="49"/>
      <c r="N15" s="49"/>
      <c r="O15" s="20" t="s">
        <v>370</v>
      </c>
      <c r="P15" s="21">
        <v>4</v>
      </c>
      <c r="Q15" s="22" t="s">
        <v>21</v>
      </c>
    </row>
    <row r="16" spans="1:17" ht="24" customHeight="1" x14ac:dyDescent="0.25">
      <c r="A16" s="288"/>
      <c r="B16" s="43"/>
      <c r="C16" s="58"/>
      <c r="D16" s="141"/>
      <c r="E16" s="79"/>
      <c r="F16" s="38"/>
      <c r="G16" s="38"/>
      <c r="H16" s="60"/>
      <c r="I16" s="164"/>
      <c r="J16" s="48"/>
      <c r="K16" s="164"/>
      <c r="L16" s="88"/>
      <c r="M16" s="49"/>
      <c r="N16" s="49"/>
      <c r="O16" s="20"/>
      <c r="P16" s="21"/>
      <c r="Q16" s="22"/>
    </row>
    <row r="17" spans="1:17" ht="24" customHeight="1" thickBot="1" x14ac:dyDescent="0.3">
      <c r="A17" s="289"/>
      <c r="B17" s="93" t="s">
        <v>64</v>
      </c>
      <c r="C17" s="290" t="s">
        <v>98</v>
      </c>
      <c r="D17" s="291"/>
      <c r="E17" s="291"/>
      <c r="F17" s="292"/>
      <c r="G17" s="182"/>
      <c r="H17" s="182"/>
      <c r="I17" s="182">
        <f>SUM(I12:I16)</f>
        <v>864</v>
      </c>
      <c r="J17" s="182"/>
      <c r="K17" s="182"/>
      <c r="L17" s="173"/>
      <c r="M17" s="182"/>
      <c r="N17" s="182"/>
      <c r="O17" s="114"/>
      <c r="P17" s="183"/>
      <c r="Q17" s="152"/>
    </row>
    <row r="18" spans="1:17" ht="24" customHeight="1" x14ac:dyDescent="0.25">
      <c r="A18" s="287" t="s">
        <v>42</v>
      </c>
      <c r="B18" s="42" t="s">
        <v>288</v>
      </c>
      <c r="C18" s="62">
        <v>43281</v>
      </c>
      <c r="D18" s="90" t="s">
        <v>59</v>
      </c>
      <c r="E18" s="174" t="s">
        <v>91</v>
      </c>
      <c r="F18" s="40" t="s">
        <v>286</v>
      </c>
      <c r="G18" s="175">
        <v>1920</v>
      </c>
      <c r="H18" s="41" t="s">
        <v>124</v>
      </c>
      <c r="I18" s="155">
        <v>432</v>
      </c>
      <c r="J18" s="155" t="s">
        <v>390</v>
      </c>
      <c r="K18" s="155"/>
      <c r="L18" s="90" t="s">
        <v>349</v>
      </c>
      <c r="M18" s="16"/>
      <c r="N18" s="16"/>
      <c r="O18" s="17" t="s">
        <v>367</v>
      </c>
      <c r="P18" s="18">
        <v>1</v>
      </c>
      <c r="Q18" s="19" t="s">
        <v>19</v>
      </c>
    </row>
    <row r="19" spans="1:17" ht="24" customHeight="1" x14ac:dyDescent="0.25">
      <c r="A19" s="288"/>
      <c r="B19" s="43" t="s">
        <v>106</v>
      </c>
      <c r="C19" s="58"/>
      <c r="D19" s="91"/>
      <c r="E19" s="137"/>
      <c r="F19" s="38"/>
      <c r="G19" s="105"/>
      <c r="H19" s="60"/>
      <c r="I19" s="38">
        <v>432</v>
      </c>
      <c r="J19" s="38" t="s">
        <v>391</v>
      </c>
      <c r="K19" s="38"/>
      <c r="L19" s="91"/>
      <c r="M19" s="15"/>
      <c r="N19" s="15"/>
      <c r="O19" s="20" t="s">
        <v>368</v>
      </c>
      <c r="P19" s="21">
        <v>2</v>
      </c>
      <c r="Q19" s="22" t="s">
        <v>20</v>
      </c>
    </row>
    <row r="20" spans="1:17" ht="24" customHeight="1" x14ac:dyDescent="0.25">
      <c r="A20" s="288"/>
      <c r="B20" s="45"/>
      <c r="C20" s="58"/>
      <c r="D20" s="91"/>
      <c r="E20" s="137"/>
      <c r="F20" s="38"/>
      <c r="G20" s="89"/>
      <c r="H20" s="48"/>
      <c r="I20" s="164">
        <f>1920-216*8</f>
        <v>192</v>
      </c>
      <c r="J20" s="164" t="s">
        <v>243</v>
      </c>
      <c r="K20" s="164"/>
      <c r="L20" s="51"/>
      <c r="M20" s="15"/>
      <c r="N20" s="15"/>
      <c r="O20" s="20" t="s">
        <v>369</v>
      </c>
      <c r="P20" s="21">
        <v>3</v>
      </c>
      <c r="Q20" s="22" t="s">
        <v>21</v>
      </c>
    </row>
    <row r="21" spans="1:17" ht="24" customHeight="1" x14ac:dyDescent="0.25">
      <c r="A21" s="288"/>
      <c r="B21" s="45" t="s">
        <v>392</v>
      </c>
      <c r="C21" s="86">
        <v>43266</v>
      </c>
      <c r="D21" s="134" t="s">
        <v>55</v>
      </c>
      <c r="E21" s="132" t="s">
        <v>393</v>
      </c>
      <c r="F21" s="39" t="s">
        <v>394</v>
      </c>
      <c r="G21" s="89">
        <v>372</v>
      </c>
      <c r="H21" s="79" t="s">
        <v>395</v>
      </c>
      <c r="I21" s="164">
        <v>372</v>
      </c>
      <c r="J21" s="164" t="s">
        <v>77</v>
      </c>
      <c r="K21" s="164"/>
      <c r="L21" s="134" t="s">
        <v>397</v>
      </c>
      <c r="M21" s="49"/>
      <c r="N21" s="49"/>
      <c r="O21" s="20" t="s">
        <v>370</v>
      </c>
      <c r="P21" s="21">
        <v>4</v>
      </c>
      <c r="Q21" s="22" t="s">
        <v>21</v>
      </c>
    </row>
    <row r="22" spans="1:17" ht="24" customHeight="1" x14ac:dyDescent="0.25">
      <c r="A22" s="288"/>
      <c r="B22" s="43"/>
      <c r="C22" s="58"/>
      <c r="D22" s="91"/>
      <c r="E22" s="137"/>
      <c r="F22" s="38"/>
      <c r="G22" s="105"/>
      <c r="H22" s="60"/>
      <c r="I22" s="38"/>
      <c r="J22" s="38"/>
      <c r="K22" s="38"/>
      <c r="L22" s="91"/>
      <c r="M22" s="49"/>
      <c r="N22" s="49"/>
      <c r="O22" s="20"/>
      <c r="P22" s="21"/>
      <c r="Q22" s="22"/>
    </row>
    <row r="23" spans="1:17" ht="24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182"/>
      <c r="H23" s="182"/>
      <c r="I23" s="182">
        <f>SUM(I18:I22)</f>
        <v>1428</v>
      </c>
      <c r="J23" s="182"/>
      <c r="K23" s="182"/>
      <c r="L23" s="173"/>
      <c r="M23" s="182"/>
      <c r="N23" s="182"/>
      <c r="O23" s="114"/>
      <c r="P23" s="183"/>
      <c r="Q23" s="152"/>
    </row>
    <row r="24" spans="1:17" ht="24" customHeight="1" x14ac:dyDescent="0.25">
      <c r="A24" s="287" t="s">
        <v>43</v>
      </c>
      <c r="B24" s="42" t="s">
        <v>291</v>
      </c>
      <c r="C24" s="140">
        <v>43283</v>
      </c>
      <c r="D24" s="90" t="s">
        <v>93</v>
      </c>
      <c r="E24" s="41" t="s">
        <v>34</v>
      </c>
      <c r="F24" s="40" t="s">
        <v>76</v>
      </c>
      <c r="G24" s="40">
        <v>6732</v>
      </c>
      <c r="H24" s="41" t="s">
        <v>51</v>
      </c>
      <c r="I24" s="40">
        <v>432</v>
      </c>
      <c r="J24" s="41" t="s">
        <v>132</v>
      </c>
      <c r="K24" s="40"/>
      <c r="L24" s="54" t="s">
        <v>61</v>
      </c>
      <c r="M24" s="16"/>
      <c r="N24" s="16"/>
      <c r="O24" s="17" t="s">
        <v>367</v>
      </c>
      <c r="P24" s="18">
        <v>1</v>
      </c>
      <c r="Q24" s="19" t="s">
        <v>19</v>
      </c>
    </row>
    <row r="25" spans="1:17" ht="24" customHeight="1" x14ac:dyDescent="0.25">
      <c r="A25" s="288"/>
      <c r="B25" s="45" t="s">
        <v>115</v>
      </c>
      <c r="C25" s="131"/>
      <c r="D25" s="134"/>
      <c r="E25" s="79"/>
      <c r="F25" s="164"/>
      <c r="G25" s="164"/>
      <c r="H25" s="48"/>
      <c r="I25" s="164">
        <v>432</v>
      </c>
      <c r="J25" s="48" t="s">
        <v>398</v>
      </c>
      <c r="K25" s="164"/>
      <c r="L25" s="57"/>
      <c r="M25" s="15"/>
      <c r="N25" s="15"/>
      <c r="O25" s="20" t="s">
        <v>368</v>
      </c>
      <c r="P25" s="21">
        <v>2</v>
      </c>
      <c r="Q25" s="22" t="s">
        <v>20</v>
      </c>
    </row>
    <row r="26" spans="1:17" ht="24" customHeight="1" x14ac:dyDescent="0.25">
      <c r="A26" s="288"/>
      <c r="B26" s="45"/>
      <c r="C26" s="141"/>
      <c r="D26" s="91"/>
      <c r="E26" s="48"/>
      <c r="F26" s="39"/>
      <c r="G26" s="39"/>
      <c r="H26" s="79"/>
      <c r="I26" s="38">
        <v>432</v>
      </c>
      <c r="J26" s="48" t="s">
        <v>399</v>
      </c>
      <c r="K26" s="164"/>
      <c r="L26" s="57"/>
      <c r="M26" s="49"/>
      <c r="N26" s="49"/>
      <c r="O26" s="20" t="s">
        <v>369</v>
      </c>
      <c r="P26" s="21">
        <v>3</v>
      </c>
      <c r="Q26" s="22" t="s">
        <v>21</v>
      </c>
    </row>
    <row r="27" spans="1:17" ht="24" customHeight="1" x14ac:dyDescent="0.25">
      <c r="A27" s="288"/>
      <c r="B27" s="43"/>
      <c r="C27" s="141"/>
      <c r="D27" s="91"/>
      <c r="E27" s="60"/>
      <c r="F27" s="38"/>
      <c r="G27" s="38"/>
      <c r="H27" s="60"/>
      <c r="I27" s="128">
        <v>216</v>
      </c>
      <c r="J27" s="60" t="s">
        <v>468</v>
      </c>
      <c r="K27" s="38"/>
      <c r="L27" s="44"/>
      <c r="M27" s="49"/>
      <c r="N27" s="49"/>
      <c r="O27" s="20" t="s">
        <v>370</v>
      </c>
      <c r="P27" s="21">
        <v>4</v>
      </c>
      <c r="Q27" s="22" t="s">
        <v>21</v>
      </c>
    </row>
    <row r="28" spans="1:17" ht="24" customHeight="1" x14ac:dyDescent="0.25">
      <c r="A28" s="288"/>
      <c r="B28" s="43"/>
      <c r="C28" s="141"/>
      <c r="D28" s="91"/>
      <c r="E28" s="60"/>
      <c r="F28" s="38"/>
      <c r="G28" s="38"/>
      <c r="H28" s="60"/>
      <c r="I28" s="38"/>
      <c r="J28" s="60"/>
      <c r="K28" s="38"/>
      <c r="L28" s="44"/>
      <c r="M28" s="49"/>
      <c r="N28" s="49"/>
      <c r="O28" s="20"/>
      <c r="P28" s="21"/>
      <c r="Q28" s="22"/>
    </row>
    <row r="29" spans="1:17" ht="24" customHeight="1" thickBot="1" x14ac:dyDescent="0.3">
      <c r="A29" s="289"/>
      <c r="B29" s="93" t="s">
        <v>64</v>
      </c>
      <c r="C29" s="290" t="s">
        <v>98</v>
      </c>
      <c r="D29" s="291"/>
      <c r="E29" s="291"/>
      <c r="F29" s="292"/>
      <c r="G29" s="182"/>
      <c r="H29" s="182"/>
      <c r="I29" s="182">
        <f>SUM(I24:I28)</f>
        <v>1512</v>
      </c>
      <c r="J29" s="182"/>
      <c r="K29" s="182"/>
      <c r="L29" s="173"/>
      <c r="M29" s="182"/>
      <c r="N29" s="182"/>
      <c r="O29" s="114"/>
      <c r="P29" s="183"/>
      <c r="Q29" s="152"/>
    </row>
    <row r="30" spans="1:17" ht="25.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SUM(I29,I23,I17,I11)</f>
        <v>5340</v>
      </c>
      <c r="J30" s="70"/>
      <c r="K30" s="70"/>
      <c r="L30" s="65"/>
      <c r="M30" s="71"/>
      <c r="N30" s="69"/>
      <c r="O30" s="70"/>
      <c r="P30" s="70"/>
      <c r="Q30" s="72"/>
    </row>
    <row r="31" spans="1:17" ht="17.25" customHeight="1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84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9">
    <mergeCell ref="F32:Q32"/>
    <mergeCell ref="B33:Q33"/>
    <mergeCell ref="F34:O34"/>
    <mergeCell ref="P34:Q34"/>
    <mergeCell ref="B35:O35"/>
    <mergeCell ref="A24:A29"/>
    <mergeCell ref="C29:F29"/>
    <mergeCell ref="A1:Q1"/>
    <mergeCell ref="A2:B2"/>
    <mergeCell ref="C2:E2"/>
    <mergeCell ref="F2:G2"/>
    <mergeCell ref="O2:Q2"/>
    <mergeCell ref="A4:A11"/>
    <mergeCell ref="C6:D6"/>
    <mergeCell ref="A12:A17"/>
    <mergeCell ref="C13:D13"/>
    <mergeCell ref="C17:F17"/>
    <mergeCell ref="A18:A23"/>
    <mergeCell ref="C23:F2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zoomScale="109" zoomScaleNormal="109" workbookViewId="0">
      <selection activeCell="B10" sqref="B10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43255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400</v>
      </c>
      <c r="C4" s="181">
        <v>43264</v>
      </c>
      <c r="D4" s="121" t="s">
        <v>55</v>
      </c>
      <c r="E4" s="109" t="s">
        <v>143</v>
      </c>
      <c r="F4" s="108" t="s">
        <v>401</v>
      </c>
      <c r="G4" s="108">
        <v>372</v>
      </c>
      <c r="H4" s="109" t="s">
        <v>402</v>
      </c>
      <c r="I4" s="155">
        <v>372</v>
      </c>
      <c r="J4" s="155" t="s">
        <v>77</v>
      </c>
      <c r="K4" s="155"/>
      <c r="L4" s="123" t="s">
        <v>404</v>
      </c>
      <c r="M4" s="16"/>
      <c r="N4" s="16"/>
      <c r="O4" s="17" t="s">
        <v>367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403</v>
      </c>
      <c r="C5" s="117">
        <v>43269</v>
      </c>
      <c r="D5" s="113" t="s">
        <v>59</v>
      </c>
      <c r="E5" s="102" t="s">
        <v>143</v>
      </c>
      <c r="F5" s="101" t="s">
        <v>401</v>
      </c>
      <c r="G5" s="164">
        <v>744</v>
      </c>
      <c r="H5" s="186" t="s">
        <v>402</v>
      </c>
      <c r="I5" s="164">
        <v>228</v>
      </c>
      <c r="J5" s="164" t="s">
        <v>84</v>
      </c>
      <c r="K5" s="164"/>
      <c r="L5" s="51" t="s">
        <v>260</v>
      </c>
      <c r="M5" s="87"/>
      <c r="N5" s="87"/>
      <c r="O5" s="20" t="s">
        <v>368</v>
      </c>
      <c r="P5" s="21">
        <v>2</v>
      </c>
      <c r="Q5" s="22" t="s">
        <v>20</v>
      </c>
    </row>
    <row r="6" spans="1:28" ht="23.25" customHeight="1" x14ac:dyDescent="0.25">
      <c r="A6" s="308"/>
      <c r="B6" s="45" t="s">
        <v>405</v>
      </c>
      <c r="C6" s="117"/>
      <c r="D6" s="113"/>
      <c r="E6" s="102"/>
      <c r="F6" s="101"/>
      <c r="G6" s="39"/>
      <c r="H6" s="79"/>
      <c r="I6" s="164">
        <v>228</v>
      </c>
      <c r="J6" s="164" t="s">
        <v>469</v>
      </c>
      <c r="K6" s="164"/>
      <c r="L6" s="51"/>
      <c r="M6" s="49"/>
      <c r="N6" s="49"/>
      <c r="O6" s="20" t="s">
        <v>369</v>
      </c>
      <c r="P6" s="21">
        <v>3</v>
      </c>
      <c r="Q6" s="22" t="s">
        <v>21</v>
      </c>
    </row>
    <row r="7" spans="1:28" ht="23.25" customHeight="1" x14ac:dyDescent="0.25">
      <c r="A7" s="308"/>
      <c r="B7" s="45"/>
      <c r="C7" s="117"/>
      <c r="D7" s="113"/>
      <c r="E7" s="102"/>
      <c r="F7" s="101"/>
      <c r="G7" s="39"/>
      <c r="H7" s="79"/>
      <c r="I7" s="164">
        <f>744-456</f>
        <v>288</v>
      </c>
      <c r="J7" s="164" t="s">
        <v>182</v>
      </c>
      <c r="K7" s="164"/>
      <c r="L7" s="51"/>
      <c r="M7" s="49"/>
      <c r="N7" s="49"/>
      <c r="O7" s="20" t="s">
        <v>370</v>
      </c>
      <c r="P7" s="21">
        <v>4</v>
      </c>
      <c r="Q7" s="22" t="s">
        <v>21</v>
      </c>
    </row>
    <row r="8" spans="1:28" ht="23.25" customHeight="1" x14ac:dyDescent="0.25">
      <c r="A8" s="308"/>
      <c r="B8" s="45"/>
      <c r="C8" s="117"/>
      <c r="D8" s="113"/>
      <c r="E8" s="102"/>
      <c r="F8" s="101"/>
      <c r="G8" s="164"/>
      <c r="H8" s="48"/>
      <c r="I8" s="164"/>
      <c r="J8" s="164"/>
      <c r="K8" s="164"/>
      <c r="L8" s="51"/>
      <c r="M8" s="49"/>
      <c r="N8" s="49"/>
      <c r="O8" s="20"/>
      <c r="P8" s="21"/>
      <c r="Q8" s="22"/>
    </row>
    <row r="9" spans="1:28" ht="23.25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182"/>
      <c r="H9" s="182"/>
      <c r="I9" s="182">
        <f>SUM(I4:I8)</f>
        <v>1116</v>
      </c>
      <c r="J9" s="182"/>
      <c r="K9" s="182"/>
      <c r="L9" s="173"/>
      <c r="M9" s="182"/>
      <c r="N9" s="182"/>
      <c r="O9" s="114"/>
      <c r="P9" s="183"/>
      <c r="Q9" s="183"/>
    </row>
    <row r="10" spans="1:28" ht="23.25" customHeight="1" x14ac:dyDescent="0.25">
      <c r="A10" s="287" t="s">
        <v>45</v>
      </c>
      <c r="B10" s="42" t="s">
        <v>296</v>
      </c>
      <c r="C10" s="121">
        <v>43267</v>
      </c>
      <c r="D10" s="109" t="s">
        <v>55</v>
      </c>
      <c r="E10" s="122" t="s">
        <v>54</v>
      </c>
      <c r="F10" s="108" t="s">
        <v>95</v>
      </c>
      <c r="G10" s="40">
        <v>792</v>
      </c>
      <c r="H10" s="41" t="s">
        <v>62</v>
      </c>
      <c r="I10" s="155">
        <v>432</v>
      </c>
      <c r="J10" s="155" t="s">
        <v>77</v>
      </c>
      <c r="K10" s="155"/>
      <c r="L10" s="123" t="s">
        <v>67</v>
      </c>
      <c r="M10" s="95"/>
      <c r="N10" s="16"/>
      <c r="O10" s="17" t="s">
        <v>367</v>
      </c>
      <c r="P10" s="18">
        <v>1</v>
      </c>
      <c r="Q10" s="19" t="s">
        <v>19</v>
      </c>
    </row>
    <row r="11" spans="1:28" ht="23.25" customHeight="1" x14ac:dyDescent="0.25">
      <c r="A11" s="288"/>
      <c r="B11" s="45" t="s">
        <v>407</v>
      </c>
      <c r="C11" s="112"/>
      <c r="D11" s="110"/>
      <c r="E11" s="102"/>
      <c r="F11" s="101"/>
      <c r="G11" s="164"/>
      <c r="H11" s="48"/>
      <c r="I11" s="164">
        <f>792-216*2</f>
        <v>360</v>
      </c>
      <c r="J11" s="164" t="s">
        <v>82</v>
      </c>
      <c r="K11" s="164"/>
      <c r="L11" s="51"/>
      <c r="M11" s="15"/>
      <c r="N11" s="63"/>
      <c r="O11" s="20" t="s">
        <v>368</v>
      </c>
      <c r="P11" s="21">
        <v>2</v>
      </c>
      <c r="Q11" s="22" t="s">
        <v>20</v>
      </c>
    </row>
    <row r="12" spans="1:28" ht="23.25" customHeight="1" x14ac:dyDescent="0.25">
      <c r="A12" s="288"/>
      <c r="B12" s="45" t="s">
        <v>408</v>
      </c>
      <c r="C12" s="112">
        <v>43266</v>
      </c>
      <c r="D12" s="110" t="s">
        <v>93</v>
      </c>
      <c r="E12" s="102" t="s">
        <v>54</v>
      </c>
      <c r="F12" s="101" t="s">
        <v>95</v>
      </c>
      <c r="G12" s="39">
        <v>660</v>
      </c>
      <c r="H12" s="79" t="s">
        <v>62</v>
      </c>
      <c r="I12" s="164">
        <v>432</v>
      </c>
      <c r="J12" s="164" t="s">
        <v>77</v>
      </c>
      <c r="K12" s="164"/>
      <c r="L12" s="51" t="s">
        <v>409</v>
      </c>
      <c r="M12" s="83"/>
      <c r="N12" s="83"/>
      <c r="O12" s="20" t="s">
        <v>369</v>
      </c>
      <c r="P12" s="21">
        <v>3</v>
      </c>
      <c r="Q12" s="22" t="s">
        <v>21</v>
      </c>
    </row>
    <row r="13" spans="1:28" ht="23.25" customHeight="1" x14ac:dyDescent="0.25">
      <c r="A13" s="288"/>
      <c r="B13" s="45" t="s">
        <v>181</v>
      </c>
      <c r="C13" s="315" t="s">
        <v>57</v>
      </c>
      <c r="D13" s="316"/>
      <c r="E13" s="102"/>
      <c r="F13" s="101"/>
      <c r="G13" s="39"/>
      <c r="H13" s="79"/>
      <c r="I13" s="164">
        <f>660-216*2</f>
        <v>228</v>
      </c>
      <c r="J13" s="164" t="s">
        <v>354</v>
      </c>
      <c r="K13" s="164"/>
      <c r="L13" s="51"/>
      <c r="M13" s="15"/>
      <c r="N13" s="15"/>
      <c r="O13" s="20" t="s">
        <v>370</v>
      </c>
      <c r="P13" s="21">
        <v>4</v>
      </c>
      <c r="Q13" s="22" t="s">
        <v>21</v>
      </c>
    </row>
    <row r="14" spans="1:28" ht="23.25" customHeight="1" x14ac:dyDescent="0.25">
      <c r="A14" s="288"/>
      <c r="B14" s="45"/>
      <c r="C14" s="112"/>
      <c r="D14" s="110"/>
      <c r="E14" s="102"/>
      <c r="F14" s="101"/>
      <c r="G14" s="39"/>
      <c r="H14" s="79"/>
      <c r="I14" s="164"/>
      <c r="J14" s="164"/>
      <c r="K14" s="164"/>
      <c r="L14" s="51"/>
      <c r="M14" s="15"/>
      <c r="N14" s="15"/>
      <c r="O14" s="20"/>
      <c r="P14" s="21"/>
      <c r="Q14" s="22"/>
    </row>
    <row r="15" spans="1:28" ht="23.25" customHeight="1" thickBot="1" x14ac:dyDescent="0.3">
      <c r="A15" s="289"/>
      <c r="B15" s="93"/>
      <c r="C15" s="182"/>
      <c r="D15" s="182"/>
      <c r="E15" s="182"/>
      <c r="F15" s="182"/>
      <c r="G15" s="182"/>
      <c r="H15" s="182"/>
      <c r="I15" s="182">
        <f>SUM(I10:I14)</f>
        <v>1452</v>
      </c>
      <c r="J15" s="182"/>
      <c r="K15" s="182"/>
      <c r="L15" s="173"/>
      <c r="M15" s="182"/>
      <c r="N15" s="182"/>
      <c r="O15" s="114"/>
      <c r="P15" s="182"/>
      <c r="Q15" s="182"/>
    </row>
    <row r="16" spans="1:28" ht="23.25" customHeight="1" x14ac:dyDescent="0.25">
      <c r="A16" s="287" t="s">
        <v>46</v>
      </c>
      <c r="B16" s="42" t="s">
        <v>207</v>
      </c>
      <c r="C16" s="62">
        <v>43281</v>
      </c>
      <c r="D16" s="77" t="s">
        <v>59</v>
      </c>
      <c r="E16" s="41" t="s">
        <v>156</v>
      </c>
      <c r="F16" s="40" t="s">
        <v>113</v>
      </c>
      <c r="G16" s="40">
        <v>1548</v>
      </c>
      <c r="H16" s="41" t="s">
        <v>66</v>
      </c>
      <c r="I16" s="155">
        <f>1548-216*6</f>
        <v>252</v>
      </c>
      <c r="J16" s="155" t="s">
        <v>227</v>
      </c>
      <c r="K16" s="155"/>
      <c r="L16" s="97" t="s">
        <v>158</v>
      </c>
      <c r="M16" s="95"/>
      <c r="N16" s="95"/>
      <c r="O16" s="17" t="s">
        <v>367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412</v>
      </c>
      <c r="C17" s="86">
        <v>43291</v>
      </c>
      <c r="D17" s="78" t="s">
        <v>55</v>
      </c>
      <c r="E17" s="60" t="s">
        <v>156</v>
      </c>
      <c r="F17" s="38" t="s">
        <v>113</v>
      </c>
      <c r="G17" s="164">
        <v>894</v>
      </c>
      <c r="H17" s="48" t="s">
        <v>66</v>
      </c>
      <c r="I17" s="164">
        <v>432</v>
      </c>
      <c r="J17" s="164" t="s">
        <v>77</v>
      </c>
      <c r="K17" s="164"/>
      <c r="L17" s="119" t="s">
        <v>414</v>
      </c>
      <c r="M17" s="49"/>
      <c r="N17" s="15"/>
      <c r="O17" s="20" t="s">
        <v>368</v>
      </c>
      <c r="P17" s="21">
        <v>2</v>
      </c>
      <c r="Q17" s="22" t="s">
        <v>20</v>
      </c>
    </row>
    <row r="18" spans="1:17" ht="23.25" customHeight="1" x14ac:dyDescent="0.25">
      <c r="A18" s="288"/>
      <c r="B18" s="43" t="s">
        <v>413</v>
      </c>
      <c r="C18" s="58"/>
      <c r="D18" s="78"/>
      <c r="E18" s="60"/>
      <c r="F18" s="38"/>
      <c r="G18" s="38"/>
      <c r="H18" s="60"/>
      <c r="I18" s="38">
        <f>894-216*2</f>
        <v>462</v>
      </c>
      <c r="J18" s="38" t="s">
        <v>82</v>
      </c>
      <c r="K18" s="38"/>
      <c r="L18" s="99"/>
      <c r="M18" s="49"/>
      <c r="N18" s="15"/>
      <c r="O18" s="20" t="s">
        <v>369</v>
      </c>
      <c r="P18" s="21">
        <v>3</v>
      </c>
      <c r="Q18" s="22" t="s">
        <v>21</v>
      </c>
    </row>
    <row r="19" spans="1:17" ht="23.25" customHeight="1" x14ac:dyDescent="0.25">
      <c r="A19" s="288"/>
      <c r="B19" s="43" t="s">
        <v>415</v>
      </c>
      <c r="C19" s="86">
        <v>43274</v>
      </c>
      <c r="D19" s="78" t="s">
        <v>55</v>
      </c>
      <c r="E19" s="60" t="s">
        <v>156</v>
      </c>
      <c r="F19" s="38" t="s">
        <v>416</v>
      </c>
      <c r="G19" s="38">
        <v>852</v>
      </c>
      <c r="H19" s="60" t="s">
        <v>66</v>
      </c>
      <c r="I19" s="164">
        <v>216</v>
      </c>
      <c r="J19" s="164" t="s">
        <v>84</v>
      </c>
      <c r="K19" s="164"/>
      <c r="L19" s="119" t="s">
        <v>414</v>
      </c>
      <c r="M19" s="49"/>
      <c r="N19" s="49"/>
      <c r="O19" s="20" t="s">
        <v>370</v>
      </c>
      <c r="P19" s="21">
        <v>4</v>
      </c>
      <c r="Q19" s="22" t="s">
        <v>21</v>
      </c>
    </row>
    <row r="20" spans="1:17" ht="23.25" customHeight="1" x14ac:dyDescent="0.25">
      <c r="A20" s="288"/>
      <c r="B20" s="43" t="s">
        <v>97</v>
      </c>
      <c r="C20" s="86"/>
      <c r="D20" s="78"/>
      <c r="E20" s="60"/>
      <c r="F20" s="38"/>
      <c r="G20" s="38"/>
      <c r="H20" s="60"/>
      <c r="I20" s="164"/>
      <c r="J20" s="164"/>
      <c r="K20" s="164"/>
      <c r="L20" s="99"/>
      <c r="M20" s="49"/>
      <c r="N20" s="5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82"/>
      <c r="H21" s="182"/>
      <c r="I21" s="182">
        <f>SUM(I16:I20)</f>
        <v>1362</v>
      </c>
      <c r="J21" s="182"/>
      <c r="K21" s="182"/>
      <c r="L21" s="80"/>
      <c r="M21" s="182"/>
      <c r="N21" s="182"/>
      <c r="O21" s="114"/>
      <c r="P21" s="182"/>
      <c r="Q21" s="183"/>
    </row>
    <row r="22" spans="1:17" ht="23.25" customHeight="1" x14ac:dyDescent="0.25">
      <c r="A22" s="310" t="s">
        <v>47</v>
      </c>
      <c r="B22" s="42" t="s">
        <v>300</v>
      </c>
      <c r="C22" s="62">
        <v>43281</v>
      </c>
      <c r="D22" s="77" t="s">
        <v>59</v>
      </c>
      <c r="E22" s="41" t="s">
        <v>69</v>
      </c>
      <c r="F22" s="108" t="s">
        <v>109</v>
      </c>
      <c r="G22" s="40">
        <v>156</v>
      </c>
      <c r="H22" s="41" t="s">
        <v>66</v>
      </c>
      <c r="I22" s="40">
        <v>156</v>
      </c>
      <c r="J22" s="40" t="s">
        <v>84</v>
      </c>
      <c r="K22" s="40"/>
      <c r="L22" s="97" t="s">
        <v>210</v>
      </c>
      <c r="M22" s="16"/>
      <c r="N22" s="95"/>
      <c r="O22" s="17" t="s">
        <v>367</v>
      </c>
      <c r="P22" s="18">
        <v>1</v>
      </c>
      <c r="Q22" s="19" t="s">
        <v>19</v>
      </c>
    </row>
    <row r="23" spans="1:17" ht="23.25" customHeight="1" x14ac:dyDescent="0.25">
      <c r="A23" s="311"/>
      <c r="B23" s="43" t="s">
        <v>301</v>
      </c>
      <c r="C23" s="58">
        <v>43281</v>
      </c>
      <c r="D23" s="78" t="s">
        <v>59</v>
      </c>
      <c r="E23" s="60" t="s">
        <v>69</v>
      </c>
      <c r="F23" s="118" t="s">
        <v>109</v>
      </c>
      <c r="G23" s="38">
        <v>1632</v>
      </c>
      <c r="H23" s="60" t="s">
        <v>66</v>
      </c>
      <c r="I23" s="38">
        <v>432</v>
      </c>
      <c r="J23" s="38" t="s">
        <v>77</v>
      </c>
      <c r="K23" s="38"/>
      <c r="L23" s="99" t="s">
        <v>210</v>
      </c>
      <c r="M23" s="87"/>
      <c r="N23" s="87"/>
      <c r="O23" s="20" t="s">
        <v>368</v>
      </c>
      <c r="P23" s="21">
        <v>2</v>
      </c>
      <c r="Q23" s="22" t="s">
        <v>20</v>
      </c>
    </row>
    <row r="24" spans="1:17" ht="23.25" customHeight="1" x14ac:dyDescent="0.25">
      <c r="A24" s="311"/>
      <c r="B24" s="43" t="s">
        <v>73</v>
      </c>
      <c r="C24" s="58"/>
      <c r="D24" s="78"/>
      <c r="E24" s="60"/>
      <c r="F24" s="118"/>
      <c r="G24" s="38"/>
      <c r="H24" s="60"/>
      <c r="I24" s="38">
        <v>432</v>
      </c>
      <c r="J24" s="38" t="s">
        <v>82</v>
      </c>
      <c r="K24" s="38"/>
      <c r="L24" s="99"/>
      <c r="M24" s="15"/>
      <c r="N24" s="15"/>
      <c r="O24" s="20" t="s">
        <v>369</v>
      </c>
      <c r="P24" s="21">
        <v>3</v>
      </c>
      <c r="Q24" s="22" t="s">
        <v>21</v>
      </c>
    </row>
    <row r="25" spans="1:17" ht="23.25" customHeight="1" x14ac:dyDescent="0.25">
      <c r="A25" s="311"/>
      <c r="B25" s="43"/>
      <c r="C25" s="58"/>
      <c r="D25" s="78"/>
      <c r="E25" s="60"/>
      <c r="F25" s="118"/>
      <c r="G25" s="38"/>
      <c r="H25" s="60"/>
      <c r="I25" s="38">
        <v>216</v>
      </c>
      <c r="J25" s="38" t="s">
        <v>470</v>
      </c>
      <c r="K25" s="38"/>
      <c r="L25" s="99"/>
      <c r="M25" s="15"/>
      <c r="N25" s="15"/>
      <c r="O25" s="20" t="s">
        <v>370</v>
      </c>
      <c r="P25" s="21">
        <v>4</v>
      </c>
      <c r="Q25" s="22" t="s">
        <v>21</v>
      </c>
    </row>
    <row r="26" spans="1:17" ht="23.25" customHeight="1" x14ac:dyDescent="0.25">
      <c r="A26" s="311"/>
      <c r="B26" s="45"/>
      <c r="C26" s="86"/>
      <c r="D26" s="82"/>
      <c r="E26" s="79"/>
      <c r="F26" s="101"/>
      <c r="G26" s="164"/>
      <c r="H26" s="48"/>
      <c r="I26" s="38"/>
      <c r="J26" s="38"/>
      <c r="K26" s="38"/>
      <c r="L26" s="99"/>
      <c r="M26" s="15"/>
      <c r="N26" s="49"/>
      <c r="O26" s="20"/>
      <c r="P26" s="21"/>
      <c r="Q26" s="22"/>
    </row>
    <row r="27" spans="1:17" ht="23.25" customHeight="1" thickBot="1" x14ac:dyDescent="0.3">
      <c r="A27" s="312"/>
      <c r="B27" s="93" t="s">
        <v>64</v>
      </c>
      <c r="C27" s="290" t="s">
        <v>65</v>
      </c>
      <c r="D27" s="291"/>
      <c r="E27" s="291"/>
      <c r="F27" s="292"/>
      <c r="G27" s="182"/>
      <c r="H27" s="182"/>
      <c r="I27" s="183">
        <f>SUM(I22:I26)</f>
        <v>1236</v>
      </c>
      <c r="J27" s="183"/>
      <c r="K27" s="183"/>
      <c r="L27" s="162"/>
      <c r="M27" s="183"/>
      <c r="N27" s="183"/>
      <c r="O27" s="183"/>
      <c r="P27" s="183"/>
      <c r="Q27" s="183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5166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184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F30:Q30"/>
    <mergeCell ref="B31:Q31"/>
    <mergeCell ref="F32:O32"/>
    <mergeCell ref="P32:Q32"/>
    <mergeCell ref="B33:O33"/>
    <mergeCell ref="A22:A27"/>
    <mergeCell ref="C27:F27"/>
    <mergeCell ref="A1:Q1"/>
    <mergeCell ref="A2:B2"/>
    <mergeCell ref="C2:E2"/>
    <mergeCell ref="F2:G2"/>
    <mergeCell ref="O2:Q2"/>
    <mergeCell ref="A4:A9"/>
    <mergeCell ref="C13:D13"/>
    <mergeCell ref="A10:A15"/>
    <mergeCell ref="A16:A21"/>
    <mergeCell ref="C21:F21"/>
    <mergeCell ref="C9:F9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topLeftCell="A4" zoomScale="115" zoomScaleNormal="115" workbookViewId="0">
      <selection activeCell="B4" sqref="B4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42" t="s">
        <v>304</v>
      </c>
      <c r="C4" s="62">
        <v>43259</v>
      </c>
      <c r="D4" s="77" t="s">
        <v>121</v>
      </c>
      <c r="E4" s="187" t="s">
        <v>56</v>
      </c>
      <c r="F4" s="188" t="s">
        <v>305</v>
      </c>
      <c r="G4" s="155">
        <v>2364</v>
      </c>
      <c r="H4" s="81" t="s">
        <v>70</v>
      </c>
      <c r="I4" s="155">
        <v>456</v>
      </c>
      <c r="J4" s="155" t="s">
        <v>85</v>
      </c>
      <c r="K4" s="155"/>
      <c r="L4" s="53" t="s">
        <v>67</v>
      </c>
      <c r="M4" s="16"/>
      <c r="N4" s="16"/>
      <c r="O4" s="17" t="s">
        <v>367</v>
      </c>
      <c r="P4" s="18">
        <v>1</v>
      </c>
      <c r="Q4" s="19" t="s">
        <v>19</v>
      </c>
    </row>
    <row r="5" spans="1:17" ht="23.25" customHeight="1" x14ac:dyDescent="0.25">
      <c r="A5" s="288"/>
      <c r="B5" s="126" t="s">
        <v>306</v>
      </c>
      <c r="C5" s="58"/>
      <c r="D5" s="78"/>
      <c r="E5" s="125"/>
      <c r="F5" s="143"/>
      <c r="G5" s="38"/>
      <c r="H5" s="60"/>
      <c r="I5" s="84">
        <v>456</v>
      </c>
      <c r="J5" s="164" t="s">
        <v>272</v>
      </c>
      <c r="K5" s="164"/>
      <c r="L5" s="57"/>
      <c r="M5" s="98"/>
      <c r="N5" s="63"/>
      <c r="O5" s="20" t="s">
        <v>368</v>
      </c>
      <c r="P5" s="21">
        <v>2</v>
      </c>
      <c r="Q5" s="22" t="s">
        <v>20</v>
      </c>
    </row>
    <row r="6" spans="1:17" ht="23.25" customHeight="1" x14ac:dyDescent="0.25">
      <c r="A6" s="288"/>
      <c r="B6" s="45"/>
      <c r="C6" s="112"/>
      <c r="D6" s="135"/>
      <c r="E6" s="82"/>
      <c r="F6" s="103" t="s">
        <v>112</v>
      </c>
      <c r="G6" s="39"/>
      <c r="H6" s="60"/>
      <c r="I6" s="164">
        <f>2364-228*9</f>
        <v>312</v>
      </c>
      <c r="J6" s="164" t="s">
        <v>441</v>
      </c>
      <c r="K6" s="164"/>
      <c r="L6" s="57"/>
      <c r="M6" s="98"/>
      <c r="N6" s="63"/>
      <c r="O6" s="20" t="s">
        <v>369</v>
      </c>
      <c r="P6" s="21">
        <v>3</v>
      </c>
      <c r="Q6" s="22" t="s">
        <v>21</v>
      </c>
    </row>
    <row r="7" spans="1:17" ht="23.25" customHeight="1" x14ac:dyDescent="0.25">
      <c r="A7" s="288"/>
      <c r="B7" s="126" t="s">
        <v>442</v>
      </c>
      <c r="C7" s="58">
        <v>43269</v>
      </c>
      <c r="D7" s="78" t="s">
        <v>93</v>
      </c>
      <c r="E7" s="125" t="s">
        <v>56</v>
      </c>
      <c r="F7" s="143" t="s">
        <v>443</v>
      </c>
      <c r="G7" s="38">
        <v>360</v>
      </c>
      <c r="H7" s="60" t="s">
        <v>53</v>
      </c>
      <c r="I7" s="84">
        <v>360</v>
      </c>
      <c r="J7" s="164" t="s">
        <v>77</v>
      </c>
      <c r="K7" s="164"/>
      <c r="L7" s="57" t="s">
        <v>444</v>
      </c>
      <c r="M7" s="63"/>
      <c r="N7" s="63"/>
      <c r="O7" s="20"/>
      <c r="P7" s="21"/>
      <c r="Q7" s="22"/>
    </row>
    <row r="8" spans="1:17" ht="23.25" customHeight="1" x14ac:dyDescent="0.25">
      <c r="A8" s="288"/>
      <c r="B8" s="45"/>
      <c r="C8" s="315" t="s">
        <v>35</v>
      </c>
      <c r="D8" s="316"/>
      <c r="E8" s="82"/>
      <c r="F8" s="10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x14ac:dyDescent="0.25">
      <c r="A9" s="288"/>
      <c r="B9" s="45" t="s">
        <v>445</v>
      </c>
      <c r="C9" s="58">
        <v>43275</v>
      </c>
      <c r="D9" s="78" t="s">
        <v>93</v>
      </c>
      <c r="E9" s="125" t="s">
        <v>56</v>
      </c>
      <c r="F9" s="143" t="s">
        <v>443</v>
      </c>
      <c r="G9" s="164">
        <v>3000</v>
      </c>
      <c r="H9" s="48" t="s">
        <v>53</v>
      </c>
      <c r="I9" s="164">
        <v>228</v>
      </c>
      <c r="J9" s="164" t="s">
        <v>84</v>
      </c>
      <c r="K9" s="164"/>
      <c r="L9" s="57" t="s">
        <v>447</v>
      </c>
      <c r="M9" s="49"/>
      <c r="N9" s="49"/>
      <c r="O9" s="20" t="s">
        <v>370</v>
      </c>
      <c r="P9" s="21">
        <v>4</v>
      </c>
      <c r="Q9" s="22" t="s">
        <v>21</v>
      </c>
    </row>
    <row r="10" spans="1:17" ht="23.25" customHeight="1" x14ac:dyDescent="0.25">
      <c r="A10" s="288"/>
      <c r="B10" s="45" t="s">
        <v>199</v>
      </c>
      <c r="C10" s="315" t="s">
        <v>35</v>
      </c>
      <c r="D10" s="316"/>
      <c r="E10" s="325" t="s">
        <v>446</v>
      </c>
      <c r="F10" s="326"/>
      <c r="G10" s="164"/>
      <c r="H10" s="48"/>
      <c r="I10" s="164"/>
      <c r="J10" s="164"/>
      <c r="K10" s="164"/>
      <c r="L10" s="57"/>
      <c r="M10" s="49"/>
      <c r="N10" s="49"/>
      <c r="O10" s="100"/>
      <c r="P10" s="50"/>
      <c r="Q10" s="22"/>
    </row>
    <row r="11" spans="1:17" ht="23.25" customHeight="1" thickBot="1" x14ac:dyDescent="0.3">
      <c r="A11" s="289"/>
      <c r="B11" s="93" t="s">
        <v>64</v>
      </c>
      <c r="C11" s="290" t="s">
        <v>65</v>
      </c>
      <c r="D11" s="291"/>
      <c r="E11" s="291"/>
      <c r="F11" s="292"/>
      <c r="G11" s="182"/>
      <c r="H11" s="182"/>
      <c r="I11" s="182">
        <f>SUM(I4:I9)</f>
        <v>1812</v>
      </c>
      <c r="J11" s="182"/>
      <c r="K11" s="182"/>
      <c r="L11" s="173"/>
      <c r="M11" s="182"/>
      <c r="N11" s="182"/>
      <c r="O11" s="182"/>
      <c r="P11" s="183"/>
      <c r="Q11" s="183"/>
    </row>
    <row r="12" spans="1:17" ht="23.25" customHeight="1" x14ac:dyDescent="0.25">
      <c r="A12" s="287" t="s">
        <v>49</v>
      </c>
      <c r="B12" s="92" t="s">
        <v>419</v>
      </c>
      <c r="C12" s="121">
        <v>43270</v>
      </c>
      <c r="D12" s="138" t="s">
        <v>121</v>
      </c>
      <c r="E12" s="77" t="s">
        <v>56</v>
      </c>
      <c r="F12" s="40" t="s">
        <v>134</v>
      </c>
      <c r="G12" s="40">
        <v>9942</v>
      </c>
      <c r="H12" s="41" t="s">
        <v>70</v>
      </c>
      <c r="I12" s="155">
        <v>456</v>
      </c>
      <c r="J12" s="155" t="s">
        <v>417</v>
      </c>
      <c r="K12" s="155"/>
      <c r="L12" s="54" t="s">
        <v>67</v>
      </c>
      <c r="M12" s="16"/>
      <c r="N12" s="16"/>
      <c r="O12" s="17" t="s">
        <v>367</v>
      </c>
      <c r="P12" s="18">
        <v>1</v>
      </c>
      <c r="Q12" s="19" t="s">
        <v>19</v>
      </c>
    </row>
    <row r="13" spans="1:17" ht="23.25" customHeight="1" x14ac:dyDescent="0.25">
      <c r="A13" s="288"/>
      <c r="B13" s="85" t="s">
        <v>135</v>
      </c>
      <c r="C13" s="112"/>
      <c r="D13" s="135"/>
      <c r="E13" s="82"/>
      <c r="F13" s="103" t="s">
        <v>112</v>
      </c>
      <c r="G13" s="39"/>
      <c r="H13" s="60"/>
      <c r="I13" s="164">
        <v>138</v>
      </c>
      <c r="J13" s="164" t="s">
        <v>418</v>
      </c>
      <c r="K13" s="164"/>
      <c r="L13" s="88"/>
      <c r="M13" s="63"/>
      <c r="N13" s="63"/>
      <c r="O13" s="20" t="s">
        <v>368</v>
      </c>
      <c r="P13" s="21">
        <v>2</v>
      </c>
      <c r="Q13" s="22" t="s">
        <v>20</v>
      </c>
    </row>
    <row r="14" spans="1:17" ht="23.25" customHeight="1" x14ac:dyDescent="0.25">
      <c r="A14" s="288"/>
      <c r="B14" s="85" t="s">
        <v>420</v>
      </c>
      <c r="C14" s="112">
        <v>43277</v>
      </c>
      <c r="D14" s="135" t="s">
        <v>93</v>
      </c>
      <c r="E14" s="82" t="s">
        <v>56</v>
      </c>
      <c r="F14" s="88" t="s">
        <v>305</v>
      </c>
      <c r="G14" s="39">
        <v>14832</v>
      </c>
      <c r="H14" s="60" t="s">
        <v>70</v>
      </c>
      <c r="I14" s="164">
        <v>456</v>
      </c>
      <c r="J14" s="164" t="s">
        <v>422</v>
      </c>
      <c r="K14" s="164"/>
      <c r="L14" s="88" t="s">
        <v>424</v>
      </c>
      <c r="M14" s="63"/>
      <c r="N14" s="63"/>
      <c r="O14" s="20" t="s">
        <v>369</v>
      </c>
      <c r="P14" s="21">
        <v>3</v>
      </c>
      <c r="Q14" s="22" t="s">
        <v>21</v>
      </c>
    </row>
    <row r="15" spans="1:17" ht="23.25" customHeight="1" x14ac:dyDescent="0.25">
      <c r="A15" s="288"/>
      <c r="B15" s="85" t="s">
        <v>421</v>
      </c>
      <c r="C15" s="112"/>
      <c r="D15" s="135"/>
      <c r="E15" s="82"/>
      <c r="F15" s="39"/>
      <c r="G15" s="39"/>
      <c r="H15" s="60"/>
      <c r="I15" s="164">
        <v>456</v>
      </c>
      <c r="J15" s="164" t="s">
        <v>423</v>
      </c>
      <c r="K15" s="164"/>
      <c r="L15" s="88"/>
      <c r="M15" s="15"/>
      <c r="N15" s="15"/>
      <c r="O15" s="20"/>
      <c r="P15" s="21"/>
      <c r="Q15" s="22"/>
    </row>
    <row r="16" spans="1:17" ht="23.25" customHeight="1" x14ac:dyDescent="0.25">
      <c r="A16" s="288"/>
      <c r="B16" s="85"/>
      <c r="C16" s="112"/>
      <c r="D16" s="135"/>
      <c r="E16" s="82"/>
      <c r="F16" s="103"/>
      <c r="G16" s="39"/>
      <c r="H16" s="60"/>
      <c r="I16" s="164">
        <v>228</v>
      </c>
      <c r="J16" s="164" t="s">
        <v>471</v>
      </c>
      <c r="K16" s="164"/>
      <c r="L16" s="88"/>
      <c r="M16" s="15"/>
      <c r="N16" s="15"/>
      <c r="O16" s="20" t="s">
        <v>370</v>
      </c>
      <c r="P16" s="21">
        <v>4</v>
      </c>
      <c r="Q16" s="22" t="s">
        <v>21</v>
      </c>
    </row>
    <row r="17" spans="1:17" ht="23.25" customHeight="1" thickBot="1" x14ac:dyDescent="0.3">
      <c r="A17" s="289"/>
      <c r="B17" s="93" t="s">
        <v>64</v>
      </c>
      <c r="C17" s="290" t="s">
        <v>65</v>
      </c>
      <c r="D17" s="291"/>
      <c r="E17" s="291"/>
      <c r="F17" s="292"/>
      <c r="G17" s="114"/>
      <c r="H17" s="114"/>
      <c r="I17" s="115">
        <f>SUM(I12:I16)</f>
        <v>1734</v>
      </c>
      <c r="J17" s="115"/>
      <c r="K17" s="115"/>
      <c r="L17" s="96"/>
      <c r="M17" s="114"/>
      <c r="N17" s="114"/>
      <c r="O17" s="114"/>
      <c r="P17" s="183"/>
      <c r="Q17" s="183"/>
    </row>
    <row r="18" spans="1:17" ht="23.25" customHeight="1" x14ac:dyDescent="0.25">
      <c r="A18" s="287" t="s">
        <v>50</v>
      </c>
      <c r="B18" s="92" t="s">
        <v>314</v>
      </c>
      <c r="C18" s="121">
        <v>43277</v>
      </c>
      <c r="D18" s="138" t="s">
        <v>93</v>
      </c>
      <c r="E18" s="77" t="s">
        <v>56</v>
      </c>
      <c r="F18" s="40" t="s">
        <v>315</v>
      </c>
      <c r="G18" s="40">
        <v>15600</v>
      </c>
      <c r="H18" s="41" t="s">
        <v>70</v>
      </c>
      <c r="I18" s="164">
        <v>456</v>
      </c>
      <c r="J18" s="164" t="s">
        <v>77</v>
      </c>
      <c r="K18" s="164"/>
      <c r="L18" s="57" t="s">
        <v>67</v>
      </c>
      <c r="M18" s="16"/>
      <c r="N18" s="16"/>
      <c r="O18" s="17" t="s">
        <v>367</v>
      </c>
      <c r="P18" s="18">
        <v>1</v>
      </c>
      <c r="Q18" s="19" t="s">
        <v>19</v>
      </c>
    </row>
    <row r="19" spans="1:17" ht="23.25" customHeight="1" x14ac:dyDescent="0.25">
      <c r="A19" s="288"/>
      <c r="B19" s="45" t="s">
        <v>316</v>
      </c>
      <c r="C19" s="46"/>
      <c r="D19" s="47"/>
      <c r="E19" s="48"/>
      <c r="F19" s="88"/>
      <c r="G19" s="39"/>
      <c r="H19" s="79"/>
      <c r="I19" s="164">
        <v>456</v>
      </c>
      <c r="J19" s="164" t="s">
        <v>82</v>
      </c>
      <c r="K19" s="164"/>
      <c r="L19" s="57"/>
      <c r="M19" s="15"/>
      <c r="N19" s="15"/>
      <c r="O19" s="20" t="s">
        <v>368</v>
      </c>
      <c r="P19" s="21">
        <v>2</v>
      </c>
      <c r="Q19" s="22" t="s">
        <v>20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>
        <v>456</v>
      </c>
      <c r="J20" s="164" t="s">
        <v>425</v>
      </c>
      <c r="K20" s="164"/>
      <c r="L20" s="57"/>
      <c r="M20" s="15"/>
      <c r="N20" s="15"/>
      <c r="O20" s="20" t="s">
        <v>369</v>
      </c>
      <c r="P20" s="21">
        <v>3</v>
      </c>
      <c r="Q20" s="22" t="s">
        <v>21</v>
      </c>
    </row>
    <row r="21" spans="1:17" ht="23.25" customHeight="1" x14ac:dyDescent="0.25">
      <c r="A21" s="288"/>
      <c r="B21" s="45"/>
      <c r="C21" s="46"/>
      <c r="D21" s="47"/>
      <c r="E21" s="48"/>
      <c r="F21" s="159"/>
      <c r="G21" s="39"/>
      <c r="H21" s="79"/>
      <c r="I21" s="84">
        <v>228</v>
      </c>
      <c r="J21" s="164" t="s">
        <v>227</v>
      </c>
      <c r="K21" s="164"/>
      <c r="L21" s="57"/>
      <c r="M21" s="49"/>
      <c r="N21" s="49"/>
      <c r="O21" s="20" t="s">
        <v>370</v>
      </c>
      <c r="P21" s="21">
        <v>4</v>
      </c>
      <c r="Q21" s="22" t="s">
        <v>21</v>
      </c>
    </row>
    <row r="22" spans="1:17" ht="23.25" customHeight="1" x14ac:dyDescent="0.25">
      <c r="A22" s="288"/>
      <c r="B22" s="45"/>
      <c r="C22" s="46"/>
      <c r="D22" s="47"/>
      <c r="E22" s="48"/>
      <c r="F22" s="103"/>
      <c r="G22" s="39"/>
      <c r="H22" s="79"/>
      <c r="I22" s="164"/>
      <c r="J22" s="57"/>
      <c r="K22" s="164"/>
      <c r="L22" s="57"/>
      <c r="M22" s="49"/>
      <c r="N22" s="49"/>
      <c r="O22" s="20"/>
      <c r="P22" s="21"/>
      <c r="Q22" s="22"/>
    </row>
    <row r="23" spans="1:17" ht="23.2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114"/>
      <c r="H23" s="114"/>
      <c r="I23" s="182">
        <f>SUM(I18:I22)</f>
        <v>1596</v>
      </c>
      <c r="J23" s="182"/>
      <c r="K23" s="182"/>
      <c r="L23" s="173"/>
      <c r="M23" s="182"/>
      <c r="N23" s="182"/>
      <c r="O23" s="182"/>
      <c r="P23" s="183"/>
      <c r="Q23" s="183"/>
    </row>
    <row r="24" spans="1:17" ht="23.25" customHeight="1" x14ac:dyDescent="0.25">
      <c r="A24" s="287" t="s">
        <v>52</v>
      </c>
      <c r="B24" s="327" t="s">
        <v>322</v>
      </c>
      <c r="C24" s="189">
        <v>43277</v>
      </c>
      <c r="D24" s="190" t="s">
        <v>93</v>
      </c>
      <c r="E24" s="179" t="s">
        <v>56</v>
      </c>
      <c r="F24" s="191" t="s">
        <v>319</v>
      </c>
      <c r="G24" s="168">
        <v>25980</v>
      </c>
      <c r="H24" s="192" t="s">
        <v>70</v>
      </c>
      <c r="I24" s="178">
        <v>456</v>
      </c>
      <c r="J24" s="196" t="s">
        <v>426</v>
      </c>
      <c r="K24" s="178"/>
      <c r="L24" s="180" t="s">
        <v>67</v>
      </c>
      <c r="M24" s="16"/>
      <c r="N24" s="16"/>
      <c r="O24" s="17" t="s">
        <v>367</v>
      </c>
      <c r="P24" s="18">
        <v>1</v>
      </c>
      <c r="Q24" s="19" t="s">
        <v>19</v>
      </c>
    </row>
    <row r="25" spans="1:17" ht="23.25" customHeight="1" x14ac:dyDescent="0.25">
      <c r="A25" s="288"/>
      <c r="B25" s="324"/>
      <c r="C25" s="320" t="s">
        <v>320</v>
      </c>
      <c r="D25" s="321"/>
      <c r="E25" s="322"/>
      <c r="F25" s="103"/>
      <c r="G25" s="38"/>
      <c r="H25" s="193"/>
      <c r="I25" s="164">
        <v>456</v>
      </c>
      <c r="J25" s="197" t="s">
        <v>427</v>
      </c>
      <c r="K25" s="194"/>
      <c r="L25" s="195"/>
      <c r="M25" s="87"/>
      <c r="N25" s="15"/>
      <c r="O25" s="20" t="s">
        <v>368</v>
      </c>
      <c r="P25" s="21">
        <v>2</v>
      </c>
      <c r="Q25" s="22" t="s">
        <v>20</v>
      </c>
    </row>
    <row r="26" spans="1:17" ht="23.25" customHeight="1" x14ac:dyDescent="0.25">
      <c r="A26" s="288"/>
      <c r="B26" s="45" t="s">
        <v>321</v>
      </c>
      <c r="C26" s="46"/>
      <c r="D26" s="47"/>
      <c r="E26" s="82"/>
      <c r="F26" s="88" t="s">
        <v>119</v>
      </c>
      <c r="G26" s="39"/>
      <c r="H26" s="48"/>
      <c r="I26" s="164">
        <v>228</v>
      </c>
      <c r="J26" s="51" t="s">
        <v>472</v>
      </c>
      <c r="K26" s="164"/>
      <c r="L26" s="57"/>
      <c r="M26" s="49"/>
      <c r="N26" s="15"/>
      <c r="O26" s="20" t="s">
        <v>369</v>
      </c>
      <c r="P26" s="21">
        <v>3</v>
      </c>
      <c r="Q26" s="22" t="s">
        <v>21</v>
      </c>
    </row>
    <row r="27" spans="1:17" ht="23.25" customHeight="1" x14ac:dyDescent="0.25">
      <c r="A27" s="288"/>
      <c r="B27" s="45"/>
      <c r="C27" s="46"/>
      <c r="D27" s="47"/>
      <c r="E27" s="82"/>
      <c r="F27" s="103"/>
      <c r="G27" s="39"/>
      <c r="H27" s="48"/>
      <c r="I27" s="164">
        <v>228</v>
      </c>
      <c r="J27" s="51" t="s">
        <v>473</v>
      </c>
      <c r="K27" s="164"/>
      <c r="L27" s="57"/>
      <c r="M27" s="49"/>
      <c r="N27" s="49"/>
      <c r="O27" s="20" t="s">
        <v>370</v>
      </c>
      <c r="P27" s="21">
        <v>4</v>
      </c>
      <c r="Q27" s="22" t="s">
        <v>21</v>
      </c>
    </row>
    <row r="28" spans="1:17" ht="23.25" customHeight="1" x14ac:dyDescent="0.25">
      <c r="A28" s="288"/>
      <c r="B28" s="45"/>
      <c r="C28" s="46"/>
      <c r="D28" s="47"/>
      <c r="E28" s="82"/>
      <c r="F28" s="88"/>
      <c r="G28" s="39"/>
      <c r="H28" s="48"/>
      <c r="I28" s="164"/>
      <c r="J28" s="57"/>
      <c r="K28" s="164"/>
      <c r="L28" s="57"/>
      <c r="M28" s="49"/>
      <c r="N28" s="49"/>
      <c r="O28" s="20"/>
      <c r="P28" s="21"/>
      <c r="Q28" s="22"/>
    </row>
    <row r="29" spans="1:17" ht="23.25" customHeight="1" thickBot="1" x14ac:dyDescent="0.3">
      <c r="A29" s="289"/>
      <c r="B29" s="94"/>
      <c r="C29" s="114"/>
      <c r="D29" s="114"/>
      <c r="E29" s="114"/>
      <c r="F29" s="114"/>
      <c r="G29" s="114"/>
      <c r="H29" s="114"/>
      <c r="I29" s="114">
        <f>SUM(I24:I28)</f>
        <v>1368</v>
      </c>
      <c r="J29" s="114"/>
      <c r="K29" s="114"/>
      <c r="L29" s="80"/>
      <c r="M29" s="114"/>
      <c r="N29" s="114"/>
      <c r="O29" s="114"/>
      <c r="P29" s="183"/>
      <c r="Q29" s="183"/>
    </row>
    <row r="30" spans="1:17" ht="29.2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SUM(I29,I23,I17,I11)</f>
        <v>6510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84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22">
    <mergeCell ref="B35:O35"/>
    <mergeCell ref="B24:B25"/>
    <mergeCell ref="C25:E25"/>
    <mergeCell ref="A12:A17"/>
    <mergeCell ref="C17:F17"/>
    <mergeCell ref="A18:A23"/>
    <mergeCell ref="C23:F23"/>
    <mergeCell ref="A24:A29"/>
    <mergeCell ref="F32:Q32"/>
    <mergeCell ref="B33:Q33"/>
    <mergeCell ref="F34:O34"/>
    <mergeCell ref="P34:Q34"/>
    <mergeCell ref="A4:A11"/>
    <mergeCell ref="C11:F11"/>
    <mergeCell ref="C8:D8"/>
    <mergeCell ref="E10:F10"/>
    <mergeCell ref="A1:Q1"/>
    <mergeCell ref="A2:B2"/>
    <mergeCell ref="C2:E2"/>
    <mergeCell ref="F2:G2"/>
    <mergeCell ref="O2:Q2"/>
    <mergeCell ref="C10:D10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6"/>
  <sheetViews>
    <sheetView topLeftCell="A11" zoomScaleNormal="100" workbookViewId="0">
      <selection activeCell="B17" sqref="B17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43255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30</v>
      </c>
      <c r="B4" s="92" t="s">
        <v>225</v>
      </c>
      <c r="C4" s="104">
        <v>43259</v>
      </c>
      <c r="D4" s="90" t="s">
        <v>59</v>
      </c>
      <c r="E4" s="144" t="s">
        <v>54</v>
      </c>
      <c r="F4" s="40" t="s">
        <v>96</v>
      </c>
      <c r="G4" s="40">
        <v>6648</v>
      </c>
      <c r="H4" s="149" t="s">
        <v>90</v>
      </c>
      <c r="I4" s="150">
        <v>432</v>
      </c>
      <c r="J4" s="40" t="s">
        <v>428</v>
      </c>
      <c r="K4" s="40"/>
      <c r="L4" s="107" t="s">
        <v>67</v>
      </c>
      <c r="M4" s="16"/>
      <c r="N4" s="16"/>
      <c r="O4" s="17" t="s">
        <v>367</v>
      </c>
      <c r="P4" s="18">
        <v>1</v>
      </c>
      <c r="Q4" s="19" t="s">
        <v>19</v>
      </c>
    </row>
    <row r="5" spans="1:17" ht="22.5" customHeight="1" x14ac:dyDescent="0.25">
      <c r="A5" s="288"/>
      <c r="B5" s="127" t="s">
        <v>115</v>
      </c>
      <c r="C5" s="313" t="s">
        <v>57</v>
      </c>
      <c r="D5" s="314"/>
      <c r="E5" s="79"/>
      <c r="F5" s="39"/>
      <c r="G5" s="164"/>
      <c r="H5" s="55"/>
      <c r="I5" s="128">
        <v>432</v>
      </c>
      <c r="J5" s="164" t="s">
        <v>429</v>
      </c>
      <c r="K5" s="164"/>
      <c r="L5" s="44"/>
      <c r="M5" s="15"/>
      <c r="N5" s="15"/>
      <c r="O5" s="20" t="s">
        <v>368</v>
      </c>
      <c r="P5" s="21">
        <v>2</v>
      </c>
      <c r="Q5" s="22" t="s">
        <v>20</v>
      </c>
    </row>
    <row r="6" spans="1:17" ht="22.5" customHeight="1" x14ac:dyDescent="0.25">
      <c r="A6" s="288"/>
      <c r="B6" s="127"/>
      <c r="C6" s="112"/>
      <c r="D6" s="110"/>
      <c r="E6" s="79"/>
      <c r="F6" s="39"/>
      <c r="G6" s="164"/>
      <c r="H6" s="55"/>
      <c r="I6" s="128">
        <v>216</v>
      </c>
      <c r="J6" s="164" t="s">
        <v>474</v>
      </c>
      <c r="K6" s="164"/>
      <c r="L6" s="44"/>
      <c r="M6" s="15"/>
      <c r="N6" s="15"/>
      <c r="O6" s="20" t="s">
        <v>369</v>
      </c>
      <c r="P6" s="21">
        <v>3</v>
      </c>
      <c r="Q6" s="22" t="s">
        <v>21</v>
      </c>
    </row>
    <row r="7" spans="1:17" ht="22.5" customHeight="1" x14ac:dyDescent="0.25">
      <c r="A7" s="288"/>
      <c r="B7" s="127"/>
      <c r="C7" s="112"/>
      <c r="D7" s="110"/>
      <c r="E7" s="79"/>
      <c r="F7" s="39"/>
      <c r="G7" s="164"/>
      <c r="H7" s="55"/>
      <c r="I7" s="128">
        <v>216</v>
      </c>
      <c r="J7" s="164" t="s">
        <v>475</v>
      </c>
      <c r="K7" s="164"/>
      <c r="L7" s="44"/>
      <c r="M7" s="15"/>
      <c r="N7" s="15"/>
      <c r="O7" s="20" t="s">
        <v>370</v>
      </c>
      <c r="P7" s="21">
        <v>4</v>
      </c>
      <c r="Q7" s="22" t="s">
        <v>21</v>
      </c>
    </row>
    <row r="8" spans="1:17" ht="22.5" customHeight="1" x14ac:dyDescent="0.25">
      <c r="A8" s="288"/>
      <c r="B8" s="85"/>
      <c r="C8" s="112"/>
      <c r="D8" s="110"/>
      <c r="E8" s="79"/>
      <c r="F8" s="39"/>
      <c r="G8" s="164"/>
      <c r="H8" s="55"/>
      <c r="I8" s="84"/>
      <c r="J8" s="164"/>
      <c r="K8" s="164"/>
      <c r="L8" s="57"/>
      <c r="M8" s="49"/>
      <c r="N8" s="49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82"/>
      <c r="H9" s="182"/>
      <c r="I9" s="182">
        <f>SUM(I4:I7)</f>
        <v>1296</v>
      </c>
      <c r="J9" s="182"/>
      <c r="K9" s="182"/>
      <c r="L9" s="173"/>
      <c r="M9" s="182"/>
      <c r="N9" s="182"/>
      <c r="O9" s="182"/>
      <c r="P9" s="183"/>
      <c r="Q9" s="147"/>
    </row>
    <row r="10" spans="1:17" ht="22.5" customHeight="1" x14ac:dyDescent="0.25">
      <c r="A10" s="288" t="s">
        <v>31</v>
      </c>
      <c r="B10" s="42" t="s">
        <v>431</v>
      </c>
      <c r="C10" s="104">
        <v>43281</v>
      </c>
      <c r="D10" s="90" t="s">
        <v>59</v>
      </c>
      <c r="E10" s="144" t="s">
        <v>54</v>
      </c>
      <c r="F10" s="40" t="s">
        <v>328</v>
      </c>
      <c r="G10" s="40">
        <v>180</v>
      </c>
      <c r="H10" s="149" t="s">
        <v>329</v>
      </c>
      <c r="I10" s="155">
        <v>180</v>
      </c>
      <c r="J10" s="155" t="s">
        <v>84</v>
      </c>
      <c r="K10" s="155"/>
      <c r="L10" s="53" t="s">
        <v>67</v>
      </c>
      <c r="M10" s="16"/>
      <c r="N10" s="16"/>
      <c r="O10" s="17" t="s">
        <v>367</v>
      </c>
      <c r="P10" s="18">
        <v>1</v>
      </c>
      <c r="Q10" s="19" t="s">
        <v>19</v>
      </c>
    </row>
    <row r="11" spans="1:17" ht="22.5" customHeight="1" x14ac:dyDescent="0.25">
      <c r="A11" s="288"/>
      <c r="B11" s="45" t="s">
        <v>432</v>
      </c>
      <c r="C11" s="133">
        <v>43281</v>
      </c>
      <c r="D11" s="134" t="s">
        <v>59</v>
      </c>
      <c r="E11" s="129" t="s">
        <v>54</v>
      </c>
      <c r="F11" s="39" t="s">
        <v>328</v>
      </c>
      <c r="G11" s="39">
        <v>432</v>
      </c>
      <c r="H11" s="146" t="s">
        <v>329</v>
      </c>
      <c r="I11" s="164">
        <v>432</v>
      </c>
      <c r="J11" s="164" t="s">
        <v>77</v>
      </c>
      <c r="K11" s="164"/>
      <c r="L11" s="57" t="s">
        <v>67</v>
      </c>
      <c r="M11" s="15"/>
      <c r="N11" s="15"/>
      <c r="O11" s="20" t="s">
        <v>368</v>
      </c>
      <c r="P11" s="21">
        <v>2</v>
      </c>
      <c r="Q11" s="22" t="s">
        <v>20</v>
      </c>
    </row>
    <row r="12" spans="1:17" ht="22.5" customHeight="1" x14ac:dyDescent="0.25">
      <c r="A12" s="288"/>
      <c r="B12" s="45" t="s">
        <v>433</v>
      </c>
      <c r="C12" s="133">
        <v>43304</v>
      </c>
      <c r="D12" s="134" t="s">
        <v>55</v>
      </c>
      <c r="E12" s="129" t="s">
        <v>54</v>
      </c>
      <c r="F12" s="39" t="s">
        <v>328</v>
      </c>
      <c r="G12" s="39">
        <v>324</v>
      </c>
      <c r="H12" s="146" t="s">
        <v>329</v>
      </c>
      <c r="I12" s="164">
        <v>324</v>
      </c>
      <c r="J12" s="164" t="s">
        <v>77</v>
      </c>
      <c r="K12" s="164"/>
      <c r="L12" s="57" t="s">
        <v>67</v>
      </c>
      <c r="M12" s="15"/>
      <c r="N12" s="15"/>
      <c r="O12" s="20" t="s">
        <v>369</v>
      </c>
      <c r="P12" s="21">
        <v>3</v>
      </c>
      <c r="Q12" s="22" t="s">
        <v>21</v>
      </c>
    </row>
    <row r="13" spans="1:17" ht="22.5" customHeight="1" x14ac:dyDescent="0.25">
      <c r="A13" s="288"/>
      <c r="B13" s="45" t="s">
        <v>435</v>
      </c>
      <c r="C13" s="133">
        <v>43304</v>
      </c>
      <c r="D13" s="134" t="s">
        <v>55</v>
      </c>
      <c r="E13" s="129" t="s">
        <v>54</v>
      </c>
      <c r="F13" s="39" t="s">
        <v>328</v>
      </c>
      <c r="G13" s="39">
        <v>168</v>
      </c>
      <c r="H13" s="146" t="s">
        <v>329</v>
      </c>
      <c r="I13" s="164">
        <v>168</v>
      </c>
      <c r="J13" s="164" t="s">
        <v>84</v>
      </c>
      <c r="K13" s="164"/>
      <c r="L13" s="57" t="s">
        <v>67</v>
      </c>
      <c r="M13" s="49"/>
      <c r="N13" s="49"/>
      <c r="O13" s="20"/>
      <c r="P13" s="21"/>
      <c r="Q13" s="22"/>
    </row>
    <row r="14" spans="1:17" ht="22.5" customHeight="1" x14ac:dyDescent="0.25">
      <c r="A14" s="288"/>
      <c r="B14" s="45" t="s">
        <v>454</v>
      </c>
      <c r="C14" s="133">
        <v>43259</v>
      </c>
      <c r="D14" s="134" t="s">
        <v>59</v>
      </c>
      <c r="E14" s="129" t="s">
        <v>54</v>
      </c>
      <c r="F14" s="39" t="s">
        <v>455</v>
      </c>
      <c r="G14" s="39">
        <v>780</v>
      </c>
      <c r="H14" s="146" t="s">
        <v>456</v>
      </c>
      <c r="I14" s="164">
        <v>432</v>
      </c>
      <c r="J14" s="164" t="s">
        <v>457</v>
      </c>
      <c r="K14" s="164"/>
      <c r="L14" s="57" t="s">
        <v>458</v>
      </c>
      <c r="M14" s="49"/>
      <c r="N14" s="49"/>
      <c r="O14" s="20" t="s">
        <v>370</v>
      </c>
      <c r="P14" s="21">
        <v>4</v>
      </c>
      <c r="Q14" s="22" t="s">
        <v>21</v>
      </c>
    </row>
    <row r="15" spans="1:17" ht="22.5" customHeight="1" x14ac:dyDescent="0.25">
      <c r="A15" s="288"/>
      <c r="B15" s="45" t="s">
        <v>97</v>
      </c>
      <c r="C15" s="313" t="s">
        <v>57</v>
      </c>
      <c r="D15" s="314"/>
      <c r="E15" s="129"/>
      <c r="F15" s="39"/>
      <c r="G15" s="39"/>
      <c r="H15" s="146"/>
      <c r="I15" s="164"/>
      <c r="J15" s="164"/>
      <c r="K15" s="164"/>
      <c r="L15" s="57"/>
      <c r="M15" s="49"/>
      <c r="N15" s="49"/>
      <c r="O15" s="20"/>
      <c r="P15" s="21"/>
      <c r="Q15" s="22"/>
    </row>
    <row r="16" spans="1:17" ht="22.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182"/>
      <c r="H16" s="182"/>
      <c r="I16" s="182">
        <f>SUM(I10:I15)</f>
        <v>1536</v>
      </c>
      <c r="J16" s="182"/>
      <c r="K16" s="182"/>
      <c r="L16" s="173"/>
      <c r="M16" s="182"/>
      <c r="N16" s="182"/>
      <c r="O16" s="182"/>
      <c r="P16" s="182"/>
      <c r="Q16" s="151"/>
    </row>
    <row r="17" spans="1:17" ht="22.5" customHeight="1" x14ac:dyDescent="0.25">
      <c r="A17" s="287" t="s">
        <v>32</v>
      </c>
      <c r="B17" s="42" t="s">
        <v>239</v>
      </c>
      <c r="C17" s="104">
        <v>43267</v>
      </c>
      <c r="D17" s="90" t="s">
        <v>55</v>
      </c>
      <c r="E17" s="144" t="s">
        <v>54</v>
      </c>
      <c r="F17" s="40" t="s">
        <v>240</v>
      </c>
      <c r="G17" s="40">
        <v>792</v>
      </c>
      <c r="H17" s="149" t="s">
        <v>241</v>
      </c>
      <c r="I17" s="155">
        <f>792-216*2</f>
        <v>360</v>
      </c>
      <c r="J17" s="155" t="s">
        <v>460</v>
      </c>
      <c r="K17" s="155"/>
      <c r="L17" s="53" t="s">
        <v>459</v>
      </c>
      <c r="M17" s="16"/>
      <c r="N17" s="16"/>
      <c r="O17" s="17" t="s">
        <v>367</v>
      </c>
      <c r="P17" s="18">
        <v>1</v>
      </c>
      <c r="Q17" s="19" t="s">
        <v>19</v>
      </c>
    </row>
    <row r="18" spans="1:17" ht="22.5" customHeight="1" x14ac:dyDescent="0.25">
      <c r="A18" s="288"/>
      <c r="B18" s="45" t="s">
        <v>97</v>
      </c>
      <c r="C18" s="133"/>
      <c r="D18" s="134"/>
      <c r="E18" s="129"/>
      <c r="F18" s="39"/>
      <c r="G18" s="39"/>
      <c r="H18" s="130"/>
      <c r="I18" s="164"/>
      <c r="J18" s="164"/>
      <c r="K18" s="164"/>
      <c r="L18" s="57"/>
      <c r="M18" s="15"/>
      <c r="N18" s="15"/>
      <c r="O18" s="20"/>
      <c r="P18" s="21"/>
      <c r="Q18" s="22"/>
    </row>
    <row r="19" spans="1:17" ht="22.5" customHeight="1" x14ac:dyDescent="0.25">
      <c r="A19" s="288"/>
      <c r="B19" s="203" t="s">
        <v>461</v>
      </c>
      <c r="C19" s="133">
        <v>43266</v>
      </c>
      <c r="D19" s="134" t="s">
        <v>59</v>
      </c>
      <c r="E19" s="129" t="s">
        <v>54</v>
      </c>
      <c r="F19" s="39" t="s">
        <v>331</v>
      </c>
      <c r="G19" s="39">
        <v>324</v>
      </c>
      <c r="H19" s="130" t="s">
        <v>332</v>
      </c>
      <c r="I19" s="128">
        <v>324</v>
      </c>
      <c r="J19" s="38" t="s">
        <v>457</v>
      </c>
      <c r="K19" s="38"/>
      <c r="L19" s="44" t="s">
        <v>459</v>
      </c>
      <c r="M19" s="15"/>
      <c r="N19" s="15"/>
      <c r="O19" s="20" t="s">
        <v>368</v>
      </c>
      <c r="P19" s="21">
        <v>2</v>
      </c>
      <c r="Q19" s="22" t="s">
        <v>20</v>
      </c>
    </row>
    <row r="20" spans="1:17" ht="22.5" customHeight="1" x14ac:dyDescent="0.25">
      <c r="A20" s="288"/>
      <c r="B20" s="45" t="s">
        <v>333</v>
      </c>
      <c r="C20" s="133">
        <v>43271</v>
      </c>
      <c r="D20" s="134" t="s">
        <v>59</v>
      </c>
      <c r="E20" s="129" t="s">
        <v>54</v>
      </c>
      <c r="F20" s="39" t="s">
        <v>331</v>
      </c>
      <c r="G20" s="39">
        <v>1320</v>
      </c>
      <c r="H20" s="130" t="s">
        <v>332</v>
      </c>
      <c r="I20" s="164">
        <v>216</v>
      </c>
      <c r="J20" s="164" t="s">
        <v>84</v>
      </c>
      <c r="K20" s="164"/>
      <c r="L20" s="57" t="s">
        <v>462</v>
      </c>
      <c r="M20" s="49"/>
      <c r="N20" s="49"/>
      <c r="O20" s="20" t="s">
        <v>369</v>
      </c>
      <c r="P20" s="21">
        <v>3</v>
      </c>
      <c r="Q20" s="22" t="s">
        <v>21</v>
      </c>
    </row>
    <row r="21" spans="1:17" ht="22.5" customHeight="1" x14ac:dyDescent="0.25">
      <c r="A21" s="288"/>
      <c r="B21" s="127" t="s">
        <v>105</v>
      </c>
      <c r="C21" s="133"/>
      <c r="D21" s="134"/>
      <c r="E21" s="129"/>
      <c r="F21" s="38"/>
      <c r="G21" s="38"/>
      <c r="H21" s="154"/>
      <c r="I21" s="164">
        <v>216</v>
      </c>
      <c r="J21" s="164" t="s">
        <v>469</v>
      </c>
      <c r="K21" s="164"/>
      <c r="L21" s="57"/>
      <c r="M21" s="49"/>
      <c r="N21" s="49"/>
      <c r="O21" s="20" t="s">
        <v>370</v>
      </c>
      <c r="P21" s="21">
        <v>4</v>
      </c>
      <c r="Q21" s="22" t="s">
        <v>21</v>
      </c>
    </row>
    <row r="22" spans="1:17" ht="22.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182"/>
      <c r="H22" s="182"/>
      <c r="I22" s="182">
        <f>SUM(I17:I21)</f>
        <v>1116</v>
      </c>
      <c r="J22" s="182"/>
      <c r="K22" s="182"/>
      <c r="L22" s="173"/>
      <c r="M22" s="182"/>
      <c r="N22" s="182"/>
      <c r="O22" s="182"/>
      <c r="P22" s="182"/>
      <c r="Q22" s="147"/>
    </row>
    <row r="23" spans="1:17" ht="22.5" customHeight="1" x14ac:dyDescent="0.25">
      <c r="A23" s="287" t="s">
        <v>33</v>
      </c>
      <c r="B23" s="42" t="s">
        <v>334</v>
      </c>
      <c r="C23" s="116">
        <v>43274</v>
      </c>
      <c r="D23" s="52" t="s">
        <v>55</v>
      </c>
      <c r="E23" s="144" t="s">
        <v>69</v>
      </c>
      <c r="F23" s="40" t="s">
        <v>103</v>
      </c>
      <c r="G23" s="155">
        <v>540</v>
      </c>
      <c r="H23" s="198" t="s">
        <v>104</v>
      </c>
      <c r="I23" s="155">
        <f>540-216*2</f>
        <v>108</v>
      </c>
      <c r="J23" s="81" t="s">
        <v>354</v>
      </c>
      <c r="K23" s="155"/>
      <c r="L23" s="53" t="s">
        <v>67</v>
      </c>
      <c r="M23" s="16"/>
      <c r="N23" s="16"/>
      <c r="O23" s="17" t="s">
        <v>367</v>
      </c>
      <c r="P23" s="18">
        <v>1</v>
      </c>
      <c r="Q23" s="19" t="s">
        <v>19</v>
      </c>
    </row>
    <row r="24" spans="1:17" ht="22.5" customHeight="1" x14ac:dyDescent="0.25">
      <c r="A24" s="288"/>
      <c r="B24" s="45" t="s">
        <v>337</v>
      </c>
      <c r="C24" s="46">
        <v>43274</v>
      </c>
      <c r="D24" s="47" t="s">
        <v>55</v>
      </c>
      <c r="E24" s="129" t="s">
        <v>69</v>
      </c>
      <c r="F24" s="38" t="s">
        <v>103</v>
      </c>
      <c r="G24" s="38">
        <v>120</v>
      </c>
      <c r="H24" s="61" t="s">
        <v>104</v>
      </c>
      <c r="I24" s="164">
        <v>120</v>
      </c>
      <c r="J24" s="60" t="s">
        <v>84</v>
      </c>
      <c r="K24" s="38"/>
      <c r="L24" s="44" t="s">
        <v>434</v>
      </c>
      <c r="M24" s="15"/>
      <c r="N24" s="63"/>
      <c r="O24" s="20"/>
      <c r="P24" s="21"/>
      <c r="Q24" s="22"/>
    </row>
    <row r="25" spans="1:17" ht="22.5" customHeight="1" x14ac:dyDescent="0.25">
      <c r="A25" s="288"/>
      <c r="B25" s="45" t="s">
        <v>338</v>
      </c>
      <c r="C25" s="46">
        <v>43281</v>
      </c>
      <c r="D25" s="47" t="s">
        <v>59</v>
      </c>
      <c r="E25" s="129" t="s">
        <v>69</v>
      </c>
      <c r="F25" s="38" t="s">
        <v>103</v>
      </c>
      <c r="G25" s="164">
        <v>168</v>
      </c>
      <c r="H25" s="55" t="s">
        <v>104</v>
      </c>
      <c r="I25" s="164">
        <v>168</v>
      </c>
      <c r="J25" s="48" t="s">
        <v>84</v>
      </c>
      <c r="K25" s="164"/>
      <c r="L25" s="57" t="s">
        <v>67</v>
      </c>
      <c r="M25" s="15"/>
      <c r="N25" s="15"/>
      <c r="O25" s="20" t="s">
        <v>368</v>
      </c>
      <c r="P25" s="21">
        <v>2</v>
      </c>
      <c r="Q25" s="22" t="s">
        <v>20</v>
      </c>
    </row>
    <row r="26" spans="1:17" ht="22.5" customHeight="1" x14ac:dyDescent="0.25">
      <c r="A26" s="288"/>
      <c r="B26" s="45" t="s">
        <v>339</v>
      </c>
      <c r="C26" s="46">
        <v>43281</v>
      </c>
      <c r="D26" s="47" t="s">
        <v>59</v>
      </c>
      <c r="E26" s="129" t="s">
        <v>69</v>
      </c>
      <c r="F26" s="38" t="s">
        <v>340</v>
      </c>
      <c r="G26" s="38">
        <v>456</v>
      </c>
      <c r="H26" s="61" t="s">
        <v>341</v>
      </c>
      <c r="I26" s="164">
        <v>456</v>
      </c>
      <c r="J26" s="60" t="s">
        <v>77</v>
      </c>
      <c r="K26" s="38"/>
      <c r="L26" s="44" t="s">
        <v>434</v>
      </c>
      <c r="M26" s="15"/>
      <c r="N26" s="15"/>
      <c r="O26" s="20" t="s">
        <v>369</v>
      </c>
      <c r="P26" s="21">
        <v>3</v>
      </c>
      <c r="Q26" s="22" t="s">
        <v>21</v>
      </c>
    </row>
    <row r="27" spans="1:17" ht="22.5" customHeight="1" x14ac:dyDescent="0.25">
      <c r="A27" s="288"/>
      <c r="B27" s="45" t="s">
        <v>436</v>
      </c>
      <c r="C27" s="46">
        <v>43281</v>
      </c>
      <c r="D27" s="47" t="s">
        <v>59</v>
      </c>
      <c r="E27" s="129" t="s">
        <v>69</v>
      </c>
      <c r="F27" s="38" t="s">
        <v>340</v>
      </c>
      <c r="G27" s="164">
        <v>132</v>
      </c>
      <c r="H27" s="55" t="s">
        <v>341</v>
      </c>
      <c r="I27" s="164">
        <v>132</v>
      </c>
      <c r="J27" s="48" t="s">
        <v>84</v>
      </c>
      <c r="K27" s="164"/>
      <c r="L27" s="57" t="s">
        <v>411</v>
      </c>
      <c r="M27" s="49"/>
      <c r="N27" s="49"/>
      <c r="O27" s="20" t="s">
        <v>370</v>
      </c>
      <c r="P27" s="21">
        <v>4</v>
      </c>
      <c r="Q27" s="22" t="s">
        <v>21</v>
      </c>
    </row>
    <row r="28" spans="1:17" ht="22.5" customHeight="1" x14ac:dyDescent="0.25">
      <c r="A28" s="288"/>
      <c r="B28" s="45"/>
      <c r="C28" s="46"/>
      <c r="D28" s="47"/>
      <c r="E28" s="129"/>
      <c r="F28" s="38"/>
      <c r="G28" s="164"/>
      <c r="H28" s="55"/>
      <c r="I28" s="164"/>
      <c r="J28" s="48"/>
      <c r="K28" s="164"/>
      <c r="L28" s="57"/>
      <c r="M28" s="49"/>
      <c r="N28" s="49"/>
      <c r="O28" s="20"/>
      <c r="P28" s="21"/>
      <c r="Q28" s="22"/>
    </row>
    <row r="29" spans="1:17" ht="22.5" customHeight="1" thickBot="1" x14ac:dyDescent="0.3">
      <c r="A29" s="289"/>
      <c r="B29" s="93" t="s">
        <v>64</v>
      </c>
      <c r="C29" s="301" t="s">
        <v>65</v>
      </c>
      <c r="D29" s="302"/>
      <c r="E29" s="302"/>
      <c r="F29" s="303"/>
      <c r="G29" s="183"/>
      <c r="H29" s="183"/>
      <c r="I29" s="183">
        <f>SUM(I23:I28)</f>
        <v>984</v>
      </c>
      <c r="J29" s="183"/>
      <c r="K29" s="183"/>
      <c r="L29" s="162"/>
      <c r="M29" s="183"/>
      <c r="N29" s="183"/>
      <c r="O29" s="183"/>
      <c r="P29" s="183"/>
      <c r="Q29" s="147"/>
    </row>
    <row r="30" spans="1:17" ht="29.25" customHeight="1" thickBot="1" x14ac:dyDescent="0.3">
      <c r="A30" s="73"/>
      <c r="B30" s="64"/>
      <c r="C30" s="65"/>
      <c r="D30" s="66"/>
      <c r="E30" s="67"/>
      <c r="F30" s="68"/>
      <c r="G30" s="67"/>
      <c r="H30" s="67"/>
      <c r="I30" s="69">
        <f>SUM(I29,I22,I16,I9)</f>
        <v>4932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184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297" t="s">
        <v>26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76" t="s">
        <v>28</v>
      </c>
      <c r="Q34" s="75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  <row r="36" spans="1:17" x14ac:dyDescent="0.25">
      <c r="O36" s="74"/>
    </row>
  </sheetData>
  <mergeCells count="19">
    <mergeCell ref="F32:Q32"/>
    <mergeCell ref="A33:Q33"/>
    <mergeCell ref="F34:O34"/>
    <mergeCell ref="B35:O35"/>
    <mergeCell ref="A10:A16"/>
    <mergeCell ref="C16:F16"/>
    <mergeCell ref="A17:A22"/>
    <mergeCell ref="C22:F22"/>
    <mergeCell ref="A23:A29"/>
    <mergeCell ref="C29:F29"/>
    <mergeCell ref="A4:A9"/>
    <mergeCell ref="C5:D5"/>
    <mergeCell ref="C9:F9"/>
    <mergeCell ref="C15:D15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3" zoomScaleNormal="100" workbookViewId="0">
      <selection activeCell="B16" sqref="B16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266</v>
      </c>
      <c r="C4" s="62">
        <v>43265</v>
      </c>
      <c r="D4" s="77" t="s">
        <v>59</v>
      </c>
      <c r="E4" s="41" t="s">
        <v>54</v>
      </c>
      <c r="F4" s="40" t="s">
        <v>267</v>
      </c>
      <c r="G4" s="40">
        <v>3876</v>
      </c>
      <c r="H4" s="41" t="s">
        <v>148</v>
      </c>
      <c r="I4" s="40">
        <v>432</v>
      </c>
      <c r="J4" s="40" t="s">
        <v>83</v>
      </c>
      <c r="K4" s="40"/>
      <c r="L4" s="54">
        <v>2689</v>
      </c>
      <c r="M4" s="16"/>
      <c r="N4" s="16"/>
      <c r="O4" s="17" t="s">
        <v>476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268</v>
      </c>
      <c r="C5" s="58"/>
      <c r="D5" s="78"/>
      <c r="E5" s="60"/>
      <c r="F5" s="38"/>
      <c r="G5" s="38"/>
      <c r="H5" s="60"/>
      <c r="I5" s="38">
        <v>432</v>
      </c>
      <c r="J5" s="38" t="s">
        <v>86</v>
      </c>
      <c r="K5" s="38"/>
      <c r="L5" s="44"/>
      <c r="M5" s="15"/>
      <c r="N5" s="63"/>
      <c r="O5" s="20" t="s">
        <v>477</v>
      </c>
      <c r="P5" s="21">
        <v>2</v>
      </c>
      <c r="Q5" s="22" t="s">
        <v>20</v>
      </c>
    </row>
    <row r="6" spans="1:17" ht="22.5" customHeight="1" x14ac:dyDescent="0.25">
      <c r="A6" s="288"/>
      <c r="B6" s="43"/>
      <c r="C6" s="58"/>
      <c r="D6" s="78"/>
      <c r="E6" s="60"/>
      <c r="F6" s="38"/>
      <c r="G6" s="38"/>
      <c r="H6" s="60"/>
      <c r="I6" s="38">
        <f>3876-216*17</f>
        <v>204</v>
      </c>
      <c r="J6" s="38" t="s">
        <v>474</v>
      </c>
      <c r="K6" s="38"/>
      <c r="L6" s="44"/>
      <c r="M6" s="15"/>
      <c r="N6" s="63"/>
      <c r="O6" s="20" t="s">
        <v>478</v>
      </c>
      <c r="P6" s="21">
        <v>3</v>
      </c>
      <c r="Q6" s="22" t="s">
        <v>21</v>
      </c>
    </row>
    <row r="7" spans="1:17" ht="22.5" customHeight="1" x14ac:dyDescent="0.25">
      <c r="A7" s="288"/>
      <c r="B7" s="43" t="s">
        <v>480</v>
      </c>
      <c r="C7" s="58">
        <v>43269</v>
      </c>
      <c r="D7" s="78" t="s">
        <v>59</v>
      </c>
      <c r="E7" s="60" t="s">
        <v>54</v>
      </c>
      <c r="F7" s="38" t="s">
        <v>267</v>
      </c>
      <c r="G7" s="38">
        <v>120</v>
      </c>
      <c r="H7" s="60" t="s">
        <v>148</v>
      </c>
      <c r="I7" s="38">
        <v>120</v>
      </c>
      <c r="J7" s="38" t="s">
        <v>84</v>
      </c>
      <c r="K7" s="38"/>
      <c r="L7" s="44">
        <v>2689</v>
      </c>
      <c r="M7" s="15"/>
      <c r="N7" s="63"/>
      <c r="O7" s="20"/>
      <c r="P7" s="21"/>
      <c r="Q7" s="22"/>
    </row>
    <row r="8" spans="1:17" ht="22.5" customHeight="1" x14ac:dyDescent="0.25">
      <c r="A8" s="288"/>
      <c r="B8" s="43" t="s">
        <v>481</v>
      </c>
      <c r="C8" s="58">
        <v>43271</v>
      </c>
      <c r="D8" s="78" t="s">
        <v>59</v>
      </c>
      <c r="E8" s="60" t="s">
        <v>54</v>
      </c>
      <c r="F8" s="38" t="s">
        <v>267</v>
      </c>
      <c r="G8" s="38">
        <v>336</v>
      </c>
      <c r="H8" s="60" t="s">
        <v>148</v>
      </c>
      <c r="I8" s="38">
        <v>216</v>
      </c>
      <c r="J8" s="38" t="s">
        <v>550</v>
      </c>
      <c r="K8" s="38"/>
      <c r="L8" s="44">
        <v>2689</v>
      </c>
      <c r="M8" s="15"/>
      <c r="N8" s="63"/>
      <c r="O8" s="20" t="s">
        <v>479</v>
      </c>
      <c r="P8" s="21">
        <v>4</v>
      </c>
      <c r="Q8" s="22" t="s">
        <v>21</v>
      </c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99"/>
      <c r="H9" s="199"/>
      <c r="I9" s="199">
        <f>SUM(I4:I8)</f>
        <v>1404</v>
      </c>
      <c r="J9" s="199"/>
      <c r="K9" s="199"/>
      <c r="L9" s="202"/>
      <c r="M9" s="199"/>
      <c r="N9" s="199"/>
      <c r="O9" s="199"/>
      <c r="P9" s="200"/>
      <c r="Q9" s="200"/>
    </row>
    <row r="10" spans="1:17" ht="22.5" customHeight="1" x14ac:dyDescent="0.25">
      <c r="A10" s="287" t="s">
        <v>39</v>
      </c>
      <c r="B10" s="42" t="s">
        <v>136</v>
      </c>
      <c r="C10" s="62">
        <v>43265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482</v>
      </c>
      <c r="K10" s="40"/>
      <c r="L10" s="54" t="s">
        <v>63</v>
      </c>
      <c r="M10" s="16"/>
      <c r="N10" s="16"/>
      <c r="O10" s="17" t="s">
        <v>476</v>
      </c>
      <c r="P10" s="18">
        <v>1</v>
      </c>
      <c r="Q10" s="19" t="s">
        <v>19</v>
      </c>
    </row>
    <row r="11" spans="1:17" ht="22.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v>432</v>
      </c>
      <c r="J11" s="164" t="s">
        <v>483</v>
      </c>
      <c r="K11" s="164"/>
      <c r="L11" s="57"/>
      <c r="M11" s="49"/>
      <c r="N11" s="63"/>
      <c r="O11" s="20" t="s">
        <v>477</v>
      </c>
      <c r="P11" s="21">
        <v>2</v>
      </c>
      <c r="Q11" s="22" t="s">
        <v>20</v>
      </c>
    </row>
    <row r="12" spans="1:17" ht="22.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v>432</v>
      </c>
      <c r="J12" s="164" t="s">
        <v>484</v>
      </c>
      <c r="K12" s="164"/>
      <c r="L12" s="57"/>
      <c r="M12" s="49"/>
      <c r="N12" s="63"/>
      <c r="O12" s="20" t="s">
        <v>478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v>216</v>
      </c>
      <c r="J13" s="164" t="s">
        <v>551</v>
      </c>
      <c r="K13" s="164"/>
      <c r="L13" s="57"/>
      <c r="M13" s="49"/>
      <c r="N13" s="63"/>
      <c r="O13" s="20" t="s">
        <v>479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/>
      <c r="J14" s="164"/>
      <c r="K14" s="164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99"/>
      <c r="H15" s="199"/>
      <c r="I15" s="199">
        <f>SUM(I10:I14)</f>
        <v>1512</v>
      </c>
      <c r="J15" s="199"/>
      <c r="K15" s="199"/>
      <c r="L15" s="202"/>
      <c r="M15" s="199"/>
      <c r="N15" s="199"/>
      <c r="O15" s="199"/>
      <c r="P15" s="200"/>
      <c r="Q15" s="200"/>
    </row>
    <row r="16" spans="1:17" ht="22.5" customHeight="1" x14ac:dyDescent="0.25">
      <c r="A16" s="287" t="s">
        <v>37</v>
      </c>
      <c r="B16" s="42" t="s">
        <v>270</v>
      </c>
      <c r="C16" s="116">
        <v>43269</v>
      </c>
      <c r="D16" s="52" t="s">
        <v>59</v>
      </c>
      <c r="E16" s="41" t="s">
        <v>54</v>
      </c>
      <c r="F16" s="40" t="s">
        <v>116</v>
      </c>
      <c r="G16" s="155">
        <v>7008</v>
      </c>
      <c r="H16" s="81" t="s">
        <v>117</v>
      </c>
      <c r="I16" s="155">
        <v>432</v>
      </c>
      <c r="J16" s="155" t="s">
        <v>485</v>
      </c>
      <c r="K16" s="155"/>
      <c r="L16" s="53" t="s">
        <v>67</v>
      </c>
      <c r="M16" s="16"/>
      <c r="N16" s="16"/>
      <c r="O16" s="17" t="s">
        <v>476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271</v>
      </c>
      <c r="C17" s="46"/>
      <c r="D17" s="47"/>
      <c r="E17" s="60"/>
      <c r="F17" s="38"/>
      <c r="G17" s="164"/>
      <c r="H17" s="48"/>
      <c r="I17" s="164">
        <v>432</v>
      </c>
      <c r="J17" s="164" t="s">
        <v>486</v>
      </c>
      <c r="K17" s="164"/>
      <c r="L17" s="57"/>
      <c r="M17" s="63"/>
      <c r="N17" s="63"/>
      <c r="O17" s="20" t="s">
        <v>477</v>
      </c>
      <c r="P17" s="21">
        <v>2</v>
      </c>
      <c r="Q17" s="22" t="s">
        <v>20</v>
      </c>
    </row>
    <row r="18" spans="1:17" ht="22.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432</v>
      </c>
      <c r="J18" s="164" t="s">
        <v>487</v>
      </c>
      <c r="K18" s="164"/>
      <c r="L18" s="57"/>
      <c r="M18" s="15"/>
      <c r="N18" s="15"/>
      <c r="O18" s="20" t="s">
        <v>478</v>
      </c>
      <c r="P18" s="21">
        <v>3</v>
      </c>
      <c r="Q18" s="22" t="s">
        <v>21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v>216</v>
      </c>
      <c r="J19" s="164" t="s">
        <v>552</v>
      </c>
      <c r="K19" s="164"/>
      <c r="L19" s="57"/>
      <c r="M19" s="15"/>
      <c r="N19" s="15"/>
      <c r="O19" s="20" t="s">
        <v>479</v>
      </c>
      <c r="P19" s="21">
        <v>4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301" t="s">
        <v>98</v>
      </c>
      <c r="D21" s="302"/>
      <c r="E21" s="302"/>
      <c r="F21" s="303"/>
      <c r="G21" s="199"/>
      <c r="H21" s="199"/>
      <c r="I21" s="199">
        <f>SUM(I16:I20)</f>
        <v>1512</v>
      </c>
      <c r="J21" s="199"/>
      <c r="K21" s="199"/>
      <c r="L21" s="202"/>
      <c r="M21" s="199"/>
      <c r="N21" s="199"/>
      <c r="O21" s="199"/>
      <c r="P21" s="200"/>
      <c r="Q21" s="200"/>
    </row>
    <row r="22" spans="1:17" ht="22.5" customHeight="1" x14ac:dyDescent="0.25">
      <c r="A22" s="287" t="s">
        <v>38</v>
      </c>
      <c r="B22" s="42" t="s">
        <v>175</v>
      </c>
      <c r="C22" s="62">
        <v>43264</v>
      </c>
      <c r="D22" s="77" t="s">
        <v>59</v>
      </c>
      <c r="E22" s="81" t="s">
        <v>54</v>
      </c>
      <c r="F22" s="155" t="s">
        <v>176</v>
      </c>
      <c r="G22" s="155">
        <v>5772</v>
      </c>
      <c r="H22" s="81" t="s">
        <v>88</v>
      </c>
      <c r="I22" s="155">
        <v>432</v>
      </c>
      <c r="J22" s="155" t="s">
        <v>488</v>
      </c>
      <c r="K22" s="155"/>
      <c r="L22" s="53" t="s">
        <v>80</v>
      </c>
      <c r="M22" s="16"/>
      <c r="N22" s="16"/>
      <c r="O22" s="17" t="s">
        <v>476</v>
      </c>
      <c r="P22" s="18">
        <v>1</v>
      </c>
      <c r="Q22" s="19" t="s">
        <v>19</v>
      </c>
    </row>
    <row r="23" spans="1:17" ht="22.5" customHeight="1" x14ac:dyDescent="0.25">
      <c r="A23" s="288"/>
      <c r="B23" s="45" t="s">
        <v>177</v>
      </c>
      <c r="C23" s="58"/>
      <c r="D23" s="78"/>
      <c r="E23" s="129"/>
      <c r="F23" s="164"/>
      <c r="G23" s="164"/>
      <c r="H23" s="48"/>
      <c r="I23" s="164">
        <f>5772-216*26</f>
        <v>156</v>
      </c>
      <c r="J23" s="164" t="s">
        <v>489</v>
      </c>
      <c r="K23" s="164"/>
      <c r="L23" s="57"/>
      <c r="M23" s="15"/>
      <c r="N23" s="15"/>
      <c r="O23" s="20" t="s">
        <v>477</v>
      </c>
      <c r="P23" s="21">
        <v>2</v>
      </c>
      <c r="Q23" s="22" t="s">
        <v>20</v>
      </c>
    </row>
    <row r="24" spans="1:17" ht="22.5" customHeight="1" x14ac:dyDescent="0.25">
      <c r="A24" s="288"/>
      <c r="B24" s="45" t="s">
        <v>490</v>
      </c>
      <c r="C24" s="58">
        <v>43264</v>
      </c>
      <c r="D24" s="78" t="s">
        <v>59</v>
      </c>
      <c r="E24" s="129" t="s">
        <v>54</v>
      </c>
      <c r="F24" s="164" t="s">
        <v>491</v>
      </c>
      <c r="G24" s="164">
        <v>2064</v>
      </c>
      <c r="H24" s="48" t="s">
        <v>492</v>
      </c>
      <c r="I24" s="164">
        <v>432</v>
      </c>
      <c r="J24" s="164" t="s">
        <v>77</v>
      </c>
      <c r="K24" s="164"/>
      <c r="L24" s="57" t="s">
        <v>495</v>
      </c>
      <c r="M24" s="49"/>
      <c r="N24" s="15"/>
      <c r="O24" s="20" t="s">
        <v>478</v>
      </c>
      <c r="P24" s="21">
        <v>3</v>
      </c>
      <c r="Q24" s="22" t="s">
        <v>21</v>
      </c>
    </row>
    <row r="25" spans="1:17" ht="22.5" customHeight="1" x14ac:dyDescent="0.25">
      <c r="A25" s="288"/>
      <c r="B25" s="111" t="s">
        <v>493</v>
      </c>
      <c r="C25" s="58"/>
      <c r="D25" s="78"/>
      <c r="E25" s="48"/>
      <c r="F25" s="164"/>
      <c r="G25" s="164"/>
      <c r="H25" s="48"/>
      <c r="I25" s="84">
        <v>432</v>
      </c>
      <c r="J25" s="164" t="s">
        <v>494</v>
      </c>
      <c r="K25" s="164"/>
      <c r="L25" s="57"/>
      <c r="M25" s="15"/>
      <c r="N25" s="15"/>
      <c r="O25" s="20" t="s">
        <v>479</v>
      </c>
      <c r="P25" s="21">
        <v>4</v>
      </c>
      <c r="Q25" s="22" t="s">
        <v>21</v>
      </c>
    </row>
    <row r="26" spans="1:17" ht="22.5" customHeight="1" x14ac:dyDescent="0.25">
      <c r="A26" s="288"/>
      <c r="B26" s="111"/>
      <c r="C26" s="58"/>
      <c r="D26" s="78"/>
      <c r="E26" s="48"/>
      <c r="F26" s="164"/>
      <c r="G26" s="164"/>
      <c r="H26" s="48"/>
      <c r="I26" s="164"/>
      <c r="J26" s="164"/>
      <c r="K26" s="164"/>
      <c r="L26" s="57"/>
      <c r="M26" s="15"/>
      <c r="N26" s="15"/>
      <c r="O26" s="20"/>
      <c r="P26" s="21"/>
      <c r="Q26" s="22"/>
    </row>
    <row r="27" spans="1:17" ht="22.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199"/>
      <c r="H27" s="199"/>
      <c r="I27" s="199">
        <f>SUM(I22:I26)</f>
        <v>1452</v>
      </c>
      <c r="J27" s="199"/>
      <c r="K27" s="199"/>
      <c r="L27" s="202"/>
      <c r="M27" s="199"/>
      <c r="N27" s="199"/>
      <c r="O27" s="199"/>
      <c r="P27" s="200"/>
      <c r="Q27" s="200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5880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C27:F27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1" zoomScaleNormal="100" workbookViewId="0">
      <selection activeCell="G13" sqref="G13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389</v>
      </c>
      <c r="C4" s="116">
        <v>43281</v>
      </c>
      <c r="D4" s="52" t="s">
        <v>59</v>
      </c>
      <c r="E4" s="81" t="s">
        <v>34</v>
      </c>
      <c r="F4" s="155" t="s">
        <v>382</v>
      </c>
      <c r="G4" s="155">
        <v>1188</v>
      </c>
      <c r="H4" s="81" t="s">
        <v>277</v>
      </c>
      <c r="I4" s="155">
        <v>432</v>
      </c>
      <c r="J4" s="81" t="s">
        <v>82</v>
      </c>
      <c r="K4" s="155"/>
      <c r="L4" s="123" t="s">
        <v>81</v>
      </c>
      <c r="M4" s="16"/>
      <c r="N4" s="16"/>
      <c r="O4" s="17" t="s">
        <v>476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105</v>
      </c>
      <c r="C5" s="46"/>
      <c r="D5" s="47"/>
      <c r="E5" s="48"/>
      <c r="F5" s="164"/>
      <c r="G5" s="164"/>
      <c r="H5" s="48"/>
      <c r="I5" s="164">
        <f>1188-216*4</f>
        <v>324</v>
      </c>
      <c r="J5" s="48" t="s">
        <v>127</v>
      </c>
      <c r="K5" s="164"/>
      <c r="L5" s="51"/>
      <c r="M5" s="49"/>
      <c r="N5" s="15"/>
      <c r="O5" s="20" t="s">
        <v>477</v>
      </c>
      <c r="P5" s="21">
        <v>2</v>
      </c>
      <c r="Q5" s="22" t="s">
        <v>20</v>
      </c>
    </row>
    <row r="6" spans="1:17" ht="24" customHeight="1" x14ac:dyDescent="0.25">
      <c r="A6" s="288"/>
      <c r="B6" s="43" t="s">
        <v>496</v>
      </c>
      <c r="C6" s="58">
        <v>43274</v>
      </c>
      <c r="D6" s="78" t="s">
        <v>93</v>
      </c>
      <c r="E6" s="60" t="s">
        <v>34</v>
      </c>
      <c r="F6" s="38" t="s">
        <v>382</v>
      </c>
      <c r="G6" s="38">
        <v>432</v>
      </c>
      <c r="H6" s="60" t="s">
        <v>277</v>
      </c>
      <c r="I6" s="38">
        <v>432</v>
      </c>
      <c r="J6" s="60" t="s">
        <v>77</v>
      </c>
      <c r="K6" s="38"/>
      <c r="L6" s="91" t="s">
        <v>499</v>
      </c>
      <c r="M6" s="49"/>
      <c r="N6" s="15"/>
      <c r="O6" s="20" t="s">
        <v>478</v>
      </c>
      <c r="P6" s="21">
        <v>3</v>
      </c>
      <c r="Q6" s="22" t="s">
        <v>21</v>
      </c>
    </row>
    <row r="7" spans="1:17" ht="24" customHeight="1" x14ac:dyDescent="0.25">
      <c r="A7" s="288"/>
      <c r="B7" s="43" t="s">
        <v>497</v>
      </c>
      <c r="C7" s="58">
        <v>43283</v>
      </c>
      <c r="D7" s="78" t="s">
        <v>93</v>
      </c>
      <c r="E7" s="60" t="s">
        <v>34</v>
      </c>
      <c r="F7" s="38" t="s">
        <v>382</v>
      </c>
      <c r="G7" s="38">
        <v>2556</v>
      </c>
      <c r="H7" s="60" t="s">
        <v>277</v>
      </c>
      <c r="I7" s="38">
        <v>432</v>
      </c>
      <c r="J7" s="60" t="s">
        <v>77</v>
      </c>
      <c r="K7" s="38"/>
      <c r="L7" s="91" t="s">
        <v>500</v>
      </c>
      <c r="M7" s="49"/>
      <c r="N7" s="15"/>
      <c r="O7" s="20" t="s">
        <v>479</v>
      </c>
      <c r="P7" s="21">
        <v>4</v>
      </c>
      <c r="Q7" s="22" t="s">
        <v>21</v>
      </c>
    </row>
    <row r="8" spans="1:17" ht="24" customHeight="1" x14ac:dyDescent="0.25">
      <c r="A8" s="288"/>
      <c r="B8" s="45" t="s">
        <v>498</v>
      </c>
      <c r="C8" s="58"/>
      <c r="D8" s="78"/>
      <c r="E8" s="48"/>
      <c r="F8" s="39"/>
      <c r="G8" s="164"/>
      <c r="H8" s="48"/>
      <c r="I8" s="164"/>
      <c r="J8" s="48"/>
      <c r="K8" s="164"/>
      <c r="L8" s="51"/>
      <c r="M8" s="49"/>
      <c r="N8" s="15"/>
      <c r="O8" s="20"/>
      <c r="P8" s="21"/>
      <c r="Q8" s="22"/>
    </row>
    <row r="9" spans="1:17" ht="24" customHeight="1" thickBot="1" x14ac:dyDescent="0.3">
      <c r="A9" s="289"/>
      <c r="B9" s="93"/>
      <c r="C9" s="199"/>
      <c r="D9" s="199"/>
      <c r="E9" s="199"/>
      <c r="F9" s="199"/>
      <c r="G9" s="199"/>
      <c r="H9" s="199"/>
      <c r="I9" s="199">
        <f>SUM(I4:I8)</f>
        <v>1620</v>
      </c>
      <c r="J9" s="199"/>
      <c r="K9" s="199"/>
      <c r="L9" s="202"/>
      <c r="M9" s="199"/>
      <c r="N9" s="199"/>
      <c r="O9" s="114"/>
      <c r="P9" s="200"/>
      <c r="Q9" s="152"/>
    </row>
    <row r="10" spans="1:17" ht="24" customHeight="1" x14ac:dyDescent="0.25">
      <c r="A10" s="287" t="s">
        <v>41</v>
      </c>
      <c r="B10" s="92" t="s">
        <v>151</v>
      </c>
      <c r="C10" s="62">
        <v>43259</v>
      </c>
      <c r="D10" s="140" t="s">
        <v>55</v>
      </c>
      <c r="E10" s="41" t="s">
        <v>54</v>
      </c>
      <c r="F10" s="40" t="s">
        <v>102</v>
      </c>
      <c r="G10" s="40">
        <v>6024</v>
      </c>
      <c r="H10" s="56" t="s">
        <v>100</v>
      </c>
      <c r="I10" s="40">
        <v>432</v>
      </c>
      <c r="J10" s="41" t="s">
        <v>501</v>
      </c>
      <c r="K10" s="40"/>
      <c r="L10" s="90" t="s">
        <v>67</v>
      </c>
      <c r="M10" s="16"/>
      <c r="N10" s="16"/>
      <c r="O10" s="17" t="s">
        <v>476</v>
      </c>
      <c r="P10" s="18">
        <v>1</v>
      </c>
      <c r="Q10" s="19" t="s">
        <v>19</v>
      </c>
    </row>
    <row r="11" spans="1:17" ht="24" customHeight="1" x14ac:dyDescent="0.25">
      <c r="A11" s="288"/>
      <c r="B11" s="43" t="s">
        <v>152</v>
      </c>
      <c r="C11" s="305" t="s">
        <v>57</v>
      </c>
      <c r="D11" s="306"/>
      <c r="E11" s="79"/>
      <c r="F11" s="38"/>
      <c r="G11" s="38"/>
      <c r="H11" s="60"/>
      <c r="I11" s="164">
        <v>432</v>
      </c>
      <c r="J11" s="48" t="s">
        <v>502</v>
      </c>
      <c r="K11" s="164"/>
      <c r="L11" s="88"/>
      <c r="M11" s="63"/>
      <c r="N11" s="63"/>
      <c r="O11" s="20" t="s">
        <v>477</v>
      </c>
      <c r="P11" s="21">
        <v>2</v>
      </c>
      <c r="Q11" s="22" t="s">
        <v>20</v>
      </c>
    </row>
    <row r="12" spans="1:17" ht="24" customHeight="1" x14ac:dyDescent="0.25">
      <c r="A12" s="288"/>
      <c r="B12" s="43"/>
      <c r="C12" s="58"/>
      <c r="D12" s="141"/>
      <c r="E12" s="79"/>
      <c r="F12" s="38"/>
      <c r="G12" s="38">
        <f>6696/1440</f>
        <v>4.6500000000000004</v>
      </c>
      <c r="H12" s="60"/>
      <c r="I12" s="164">
        <v>432</v>
      </c>
      <c r="J12" s="48" t="s">
        <v>503</v>
      </c>
      <c r="K12" s="164"/>
      <c r="L12" s="88"/>
      <c r="M12" s="49"/>
      <c r="N12" s="49"/>
      <c r="O12" s="20" t="s">
        <v>478</v>
      </c>
      <c r="P12" s="21">
        <v>3</v>
      </c>
      <c r="Q12" s="22" t="s">
        <v>21</v>
      </c>
    </row>
    <row r="13" spans="1:17" ht="24" customHeight="1" x14ac:dyDescent="0.25">
      <c r="A13" s="288"/>
      <c r="B13" s="43"/>
      <c r="C13" s="58"/>
      <c r="D13" s="141"/>
      <c r="E13" s="79"/>
      <c r="F13" s="38"/>
      <c r="G13" s="38">
        <f>6024-216*26+240+1128+384+228+1008+216+528+324+912+1320</f>
        <v>6696</v>
      </c>
      <c r="H13" s="60"/>
      <c r="I13" s="164">
        <v>432</v>
      </c>
      <c r="J13" s="48" t="s">
        <v>553</v>
      </c>
      <c r="K13" s="164"/>
      <c r="L13" s="88"/>
      <c r="M13" s="49"/>
      <c r="N13" s="49"/>
      <c r="O13" s="20" t="s">
        <v>479</v>
      </c>
      <c r="P13" s="21">
        <v>4</v>
      </c>
      <c r="Q13" s="22" t="s">
        <v>21</v>
      </c>
    </row>
    <row r="14" spans="1:17" ht="24" customHeight="1" x14ac:dyDescent="0.25">
      <c r="A14" s="288"/>
      <c r="B14" s="43"/>
      <c r="C14" s="58"/>
      <c r="D14" s="141"/>
      <c r="E14" s="79"/>
      <c r="F14" s="38"/>
      <c r="G14" s="38">
        <f>8220/1440</f>
        <v>5.708333333333333</v>
      </c>
      <c r="H14" s="60"/>
      <c r="I14" s="164"/>
      <c r="J14" s="48"/>
      <c r="K14" s="164"/>
      <c r="L14" s="88"/>
      <c r="M14" s="49"/>
      <c r="N14" s="49"/>
      <c r="O14" s="20"/>
      <c r="P14" s="21"/>
      <c r="Q14" s="22"/>
    </row>
    <row r="15" spans="1:17" ht="24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199"/>
      <c r="H15" s="199"/>
      <c r="I15" s="199">
        <f>SUM(I10:I14)</f>
        <v>1728</v>
      </c>
      <c r="J15" s="199"/>
      <c r="K15" s="199"/>
      <c r="L15" s="202"/>
      <c r="M15" s="199"/>
      <c r="N15" s="199"/>
      <c r="O15" s="114"/>
      <c r="P15" s="200"/>
      <c r="Q15" s="152"/>
    </row>
    <row r="16" spans="1:17" ht="24" customHeight="1" x14ac:dyDescent="0.25">
      <c r="A16" s="287" t="s">
        <v>42</v>
      </c>
      <c r="B16" s="42" t="s">
        <v>396</v>
      </c>
      <c r="C16" s="62">
        <v>43281</v>
      </c>
      <c r="D16" s="90" t="s">
        <v>59</v>
      </c>
      <c r="E16" s="174" t="s">
        <v>393</v>
      </c>
      <c r="F16" s="40" t="s">
        <v>394</v>
      </c>
      <c r="G16" s="175">
        <v>396</v>
      </c>
      <c r="H16" s="41" t="s">
        <v>395</v>
      </c>
      <c r="I16" s="155">
        <v>396</v>
      </c>
      <c r="J16" s="155" t="s">
        <v>77</v>
      </c>
      <c r="K16" s="155"/>
      <c r="L16" s="90" t="s">
        <v>81</v>
      </c>
      <c r="M16" s="16"/>
      <c r="N16" s="16"/>
      <c r="O16" s="17" t="s">
        <v>476</v>
      </c>
      <c r="P16" s="18">
        <v>1</v>
      </c>
      <c r="Q16" s="19" t="s">
        <v>19</v>
      </c>
    </row>
    <row r="17" spans="1:17" ht="24" customHeight="1" x14ac:dyDescent="0.25">
      <c r="A17" s="288"/>
      <c r="B17" s="43" t="s">
        <v>504</v>
      </c>
      <c r="C17" s="58">
        <v>43281</v>
      </c>
      <c r="D17" s="91" t="s">
        <v>59</v>
      </c>
      <c r="E17" s="137" t="s">
        <v>393</v>
      </c>
      <c r="F17" s="38" t="s">
        <v>394</v>
      </c>
      <c r="G17" s="105">
        <v>120</v>
      </c>
      <c r="H17" s="60" t="s">
        <v>395</v>
      </c>
      <c r="I17" s="38">
        <v>120</v>
      </c>
      <c r="J17" s="38" t="s">
        <v>84</v>
      </c>
      <c r="K17" s="38"/>
      <c r="L17" s="91" t="s">
        <v>500</v>
      </c>
      <c r="M17" s="15"/>
      <c r="N17" s="15"/>
      <c r="O17" s="20" t="s">
        <v>477</v>
      </c>
      <c r="P17" s="21">
        <v>2</v>
      </c>
      <c r="Q17" s="22" t="s">
        <v>20</v>
      </c>
    </row>
    <row r="18" spans="1:17" ht="24" customHeight="1" x14ac:dyDescent="0.25">
      <c r="A18" s="288"/>
      <c r="B18" s="45" t="s">
        <v>505</v>
      </c>
      <c r="C18" s="58">
        <v>43265</v>
      </c>
      <c r="D18" s="91" t="s">
        <v>55</v>
      </c>
      <c r="E18" s="137" t="s">
        <v>393</v>
      </c>
      <c r="F18" s="38" t="s">
        <v>506</v>
      </c>
      <c r="G18" s="89">
        <v>384</v>
      </c>
      <c r="H18" s="48" t="s">
        <v>395</v>
      </c>
      <c r="I18" s="164">
        <v>384</v>
      </c>
      <c r="J18" s="164" t="s">
        <v>77</v>
      </c>
      <c r="K18" s="164"/>
      <c r="L18" s="51" t="s">
        <v>500</v>
      </c>
      <c r="M18" s="15"/>
      <c r="N18" s="15"/>
      <c r="O18" s="20"/>
      <c r="P18" s="21"/>
      <c r="Q18" s="22"/>
    </row>
    <row r="19" spans="1:17" ht="24" customHeight="1" x14ac:dyDescent="0.25">
      <c r="A19" s="288"/>
      <c r="B19" s="45" t="s">
        <v>507</v>
      </c>
      <c r="C19" s="86">
        <v>43276</v>
      </c>
      <c r="D19" s="134" t="s">
        <v>93</v>
      </c>
      <c r="E19" s="132" t="s">
        <v>393</v>
      </c>
      <c r="F19" s="39" t="s">
        <v>508</v>
      </c>
      <c r="G19" s="89">
        <v>1176</v>
      </c>
      <c r="H19" s="79" t="s">
        <v>395</v>
      </c>
      <c r="I19" s="164">
        <f>192*2</f>
        <v>384</v>
      </c>
      <c r="J19" s="164" t="s">
        <v>77</v>
      </c>
      <c r="K19" s="164"/>
      <c r="L19" s="134" t="s">
        <v>500</v>
      </c>
      <c r="M19" s="49"/>
      <c r="N19" s="49"/>
      <c r="O19" s="20" t="s">
        <v>478</v>
      </c>
      <c r="P19" s="21">
        <v>3</v>
      </c>
      <c r="Q19" s="22" t="s">
        <v>21</v>
      </c>
    </row>
    <row r="20" spans="1:17" ht="24" customHeight="1" x14ac:dyDescent="0.25">
      <c r="A20" s="288"/>
      <c r="B20" s="43" t="s">
        <v>105</v>
      </c>
      <c r="C20" s="305" t="s">
        <v>384</v>
      </c>
      <c r="D20" s="306"/>
      <c r="E20" s="137"/>
      <c r="F20" s="38"/>
      <c r="G20" s="105"/>
      <c r="H20" s="60"/>
      <c r="I20" s="38">
        <v>192</v>
      </c>
      <c r="J20" s="38" t="s">
        <v>182</v>
      </c>
      <c r="K20" s="38"/>
      <c r="L20" s="91"/>
      <c r="M20" s="49"/>
      <c r="N20" s="49"/>
      <c r="O20" s="20" t="s">
        <v>479</v>
      </c>
      <c r="P20" s="21">
        <v>4</v>
      </c>
      <c r="Q20" s="22" t="s">
        <v>21</v>
      </c>
    </row>
    <row r="21" spans="1:17" ht="24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199"/>
      <c r="H21" s="199"/>
      <c r="I21" s="199">
        <f>SUM(I16:I20)</f>
        <v>1476</v>
      </c>
      <c r="J21" s="199"/>
      <c r="K21" s="199"/>
      <c r="L21" s="202"/>
      <c r="M21" s="199"/>
      <c r="N21" s="199"/>
      <c r="O21" s="114"/>
      <c r="P21" s="200"/>
      <c r="Q21" s="152"/>
    </row>
    <row r="22" spans="1:17" ht="24" customHeight="1" x14ac:dyDescent="0.25">
      <c r="A22" s="287" t="s">
        <v>43</v>
      </c>
      <c r="B22" s="42" t="s">
        <v>291</v>
      </c>
      <c r="C22" s="140">
        <v>43283</v>
      </c>
      <c r="D22" s="90" t="s">
        <v>93</v>
      </c>
      <c r="E22" s="41" t="s">
        <v>34</v>
      </c>
      <c r="F22" s="40" t="s">
        <v>76</v>
      </c>
      <c r="G22" s="40">
        <v>6732</v>
      </c>
      <c r="H22" s="41" t="s">
        <v>51</v>
      </c>
      <c r="I22" s="40">
        <v>432</v>
      </c>
      <c r="J22" s="41" t="s">
        <v>83</v>
      </c>
      <c r="K22" s="40"/>
      <c r="L22" s="54" t="s">
        <v>61</v>
      </c>
      <c r="M22" s="16"/>
      <c r="N22" s="16"/>
      <c r="O22" s="17" t="s">
        <v>476</v>
      </c>
      <c r="P22" s="18">
        <v>1</v>
      </c>
      <c r="Q22" s="19" t="s">
        <v>19</v>
      </c>
    </row>
    <row r="23" spans="1:17" ht="24" customHeight="1" x14ac:dyDescent="0.25">
      <c r="A23" s="288"/>
      <c r="B23" s="45" t="s">
        <v>115</v>
      </c>
      <c r="C23" s="131"/>
      <c r="D23" s="134"/>
      <c r="E23" s="79"/>
      <c r="F23" s="164"/>
      <c r="G23" s="164"/>
      <c r="H23" s="48"/>
      <c r="I23" s="164">
        <v>432</v>
      </c>
      <c r="J23" s="48" t="s">
        <v>509</v>
      </c>
      <c r="K23" s="164"/>
      <c r="L23" s="57"/>
      <c r="M23" s="15"/>
      <c r="N23" s="15"/>
      <c r="O23" s="20" t="s">
        <v>477</v>
      </c>
      <c r="P23" s="21">
        <v>2</v>
      </c>
      <c r="Q23" s="22" t="s">
        <v>20</v>
      </c>
    </row>
    <row r="24" spans="1:17" ht="24" customHeight="1" x14ac:dyDescent="0.25">
      <c r="A24" s="288"/>
      <c r="B24" s="45"/>
      <c r="C24" s="141"/>
      <c r="D24" s="91"/>
      <c r="E24" s="48"/>
      <c r="F24" s="39"/>
      <c r="G24" s="39"/>
      <c r="H24" s="79"/>
      <c r="I24" s="38">
        <v>432</v>
      </c>
      <c r="J24" s="48" t="s">
        <v>487</v>
      </c>
      <c r="K24" s="164"/>
      <c r="L24" s="57"/>
      <c r="M24" s="49"/>
      <c r="N24" s="49"/>
      <c r="O24" s="20" t="s">
        <v>478</v>
      </c>
      <c r="P24" s="21">
        <v>3</v>
      </c>
      <c r="Q24" s="22" t="s">
        <v>21</v>
      </c>
    </row>
    <row r="25" spans="1:17" ht="24" customHeight="1" x14ac:dyDescent="0.25">
      <c r="A25" s="288"/>
      <c r="B25" s="43"/>
      <c r="C25" s="141"/>
      <c r="D25" s="91"/>
      <c r="E25" s="60"/>
      <c r="F25" s="38"/>
      <c r="G25" s="38"/>
      <c r="H25" s="60"/>
      <c r="I25" s="128">
        <v>216</v>
      </c>
      <c r="J25" s="60" t="s">
        <v>552</v>
      </c>
      <c r="K25" s="38"/>
      <c r="L25" s="44"/>
      <c r="M25" s="49"/>
      <c r="N25" s="49"/>
      <c r="O25" s="20" t="s">
        <v>479</v>
      </c>
      <c r="P25" s="21">
        <v>4</v>
      </c>
      <c r="Q25" s="22" t="s">
        <v>21</v>
      </c>
    </row>
    <row r="26" spans="1:17" ht="24" customHeight="1" x14ac:dyDescent="0.25">
      <c r="A26" s="288"/>
      <c r="B26" s="43"/>
      <c r="C26" s="141"/>
      <c r="D26" s="91"/>
      <c r="E26" s="60"/>
      <c r="F26" s="38"/>
      <c r="G26" s="38"/>
      <c r="H26" s="60"/>
      <c r="I26" s="38"/>
      <c r="J26" s="60"/>
      <c r="K26" s="38"/>
      <c r="L26" s="44"/>
      <c r="M26" s="49"/>
      <c r="N26" s="49"/>
      <c r="O26" s="20"/>
      <c r="P26" s="21"/>
      <c r="Q26" s="22"/>
    </row>
    <row r="27" spans="1:17" ht="24" customHeight="1" thickBot="1" x14ac:dyDescent="0.3">
      <c r="A27" s="289"/>
      <c r="B27" s="93" t="s">
        <v>64</v>
      </c>
      <c r="C27" s="290" t="s">
        <v>98</v>
      </c>
      <c r="D27" s="291"/>
      <c r="E27" s="291"/>
      <c r="F27" s="292"/>
      <c r="G27" s="199"/>
      <c r="H27" s="199"/>
      <c r="I27" s="199">
        <f>SUM(I22:I26)</f>
        <v>1512</v>
      </c>
      <c r="J27" s="199"/>
      <c r="K27" s="199"/>
      <c r="L27" s="202"/>
      <c r="M27" s="199"/>
      <c r="N27" s="199"/>
      <c r="O27" s="114"/>
      <c r="P27" s="200"/>
      <c r="Q27" s="152"/>
    </row>
    <row r="28" spans="1:17" ht="25.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6336</v>
      </c>
      <c r="J28" s="70"/>
      <c r="K28" s="70"/>
      <c r="L28" s="65"/>
      <c r="M28" s="71"/>
      <c r="N28" s="69"/>
      <c r="O28" s="70"/>
      <c r="P28" s="70"/>
      <c r="Q28" s="72"/>
    </row>
    <row r="29" spans="1:17" ht="17.25" customHeight="1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9">
    <mergeCell ref="A22:A27"/>
    <mergeCell ref="C27:F27"/>
    <mergeCell ref="A1:Q1"/>
    <mergeCell ref="A2:B2"/>
    <mergeCell ref="C2:E2"/>
    <mergeCell ref="F2:G2"/>
    <mergeCell ref="O2:Q2"/>
    <mergeCell ref="A4:A9"/>
    <mergeCell ref="C20:D20"/>
    <mergeCell ref="A10:A15"/>
    <mergeCell ref="C11:D11"/>
    <mergeCell ref="C15:F15"/>
    <mergeCell ref="A16:A21"/>
    <mergeCell ref="C21:F21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topLeftCell="A16" zoomScale="109" zoomScaleNormal="109" workbookViewId="0">
      <selection activeCell="G14" sqref="G14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43256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406</v>
      </c>
      <c r="C4" s="181">
        <v>43269</v>
      </c>
      <c r="D4" s="121" t="s">
        <v>59</v>
      </c>
      <c r="E4" s="109" t="s">
        <v>143</v>
      </c>
      <c r="F4" s="108" t="s">
        <v>401</v>
      </c>
      <c r="G4" s="108">
        <v>528</v>
      </c>
      <c r="H4" s="109" t="s">
        <v>402</v>
      </c>
      <c r="I4" s="155">
        <v>528</v>
      </c>
      <c r="J4" s="155" t="s">
        <v>77</v>
      </c>
      <c r="K4" s="155"/>
      <c r="L4" s="123" t="s">
        <v>80</v>
      </c>
      <c r="M4" s="16"/>
      <c r="N4" s="16"/>
      <c r="O4" s="17" t="s">
        <v>476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510</v>
      </c>
      <c r="C5" s="117">
        <v>43299</v>
      </c>
      <c r="D5" s="113" t="s">
        <v>59</v>
      </c>
      <c r="E5" s="102" t="s">
        <v>143</v>
      </c>
      <c r="F5" s="101" t="s">
        <v>401</v>
      </c>
      <c r="G5" s="164">
        <v>408</v>
      </c>
      <c r="H5" s="186" t="s">
        <v>402</v>
      </c>
      <c r="I5" s="164">
        <v>408</v>
      </c>
      <c r="J5" s="164" t="s">
        <v>77</v>
      </c>
      <c r="K5" s="164"/>
      <c r="L5" s="51" t="s">
        <v>80</v>
      </c>
      <c r="M5" s="87"/>
      <c r="N5" s="87"/>
      <c r="O5" s="20" t="s">
        <v>477</v>
      </c>
      <c r="P5" s="21">
        <v>2</v>
      </c>
      <c r="Q5" s="22" t="s">
        <v>20</v>
      </c>
    </row>
    <row r="6" spans="1:28" ht="23.25" customHeight="1" x14ac:dyDescent="0.25">
      <c r="A6" s="308"/>
      <c r="B6" s="45" t="s">
        <v>511</v>
      </c>
      <c r="C6" s="117">
        <v>43265</v>
      </c>
      <c r="D6" s="113" t="s">
        <v>59</v>
      </c>
      <c r="E6" s="102" t="s">
        <v>640</v>
      </c>
      <c r="F6" s="101" t="s">
        <v>512</v>
      </c>
      <c r="G6" s="39">
        <v>1104</v>
      </c>
      <c r="H6" s="79" t="s">
        <v>139</v>
      </c>
      <c r="I6" s="164">
        <v>432</v>
      </c>
      <c r="J6" s="164" t="s">
        <v>513</v>
      </c>
      <c r="K6" s="164"/>
      <c r="L6" s="51" t="s">
        <v>80</v>
      </c>
      <c r="M6" s="49"/>
      <c r="N6" s="49"/>
      <c r="O6" s="20" t="s">
        <v>478</v>
      </c>
      <c r="P6" s="21">
        <v>3</v>
      </c>
      <c r="Q6" s="22" t="s">
        <v>21</v>
      </c>
    </row>
    <row r="7" spans="1:28" ht="23.25" customHeight="1" x14ac:dyDescent="0.25">
      <c r="A7" s="308"/>
      <c r="B7" s="45" t="s">
        <v>74</v>
      </c>
      <c r="C7" s="117"/>
      <c r="D7" s="113"/>
      <c r="E7" s="102"/>
      <c r="F7" s="101"/>
      <c r="G7" s="39"/>
      <c r="H7" s="79"/>
      <c r="I7" s="164">
        <v>216</v>
      </c>
      <c r="J7" s="164" t="s">
        <v>182</v>
      </c>
      <c r="K7" s="164"/>
      <c r="L7" s="51"/>
      <c r="M7" s="49"/>
      <c r="N7" s="49"/>
      <c r="O7" s="20" t="s">
        <v>479</v>
      </c>
      <c r="P7" s="21">
        <v>4</v>
      </c>
      <c r="Q7" s="22" t="s">
        <v>21</v>
      </c>
    </row>
    <row r="8" spans="1:28" ht="23.25" customHeight="1" x14ac:dyDescent="0.25">
      <c r="A8" s="308"/>
      <c r="B8" s="45"/>
      <c r="C8" s="117"/>
      <c r="D8" s="113"/>
      <c r="E8" s="102"/>
      <c r="F8" s="101"/>
      <c r="G8" s="164"/>
      <c r="H8" s="48"/>
      <c r="I8" s="164"/>
      <c r="J8" s="164"/>
      <c r="K8" s="164"/>
      <c r="L8" s="51"/>
      <c r="M8" s="49"/>
      <c r="N8" s="49"/>
      <c r="O8" s="20"/>
      <c r="P8" s="21"/>
      <c r="Q8" s="22"/>
    </row>
    <row r="9" spans="1:28" ht="23.25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199"/>
      <c r="H9" s="199"/>
      <c r="I9" s="199">
        <f>SUM(I4:I8)</f>
        <v>1584</v>
      </c>
      <c r="J9" s="199"/>
      <c r="K9" s="199"/>
      <c r="L9" s="202"/>
      <c r="M9" s="199"/>
      <c r="N9" s="199"/>
      <c r="O9" s="114"/>
      <c r="P9" s="200"/>
      <c r="Q9" s="200"/>
    </row>
    <row r="10" spans="1:28" ht="23.25" customHeight="1" x14ac:dyDescent="0.25">
      <c r="A10" s="287" t="s">
        <v>45</v>
      </c>
      <c r="B10" s="42" t="s">
        <v>410</v>
      </c>
      <c r="C10" s="121">
        <v>43271</v>
      </c>
      <c r="D10" s="109" t="s">
        <v>93</v>
      </c>
      <c r="E10" s="122" t="s">
        <v>54</v>
      </c>
      <c r="F10" s="108" t="s">
        <v>95</v>
      </c>
      <c r="G10" s="40">
        <v>70</v>
      </c>
      <c r="H10" s="41" t="s">
        <v>62</v>
      </c>
      <c r="I10" s="155">
        <v>70</v>
      </c>
      <c r="J10" s="155" t="s">
        <v>84</v>
      </c>
      <c r="K10" s="155"/>
      <c r="L10" s="123" t="s">
        <v>67</v>
      </c>
      <c r="M10" s="95"/>
      <c r="N10" s="16"/>
      <c r="O10" s="17" t="s">
        <v>476</v>
      </c>
      <c r="P10" s="18">
        <v>1</v>
      </c>
      <c r="Q10" s="19" t="s">
        <v>19</v>
      </c>
    </row>
    <row r="11" spans="1:28" ht="23.25" customHeight="1" x14ac:dyDescent="0.25">
      <c r="A11" s="288"/>
      <c r="B11" s="45"/>
      <c r="C11" s="315" t="s">
        <v>35</v>
      </c>
      <c r="D11" s="316"/>
      <c r="E11" s="102"/>
      <c r="F11" s="101"/>
      <c r="G11" s="164"/>
      <c r="H11" s="48"/>
      <c r="I11" s="164"/>
      <c r="J11" s="164"/>
      <c r="K11" s="164"/>
      <c r="L11" s="51"/>
      <c r="M11" s="15"/>
      <c r="N11" s="63"/>
      <c r="O11" s="20"/>
      <c r="P11" s="21"/>
      <c r="Q11" s="22"/>
    </row>
    <row r="12" spans="1:28" ht="23.25" customHeight="1" x14ac:dyDescent="0.25">
      <c r="A12" s="288"/>
      <c r="B12" s="45" t="s">
        <v>514</v>
      </c>
      <c r="C12" s="112">
        <v>43271</v>
      </c>
      <c r="D12" s="110" t="s">
        <v>59</v>
      </c>
      <c r="E12" s="102" t="s">
        <v>54</v>
      </c>
      <c r="F12" s="101" t="s">
        <v>95</v>
      </c>
      <c r="G12" s="39">
        <v>528</v>
      </c>
      <c r="H12" s="79" t="s">
        <v>62</v>
      </c>
      <c r="I12" s="164">
        <v>528</v>
      </c>
      <c r="J12" s="164" t="s">
        <v>77</v>
      </c>
      <c r="K12" s="164"/>
      <c r="L12" s="51" t="s">
        <v>79</v>
      </c>
      <c r="M12" s="83"/>
      <c r="N12" s="83"/>
      <c r="O12" s="20" t="s">
        <v>477</v>
      </c>
      <c r="P12" s="21">
        <v>2</v>
      </c>
      <c r="Q12" s="22" t="s">
        <v>20</v>
      </c>
    </row>
    <row r="13" spans="1:28" ht="23.25" customHeight="1" x14ac:dyDescent="0.25">
      <c r="A13" s="288"/>
      <c r="B13" s="45" t="s">
        <v>515</v>
      </c>
      <c r="C13" s="112">
        <v>43274</v>
      </c>
      <c r="D13" s="110" t="s">
        <v>93</v>
      </c>
      <c r="E13" s="102" t="s">
        <v>54</v>
      </c>
      <c r="F13" s="101" t="s">
        <v>95</v>
      </c>
      <c r="G13" s="39">
        <v>1800</v>
      </c>
      <c r="H13" s="79" t="s">
        <v>62</v>
      </c>
      <c r="I13" s="164">
        <v>432</v>
      </c>
      <c r="J13" s="164" t="s">
        <v>77</v>
      </c>
      <c r="K13" s="164"/>
      <c r="L13" s="51" t="s">
        <v>516</v>
      </c>
      <c r="M13" s="15"/>
      <c r="N13" s="15"/>
      <c r="O13" s="20" t="s">
        <v>478</v>
      </c>
      <c r="P13" s="21">
        <v>3</v>
      </c>
      <c r="Q13" s="22" t="s">
        <v>21</v>
      </c>
    </row>
    <row r="14" spans="1:28" ht="23.25" customHeight="1" x14ac:dyDescent="0.25">
      <c r="A14" s="288"/>
      <c r="B14" s="45" t="s">
        <v>73</v>
      </c>
      <c r="C14" s="112"/>
      <c r="D14" s="110"/>
      <c r="E14" s="102"/>
      <c r="F14" s="101"/>
      <c r="G14" s="39"/>
      <c r="H14" s="79"/>
      <c r="I14" s="164">
        <v>432</v>
      </c>
      <c r="J14" s="164" t="s">
        <v>169</v>
      </c>
      <c r="K14" s="164"/>
      <c r="L14" s="51"/>
      <c r="M14" s="15"/>
      <c r="N14" s="15"/>
      <c r="O14" s="20" t="s">
        <v>479</v>
      </c>
      <c r="P14" s="21">
        <v>4</v>
      </c>
      <c r="Q14" s="22" t="s">
        <v>21</v>
      </c>
    </row>
    <row r="15" spans="1:28" ht="23.25" customHeight="1" thickBot="1" x14ac:dyDescent="0.3">
      <c r="A15" s="289"/>
      <c r="B15" s="93"/>
      <c r="C15" s="199"/>
      <c r="D15" s="199"/>
      <c r="E15" s="199"/>
      <c r="F15" s="199"/>
      <c r="G15" s="199"/>
      <c r="H15" s="199"/>
      <c r="I15" s="199">
        <f>SUM(I10:I14)</f>
        <v>1462</v>
      </c>
      <c r="J15" s="199"/>
      <c r="K15" s="199"/>
      <c r="L15" s="202"/>
      <c r="M15" s="199"/>
      <c r="N15" s="199"/>
      <c r="O15" s="114"/>
      <c r="P15" s="199"/>
      <c r="Q15" s="199"/>
    </row>
    <row r="16" spans="1:28" ht="23.25" customHeight="1" x14ac:dyDescent="0.25">
      <c r="A16" s="287" t="s">
        <v>46</v>
      </c>
      <c r="B16" s="42" t="s">
        <v>415</v>
      </c>
      <c r="C16" s="62">
        <v>43274</v>
      </c>
      <c r="D16" s="77" t="s">
        <v>55</v>
      </c>
      <c r="E16" s="41" t="s">
        <v>156</v>
      </c>
      <c r="F16" s="40" t="s">
        <v>416</v>
      </c>
      <c r="G16" s="40">
        <v>852</v>
      </c>
      <c r="H16" s="41" t="s">
        <v>66</v>
      </c>
      <c r="I16" s="155">
        <v>432</v>
      </c>
      <c r="J16" s="155" t="s">
        <v>517</v>
      </c>
      <c r="K16" s="155"/>
      <c r="L16" s="97" t="s">
        <v>414</v>
      </c>
      <c r="M16" s="95"/>
      <c r="N16" s="95"/>
      <c r="O16" s="17" t="s">
        <v>476</v>
      </c>
      <c r="P16" s="18">
        <v>1</v>
      </c>
      <c r="Q16" s="19" t="s">
        <v>19</v>
      </c>
    </row>
    <row r="17" spans="1:17" ht="23.25" customHeight="1" x14ac:dyDescent="0.25">
      <c r="A17" s="288"/>
      <c r="B17" s="43" t="s">
        <v>97</v>
      </c>
      <c r="C17" s="86"/>
      <c r="D17" s="78"/>
      <c r="E17" s="60"/>
      <c r="F17" s="38"/>
      <c r="G17" s="38"/>
      <c r="H17" s="60"/>
      <c r="I17" s="164">
        <f>852-216*3</f>
        <v>204</v>
      </c>
      <c r="J17" s="164" t="s">
        <v>246</v>
      </c>
      <c r="K17" s="164"/>
      <c r="L17" s="99"/>
      <c r="M17" s="49"/>
      <c r="N17" s="15"/>
      <c r="O17" s="20" t="s">
        <v>477</v>
      </c>
      <c r="P17" s="21">
        <v>2</v>
      </c>
      <c r="Q17" s="22" t="s">
        <v>20</v>
      </c>
    </row>
    <row r="18" spans="1:17" ht="23.25" customHeight="1" x14ac:dyDescent="0.25">
      <c r="A18" s="288"/>
      <c r="B18" s="43" t="s">
        <v>518</v>
      </c>
      <c r="C18" s="58">
        <v>43274</v>
      </c>
      <c r="D18" s="78" t="s">
        <v>93</v>
      </c>
      <c r="E18" s="60" t="s">
        <v>156</v>
      </c>
      <c r="F18" s="38" t="s">
        <v>416</v>
      </c>
      <c r="G18" s="38">
        <v>900</v>
      </c>
      <c r="H18" s="60" t="s">
        <v>66</v>
      </c>
      <c r="I18" s="38">
        <v>360</v>
      </c>
      <c r="J18" s="38" t="s">
        <v>77</v>
      </c>
      <c r="K18" s="38"/>
      <c r="L18" s="99" t="s">
        <v>519</v>
      </c>
      <c r="M18" s="49"/>
      <c r="N18" s="15"/>
      <c r="O18" s="20" t="s">
        <v>478</v>
      </c>
      <c r="P18" s="21">
        <v>3</v>
      </c>
      <c r="Q18" s="22" t="s">
        <v>21</v>
      </c>
    </row>
    <row r="19" spans="1:17" ht="23.25" customHeight="1" x14ac:dyDescent="0.25">
      <c r="A19" s="288"/>
      <c r="B19" s="43" t="s">
        <v>209</v>
      </c>
      <c r="C19" s="86"/>
      <c r="D19" s="78"/>
      <c r="E19" s="60"/>
      <c r="F19" s="38"/>
      <c r="G19" s="38"/>
      <c r="H19" s="60"/>
      <c r="I19" s="164">
        <v>360</v>
      </c>
      <c r="J19" s="164" t="s">
        <v>82</v>
      </c>
      <c r="K19" s="164"/>
      <c r="L19" s="119"/>
      <c r="M19" s="49"/>
      <c r="N19" s="49"/>
      <c r="O19" s="20"/>
      <c r="P19" s="21"/>
      <c r="Q19" s="22"/>
    </row>
    <row r="20" spans="1:17" ht="23.25" customHeight="1" x14ac:dyDescent="0.25">
      <c r="A20" s="288"/>
      <c r="B20" s="43"/>
      <c r="C20" s="86"/>
      <c r="D20" s="78"/>
      <c r="E20" s="60"/>
      <c r="F20" s="38"/>
      <c r="G20" s="38"/>
      <c r="H20" s="60"/>
      <c r="I20" s="164">
        <v>180</v>
      </c>
      <c r="J20" s="164" t="s">
        <v>78</v>
      </c>
      <c r="K20" s="164"/>
      <c r="L20" s="99"/>
      <c r="M20" s="49"/>
      <c r="N20" s="59"/>
      <c r="O20" s="20" t="s">
        <v>479</v>
      </c>
      <c r="P20" s="21">
        <v>4</v>
      </c>
      <c r="Q20" s="22" t="s">
        <v>21</v>
      </c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99"/>
      <c r="H21" s="199"/>
      <c r="I21" s="199">
        <f>SUM(I16:I20)</f>
        <v>1536</v>
      </c>
      <c r="J21" s="199"/>
      <c r="K21" s="199"/>
      <c r="L21" s="80"/>
      <c r="M21" s="199"/>
      <c r="N21" s="199"/>
      <c r="O21" s="114"/>
      <c r="P21" s="199"/>
      <c r="Q21" s="200"/>
    </row>
    <row r="22" spans="1:17" ht="23.25" customHeight="1" x14ac:dyDescent="0.25">
      <c r="A22" s="310" t="s">
        <v>47</v>
      </c>
      <c r="B22" s="42" t="s">
        <v>301</v>
      </c>
      <c r="C22" s="62">
        <v>43281</v>
      </c>
      <c r="D22" s="77" t="s">
        <v>59</v>
      </c>
      <c r="E22" s="41" t="s">
        <v>69</v>
      </c>
      <c r="F22" s="108" t="s">
        <v>109</v>
      </c>
      <c r="G22" s="40">
        <v>1632</v>
      </c>
      <c r="H22" s="41" t="s">
        <v>66</v>
      </c>
      <c r="I22" s="40">
        <v>432</v>
      </c>
      <c r="J22" s="40" t="s">
        <v>520</v>
      </c>
      <c r="K22" s="40"/>
      <c r="L22" s="97" t="s">
        <v>210</v>
      </c>
      <c r="M22" s="16"/>
      <c r="N22" s="95"/>
      <c r="O22" s="17" t="s">
        <v>476</v>
      </c>
      <c r="P22" s="18">
        <v>1</v>
      </c>
      <c r="Q22" s="19" t="s">
        <v>19</v>
      </c>
    </row>
    <row r="23" spans="1:17" ht="23.25" customHeight="1" x14ac:dyDescent="0.25">
      <c r="A23" s="311"/>
      <c r="B23" s="43" t="s">
        <v>73</v>
      </c>
      <c r="C23" s="58"/>
      <c r="D23" s="78"/>
      <c r="E23" s="60"/>
      <c r="F23" s="118"/>
      <c r="G23" s="38"/>
      <c r="H23" s="60"/>
      <c r="I23" s="38">
        <f>1632-216*7</f>
        <v>120</v>
      </c>
      <c r="J23" s="38" t="s">
        <v>248</v>
      </c>
      <c r="K23" s="38"/>
      <c r="L23" s="99"/>
      <c r="M23" s="87"/>
      <c r="N23" s="87"/>
      <c r="O23" s="20" t="s">
        <v>477</v>
      </c>
      <c r="P23" s="21">
        <v>2</v>
      </c>
      <c r="Q23" s="22" t="s">
        <v>20</v>
      </c>
    </row>
    <row r="24" spans="1:17" ht="23.25" customHeight="1" x14ac:dyDescent="0.25">
      <c r="A24" s="311"/>
      <c r="B24" s="43" t="s">
        <v>521</v>
      </c>
      <c r="C24" s="58">
        <v>43291</v>
      </c>
      <c r="D24" s="78" t="s">
        <v>55</v>
      </c>
      <c r="E24" s="60" t="s">
        <v>69</v>
      </c>
      <c r="F24" s="118" t="s">
        <v>109</v>
      </c>
      <c r="G24" s="38">
        <v>294</v>
      </c>
      <c r="H24" s="60" t="s">
        <v>66</v>
      </c>
      <c r="I24" s="38">
        <v>294</v>
      </c>
      <c r="J24" s="38" t="s">
        <v>84</v>
      </c>
      <c r="K24" s="38"/>
      <c r="L24" s="99" t="s">
        <v>523</v>
      </c>
      <c r="M24" s="15"/>
      <c r="N24" s="15"/>
      <c r="O24" s="20"/>
      <c r="P24" s="21"/>
      <c r="Q24" s="22"/>
    </row>
    <row r="25" spans="1:17" ht="23.25" customHeight="1" x14ac:dyDescent="0.25">
      <c r="A25" s="311"/>
      <c r="B25" s="43" t="s">
        <v>522</v>
      </c>
      <c r="C25" s="58">
        <v>43299</v>
      </c>
      <c r="D25" s="78" t="s">
        <v>59</v>
      </c>
      <c r="E25" s="60" t="s">
        <v>69</v>
      </c>
      <c r="F25" s="118" t="s">
        <v>109</v>
      </c>
      <c r="G25" s="38">
        <v>852</v>
      </c>
      <c r="H25" s="60" t="s">
        <v>66</v>
      </c>
      <c r="I25" s="38">
        <v>432</v>
      </c>
      <c r="J25" s="38" t="s">
        <v>77</v>
      </c>
      <c r="K25" s="38"/>
      <c r="L25" s="99" t="s">
        <v>523</v>
      </c>
      <c r="M25" s="15"/>
      <c r="N25" s="15"/>
      <c r="O25" s="20" t="s">
        <v>478</v>
      </c>
      <c r="P25" s="21">
        <v>3</v>
      </c>
      <c r="Q25" s="22" t="s">
        <v>21</v>
      </c>
    </row>
    <row r="26" spans="1:17" ht="23.25" customHeight="1" x14ac:dyDescent="0.25">
      <c r="A26" s="311"/>
      <c r="B26" s="45" t="s">
        <v>242</v>
      </c>
      <c r="C26" s="213" t="s">
        <v>641</v>
      </c>
      <c r="D26" s="214"/>
      <c r="E26" s="215"/>
      <c r="F26" s="216"/>
      <c r="G26" s="164"/>
      <c r="H26" s="48"/>
      <c r="I26" s="38">
        <v>216</v>
      </c>
      <c r="J26" s="38" t="s">
        <v>182</v>
      </c>
      <c r="K26" s="38"/>
      <c r="L26" s="99"/>
      <c r="M26" s="15"/>
      <c r="N26" s="49"/>
      <c r="O26" s="20" t="s">
        <v>479</v>
      </c>
      <c r="P26" s="21">
        <v>4</v>
      </c>
      <c r="Q26" s="22" t="s">
        <v>21</v>
      </c>
    </row>
    <row r="27" spans="1:17" ht="23.25" customHeight="1" thickBot="1" x14ac:dyDescent="0.3">
      <c r="A27" s="312"/>
      <c r="B27" s="93"/>
      <c r="C27" s="205"/>
      <c r="D27" s="205"/>
      <c r="E27" s="205"/>
      <c r="F27" s="205"/>
      <c r="G27" s="199"/>
      <c r="H27" s="199"/>
      <c r="I27" s="200">
        <f>SUM(I22:I26)</f>
        <v>1494</v>
      </c>
      <c r="J27" s="200"/>
      <c r="K27" s="200"/>
      <c r="L27" s="162"/>
      <c r="M27" s="200"/>
      <c r="N27" s="200"/>
      <c r="O27" s="200"/>
      <c r="P27" s="200"/>
      <c r="Q27" s="200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6076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7">
    <mergeCell ref="A4:A9"/>
    <mergeCell ref="C9:F9"/>
    <mergeCell ref="A1:Q1"/>
    <mergeCell ref="A2:B2"/>
    <mergeCell ref="C2:E2"/>
    <mergeCell ref="F2:G2"/>
    <mergeCell ref="O2:Q2"/>
    <mergeCell ref="C11:D11"/>
    <mergeCell ref="A10:A15"/>
    <mergeCell ref="A16:A21"/>
    <mergeCell ref="C21:F21"/>
    <mergeCell ref="A22:A27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6" zoomScale="115" zoomScaleNormal="115" workbookViewId="0">
      <selection activeCell="G26" sqref="G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42" t="s">
        <v>445</v>
      </c>
      <c r="C4" s="62">
        <v>43275</v>
      </c>
      <c r="D4" s="77" t="s">
        <v>93</v>
      </c>
      <c r="E4" s="187" t="s">
        <v>56</v>
      </c>
      <c r="F4" s="188" t="s">
        <v>443</v>
      </c>
      <c r="G4" s="155">
        <v>3000</v>
      </c>
      <c r="H4" s="81" t="s">
        <v>53</v>
      </c>
      <c r="I4" s="155">
        <v>456</v>
      </c>
      <c r="J4" s="155" t="s">
        <v>524</v>
      </c>
      <c r="K4" s="155"/>
      <c r="L4" s="53" t="s">
        <v>447</v>
      </c>
      <c r="M4" s="16"/>
      <c r="N4" s="16"/>
      <c r="O4" s="17" t="s">
        <v>476</v>
      </c>
      <c r="P4" s="18">
        <v>1</v>
      </c>
      <c r="Q4" s="19" t="s">
        <v>19</v>
      </c>
    </row>
    <row r="5" spans="1:17" ht="23.25" customHeight="1" x14ac:dyDescent="0.25">
      <c r="A5" s="288"/>
      <c r="B5" s="45" t="s">
        <v>199</v>
      </c>
      <c r="C5" s="315" t="s">
        <v>35</v>
      </c>
      <c r="D5" s="316"/>
      <c r="E5" s="325" t="s">
        <v>446</v>
      </c>
      <c r="F5" s="326"/>
      <c r="G5" s="164"/>
      <c r="H5" s="48"/>
      <c r="I5" s="164">
        <v>456</v>
      </c>
      <c r="J5" s="164" t="s">
        <v>525</v>
      </c>
      <c r="K5" s="164"/>
      <c r="L5" s="57"/>
      <c r="M5" s="98"/>
      <c r="N5" s="63"/>
      <c r="O5" s="20" t="s">
        <v>477</v>
      </c>
      <c r="P5" s="21">
        <v>2</v>
      </c>
      <c r="Q5" s="22" t="s">
        <v>20</v>
      </c>
    </row>
    <row r="6" spans="1:17" ht="23.25" customHeight="1" x14ac:dyDescent="0.25">
      <c r="A6" s="288"/>
      <c r="B6" s="45"/>
      <c r="C6" s="112"/>
      <c r="D6" s="135"/>
      <c r="E6" s="82"/>
      <c r="F6" s="103"/>
      <c r="G6" s="39"/>
      <c r="H6" s="60"/>
      <c r="I6" s="164">
        <v>456</v>
      </c>
      <c r="J6" s="164" t="s">
        <v>526</v>
      </c>
      <c r="K6" s="164"/>
      <c r="L6" s="57"/>
      <c r="M6" s="98"/>
      <c r="N6" s="63"/>
      <c r="O6" s="20" t="s">
        <v>478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58"/>
      <c r="D7" s="78"/>
      <c r="E7" s="125"/>
      <c r="F7" s="143"/>
      <c r="G7" s="38"/>
      <c r="H7" s="60"/>
      <c r="I7" s="84">
        <v>456</v>
      </c>
      <c r="J7" s="164" t="s">
        <v>554</v>
      </c>
      <c r="K7" s="164"/>
      <c r="L7" s="57"/>
      <c r="M7" s="63"/>
      <c r="N7" s="63"/>
      <c r="O7" s="20" t="s">
        <v>479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199"/>
      <c r="H9" s="199"/>
      <c r="I9" s="199">
        <f>SUM(I4:I8)</f>
        <v>1824</v>
      </c>
      <c r="J9" s="199"/>
      <c r="K9" s="199"/>
      <c r="L9" s="202"/>
      <c r="M9" s="199"/>
      <c r="N9" s="199"/>
      <c r="O9" s="199"/>
      <c r="P9" s="200"/>
      <c r="Q9" s="200"/>
    </row>
    <row r="10" spans="1:17" ht="23.25" customHeight="1" x14ac:dyDescent="0.25">
      <c r="A10" s="287" t="s">
        <v>49</v>
      </c>
      <c r="B10" s="92" t="s">
        <v>420</v>
      </c>
      <c r="C10" s="12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85</v>
      </c>
      <c r="K10" s="155"/>
      <c r="L10" s="54" t="s">
        <v>424</v>
      </c>
      <c r="M10" s="16"/>
      <c r="N10" s="16"/>
      <c r="O10" s="17" t="s">
        <v>476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229</v>
      </c>
      <c r="K11" s="164"/>
      <c r="L11" s="88"/>
      <c r="M11" s="63"/>
      <c r="N11" s="63"/>
      <c r="O11" s="20" t="s">
        <v>477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527</v>
      </c>
      <c r="K12" s="164"/>
      <c r="L12" s="88"/>
      <c r="M12" s="63"/>
      <c r="N12" s="63"/>
      <c r="O12" s="20" t="s">
        <v>478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456</v>
      </c>
      <c r="J13" s="164" t="s">
        <v>528</v>
      </c>
      <c r="K13" s="164"/>
      <c r="L13" s="88"/>
      <c r="M13" s="15"/>
      <c r="N13" s="15"/>
      <c r="O13" s="20" t="s">
        <v>479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1824</v>
      </c>
      <c r="J15" s="115"/>
      <c r="K15" s="115"/>
      <c r="L15" s="96"/>
      <c r="M15" s="114"/>
      <c r="N15" s="114"/>
      <c r="O15" s="114"/>
      <c r="P15" s="200"/>
      <c r="Q15" s="200"/>
    </row>
    <row r="16" spans="1:17" ht="23.25" customHeight="1" x14ac:dyDescent="0.25">
      <c r="A16" s="287" t="s">
        <v>50</v>
      </c>
      <c r="B16" s="92" t="s">
        <v>314</v>
      </c>
      <c r="C16" s="12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229</v>
      </c>
      <c r="K16" s="164"/>
      <c r="L16" s="57" t="s">
        <v>67</v>
      </c>
      <c r="M16" s="16"/>
      <c r="N16" s="16"/>
      <c r="O16" s="17" t="s">
        <v>476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529</v>
      </c>
      <c r="K17" s="164"/>
      <c r="L17" s="57"/>
      <c r="M17" s="15"/>
      <c r="N17" s="15"/>
      <c r="O17" s="20" t="s">
        <v>477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463</v>
      </c>
      <c r="K18" s="164"/>
      <c r="L18" s="57"/>
      <c r="M18" s="15"/>
      <c r="N18" s="15"/>
      <c r="O18" s="20" t="s">
        <v>478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4" t="s">
        <v>530</v>
      </c>
      <c r="K19" s="164"/>
      <c r="L19" s="57"/>
      <c r="M19" s="49"/>
      <c r="N19" s="49"/>
      <c r="O19" s="20" t="s">
        <v>479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199">
        <f>SUM(I16:I20)</f>
        <v>1824</v>
      </c>
      <c r="J21" s="199"/>
      <c r="K21" s="199"/>
      <c r="L21" s="202"/>
      <c r="M21" s="199"/>
      <c r="N21" s="199"/>
      <c r="O21" s="199"/>
      <c r="P21" s="200"/>
      <c r="Q21" s="200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531</v>
      </c>
      <c r="K22" s="178"/>
      <c r="L22" s="180" t="s">
        <v>67</v>
      </c>
      <c r="M22" s="16"/>
      <c r="N22" s="16"/>
      <c r="O22" s="17" t="s">
        <v>476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103"/>
      <c r="G23" s="38"/>
      <c r="H23" s="193"/>
      <c r="I23" s="164">
        <v>456</v>
      </c>
      <c r="J23" s="197" t="s">
        <v>532</v>
      </c>
      <c r="K23" s="194"/>
      <c r="L23" s="195"/>
      <c r="M23" s="87"/>
      <c r="N23" s="15"/>
      <c r="O23" s="20" t="s">
        <v>477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533</v>
      </c>
      <c r="K24" s="164"/>
      <c r="L24" s="57"/>
      <c r="M24" s="49"/>
      <c r="N24" s="15"/>
      <c r="O24" s="20" t="s">
        <v>478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228</v>
      </c>
      <c r="J25" s="51" t="s">
        <v>555</v>
      </c>
      <c r="K25" s="164"/>
      <c r="L25" s="57"/>
      <c r="M25" s="49"/>
      <c r="N25" s="49"/>
      <c r="O25" s="20" t="s">
        <v>479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1596</v>
      </c>
      <c r="J27" s="114"/>
      <c r="K27" s="114"/>
      <c r="L27" s="80"/>
      <c r="M27" s="114"/>
      <c r="N27" s="114"/>
      <c r="O27" s="114"/>
      <c r="P27" s="200"/>
      <c r="Q27" s="200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7068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A22:A27"/>
    <mergeCell ref="B22:B23"/>
    <mergeCell ref="C23:E23"/>
    <mergeCell ref="A1:Q1"/>
    <mergeCell ref="A2:B2"/>
    <mergeCell ref="C2:E2"/>
    <mergeCell ref="F2:G2"/>
    <mergeCell ref="O2:Q2"/>
    <mergeCell ref="A4:A9"/>
    <mergeCell ref="C9:F9"/>
    <mergeCell ref="C5:D5"/>
    <mergeCell ref="E5:F5"/>
    <mergeCell ref="A10:A15"/>
    <mergeCell ref="C15:F15"/>
    <mergeCell ref="A16:A21"/>
    <mergeCell ref="C21:F21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7"/>
  <sheetViews>
    <sheetView zoomScaleNormal="100" workbookViewId="0">
      <selection activeCell="B12" sqref="B12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43256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30</v>
      </c>
      <c r="B4" s="92" t="s">
        <v>225</v>
      </c>
      <c r="C4" s="104">
        <v>43259</v>
      </c>
      <c r="D4" s="90" t="s">
        <v>59</v>
      </c>
      <c r="E4" s="144" t="s">
        <v>54</v>
      </c>
      <c r="F4" s="40" t="s">
        <v>96</v>
      </c>
      <c r="G4" s="40">
        <v>6648</v>
      </c>
      <c r="H4" s="149" t="s">
        <v>90</v>
      </c>
      <c r="I4" s="150">
        <v>432</v>
      </c>
      <c r="J4" s="40" t="s">
        <v>534</v>
      </c>
      <c r="K4" s="40"/>
      <c r="L4" s="107" t="s">
        <v>67</v>
      </c>
      <c r="M4" s="16"/>
      <c r="N4" s="16"/>
      <c r="O4" s="17" t="s">
        <v>476</v>
      </c>
      <c r="P4" s="18">
        <v>1</v>
      </c>
      <c r="Q4" s="19" t="s">
        <v>19</v>
      </c>
    </row>
    <row r="5" spans="1:17" ht="22.5" customHeight="1" x14ac:dyDescent="0.25">
      <c r="A5" s="288"/>
      <c r="B5" s="127" t="s">
        <v>115</v>
      </c>
      <c r="C5" s="313" t="s">
        <v>57</v>
      </c>
      <c r="D5" s="314"/>
      <c r="E5" s="79"/>
      <c r="F5" s="39"/>
      <c r="G5" s="164"/>
      <c r="H5" s="55"/>
      <c r="I5" s="128">
        <v>432</v>
      </c>
      <c r="J5" s="164" t="s">
        <v>535</v>
      </c>
      <c r="K5" s="164"/>
      <c r="L5" s="44"/>
      <c r="M5" s="15"/>
      <c r="N5" s="15"/>
      <c r="O5" s="20" t="s">
        <v>477</v>
      </c>
      <c r="P5" s="21">
        <v>2</v>
      </c>
      <c r="Q5" s="22" t="s">
        <v>20</v>
      </c>
    </row>
    <row r="6" spans="1:17" ht="22.5" customHeight="1" x14ac:dyDescent="0.25">
      <c r="A6" s="288"/>
      <c r="B6" s="127"/>
      <c r="C6" s="112"/>
      <c r="D6" s="110"/>
      <c r="E6" s="79"/>
      <c r="F6" s="39"/>
      <c r="G6" s="164"/>
      <c r="H6" s="55"/>
      <c r="I6" s="128">
        <v>432</v>
      </c>
      <c r="J6" s="164" t="s">
        <v>536</v>
      </c>
      <c r="K6" s="164"/>
      <c r="L6" s="44"/>
      <c r="M6" s="15"/>
      <c r="N6" s="15"/>
      <c r="O6" s="20" t="s">
        <v>478</v>
      </c>
      <c r="P6" s="21">
        <v>3</v>
      </c>
      <c r="Q6" s="22" t="s">
        <v>21</v>
      </c>
    </row>
    <row r="7" spans="1:17" ht="22.5" customHeight="1" x14ac:dyDescent="0.25">
      <c r="A7" s="288"/>
      <c r="B7" s="127"/>
      <c r="C7" s="112"/>
      <c r="D7" s="110"/>
      <c r="E7" s="79"/>
      <c r="F7" s="39"/>
      <c r="G7" s="164"/>
      <c r="H7" s="55"/>
      <c r="I7" s="128">
        <v>432</v>
      </c>
      <c r="J7" s="164" t="s">
        <v>537</v>
      </c>
      <c r="K7" s="164"/>
      <c r="L7" s="44"/>
      <c r="M7" s="15"/>
      <c r="N7" s="15"/>
      <c r="O7" s="20" t="s">
        <v>479</v>
      </c>
      <c r="P7" s="21">
        <v>4</v>
      </c>
      <c r="Q7" s="22" t="s">
        <v>21</v>
      </c>
    </row>
    <row r="8" spans="1:17" ht="22.5" customHeight="1" x14ac:dyDescent="0.25">
      <c r="A8" s="288"/>
      <c r="B8" s="85"/>
      <c r="C8" s="112"/>
      <c r="D8" s="110"/>
      <c r="E8" s="79"/>
      <c r="F8" s="39"/>
      <c r="G8" s="164"/>
      <c r="H8" s="55"/>
      <c r="I8" s="84"/>
      <c r="J8" s="164"/>
      <c r="K8" s="164"/>
      <c r="L8" s="57"/>
      <c r="M8" s="49"/>
      <c r="N8" s="49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199"/>
      <c r="H9" s="199"/>
      <c r="I9" s="199">
        <f>SUM(I4:I7)</f>
        <v>1728</v>
      </c>
      <c r="J9" s="199"/>
      <c r="K9" s="199"/>
      <c r="L9" s="202"/>
      <c r="M9" s="199"/>
      <c r="N9" s="199"/>
      <c r="O9" s="199"/>
      <c r="P9" s="200"/>
      <c r="Q9" s="147"/>
    </row>
    <row r="10" spans="1:17" ht="22.5" customHeight="1" x14ac:dyDescent="0.25">
      <c r="A10" s="288" t="s">
        <v>31</v>
      </c>
      <c r="B10" s="42" t="s">
        <v>454</v>
      </c>
      <c r="C10" s="104">
        <v>43259</v>
      </c>
      <c r="D10" s="90" t="s">
        <v>59</v>
      </c>
      <c r="E10" s="144" t="s">
        <v>54</v>
      </c>
      <c r="F10" s="40" t="s">
        <v>455</v>
      </c>
      <c r="G10" s="40">
        <v>780</v>
      </c>
      <c r="H10" s="204" t="s">
        <v>456</v>
      </c>
      <c r="I10" s="155">
        <f>780-216*2</f>
        <v>348</v>
      </c>
      <c r="J10" s="155" t="s">
        <v>82</v>
      </c>
      <c r="K10" s="155"/>
      <c r="L10" s="53" t="s">
        <v>458</v>
      </c>
      <c r="M10" s="16"/>
      <c r="N10" s="16"/>
      <c r="O10" s="17" t="s">
        <v>476</v>
      </c>
      <c r="P10" s="18">
        <v>1</v>
      </c>
      <c r="Q10" s="19" t="s">
        <v>19</v>
      </c>
    </row>
    <row r="11" spans="1:17" ht="22.5" customHeight="1" x14ac:dyDescent="0.25">
      <c r="A11" s="288"/>
      <c r="B11" s="45" t="s">
        <v>97</v>
      </c>
      <c r="C11" s="313" t="s">
        <v>57</v>
      </c>
      <c r="D11" s="314"/>
      <c r="E11" s="129"/>
      <c r="F11" s="39"/>
      <c r="G11" s="39"/>
      <c r="H11" s="146"/>
      <c r="I11" s="164"/>
      <c r="J11" s="164"/>
      <c r="K11" s="164"/>
      <c r="L11" s="57"/>
      <c r="M11" s="15"/>
      <c r="N11" s="15"/>
      <c r="O11" s="20"/>
      <c r="P11" s="21"/>
      <c r="Q11" s="22"/>
    </row>
    <row r="12" spans="1:17" ht="22.5" customHeight="1" x14ac:dyDescent="0.25">
      <c r="A12" s="288"/>
      <c r="B12" s="45" t="s">
        <v>538</v>
      </c>
      <c r="C12" s="133">
        <v>43259</v>
      </c>
      <c r="D12" s="134" t="s">
        <v>59</v>
      </c>
      <c r="E12" s="129" t="s">
        <v>54</v>
      </c>
      <c r="F12" s="39" t="s">
        <v>539</v>
      </c>
      <c r="G12" s="39">
        <v>792</v>
      </c>
      <c r="H12" s="146" t="s">
        <v>456</v>
      </c>
      <c r="I12" s="164">
        <v>432</v>
      </c>
      <c r="J12" s="164" t="s">
        <v>77</v>
      </c>
      <c r="K12" s="164"/>
      <c r="L12" s="57" t="s">
        <v>540</v>
      </c>
      <c r="M12" s="15"/>
      <c r="N12" s="15"/>
      <c r="O12" s="20" t="s">
        <v>477</v>
      </c>
      <c r="P12" s="21">
        <v>2</v>
      </c>
      <c r="Q12" s="22" t="s">
        <v>20</v>
      </c>
    </row>
    <row r="13" spans="1:17" ht="22.5" customHeight="1" x14ac:dyDescent="0.25">
      <c r="A13" s="288"/>
      <c r="B13" s="45" t="s">
        <v>242</v>
      </c>
      <c r="C13" s="313" t="s">
        <v>57</v>
      </c>
      <c r="D13" s="314"/>
      <c r="E13" s="129"/>
      <c r="F13" s="39"/>
      <c r="G13" s="39"/>
      <c r="H13" s="146"/>
      <c r="I13" s="164">
        <f>792-216*2</f>
        <v>360</v>
      </c>
      <c r="J13" s="164" t="s">
        <v>82</v>
      </c>
      <c r="K13" s="164"/>
      <c r="L13" s="57"/>
      <c r="M13" s="49"/>
      <c r="N13" s="49"/>
      <c r="O13" s="20" t="s">
        <v>478</v>
      </c>
      <c r="P13" s="21">
        <v>3</v>
      </c>
      <c r="Q13" s="22" t="s">
        <v>21</v>
      </c>
    </row>
    <row r="14" spans="1:17" ht="22.5" customHeight="1" x14ac:dyDescent="0.25">
      <c r="A14" s="288"/>
      <c r="B14" s="45" t="s">
        <v>541</v>
      </c>
      <c r="C14" s="133">
        <v>43271</v>
      </c>
      <c r="D14" s="134" t="s">
        <v>59</v>
      </c>
      <c r="E14" s="129" t="s">
        <v>54</v>
      </c>
      <c r="F14" s="39" t="s">
        <v>539</v>
      </c>
      <c r="G14" s="39">
        <v>228</v>
      </c>
      <c r="H14" s="146" t="s">
        <v>456</v>
      </c>
      <c r="I14" s="164">
        <v>228</v>
      </c>
      <c r="J14" s="164" t="s">
        <v>84</v>
      </c>
      <c r="K14" s="164"/>
      <c r="L14" s="57" t="s">
        <v>540</v>
      </c>
      <c r="M14" s="49"/>
      <c r="N14" s="49"/>
      <c r="O14" s="20"/>
      <c r="P14" s="21"/>
      <c r="Q14" s="22"/>
    </row>
    <row r="15" spans="1:17" ht="22.5" customHeight="1" x14ac:dyDescent="0.25">
      <c r="A15" s="288"/>
      <c r="B15" s="45" t="s">
        <v>542</v>
      </c>
      <c r="C15" s="133">
        <v>43275</v>
      </c>
      <c r="D15" s="134" t="s">
        <v>93</v>
      </c>
      <c r="E15" s="129" t="s">
        <v>54</v>
      </c>
      <c r="F15" s="39" t="s">
        <v>539</v>
      </c>
      <c r="G15" s="39">
        <v>156</v>
      </c>
      <c r="H15" s="146" t="s">
        <v>456</v>
      </c>
      <c r="I15" s="164">
        <v>156</v>
      </c>
      <c r="J15" s="164" t="s">
        <v>84</v>
      </c>
      <c r="K15" s="164"/>
      <c r="L15" s="57" t="s">
        <v>516</v>
      </c>
      <c r="M15" s="49"/>
      <c r="N15" s="49"/>
      <c r="O15" s="20" t="s">
        <v>479</v>
      </c>
      <c r="P15" s="21">
        <v>4</v>
      </c>
      <c r="Q15" s="22" t="s">
        <v>21</v>
      </c>
    </row>
    <row r="16" spans="1:17" ht="22.5" customHeight="1" x14ac:dyDescent="0.25">
      <c r="A16" s="288"/>
      <c r="B16" s="45"/>
      <c r="C16" s="313" t="s">
        <v>384</v>
      </c>
      <c r="D16" s="314"/>
      <c r="E16" s="129"/>
      <c r="F16" s="39"/>
      <c r="G16" s="164"/>
      <c r="H16" s="146"/>
      <c r="I16" s="164"/>
      <c r="J16" s="164"/>
      <c r="K16" s="164"/>
      <c r="L16" s="57"/>
      <c r="M16" s="49"/>
      <c r="N16" s="49"/>
      <c r="O16" s="100"/>
      <c r="P16" s="50"/>
      <c r="Q16" s="148"/>
    </row>
    <row r="17" spans="1:17" ht="22.5" customHeight="1" thickBot="1" x14ac:dyDescent="0.3">
      <c r="A17" s="289"/>
      <c r="B17" s="93" t="s">
        <v>64</v>
      </c>
      <c r="C17" s="290" t="s">
        <v>65</v>
      </c>
      <c r="D17" s="291"/>
      <c r="E17" s="291"/>
      <c r="F17" s="292"/>
      <c r="G17" s="199"/>
      <c r="H17" s="199"/>
      <c r="I17" s="199">
        <f>SUM(I10:I15)</f>
        <v>1524</v>
      </c>
      <c r="J17" s="199"/>
      <c r="K17" s="199"/>
      <c r="L17" s="202"/>
      <c r="M17" s="199"/>
      <c r="N17" s="199"/>
      <c r="O17" s="199"/>
      <c r="P17" s="199"/>
      <c r="Q17" s="151"/>
    </row>
    <row r="18" spans="1:17" ht="22.5" customHeight="1" x14ac:dyDescent="0.25">
      <c r="A18" s="287" t="s">
        <v>32</v>
      </c>
      <c r="B18" s="42" t="s">
        <v>333</v>
      </c>
      <c r="C18" s="104">
        <v>43271</v>
      </c>
      <c r="D18" s="90" t="s">
        <v>59</v>
      </c>
      <c r="E18" s="144" t="s">
        <v>54</v>
      </c>
      <c r="F18" s="40" t="s">
        <v>331</v>
      </c>
      <c r="G18" s="40">
        <v>1320</v>
      </c>
      <c r="H18" s="149" t="s">
        <v>332</v>
      </c>
      <c r="I18" s="155">
        <v>432</v>
      </c>
      <c r="J18" s="155" t="s">
        <v>82</v>
      </c>
      <c r="K18" s="155"/>
      <c r="L18" s="53" t="s">
        <v>462</v>
      </c>
      <c r="M18" s="16"/>
      <c r="N18" s="16"/>
      <c r="O18" s="17" t="s">
        <v>476</v>
      </c>
      <c r="P18" s="18">
        <v>1</v>
      </c>
      <c r="Q18" s="19" t="s">
        <v>19</v>
      </c>
    </row>
    <row r="19" spans="1:17" ht="22.5" customHeight="1" x14ac:dyDescent="0.25">
      <c r="A19" s="288"/>
      <c r="B19" s="127" t="s">
        <v>105</v>
      </c>
      <c r="C19" s="133"/>
      <c r="D19" s="134"/>
      <c r="E19" s="129"/>
      <c r="F19" s="38"/>
      <c r="G19" s="38"/>
      <c r="H19" s="154"/>
      <c r="I19" s="164">
        <f>1320-216*4</f>
        <v>456</v>
      </c>
      <c r="J19" s="164" t="s">
        <v>543</v>
      </c>
      <c r="K19" s="164"/>
      <c r="L19" s="57"/>
      <c r="M19" s="15"/>
      <c r="N19" s="15"/>
      <c r="O19" s="20" t="s">
        <v>477</v>
      </c>
      <c r="P19" s="21">
        <v>2</v>
      </c>
      <c r="Q19" s="22" t="s">
        <v>20</v>
      </c>
    </row>
    <row r="20" spans="1:17" ht="22.5" customHeight="1" x14ac:dyDescent="0.25">
      <c r="A20" s="288"/>
      <c r="B20" s="45" t="s">
        <v>544</v>
      </c>
      <c r="C20" s="133">
        <v>43304</v>
      </c>
      <c r="D20" s="134" t="s">
        <v>55</v>
      </c>
      <c r="E20" s="129" t="s">
        <v>54</v>
      </c>
      <c r="F20" s="39" t="s">
        <v>331</v>
      </c>
      <c r="G20" s="39">
        <v>120</v>
      </c>
      <c r="H20" s="130" t="s">
        <v>332</v>
      </c>
      <c r="I20" s="128">
        <v>120</v>
      </c>
      <c r="J20" s="38" t="s">
        <v>84</v>
      </c>
      <c r="K20" s="38"/>
      <c r="L20" s="44" t="s">
        <v>546</v>
      </c>
      <c r="M20" s="15"/>
      <c r="N20" s="15"/>
      <c r="O20" s="20" t="s">
        <v>478</v>
      </c>
      <c r="P20" s="21">
        <v>3</v>
      </c>
      <c r="Q20" s="22" t="s">
        <v>21</v>
      </c>
    </row>
    <row r="21" spans="1:17" ht="22.5" customHeight="1" x14ac:dyDescent="0.25">
      <c r="A21" s="288"/>
      <c r="B21" s="45" t="s">
        <v>545</v>
      </c>
      <c r="C21" s="133">
        <v>43304</v>
      </c>
      <c r="D21" s="134" t="s">
        <v>55</v>
      </c>
      <c r="E21" s="129" t="s">
        <v>54</v>
      </c>
      <c r="F21" s="39" t="s">
        <v>331</v>
      </c>
      <c r="G21" s="39">
        <v>624</v>
      </c>
      <c r="H21" s="130" t="s">
        <v>332</v>
      </c>
      <c r="I21" s="164">
        <v>432</v>
      </c>
      <c r="J21" s="164" t="s">
        <v>77</v>
      </c>
      <c r="K21" s="164"/>
      <c r="L21" s="57" t="s">
        <v>547</v>
      </c>
      <c r="M21" s="49"/>
      <c r="N21" s="49"/>
      <c r="O21" s="20" t="s">
        <v>479</v>
      </c>
      <c r="P21" s="21">
        <v>4</v>
      </c>
      <c r="Q21" s="22" t="s">
        <v>21</v>
      </c>
    </row>
    <row r="22" spans="1:17" ht="22.5" customHeight="1" x14ac:dyDescent="0.25">
      <c r="A22" s="288"/>
      <c r="B22" s="127" t="s">
        <v>383</v>
      </c>
      <c r="C22" s="133"/>
      <c r="D22" s="134"/>
      <c r="E22" s="129"/>
      <c r="F22" s="38"/>
      <c r="G22" s="38"/>
      <c r="H22" s="154"/>
      <c r="I22" s="164"/>
      <c r="J22" s="164"/>
      <c r="K22" s="164"/>
      <c r="L22" s="57"/>
      <c r="M22" s="49"/>
      <c r="N22" s="49"/>
      <c r="O22" s="20"/>
      <c r="P22" s="21"/>
      <c r="Q22" s="22"/>
    </row>
    <row r="23" spans="1:17" ht="22.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199"/>
      <c r="H23" s="199"/>
      <c r="I23" s="199">
        <f>SUM(I18:I22)</f>
        <v>1440</v>
      </c>
      <c r="J23" s="199"/>
      <c r="K23" s="199"/>
      <c r="L23" s="202"/>
      <c r="M23" s="199"/>
      <c r="N23" s="199"/>
      <c r="O23" s="199"/>
      <c r="P23" s="199"/>
      <c r="Q23" s="147"/>
    </row>
    <row r="24" spans="1:17" ht="22.5" customHeight="1" x14ac:dyDescent="0.25">
      <c r="A24" s="287" t="s">
        <v>33</v>
      </c>
      <c r="B24" s="42" t="s">
        <v>437</v>
      </c>
      <c r="C24" s="116">
        <v>43281</v>
      </c>
      <c r="D24" s="52" t="s">
        <v>59</v>
      </c>
      <c r="E24" s="144" t="s">
        <v>69</v>
      </c>
      <c r="F24" s="40" t="s">
        <v>340</v>
      </c>
      <c r="G24" s="155">
        <v>180</v>
      </c>
      <c r="H24" s="198" t="s">
        <v>341</v>
      </c>
      <c r="I24" s="155">
        <v>180</v>
      </c>
      <c r="J24" s="81" t="s">
        <v>84</v>
      </c>
      <c r="K24" s="155"/>
      <c r="L24" s="53" t="s">
        <v>67</v>
      </c>
      <c r="M24" s="16"/>
      <c r="N24" s="16"/>
      <c r="O24" s="17" t="s">
        <v>476</v>
      </c>
      <c r="P24" s="18">
        <v>1</v>
      </c>
      <c r="Q24" s="19" t="s">
        <v>19</v>
      </c>
    </row>
    <row r="25" spans="1:17" ht="22.5" customHeight="1" x14ac:dyDescent="0.25">
      <c r="A25" s="288"/>
      <c r="B25" s="45" t="s">
        <v>438</v>
      </c>
      <c r="C25" s="46">
        <v>43271</v>
      </c>
      <c r="D25" s="47" t="s">
        <v>59</v>
      </c>
      <c r="E25" s="129" t="s">
        <v>69</v>
      </c>
      <c r="F25" s="38" t="s">
        <v>439</v>
      </c>
      <c r="G25" s="38">
        <v>132</v>
      </c>
      <c r="H25" s="61" t="s">
        <v>341</v>
      </c>
      <c r="I25" s="164">
        <v>132</v>
      </c>
      <c r="J25" s="60" t="s">
        <v>84</v>
      </c>
      <c r="K25" s="38"/>
      <c r="L25" s="44" t="s">
        <v>434</v>
      </c>
      <c r="M25" s="15"/>
      <c r="N25" s="63"/>
      <c r="O25" s="20" t="s">
        <v>477</v>
      </c>
      <c r="P25" s="21">
        <v>2</v>
      </c>
      <c r="Q25" s="22" t="s">
        <v>20</v>
      </c>
    </row>
    <row r="26" spans="1:17" ht="22.5" customHeight="1" x14ac:dyDescent="0.25">
      <c r="A26" s="288"/>
      <c r="B26" s="45" t="s">
        <v>440</v>
      </c>
      <c r="C26" s="46">
        <v>43281</v>
      </c>
      <c r="D26" s="47" t="s">
        <v>59</v>
      </c>
      <c r="E26" s="129" t="s">
        <v>69</v>
      </c>
      <c r="F26" s="38" t="s">
        <v>439</v>
      </c>
      <c r="G26" s="164">
        <v>132</v>
      </c>
      <c r="H26" s="55" t="s">
        <v>341</v>
      </c>
      <c r="I26" s="164">
        <v>132</v>
      </c>
      <c r="J26" s="48" t="s">
        <v>84</v>
      </c>
      <c r="K26" s="164"/>
      <c r="L26" s="57" t="s">
        <v>67</v>
      </c>
      <c r="M26" s="15"/>
      <c r="N26" s="15"/>
      <c r="O26" s="20" t="s">
        <v>478</v>
      </c>
      <c r="P26" s="21">
        <v>3</v>
      </c>
      <c r="Q26" s="22" t="s">
        <v>21</v>
      </c>
    </row>
    <row r="27" spans="1:17" ht="22.5" customHeight="1" x14ac:dyDescent="0.25">
      <c r="A27" s="288"/>
      <c r="B27" s="45" t="s">
        <v>548</v>
      </c>
      <c r="C27" s="46">
        <v>43281</v>
      </c>
      <c r="D27" s="47" t="s">
        <v>59</v>
      </c>
      <c r="E27" s="129" t="s">
        <v>69</v>
      </c>
      <c r="F27" s="38" t="s">
        <v>439</v>
      </c>
      <c r="G27" s="38">
        <v>456</v>
      </c>
      <c r="H27" s="61" t="s">
        <v>341</v>
      </c>
      <c r="I27" s="164">
        <v>456</v>
      </c>
      <c r="J27" s="60" t="s">
        <v>77</v>
      </c>
      <c r="K27" s="38"/>
      <c r="L27" s="44" t="s">
        <v>434</v>
      </c>
      <c r="M27" s="15"/>
      <c r="N27" s="15"/>
      <c r="O27" s="20"/>
      <c r="P27" s="21"/>
      <c r="Q27" s="22"/>
    </row>
    <row r="28" spans="1:17" ht="22.5" customHeight="1" x14ac:dyDescent="0.25">
      <c r="A28" s="288"/>
      <c r="B28" s="45" t="s">
        <v>549</v>
      </c>
      <c r="C28" s="46">
        <v>43281</v>
      </c>
      <c r="D28" s="47" t="s">
        <v>59</v>
      </c>
      <c r="E28" s="129" t="s">
        <v>69</v>
      </c>
      <c r="F28" s="38" t="s">
        <v>439</v>
      </c>
      <c r="G28" s="164">
        <v>180</v>
      </c>
      <c r="H28" s="55" t="s">
        <v>341</v>
      </c>
      <c r="I28" s="164">
        <v>180</v>
      </c>
      <c r="J28" s="48" t="s">
        <v>84</v>
      </c>
      <c r="K28" s="164"/>
      <c r="L28" s="57" t="s">
        <v>411</v>
      </c>
      <c r="M28" s="49"/>
      <c r="N28" s="49"/>
      <c r="O28" s="20" t="s">
        <v>479</v>
      </c>
      <c r="P28" s="21">
        <v>4</v>
      </c>
      <c r="Q28" s="22" t="s">
        <v>21</v>
      </c>
    </row>
    <row r="29" spans="1:17" ht="22.5" customHeight="1" x14ac:dyDescent="0.25">
      <c r="A29" s="288"/>
      <c r="B29" s="45"/>
      <c r="C29" s="46"/>
      <c r="D29" s="47"/>
      <c r="E29" s="129"/>
      <c r="F29" s="38"/>
      <c r="G29" s="164"/>
      <c r="H29" s="55"/>
      <c r="I29" s="164"/>
      <c r="J29" s="48"/>
      <c r="K29" s="164"/>
      <c r="L29" s="57"/>
      <c r="M29" s="49"/>
      <c r="N29" s="49"/>
      <c r="O29" s="20"/>
      <c r="P29" s="21"/>
      <c r="Q29" s="22"/>
    </row>
    <row r="30" spans="1:17" ht="22.5" customHeight="1" thickBot="1" x14ac:dyDescent="0.3">
      <c r="A30" s="289"/>
      <c r="B30" s="93" t="s">
        <v>64</v>
      </c>
      <c r="C30" s="301" t="s">
        <v>65</v>
      </c>
      <c r="D30" s="302"/>
      <c r="E30" s="302"/>
      <c r="F30" s="303"/>
      <c r="G30" s="200"/>
      <c r="H30" s="200"/>
      <c r="I30" s="200">
        <f>SUM(I24:I29)</f>
        <v>1080</v>
      </c>
      <c r="J30" s="200"/>
      <c r="K30" s="200"/>
      <c r="L30" s="162"/>
      <c r="M30" s="200"/>
      <c r="N30" s="200"/>
      <c r="O30" s="200"/>
      <c r="P30" s="200"/>
      <c r="Q30" s="147"/>
    </row>
    <row r="31" spans="1:17" ht="29.25" customHeight="1" thickBot="1" x14ac:dyDescent="0.3">
      <c r="A31" s="73"/>
      <c r="B31" s="64"/>
      <c r="C31" s="65"/>
      <c r="D31" s="66"/>
      <c r="E31" s="67"/>
      <c r="F31" s="68"/>
      <c r="G31" s="67"/>
      <c r="H31" s="67"/>
      <c r="I31" s="69">
        <f>SUM(I30,I23,I17,I9)</f>
        <v>5772</v>
      </c>
      <c r="J31" s="70"/>
      <c r="K31" s="70"/>
      <c r="L31" s="65"/>
      <c r="M31" s="71"/>
      <c r="N31" s="69"/>
      <c r="O31" s="70"/>
      <c r="P31" s="70"/>
      <c r="Q31" s="72"/>
    </row>
    <row r="32" spans="1:17" ht="17.25" thickTop="1" x14ac:dyDescent="0.3">
      <c r="A32" s="23" t="s">
        <v>22</v>
      </c>
      <c r="B32" s="24"/>
      <c r="C32" s="25"/>
      <c r="D32" s="24"/>
      <c r="E32" s="24"/>
      <c r="F32" s="26"/>
      <c r="G32" s="27"/>
      <c r="H32" s="28" t="s">
        <v>23</v>
      </c>
      <c r="I32" s="29"/>
      <c r="J32" s="29"/>
      <c r="K32" s="29"/>
      <c r="L32" s="30"/>
      <c r="M32" s="29"/>
      <c r="N32" s="29"/>
      <c r="O32" s="29"/>
      <c r="P32" s="201" t="s">
        <v>24</v>
      </c>
      <c r="Q32" s="31"/>
    </row>
    <row r="33" spans="1:17" ht="16.5" x14ac:dyDescent="0.3">
      <c r="A33" s="1"/>
      <c r="B33" s="32">
        <v>1</v>
      </c>
      <c r="C33" s="33"/>
      <c r="D33" s="32"/>
      <c r="E33" s="32"/>
      <c r="F33" s="304" t="s">
        <v>25</v>
      </c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</row>
    <row r="34" spans="1:17" ht="16.5" x14ac:dyDescent="0.3">
      <c r="A34" s="297" t="s">
        <v>26</v>
      </c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1:17" ht="16.5" x14ac:dyDescent="0.3">
      <c r="A35" s="1"/>
      <c r="B35" s="34">
        <v>2</v>
      </c>
      <c r="C35" s="35"/>
      <c r="D35" s="36"/>
      <c r="E35" s="36"/>
      <c r="F35" s="298" t="s">
        <v>27</v>
      </c>
      <c r="G35" s="298"/>
      <c r="H35" s="298"/>
      <c r="I35" s="298"/>
      <c r="J35" s="298"/>
      <c r="K35" s="298"/>
      <c r="L35" s="298"/>
      <c r="M35" s="298"/>
      <c r="N35" s="298"/>
      <c r="O35" s="298"/>
      <c r="P35" s="76" t="s">
        <v>28</v>
      </c>
      <c r="Q35" s="75"/>
    </row>
    <row r="36" spans="1:17" ht="16.5" x14ac:dyDescent="0.3">
      <c r="A36" s="1"/>
      <c r="B36" s="297" t="s">
        <v>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1"/>
      <c r="Q36" s="1"/>
    </row>
    <row r="37" spans="1:17" x14ac:dyDescent="0.25">
      <c r="O37" s="74"/>
    </row>
  </sheetData>
  <mergeCells count="21">
    <mergeCell ref="A4:A9"/>
    <mergeCell ref="C5:D5"/>
    <mergeCell ref="C9:F9"/>
    <mergeCell ref="A1:Q1"/>
    <mergeCell ref="A2:B2"/>
    <mergeCell ref="C2:E2"/>
    <mergeCell ref="F2:G2"/>
    <mergeCell ref="O2:Q2"/>
    <mergeCell ref="F33:Q33"/>
    <mergeCell ref="A34:Q34"/>
    <mergeCell ref="F35:O35"/>
    <mergeCell ref="B36:O36"/>
    <mergeCell ref="C11:D11"/>
    <mergeCell ref="C13:D13"/>
    <mergeCell ref="C16:D16"/>
    <mergeCell ref="A10:A17"/>
    <mergeCell ref="C17:F17"/>
    <mergeCell ref="A18:A23"/>
    <mergeCell ref="C23:F23"/>
    <mergeCell ref="A24:A30"/>
    <mergeCell ref="C30:F30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5" zoomScaleNormal="100" workbookViewId="0">
      <selection activeCell="G19" sqref="G19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43256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43257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481</v>
      </c>
      <c r="C4" s="62">
        <v>43271</v>
      </c>
      <c r="D4" s="77" t="s">
        <v>59</v>
      </c>
      <c r="E4" s="41" t="s">
        <v>54</v>
      </c>
      <c r="F4" s="40" t="s">
        <v>267</v>
      </c>
      <c r="G4" s="40">
        <v>336</v>
      </c>
      <c r="H4" s="41" t="s">
        <v>148</v>
      </c>
      <c r="I4" s="40">
        <f>336-216</f>
        <v>120</v>
      </c>
      <c r="J4" s="40" t="s">
        <v>94</v>
      </c>
      <c r="K4" s="40"/>
      <c r="L4" s="54">
        <v>2689</v>
      </c>
      <c r="M4" s="16"/>
      <c r="N4" s="16"/>
      <c r="O4" s="17" t="s">
        <v>556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562</v>
      </c>
      <c r="C5" s="58">
        <v>43271</v>
      </c>
      <c r="D5" s="78" t="s">
        <v>59</v>
      </c>
      <c r="E5" s="60" t="s">
        <v>54</v>
      </c>
      <c r="F5" s="38" t="s">
        <v>267</v>
      </c>
      <c r="G5" s="38">
        <v>1008</v>
      </c>
      <c r="H5" s="60" t="s">
        <v>148</v>
      </c>
      <c r="I5" s="38">
        <v>432</v>
      </c>
      <c r="J5" s="38" t="s">
        <v>564</v>
      </c>
      <c r="K5" s="38"/>
      <c r="L5" s="44">
        <v>2689</v>
      </c>
      <c r="M5" s="15"/>
      <c r="N5" s="63"/>
      <c r="O5" s="20" t="s">
        <v>557</v>
      </c>
      <c r="P5" s="21">
        <v>2</v>
      </c>
      <c r="Q5" s="22" t="s">
        <v>20</v>
      </c>
    </row>
    <row r="6" spans="1:17" ht="22.5" customHeight="1" x14ac:dyDescent="0.25">
      <c r="A6" s="288"/>
      <c r="B6" s="43" t="s">
        <v>563</v>
      </c>
      <c r="C6" s="58"/>
      <c r="D6" s="78"/>
      <c r="E6" s="60"/>
      <c r="F6" s="38"/>
      <c r="G6" s="38"/>
      <c r="H6" s="60"/>
      <c r="I6" s="38">
        <v>216</v>
      </c>
      <c r="J6" s="38" t="s">
        <v>649</v>
      </c>
      <c r="K6" s="38"/>
      <c r="L6" s="44"/>
      <c r="M6" s="15"/>
      <c r="N6" s="63"/>
      <c r="O6" s="20" t="s">
        <v>558</v>
      </c>
      <c r="P6" s="21">
        <v>3</v>
      </c>
      <c r="Q6" s="22" t="s">
        <v>21</v>
      </c>
    </row>
    <row r="7" spans="1:17" ht="22.5" customHeight="1" x14ac:dyDescent="0.25">
      <c r="A7" s="288"/>
      <c r="B7" s="43"/>
      <c r="C7" s="58"/>
      <c r="D7" s="78"/>
      <c r="E7" s="60"/>
      <c r="F7" s="38"/>
      <c r="G7" s="38"/>
      <c r="H7" s="60"/>
      <c r="I7" s="38">
        <v>216</v>
      </c>
      <c r="J7" s="38" t="s">
        <v>650</v>
      </c>
      <c r="K7" s="38"/>
      <c r="L7" s="44"/>
      <c r="M7" s="15"/>
      <c r="N7" s="63"/>
      <c r="O7" s="20" t="s">
        <v>559</v>
      </c>
      <c r="P7" s="21">
        <v>4</v>
      </c>
      <c r="Q7" s="22" t="s">
        <v>21</v>
      </c>
    </row>
    <row r="8" spans="1:17" ht="22.5" customHeight="1" x14ac:dyDescent="0.25">
      <c r="A8" s="288"/>
      <c r="B8" s="43"/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05"/>
      <c r="H9" s="205"/>
      <c r="I9" s="205">
        <f>SUM(I4:I8)</f>
        <v>984</v>
      </c>
      <c r="J9" s="205"/>
      <c r="K9" s="205"/>
      <c r="L9" s="208"/>
      <c r="M9" s="205"/>
      <c r="N9" s="205"/>
      <c r="O9" s="205"/>
      <c r="P9" s="206"/>
      <c r="Q9" s="206"/>
    </row>
    <row r="10" spans="1:17" ht="22.5" customHeight="1" x14ac:dyDescent="0.25">
      <c r="A10" s="287" t="s">
        <v>39</v>
      </c>
      <c r="B10" s="42" t="s">
        <v>136</v>
      </c>
      <c r="C10" s="62">
        <v>43265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572</v>
      </c>
      <c r="K10" s="40"/>
      <c r="L10" s="54" t="s">
        <v>63</v>
      </c>
      <c r="M10" s="16"/>
      <c r="N10" s="16"/>
      <c r="O10" s="17" t="s">
        <v>556</v>
      </c>
      <c r="P10" s="18">
        <v>1</v>
      </c>
      <c r="Q10" s="19" t="s">
        <v>19</v>
      </c>
    </row>
    <row r="11" spans="1:17" ht="22.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v>432</v>
      </c>
      <c r="J11" s="164" t="s">
        <v>573</v>
      </c>
      <c r="K11" s="164"/>
      <c r="L11" s="57"/>
      <c r="M11" s="49"/>
      <c r="N11" s="63"/>
      <c r="O11" s="20" t="s">
        <v>557</v>
      </c>
      <c r="P11" s="21">
        <v>2</v>
      </c>
      <c r="Q11" s="22" t="s">
        <v>20</v>
      </c>
    </row>
    <row r="12" spans="1:17" ht="22.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v>432</v>
      </c>
      <c r="J12" s="164" t="s">
        <v>574</v>
      </c>
      <c r="K12" s="164"/>
      <c r="L12" s="57"/>
      <c r="M12" s="49"/>
      <c r="N12" s="63"/>
      <c r="O12" s="20" t="s">
        <v>558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>
        <f>16104-216*49</f>
        <v>5520</v>
      </c>
      <c r="H13" s="48"/>
      <c r="I13" s="164">
        <v>432</v>
      </c>
      <c r="J13" s="164" t="s">
        <v>575</v>
      </c>
      <c r="K13" s="164"/>
      <c r="L13" s="57"/>
      <c r="M13" s="49"/>
      <c r="N13" s="63"/>
      <c r="O13" s="20" t="s">
        <v>559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>
        <f>5520/1512</f>
        <v>3.6507936507936507</v>
      </c>
      <c r="H14" s="48"/>
      <c r="I14" s="164"/>
      <c r="J14" s="164"/>
      <c r="K14" s="164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05"/>
      <c r="H15" s="205"/>
      <c r="I15" s="205">
        <f>SUM(I10:I14)</f>
        <v>1728</v>
      </c>
      <c r="J15" s="205"/>
      <c r="K15" s="205"/>
      <c r="L15" s="208"/>
      <c r="M15" s="205"/>
      <c r="N15" s="205"/>
      <c r="O15" s="205"/>
      <c r="P15" s="206"/>
      <c r="Q15" s="206"/>
    </row>
    <row r="16" spans="1:17" ht="22.5" customHeight="1" x14ac:dyDescent="0.25">
      <c r="A16" s="287" t="s">
        <v>37</v>
      </c>
      <c r="B16" s="42" t="s">
        <v>270</v>
      </c>
      <c r="C16" s="116">
        <v>43269</v>
      </c>
      <c r="D16" s="52" t="s">
        <v>59</v>
      </c>
      <c r="E16" s="41" t="s">
        <v>54</v>
      </c>
      <c r="F16" s="40" t="s">
        <v>116</v>
      </c>
      <c r="G16" s="155">
        <v>7008</v>
      </c>
      <c r="H16" s="81" t="s">
        <v>117</v>
      </c>
      <c r="I16" s="155">
        <v>432</v>
      </c>
      <c r="J16" s="155" t="s">
        <v>576</v>
      </c>
      <c r="K16" s="155"/>
      <c r="L16" s="53" t="s">
        <v>67</v>
      </c>
      <c r="M16" s="16"/>
      <c r="N16" s="16"/>
      <c r="O16" s="17" t="s">
        <v>556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271</v>
      </c>
      <c r="C17" s="46"/>
      <c r="D17" s="47"/>
      <c r="E17" s="60"/>
      <c r="F17" s="38"/>
      <c r="G17" s="164"/>
      <c r="H17" s="48"/>
      <c r="I17" s="164">
        <v>432</v>
      </c>
      <c r="J17" s="164" t="s">
        <v>577</v>
      </c>
      <c r="K17" s="164"/>
      <c r="L17" s="57"/>
      <c r="M17" s="63"/>
      <c r="N17" s="63"/>
      <c r="O17" s="20" t="s">
        <v>557</v>
      </c>
      <c r="P17" s="21">
        <v>2</v>
      </c>
      <c r="Q17" s="22" t="s">
        <v>20</v>
      </c>
    </row>
    <row r="18" spans="1:17" ht="22.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432</v>
      </c>
      <c r="J18" s="164" t="s">
        <v>578</v>
      </c>
      <c r="K18" s="164"/>
      <c r="L18" s="57"/>
      <c r="M18" s="15"/>
      <c r="N18" s="15"/>
      <c r="O18" s="20" t="s">
        <v>558</v>
      </c>
      <c r="P18" s="21">
        <v>3</v>
      </c>
      <c r="Q18" s="22" t="s">
        <v>21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v>216</v>
      </c>
      <c r="J19" s="164" t="s">
        <v>651</v>
      </c>
      <c r="K19" s="164"/>
      <c r="L19" s="57"/>
      <c r="M19" s="15"/>
      <c r="N19" s="15"/>
      <c r="O19" s="20" t="s">
        <v>559</v>
      </c>
      <c r="P19" s="21">
        <v>4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05"/>
      <c r="H21" s="205"/>
      <c r="I21" s="205">
        <f>SUM(I16:I20)</f>
        <v>1512</v>
      </c>
      <c r="J21" s="205"/>
      <c r="K21" s="205"/>
      <c r="L21" s="208"/>
      <c r="M21" s="205"/>
      <c r="N21" s="205"/>
      <c r="O21" s="205"/>
      <c r="P21" s="206"/>
      <c r="Q21" s="206"/>
    </row>
    <row r="22" spans="1:17" ht="22.5" customHeight="1" x14ac:dyDescent="0.25">
      <c r="A22" s="287" t="s">
        <v>38</v>
      </c>
      <c r="B22" s="42" t="s">
        <v>490</v>
      </c>
      <c r="C22" s="62">
        <v>43264</v>
      </c>
      <c r="D22" s="77" t="s">
        <v>59</v>
      </c>
      <c r="E22" s="144" t="s">
        <v>54</v>
      </c>
      <c r="F22" s="155" t="s">
        <v>491</v>
      </c>
      <c r="G22" s="155">
        <v>2064</v>
      </c>
      <c r="H22" s="81" t="s">
        <v>492</v>
      </c>
      <c r="I22" s="155">
        <v>432</v>
      </c>
      <c r="J22" s="155" t="s">
        <v>579</v>
      </c>
      <c r="K22" s="155"/>
      <c r="L22" s="53" t="s">
        <v>495</v>
      </c>
      <c r="M22" s="16"/>
      <c r="N22" s="16"/>
      <c r="O22" s="17" t="s">
        <v>556</v>
      </c>
      <c r="P22" s="18">
        <v>1</v>
      </c>
      <c r="Q22" s="19" t="s">
        <v>19</v>
      </c>
    </row>
    <row r="23" spans="1:17" ht="22.5" customHeight="1" x14ac:dyDescent="0.25">
      <c r="A23" s="288"/>
      <c r="B23" s="111" t="s">
        <v>493</v>
      </c>
      <c r="C23" s="58"/>
      <c r="D23" s="78"/>
      <c r="E23" s="48"/>
      <c r="F23" s="164"/>
      <c r="G23" s="164">
        <f>2640/1360</f>
        <v>1.9411764705882353</v>
      </c>
      <c r="H23" s="48"/>
      <c r="I23" s="84">
        <v>432</v>
      </c>
      <c r="J23" s="164" t="s">
        <v>132</v>
      </c>
      <c r="K23" s="164"/>
      <c r="L23" s="57"/>
      <c r="M23" s="15"/>
      <c r="N23" s="15"/>
      <c r="O23" s="20" t="s">
        <v>557</v>
      </c>
      <c r="P23" s="21">
        <v>2</v>
      </c>
      <c r="Q23" s="22" t="s">
        <v>20</v>
      </c>
    </row>
    <row r="24" spans="1:17" ht="22.5" customHeight="1" x14ac:dyDescent="0.25">
      <c r="A24" s="288"/>
      <c r="B24" s="111"/>
      <c r="C24" s="58"/>
      <c r="D24" s="78"/>
      <c r="E24" s="48"/>
      <c r="F24" s="164"/>
      <c r="G24" s="164">
        <f>2004+636</f>
        <v>2640</v>
      </c>
      <c r="H24" s="48"/>
      <c r="I24" s="164">
        <f>2064-216*8</f>
        <v>336</v>
      </c>
      <c r="J24" s="164" t="s">
        <v>580</v>
      </c>
      <c r="K24" s="164"/>
      <c r="L24" s="57"/>
      <c r="M24" s="49"/>
      <c r="N24" s="15"/>
      <c r="O24" s="20" t="s">
        <v>558</v>
      </c>
      <c r="P24" s="21">
        <v>3</v>
      </c>
      <c r="Q24" s="22" t="s">
        <v>21</v>
      </c>
    </row>
    <row r="25" spans="1:17" ht="22.5" customHeight="1" x14ac:dyDescent="0.25">
      <c r="A25" s="288"/>
      <c r="B25" s="111" t="s">
        <v>581</v>
      </c>
      <c r="C25" s="58">
        <v>43265</v>
      </c>
      <c r="D25" s="78" t="s">
        <v>59</v>
      </c>
      <c r="E25" s="48" t="s">
        <v>54</v>
      </c>
      <c r="F25" s="164" t="s">
        <v>582</v>
      </c>
      <c r="G25" s="164">
        <v>2640</v>
      </c>
      <c r="H25" s="48" t="s">
        <v>492</v>
      </c>
      <c r="I25" s="84">
        <v>432</v>
      </c>
      <c r="J25" s="164" t="s">
        <v>564</v>
      </c>
      <c r="K25" s="164"/>
      <c r="L25" s="57" t="s">
        <v>583</v>
      </c>
      <c r="M25" s="15"/>
      <c r="N25" s="15"/>
      <c r="O25" s="20" t="s">
        <v>559</v>
      </c>
      <c r="P25" s="21">
        <v>4</v>
      </c>
      <c r="Q25" s="22" t="s">
        <v>21</v>
      </c>
    </row>
    <row r="26" spans="1:17" ht="22.5" customHeight="1" x14ac:dyDescent="0.25">
      <c r="A26" s="288"/>
      <c r="B26" s="111" t="s">
        <v>498</v>
      </c>
      <c r="C26" s="58"/>
      <c r="D26" s="78"/>
      <c r="E26" s="48"/>
      <c r="F26" s="164"/>
      <c r="G26" s="164">
        <f>2640-432-1600</f>
        <v>608</v>
      </c>
      <c r="H26" s="48"/>
      <c r="I26" s="164"/>
      <c r="J26" s="164"/>
      <c r="K26" s="164"/>
      <c r="L26" s="57"/>
      <c r="M26" s="15"/>
      <c r="N26" s="15"/>
      <c r="O26" s="20"/>
      <c r="P26" s="21"/>
      <c r="Q26" s="22"/>
    </row>
    <row r="27" spans="1:17" ht="22.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205"/>
      <c r="H27" s="205"/>
      <c r="I27" s="205">
        <f>SUM(I22:I26)</f>
        <v>1632</v>
      </c>
      <c r="J27" s="205"/>
      <c r="K27" s="205"/>
      <c r="L27" s="208"/>
      <c r="M27" s="205"/>
      <c r="N27" s="205"/>
      <c r="O27" s="205"/>
      <c r="P27" s="206"/>
      <c r="Q27" s="206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5856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7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C27:F27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topLeftCell="A6" zoomScaleNormal="100" workbookViewId="0">
      <selection activeCell="G15" sqref="G15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43256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43257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497</v>
      </c>
      <c r="C4" s="62">
        <v>43283</v>
      </c>
      <c r="D4" s="77" t="s">
        <v>93</v>
      </c>
      <c r="E4" s="41" t="s">
        <v>34</v>
      </c>
      <c r="F4" s="40" t="s">
        <v>382</v>
      </c>
      <c r="G4" s="40">
        <v>2556</v>
      </c>
      <c r="H4" s="41" t="s">
        <v>277</v>
      </c>
      <c r="I4" s="40">
        <v>432</v>
      </c>
      <c r="J4" s="41" t="s">
        <v>584</v>
      </c>
      <c r="K4" s="40"/>
      <c r="L4" s="90" t="s">
        <v>500</v>
      </c>
      <c r="M4" s="16"/>
      <c r="N4" s="16"/>
      <c r="O4" s="17" t="s">
        <v>556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498</v>
      </c>
      <c r="C5" s="58"/>
      <c r="D5" s="78"/>
      <c r="E5" s="48"/>
      <c r="F5" s="39"/>
      <c r="G5" s="164"/>
      <c r="H5" s="48"/>
      <c r="I5" s="164">
        <v>432</v>
      </c>
      <c r="J5" s="48" t="s">
        <v>585</v>
      </c>
      <c r="K5" s="164"/>
      <c r="L5" s="51"/>
      <c r="M5" s="49"/>
      <c r="N5" s="15"/>
      <c r="O5" s="20" t="s">
        <v>557</v>
      </c>
      <c r="P5" s="21">
        <v>2</v>
      </c>
      <c r="Q5" s="22" t="s">
        <v>20</v>
      </c>
    </row>
    <row r="6" spans="1:17" ht="24" customHeight="1" x14ac:dyDescent="0.25">
      <c r="A6" s="288"/>
      <c r="B6" s="43"/>
      <c r="C6" s="58"/>
      <c r="D6" s="78"/>
      <c r="E6" s="60"/>
      <c r="F6" s="38"/>
      <c r="G6" s="38"/>
      <c r="H6" s="60"/>
      <c r="I6" s="38">
        <v>432</v>
      </c>
      <c r="J6" s="60" t="s">
        <v>586</v>
      </c>
      <c r="K6" s="38"/>
      <c r="L6" s="91"/>
      <c r="M6" s="49"/>
      <c r="N6" s="15"/>
      <c r="O6" s="20" t="s">
        <v>558</v>
      </c>
      <c r="P6" s="21">
        <v>3</v>
      </c>
      <c r="Q6" s="22" t="s">
        <v>21</v>
      </c>
    </row>
    <row r="7" spans="1:17" ht="24" customHeight="1" x14ac:dyDescent="0.25">
      <c r="A7" s="288"/>
      <c r="B7" s="43"/>
      <c r="C7" s="58"/>
      <c r="D7" s="78"/>
      <c r="E7" s="60"/>
      <c r="F7" s="38"/>
      <c r="G7" s="38"/>
      <c r="H7" s="60"/>
      <c r="I7" s="38">
        <v>432</v>
      </c>
      <c r="J7" s="60" t="s">
        <v>587</v>
      </c>
      <c r="K7" s="38"/>
      <c r="L7" s="91"/>
      <c r="M7" s="49"/>
      <c r="N7" s="15"/>
      <c r="O7" s="20" t="s">
        <v>559</v>
      </c>
      <c r="P7" s="21">
        <v>4</v>
      </c>
      <c r="Q7" s="22" t="s">
        <v>21</v>
      </c>
    </row>
    <row r="8" spans="1:17" ht="24" customHeight="1" x14ac:dyDescent="0.25">
      <c r="A8" s="288"/>
      <c r="B8" s="45"/>
      <c r="C8" s="58"/>
      <c r="D8" s="78"/>
      <c r="E8" s="48"/>
      <c r="F8" s="39"/>
      <c r="G8" s="164"/>
      <c r="H8" s="48"/>
      <c r="I8" s="164"/>
      <c r="J8" s="48"/>
      <c r="K8" s="164"/>
      <c r="L8" s="51"/>
      <c r="M8" s="49"/>
      <c r="N8" s="15"/>
      <c r="O8" s="20"/>
      <c r="P8" s="21"/>
      <c r="Q8" s="22"/>
    </row>
    <row r="9" spans="1:17" ht="24" customHeight="1" thickBot="1" x14ac:dyDescent="0.3">
      <c r="A9" s="289"/>
      <c r="B9" s="93"/>
      <c r="C9" s="205"/>
      <c r="D9" s="205"/>
      <c r="E9" s="205"/>
      <c r="F9" s="205"/>
      <c r="G9" s="205"/>
      <c r="H9" s="205"/>
      <c r="I9" s="205">
        <f>SUM(I4:I8)</f>
        <v>1728</v>
      </c>
      <c r="J9" s="205"/>
      <c r="K9" s="205"/>
      <c r="L9" s="208"/>
      <c r="M9" s="205"/>
      <c r="N9" s="205"/>
      <c r="O9" s="114"/>
      <c r="P9" s="206"/>
      <c r="Q9" s="152"/>
    </row>
    <row r="10" spans="1:17" ht="24" customHeight="1" x14ac:dyDescent="0.25">
      <c r="A10" s="287" t="s">
        <v>41</v>
      </c>
      <c r="B10" s="92" t="s">
        <v>151</v>
      </c>
      <c r="C10" s="62">
        <v>43259</v>
      </c>
      <c r="D10" s="140" t="s">
        <v>55</v>
      </c>
      <c r="E10" s="41" t="s">
        <v>54</v>
      </c>
      <c r="F10" s="40" t="s">
        <v>102</v>
      </c>
      <c r="G10" s="40">
        <v>6024</v>
      </c>
      <c r="H10" s="56" t="s">
        <v>100</v>
      </c>
      <c r="I10" s="40">
        <f>6024-216*26</f>
        <v>408</v>
      </c>
      <c r="J10" s="41" t="s">
        <v>588</v>
      </c>
      <c r="K10" s="40"/>
      <c r="L10" s="90" t="s">
        <v>67</v>
      </c>
      <c r="M10" s="16"/>
      <c r="N10" s="16"/>
      <c r="O10" s="17" t="s">
        <v>556</v>
      </c>
      <c r="P10" s="18">
        <v>1</v>
      </c>
      <c r="Q10" s="19" t="s">
        <v>19</v>
      </c>
    </row>
    <row r="11" spans="1:17" ht="24" customHeight="1" x14ac:dyDescent="0.25">
      <c r="A11" s="288"/>
      <c r="B11" s="43" t="s">
        <v>152</v>
      </c>
      <c r="C11" s="305" t="s">
        <v>57</v>
      </c>
      <c r="D11" s="306"/>
      <c r="E11" s="79"/>
      <c r="F11" s="38"/>
      <c r="G11" s="38"/>
      <c r="H11" s="60"/>
      <c r="I11" s="164"/>
      <c r="J11" s="48"/>
      <c r="K11" s="164"/>
      <c r="L11" s="88"/>
      <c r="M11" s="63"/>
      <c r="N11" s="63"/>
      <c r="O11" s="20"/>
      <c r="P11" s="21"/>
      <c r="Q11" s="22"/>
    </row>
    <row r="12" spans="1:17" ht="24" customHeight="1" x14ac:dyDescent="0.25">
      <c r="A12" s="288"/>
      <c r="B12" s="43" t="s">
        <v>589</v>
      </c>
      <c r="C12" s="58">
        <v>43281</v>
      </c>
      <c r="D12" s="141" t="s">
        <v>59</v>
      </c>
      <c r="E12" s="79" t="s">
        <v>54</v>
      </c>
      <c r="F12" s="38" t="s">
        <v>102</v>
      </c>
      <c r="G12" s="38">
        <v>240</v>
      </c>
      <c r="H12" s="60" t="s">
        <v>100</v>
      </c>
      <c r="I12" s="164">
        <v>240</v>
      </c>
      <c r="J12" s="48" t="s">
        <v>173</v>
      </c>
      <c r="K12" s="164"/>
      <c r="L12" s="88" t="s">
        <v>591</v>
      </c>
      <c r="M12" s="49"/>
      <c r="N12" s="49"/>
      <c r="O12" s="20" t="s">
        <v>557</v>
      </c>
      <c r="P12" s="21">
        <v>2</v>
      </c>
      <c r="Q12" s="22" t="s">
        <v>20</v>
      </c>
    </row>
    <row r="13" spans="1:17" ht="24" customHeight="1" x14ac:dyDescent="0.25">
      <c r="A13" s="288"/>
      <c r="B13" s="43" t="s">
        <v>590</v>
      </c>
      <c r="C13" s="58">
        <v>43282</v>
      </c>
      <c r="D13" s="141" t="s">
        <v>55</v>
      </c>
      <c r="E13" s="79" t="s">
        <v>54</v>
      </c>
      <c r="F13" s="38" t="s">
        <v>102</v>
      </c>
      <c r="G13" s="38">
        <v>1128</v>
      </c>
      <c r="H13" s="60" t="s">
        <v>100</v>
      </c>
      <c r="I13" s="164">
        <v>432</v>
      </c>
      <c r="J13" s="48" t="s">
        <v>564</v>
      </c>
      <c r="K13" s="164"/>
      <c r="L13" s="88" t="s">
        <v>592</v>
      </c>
      <c r="M13" s="49"/>
      <c r="N13" s="49"/>
      <c r="O13" s="20"/>
      <c r="P13" s="21"/>
      <c r="Q13" s="22"/>
    </row>
    <row r="14" spans="1:17" ht="24" customHeight="1" x14ac:dyDescent="0.25">
      <c r="A14" s="288"/>
      <c r="B14" s="43" t="s">
        <v>74</v>
      </c>
      <c r="C14" s="58"/>
      <c r="D14" s="141"/>
      <c r="E14" s="79"/>
      <c r="F14" s="38"/>
      <c r="G14" s="38">
        <f>7116/1440</f>
        <v>4.9416666666666664</v>
      </c>
      <c r="H14" s="60"/>
      <c r="I14" s="164">
        <v>432</v>
      </c>
      <c r="J14" s="48" t="s">
        <v>169</v>
      </c>
      <c r="K14" s="164"/>
      <c r="L14" s="88"/>
      <c r="M14" s="49"/>
      <c r="N14" s="49"/>
      <c r="O14" s="20" t="s">
        <v>558</v>
      </c>
      <c r="P14" s="21">
        <v>3</v>
      </c>
      <c r="Q14" s="22" t="s">
        <v>21</v>
      </c>
    </row>
    <row r="15" spans="1:17" ht="24" customHeight="1" x14ac:dyDescent="0.25">
      <c r="A15" s="288"/>
      <c r="B15" s="45"/>
      <c r="C15" s="209"/>
      <c r="D15" s="211"/>
      <c r="E15" s="210"/>
      <c r="F15" s="164"/>
      <c r="G15" s="38">
        <f>1128-216*4+384+228+1008+216+528+324+912+1320+1524+408</f>
        <v>7116</v>
      </c>
      <c r="H15" s="48"/>
      <c r="I15" s="164">
        <f>1128-216*4</f>
        <v>264</v>
      </c>
      <c r="J15" s="48" t="s">
        <v>565</v>
      </c>
      <c r="K15" s="164"/>
      <c r="L15" s="57"/>
      <c r="M15" s="49"/>
      <c r="N15" s="49"/>
      <c r="O15" s="20" t="s">
        <v>559</v>
      </c>
      <c r="P15" s="21">
        <v>4</v>
      </c>
      <c r="Q15" s="22" t="s">
        <v>21</v>
      </c>
    </row>
    <row r="16" spans="1:17" ht="24" customHeight="1" thickBot="1" x14ac:dyDescent="0.3">
      <c r="A16" s="289"/>
      <c r="B16" s="93" t="s">
        <v>64</v>
      </c>
      <c r="C16" s="290" t="s">
        <v>98</v>
      </c>
      <c r="D16" s="291"/>
      <c r="E16" s="291"/>
      <c r="F16" s="292"/>
      <c r="G16" s="205"/>
      <c r="H16" s="205"/>
      <c r="I16" s="205">
        <f>SUM(I10:I15)</f>
        <v>1776</v>
      </c>
      <c r="J16" s="205"/>
      <c r="K16" s="205"/>
      <c r="L16" s="208"/>
      <c r="M16" s="205"/>
      <c r="N16" s="205"/>
      <c r="O16" s="114"/>
      <c r="P16" s="206"/>
      <c r="Q16" s="152"/>
    </row>
    <row r="17" spans="1:17" ht="24" customHeight="1" x14ac:dyDescent="0.25">
      <c r="A17" s="287" t="s">
        <v>42</v>
      </c>
      <c r="B17" s="42" t="s">
        <v>507</v>
      </c>
      <c r="C17" s="62">
        <v>43276</v>
      </c>
      <c r="D17" s="90" t="s">
        <v>93</v>
      </c>
      <c r="E17" s="174" t="s">
        <v>393</v>
      </c>
      <c r="F17" s="40" t="s">
        <v>508</v>
      </c>
      <c r="G17" s="175">
        <v>1176</v>
      </c>
      <c r="H17" s="41" t="s">
        <v>395</v>
      </c>
      <c r="I17" s="155">
        <f>192*2</f>
        <v>384</v>
      </c>
      <c r="J17" s="155" t="s">
        <v>593</v>
      </c>
      <c r="K17" s="155"/>
      <c r="L17" s="90" t="s">
        <v>500</v>
      </c>
      <c r="M17" s="16"/>
      <c r="N17" s="16"/>
      <c r="O17" s="17" t="s">
        <v>556</v>
      </c>
      <c r="P17" s="18">
        <v>1</v>
      </c>
      <c r="Q17" s="19" t="s">
        <v>19</v>
      </c>
    </row>
    <row r="18" spans="1:17" ht="24" customHeight="1" x14ac:dyDescent="0.25">
      <c r="A18" s="288"/>
      <c r="B18" s="43" t="s">
        <v>105</v>
      </c>
      <c r="C18" s="305" t="s">
        <v>384</v>
      </c>
      <c r="D18" s="306"/>
      <c r="E18" s="137"/>
      <c r="F18" s="38"/>
      <c r="G18" s="105"/>
      <c r="H18" s="60"/>
      <c r="I18" s="38">
        <f>1176-192*5</f>
        <v>216</v>
      </c>
      <c r="J18" s="38" t="s">
        <v>594</v>
      </c>
      <c r="K18" s="38"/>
      <c r="L18" s="91"/>
      <c r="M18" s="15"/>
      <c r="N18" s="15"/>
      <c r="O18" s="20" t="s">
        <v>557</v>
      </c>
      <c r="P18" s="21">
        <v>2</v>
      </c>
      <c r="Q18" s="22" t="s">
        <v>20</v>
      </c>
    </row>
    <row r="19" spans="1:17" ht="24" customHeight="1" x14ac:dyDescent="0.25">
      <c r="A19" s="288"/>
      <c r="B19" s="45" t="s">
        <v>595</v>
      </c>
      <c r="C19" s="58">
        <v>43276</v>
      </c>
      <c r="D19" s="91" t="s">
        <v>93</v>
      </c>
      <c r="E19" s="137" t="s">
        <v>393</v>
      </c>
      <c r="F19" s="38" t="s">
        <v>508</v>
      </c>
      <c r="G19" s="89">
        <v>828</v>
      </c>
      <c r="H19" s="48" t="s">
        <v>395</v>
      </c>
      <c r="I19" s="164">
        <f>192*2</f>
        <v>384</v>
      </c>
      <c r="J19" s="164" t="s">
        <v>564</v>
      </c>
      <c r="K19" s="164"/>
      <c r="L19" s="51" t="s">
        <v>596</v>
      </c>
      <c r="M19" s="15"/>
      <c r="N19" s="15"/>
      <c r="O19" s="20"/>
      <c r="P19" s="21"/>
      <c r="Q19" s="22"/>
    </row>
    <row r="20" spans="1:17" ht="24" customHeight="1" x14ac:dyDescent="0.25">
      <c r="A20" s="288"/>
      <c r="B20" s="45" t="s">
        <v>97</v>
      </c>
      <c r="C20" s="305" t="s">
        <v>384</v>
      </c>
      <c r="D20" s="306"/>
      <c r="E20" s="132"/>
      <c r="F20" s="39"/>
      <c r="G20" s="89"/>
      <c r="H20" s="79"/>
      <c r="I20" s="164">
        <f>828-384</f>
        <v>444</v>
      </c>
      <c r="J20" s="164" t="s">
        <v>169</v>
      </c>
      <c r="K20" s="164"/>
      <c r="L20" s="134"/>
      <c r="M20" s="49"/>
      <c r="N20" s="49"/>
      <c r="O20" s="20" t="s">
        <v>558</v>
      </c>
      <c r="P20" s="21">
        <v>3</v>
      </c>
      <c r="Q20" s="22" t="s">
        <v>21</v>
      </c>
    </row>
    <row r="21" spans="1:17" ht="24" customHeight="1" x14ac:dyDescent="0.25">
      <c r="A21" s="288"/>
      <c r="B21" s="43" t="s">
        <v>597</v>
      </c>
      <c r="C21" s="86">
        <v>43276</v>
      </c>
      <c r="D21" s="134" t="s">
        <v>93</v>
      </c>
      <c r="E21" s="137" t="s">
        <v>393</v>
      </c>
      <c r="F21" s="38" t="s">
        <v>508</v>
      </c>
      <c r="G21" s="105">
        <v>1200</v>
      </c>
      <c r="H21" s="60" t="s">
        <v>395</v>
      </c>
      <c r="I21" s="38">
        <v>180</v>
      </c>
      <c r="J21" s="38" t="s">
        <v>173</v>
      </c>
      <c r="K21" s="38"/>
      <c r="L21" s="91" t="s">
        <v>598</v>
      </c>
      <c r="M21" s="49"/>
      <c r="N21" s="49"/>
      <c r="O21" s="20" t="s">
        <v>559</v>
      </c>
      <c r="P21" s="21">
        <v>4</v>
      </c>
      <c r="Q21" s="22" t="s">
        <v>21</v>
      </c>
    </row>
    <row r="22" spans="1:17" ht="24" customHeight="1" x14ac:dyDescent="0.25">
      <c r="A22" s="288"/>
      <c r="B22" s="45" t="s">
        <v>105</v>
      </c>
      <c r="C22" s="305" t="s">
        <v>384</v>
      </c>
      <c r="D22" s="306"/>
      <c r="E22" s="137"/>
      <c r="F22" s="38"/>
      <c r="G22" s="89"/>
      <c r="H22" s="48"/>
      <c r="I22" s="164"/>
      <c r="J22" s="164"/>
      <c r="K22" s="164"/>
      <c r="L22" s="51"/>
      <c r="M22" s="49"/>
      <c r="N22" s="49"/>
      <c r="O22" s="124"/>
      <c r="P22" s="50"/>
      <c r="Q22" s="153"/>
    </row>
    <row r="23" spans="1:17" ht="24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205"/>
      <c r="H23" s="205"/>
      <c r="I23" s="205">
        <f>SUM(I17:I22)</f>
        <v>1608</v>
      </c>
      <c r="J23" s="205"/>
      <c r="K23" s="205"/>
      <c r="L23" s="208"/>
      <c r="M23" s="205"/>
      <c r="N23" s="205"/>
      <c r="O23" s="114"/>
      <c r="P23" s="206"/>
      <c r="Q23" s="152"/>
    </row>
    <row r="24" spans="1:17" ht="24" customHeight="1" x14ac:dyDescent="0.25">
      <c r="A24" s="287" t="s">
        <v>43</v>
      </c>
      <c r="B24" s="42" t="s">
        <v>291</v>
      </c>
      <c r="C24" s="140">
        <v>43283</v>
      </c>
      <c r="D24" s="90" t="s">
        <v>93</v>
      </c>
      <c r="E24" s="41" t="s">
        <v>34</v>
      </c>
      <c r="F24" s="40" t="s">
        <v>76</v>
      </c>
      <c r="G24" s="40">
        <v>6732</v>
      </c>
      <c r="H24" s="41" t="s">
        <v>51</v>
      </c>
      <c r="I24" s="40">
        <v>432</v>
      </c>
      <c r="J24" s="41" t="s">
        <v>576</v>
      </c>
      <c r="K24" s="40"/>
      <c r="L24" s="54" t="s">
        <v>61</v>
      </c>
      <c r="M24" s="16"/>
      <c r="N24" s="16"/>
      <c r="O24" s="17" t="s">
        <v>556</v>
      </c>
      <c r="P24" s="18">
        <v>1</v>
      </c>
      <c r="Q24" s="19" t="s">
        <v>19</v>
      </c>
    </row>
    <row r="25" spans="1:17" ht="24" customHeight="1" x14ac:dyDescent="0.25">
      <c r="A25" s="288"/>
      <c r="B25" s="45" t="s">
        <v>115</v>
      </c>
      <c r="C25" s="131"/>
      <c r="D25" s="134"/>
      <c r="E25" s="79"/>
      <c r="F25" s="164"/>
      <c r="G25" s="164"/>
      <c r="H25" s="48"/>
      <c r="I25" s="164">
        <v>432</v>
      </c>
      <c r="J25" s="48" t="s">
        <v>577</v>
      </c>
      <c r="K25" s="164"/>
      <c r="L25" s="57"/>
      <c r="M25" s="15"/>
      <c r="N25" s="15"/>
      <c r="O25" s="20" t="s">
        <v>557</v>
      </c>
      <c r="P25" s="21">
        <v>2</v>
      </c>
      <c r="Q25" s="22" t="s">
        <v>20</v>
      </c>
    </row>
    <row r="26" spans="1:17" ht="24" customHeight="1" x14ac:dyDescent="0.25">
      <c r="A26" s="288"/>
      <c r="B26" s="45"/>
      <c r="C26" s="141"/>
      <c r="D26" s="91"/>
      <c r="E26" s="48"/>
      <c r="F26" s="39"/>
      <c r="G26" s="39"/>
      <c r="H26" s="79"/>
      <c r="I26" s="38">
        <v>432</v>
      </c>
      <c r="J26" s="48" t="s">
        <v>599</v>
      </c>
      <c r="K26" s="164"/>
      <c r="L26" s="57"/>
      <c r="M26" s="49"/>
      <c r="N26" s="49"/>
      <c r="O26" s="20" t="s">
        <v>558</v>
      </c>
      <c r="P26" s="21">
        <v>3</v>
      </c>
      <c r="Q26" s="22" t="s">
        <v>21</v>
      </c>
    </row>
    <row r="27" spans="1:17" ht="24" customHeight="1" x14ac:dyDescent="0.25">
      <c r="A27" s="288"/>
      <c r="B27" s="43"/>
      <c r="C27" s="141"/>
      <c r="D27" s="91"/>
      <c r="E27" s="60"/>
      <c r="F27" s="38"/>
      <c r="G27" s="38"/>
      <c r="H27" s="60"/>
      <c r="I27" s="128">
        <v>432</v>
      </c>
      <c r="J27" s="60" t="s">
        <v>600</v>
      </c>
      <c r="K27" s="38"/>
      <c r="L27" s="44"/>
      <c r="M27" s="49"/>
      <c r="N27" s="49"/>
      <c r="O27" s="20" t="s">
        <v>559</v>
      </c>
      <c r="P27" s="21">
        <v>4</v>
      </c>
      <c r="Q27" s="22" t="s">
        <v>21</v>
      </c>
    </row>
    <row r="28" spans="1:17" ht="24" customHeight="1" x14ac:dyDescent="0.25">
      <c r="A28" s="288"/>
      <c r="B28" s="43"/>
      <c r="C28" s="141"/>
      <c r="D28" s="91"/>
      <c r="E28" s="60"/>
      <c r="F28" s="38"/>
      <c r="G28" s="38"/>
      <c r="H28" s="60"/>
      <c r="I28" s="38"/>
      <c r="J28" s="60"/>
      <c r="K28" s="38"/>
      <c r="L28" s="44"/>
      <c r="M28" s="49"/>
      <c r="N28" s="49"/>
      <c r="O28" s="20"/>
      <c r="P28" s="21"/>
      <c r="Q28" s="22"/>
    </row>
    <row r="29" spans="1:17" ht="24" customHeight="1" thickBot="1" x14ac:dyDescent="0.3">
      <c r="A29" s="289"/>
      <c r="B29" s="93" t="s">
        <v>64</v>
      </c>
      <c r="C29" s="290" t="s">
        <v>98</v>
      </c>
      <c r="D29" s="291"/>
      <c r="E29" s="291"/>
      <c r="F29" s="292"/>
      <c r="G29" s="205"/>
      <c r="H29" s="205"/>
      <c r="I29" s="205">
        <f>SUM(I24:I28)</f>
        <v>1728</v>
      </c>
      <c r="J29" s="205"/>
      <c r="K29" s="205"/>
      <c r="L29" s="208"/>
      <c r="M29" s="205"/>
      <c r="N29" s="205"/>
      <c r="O29" s="114"/>
      <c r="P29" s="206"/>
      <c r="Q29" s="152"/>
    </row>
    <row r="30" spans="1:17" ht="25.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SUM(I29,I23,I16,I9)</f>
        <v>6840</v>
      </c>
      <c r="J30" s="70"/>
      <c r="K30" s="70"/>
      <c r="L30" s="65"/>
      <c r="M30" s="71"/>
      <c r="N30" s="69"/>
      <c r="O30" s="70"/>
      <c r="P30" s="70"/>
      <c r="Q30" s="72"/>
    </row>
    <row r="31" spans="1:17" ht="17.25" customHeight="1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207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21">
    <mergeCell ref="A4:A9"/>
    <mergeCell ref="A1:Q1"/>
    <mergeCell ref="A2:B2"/>
    <mergeCell ref="C2:E2"/>
    <mergeCell ref="F2:G2"/>
    <mergeCell ref="O2:Q2"/>
    <mergeCell ref="A10:A16"/>
    <mergeCell ref="C11:D11"/>
    <mergeCell ref="C16:F16"/>
    <mergeCell ref="A17:A23"/>
    <mergeCell ref="C23:F23"/>
    <mergeCell ref="B35:O35"/>
    <mergeCell ref="C18:D18"/>
    <mergeCell ref="C20:D20"/>
    <mergeCell ref="C22:D22"/>
    <mergeCell ref="A24:A29"/>
    <mergeCell ref="C29:F29"/>
    <mergeCell ref="F32:Q32"/>
    <mergeCell ref="B33:Q33"/>
    <mergeCell ref="F34:O34"/>
    <mergeCell ref="P34:Q34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5"/>
  <sheetViews>
    <sheetView zoomScale="109" zoomScaleNormal="109" workbookViewId="0">
      <selection activeCell="B4" sqref="B4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43256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43257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511</v>
      </c>
      <c r="C4" s="121">
        <v>43265</v>
      </c>
      <c r="D4" s="109" t="s">
        <v>59</v>
      </c>
      <c r="E4" s="122" t="s">
        <v>143</v>
      </c>
      <c r="F4" s="108" t="s">
        <v>512</v>
      </c>
      <c r="G4" s="40">
        <v>1104</v>
      </c>
      <c r="H4" s="41" t="s">
        <v>139</v>
      </c>
      <c r="I4" s="155">
        <f>1104-216*3</f>
        <v>456</v>
      </c>
      <c r="J4" s="155" t="s">
        <v>601</v>
      </c>
      <c r="K4" s="155"/>
      <c r="L4" s="123" t="s">
        <v>80</v>
      </c>
      <c r="M4" s="16"/>
      <c r="N4" s="16"/>
      <c r="O4" s="17" t="s">
        <v>556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602</v>
      </c>
      <c r="C5" s="117">
        <v>43269</v>
      </c>
      <c r="D5" s="113" t="s">
        <v>59</v>
      </c>
      <c r="E5" s="102" t="s">
        <v>54</v>
      </c>
      <c r="F5" s="101" t="s">
        <v>512</v>
      </c>
      <c r="G5" s="39">
        <v>360</v>
      </c>
      <c r="H5" s="79" t="s">
        <v>139</v>
      </c>
      <c r="I5" s="164">
        <v>360</v>
      </c>
      <c r="J5" s="164" t="s">
        <v>564</v>
      </c>
      <c r="K5" s="164"/>
      <c r="L5" s="51" t="s">
        <v>604</v>
      </c>
      <c r="M5" s="87"/>
      <c r="N5" s="87"/>
      <c r="O5" s="20" t="s">
        <v>557</v>
      </c>
      <c r="P5" s="21">
        <v>2</v>
      </c>
      <c r="Q5" s="22" t="s">
        <v>20</v>
      </c>
    </row>
    <row r="6" spans="1:28" ht="23.25" customHeight="1" x14ac:dyDescent="0.25">
      <c r="A6" s="308"/>
      <c r="B6" s="45" t="s">
        <v>603</v>
      </c>
      <c r="C6" s="117">
        <v>43269</v>
      </c>
      <c r="D6" s="113" t="s">
        <v>59</v>
      </c>
      <c r="E6" s="102" t="s">
        <v>54</v>
      </c>
      <c r="F6" s="101" t="s">
        <v>512</v>
      </c>
      <c r="G6" s="39">
        <v>540</v>
      </c>
      <c r="H6" s="79" t="s">
        <v>139</v>
      </c>
      <c r="I6" s="164">
        <v>432</v>
      </c>
      <c r="J6" s="164" t="s">
        <v>564</v>
      </c>
      <c r="K6" s="164"/>
      <c r="L6" s="51" t="s">
        <v>604</v>
      </c>
      <c r="M6" s="49"/>
      <c r="N6" s="49"/>
      <c r="O6" s="20"/>
      <c r="P6" s="21"/>
      <c r="Q6" s="22"/>
    </row>
    <row r="7" spans="1:28" ht="23.25" customHeight="1" x14ac:dyDescent="0.25">
      <c r="A7" s="308"/>
      <c r="B7" s="45" t="s">
        <v>605</v>
      </c>
      <c r="C7" s="117"/>
      <c r="D7" s="113"/>
      <c r="E7" s="102"/>
      <c r="F7" s="101"/>
      <c r="G7" s="39"/>
      <c r="H7" s="79"/>
      <c r="I7" s="164">
        <f>540-216*2</f>
        <v>108</v>
      </c>
      <c r="J7" s="164" t="s">
        <v>182</v>
      </c>
      <c r="K7" s="164"/>
      <c r="L7" s="51"/>
      <c r="M7" s="49"/>
      <c r="N7" s="49"/>
      <c r="O7" s="20" t="s">
        <v>558</v>
      </c>
      <c r="P7" s="21">
        <v>3</v>
      </c>
      <c r="Q7" s="22" t="s">
        <v>21</v>
      </c>
    </row>
    <row r="8" spans="1:28" ht="23.25" customHeight="1" x14ac:dyDescent="0.25">
      <c r="A8" s="308"/>
      <c r="B8" s="45" t="s">
        <v>606</v>
      </c>
      <c r="C8" s="117">
        <v>43283</v>
      </c>
      <c r="D8" s="113" t="s">
        <v>59</v>
      </c>
      <c r="E8" s="102" t="s">
        <v>54</v>
      </c>
      <c r="F8" s="101" t="s">
        <v>512</v>
      </c>
      <c r="G8" s="164">
        <v>204</v>
      </c>
      <c r="H8" s="48" t="s">
        <v>139</v>
      </c>
      <c r="I8" s="164">
        <v>204</v>
      </c>
      <c r="J8" s="164" t="s">
        <v>173</v>
      </c>
      <c r="K8" s="164"/>
      <c r="L8" s="51" t="s">
        <v>607</v>
      </c>
      <c r="M8" s="49"/>
      <c r="N8" s="49"/>
      <c r="O8" s="20" t="s">
        <v>559</v>
      </c>
      <c r="P8" s="21">
        <v>4</v>
      </c>
      <c r="Q8" s="22" t="s">
        <v>21</v>
      </c>
    </row>
    <row r="9" spans="1:28" ht="23.25" customHeight="1" x14ac:dyDescent="0.25">
      <c r="A9" s="308"/>
      <c r="B9" s="45"/>
      <c r="C9" s="117"/>
      <c r="D9" s="113"/>
      <c r="E9" s="102"/>
      <c r="F9" s="101"/>
      <c r="G9" s="164"/>
      <c r="H9" s="48"/>
      <c r="I9" s="164"/>
      <c r="J9" s="164"/>
      <c r="K9" s="164"/>
      <c r="L9" s="51"/>
      <c r="M9" s="49"/>
      <c r="N9" s="49"/>
      <c r="O9" s="20"/>
      <c r="P9" s="21"/>
      <c r="Q9" s="22"/>
    </row>
    <row r="10" spans="1:28" ht="23.25" customHeight="1" thickBot="1" x14ac:dyDescent="0.3">
      <c r="A10" s="309"/>
      <c r="B10" s="93" t="s">
        <v>64</v>
      </c>
      <c r="C10" s="290" t="s">
        <v>65</v>
      </c>
      <c r="D10" s="291"/>
      <c r="E10" s="291"/>
      <c r="F10" s="292"/>
      <c r="G10" s="205"/>
      <c r="H10" s="205"/>
      <c r="I10" s="205">
        <f>SUM(I4:I9)</f>
        <v>1560</v>
      </c>
      <c r="J10" s="205"/>
      <c r="K10" s="205"/>
      <c r="L10" s="208"/>
      <c r="M10" s="205"/>
      <c r="N10" s="205"/>
      <c r="O10" s="114"/>
      <c r="P10" s="206"/>
      <c r="Q10" s="206"/>
    </row>
    <row r="11" spans="1:28" ht="23.25" customHeight="1" x14ac:dyDescent="0.25">
      <c r="A11" s="287" t="s">
        <v>45</v>
      </c>
      <c r="B11" s="42" t="s">
        <v>515</v>
      </c>
      <c r="C11" s="121">
        <v>43274</v>
      </c>
      <c r="D11" s="109" t="s">
        <v>93</v>
      </c>
      <c r="E11" s="122" t="s">
        <v>54</v>
      </c>
      <c r="F11" s="108" t="s">
        <v>95</v>
      </c>
      <c r="G11" s="40">
        <v>1800</v>
      </c>
      <c r="H11" s="41" t="s">
        <v>62</v>
      </c>
      <c r="I11" s="155">
        <v>432</v>
      </c>
      <c r="J11" s="155" t="s">
        <v>608</v>
      </c>
      <c r="K11" s="155"/>
      <c r="L11" s="123" t="s">
        <v>516</v>
      </c>
      <c r="M11" s="95"/>
      <c r="N11" s="16"/>
      <c r="O11" s="17" t="s">
        <v>556</v>
      </c>
      <c r="P11" s="18">
        <v>1</v>
      </c>
      <c r="Q11" s="19" t="s">
        <v>19</v>
      </c>
    </row>
    <row r="12" spans="1:28" ht="23.25" customHeight="1" x14ac:dyDescent="0.25">
      <c r="A12" s="288"/>
      <c r="B12" s="45" t="s">
        <v>73</v>
      </c>
      <c r="C12" s="112"/>
      <c r="D12" s="110"/>
      <c r="E12" s="102"/>
      <c r="F12" s="101"/>
      <c r="G12" s="39"/>
      <c r="H12" s="79"/>
      <c r="I12" s="164">
        <f>1800-216*6</f>
        <v>504</v>
      </c>
      <c r="J12" s="164" t="s">
        <v>132</v>
      </c>
      <c r="K12" s="164"/>
      <c r="L12" s="51"/>
      <c r="M12" s="15"/>
      <c r="N12" s="63"/>
      <c r="O12" s="20" t="s">
        <v>557</v>
      </c>
      <c r="P12" s="21">
        <v>2</v>
      </c>
      <c r="Q12" s="22" t="s">
        <v>20</v>
      </c>
    </row>
    <row r="13" spans="1:28" ht="23.25" customHeight="1" x14ac:dyDescent="0.25">
      <c r="A13" s="288"/>
      <c r="B13" s="45" t="s">
        <v>609</v>
      </c>
      <c r="C13" s="112">
        <v>43274</v>
      </c>
      <c r="D13" s="110" t="s">
        <v>93</v>
      </c>
      <c r="E13" s="102" t="s">
        <v>54</v>
      </c>
      <c r="F13" s="101" t="s">
        <v>95</v>
      </c>
      <c r="G13" s="39">
        <v>480</v>
      </c>
      <c r="H13" s="79" t="s">
        <v>62</v>
      </c>
      <c r="I13" s="164">
        <v>216</v>
      </c>
      <c r="J13" s="164" t="s">
        <v>84</v>
      </c>
      <c r="K13" s="164"/>
      <c r="L13" s="51" t="s">
        <v>591</v>
      </c>
      <c r="M13" s="83"/>
      <c r="N13" s="83"/>
      <c r="O13" s="20" t="s">
        <v>558</v>
      </c>
      <c r="P13" s="21">
        <v>3</v>
      </c>
      <c r="Q13" s="22" t="s">
        <v>21</v>
      </c>
    </row>
    <row r="14" spans="1:28" ht="23.25" customHeight="1" x14ac:dyDescent="0.25">
      <c r="A14" s="288"/>
      <c r="B14" s="45" t="s">
        <v>654</v>
      </c>
      <c r="C14" s="112"/>
      <c r="D14" s="110"/>
      <c r="E14" s="102"/>
      <c r="F14" s="101"/>
      <c r="G14" s="39">
        <f>4194/1480</f>
        <v>2.8337837837837836</v>
      </c>
      <c r="H14" s="79"/>
      <c r="I14" s="164">
        <f>480-216</f>
        <v>264</v>
      </c>
      <c r="J14" s="164" t="s">
        <v>653</v>
      </c>
      <c r="K14" s="164"/>
      <c r="L14" s="51"/>
      <c r="M14" s="15"/>
      <c r="N14" s="15"/>
      <c r="O14" s="20" t="s">
        <v>559</v>
      </c>
      <c r="P14" s="21">
        <v>4</v>
      </c>
      <c r="Q14" s="22" t="s">
        <v>21</v>
      </c>
    </row>
    <row r="15" spans="1:28" ht="23.25" customHeight="1" x14ac:dyDescent="0.25">
      <c r="A15" s="288"/>
      <c r="B15" s="45"/>
      <c r="C15" s="112"/>
      <c r="D15" s="110"/>
      <c r="E15" s="102"/>
      <c r="F15" s="101"/>
      <c r="G15" s="39">
        <f>1488+672+480+70+70+252+70+1092</f>
        <v>4194</v>
      </c>
      <c r="H15" s="79"/>
      <c r="I15" s="164"/>
      <c r="J15" s="164"/>
      <c r="K15" s="164"/>
      <c r="L15" s="51"/>
      <c r="M15" s="15"/>
      <c r="N15" s="15"/>
      <c r="O15" s="20"/>
      <c r="P15" s="21"/>
      <c r="Q15" s="22"/>
    </row>
    <row r="16" spans="1:28" ht="23.25" customHeight="1" thickBot="1" x14ac:dyDescent="0.3">
      <c r="A16" s="289"/>
      <c r="B16" s="93"/>
      <c r="C16" s="205"/>
      <c r="D16" s="205"/>
      <c r="E16" s="205"/>
      <c r="F16" s="205"/>
      <c r="G16" s="205"/>
      <c r="H16" s="205"/>
      <c r="I16" s="205">
        <f>SUM(I11:I15)</f>
        <v>1416</v>
      </c>
      <c r="J16" s="205"/>
      <c r="K16" s="205"/>
      <c r="L16" s="208"/>
      <c r="M16" s="205"/>
      <c r="N16" s="205"/>
      <c r="O16" s="114"/>
      <c r="P16" s="205"/>
      <c r="Q16" s="205"/>
    </row>
    <row r="17" spans="1:17" ht="23.25" customHeight="1" x14ac:dyDescent="0.25">
      <c r="A17" s="287" t="s">
        <v>46</v>
      </c>
      <c r="B17" s="42" t="s">
        <v>611</v>
      </c>
      <c r="C17" s="62">
        <v>43274</v>
      </c>
      <c r="D17" s="77" t="s">
        <v>93</v>
      </c>
      <c r="E17" s="41" t="s">
        <v>143</v>
      </c>
      <c r="F17" s="40" t="s">
        <v>416</v>
      </c>
      <c r="G17" s="40">
        <v>1824</v>
      </c>
      <c r="H17" s="41" t="s">
        <v>66</v>
      </c>
      <c r="I17" s="155">
        <v>360</v>
      </c>
      <c r="J17" s="155" t="s">
        <v>564</v>
      </c>
      <c r="K17" s="155"/>
      <c r="L17" s="97" t="s">
        <v>414</v>
      </c>
      <c r="M17" s="95"/>
      <c r="N17" s="95"/>
      <c r="O17" s="17" t="s">
        <v>556</v>
      </c>
      <c r="P17" s="18">
        <v>1</v>
      </c>
      <c r="Q17" s="19" t="s">
        <v>19</v>
      </c>
    </row>
    <row r="18" spans="1:17" ht="23.25" customHeight="1" x14ac:dyDescent="0.25">
      <c r="A18" s="288"/>
      <c r="B18" s="43" t="s">
        <v>493</v>
      </c>
      <c r="C18" s="86"/>
      <c r="D18" s="78"/>
      <c r="E18" s="60"/>
      <c r="F18" s="38"/>
      <c r="G18" s="38"/>
      <c r="H18" s="60"/>
      <c r="I18" s="164">
        <v>360</v>
      </c>
      <c r="J18" s="164" t="s">
        <v>612</v>
      </c>
      <c r="K18" s="164"/>
      <c r="L18" s="99"/>
      <c r="M18" s="49"/>
      <c r="N18" s="15"/>
      <c r="O18" s="20" t="s">
        <v>557</v>
      </c>
      <c r="P18" s="21">
        <v>2</v>
      </c>
      <c r="Q18" s="22" t="s">
        <v>20</v>
      </c>
    </row>
    <row r="19" spans="1:17" ht="23.25" customHeight="1" x14ac:dyDescent="0.25">
      <c r="A19" s="288"/>
      <c r="B19" s="43"/>
      <c r="C19" s="58"/>
      <c r="D19" s="78"/>
      <c r="E19" s="60"/>
      <c r="F19" s="38"/>
      <c r="G19" s="38"/>
      <c r="H19" s="60"/>
      <c r="I19" s="38">
        <v>360</v>
      </c>
      <c r="J19" s="38" t="s">
        <v>127</v>
      </c>
      <c r="K19" s="38"/>
      <c r="L19" s="99"/>
      <c r="M19" s="49"/>
      <c r="N19" s="15"/>
      <c r="O19" s="20" t="s">
        <v>558</v>
      </c>
      <c r="P19" s="21">
        <v>3</v>
      </c>
      <c r="Q19" s="22" t="s">
        <v>21</v>
      </c>
    </row>
    <row r="20" spans="1:17" ht="23.25" customHeight="1" x14ac:dyDescent="0.25">
      <c r="A20" s="288"/>
      <c r="B20" s="43"/>
      <c r="C20" s="86"/>
      <c r="D20" s="78"/>
      <c r="E20" s="60"/>
      <c r="F20" s="38"/>
      <c r="G20" s="38"/>
      <c r="H20" s="60"/>
      <c r="I20" s="164">
        <v>360</v>
      </c>
      <c r="J20" s="164" t="s">
        <v>132</v>
      </c>
      <c r="K20" s="164"/>
      <c r="L20" s="119"/>
      <c r="M20" s="49"/>
      <c r="N20" s="49"/>
      <c r="O20" s="20" t="s">
        <v>559</v>
      </c>
      <c r="P20" s="21">
        <v>4</v>
      </c>
      <c r="Q20" s="22" t="s">
        <v>21</v>
      </c>
    </row>
    <row r="21" spans="1:17" ht="23.25" customHeight="1" x14ac:dyDescent="0.25">
      <c r="A21" s="288"/>
      <c r="B21" s="43"/>
      <c r="C21" s="86"/>
      <c r="D21" s="78"/>
      <c r="E21" s="60"/>
      <c r="F21" s="38"/>
      <c r="G21" s="38"/>
      <c r="H21" s="60"/>
      <c r="I21" s="164"/>
      <c r="J21" s="164"/>
      <c r="K21" s="164"/>
      <c r="L21" s="99"/>
      <c r="M21" s="49"/>
      <c r="N21" s="59"/>
      <c r="O21" s="20"/>
      <c r="P21" s="21"/>
      <c r="Q21" s="22"/>
    </row>
    <row r="22" spans="1:17" ht="23.2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205"/>
      <c r="H22" s="205"/>
      <c r="I22" s="205">
        <f>SUM(I17:I21)</f>
        <v>1440</v>
      </c>
      <c r="J22" s="205"/>
      <c r="K22" s="205"/>
      <c r="L22" s="80"/>
      <c r="M22" s="205"/>
      <c r="N22" s="205"/>
      <c r="O22" s="114"/>
      <c r="P22" s="205"/>
      <c r="Q22" s="206"/>
    </row>
    <row r="23" spans="1:17" ht="23.25" customHeight="1" x14ac:dyDescent="0.25">
      <c r="A23" s="310" t="s">
        <v>47</v>
      </c>
      <c r="B23" s="42" t="s">
        <v>522</v>
      </c>
      <c r="C23" s="62">
        <v>43299</v>
      </c>
      <c r="D23" s="77" t="s">
        <v>59</v>
      </c>
      <c r="E23" s="41" t="s">
        <v>69</v>
      </c>
      <c r="F23" s="108" t="s">
        <v>109</v>
      </c>
      <c r="G23" s="40">
        <v>852</v>
      </c>
      <c r="H23" s="41" t="s">
        <v>66</v>
      </c>
      <c r="I23" s="40">
        <f>852-216*3</f>
        <v>204</v>
      </c>
      <c r="J23" s="40" t="s">
        <v>613</v>
      </c>
      <c r="K23" s="40"/>
      <c r="L23" s="97" t="s">
        <v>523</v>
      </c>
      <c r="M23" s="16"/>
      <c r="N23" s="95"/>
      <c r="O23" s="17" t="s">
        <v>556</v>
      </c>
      <c r="P23" s="18">
        <v>1</v>
      </c>
      <c r="Q23" s="19" t="s">
        <v>19</v>
      </c>
    </row>
    <row r="24" spans="1:17" ht="23.25" customHeight="1" x14ac:dyDescent="0.25">
      <c r="A24" s="311"/>
      <c r="B24" s="45" t="s">
        <v>614</v>
      </c>
      <c r="C24" s="86">
        <v>43274</v>
      </c>
      <c r="D24" s="82" t="s">
        <v>55</v>
      </c>
      <c r="E24" s="79" t="s">
        <v>69</v>
      </c>
      <c r="F24" s="101" t="s">
        <v>615</v>
      </c>
      <c r="G24" s="164">
        <v>852</v>
      </c>
      <c r="H24" s="48" t="s">
        <v>66</v>
      </c>
      <c r="I24" s="38">
        <v>432</v>
      </c>
      <c r="J24" s="38" t="s">
        <v>564</v>
      </c>
      <c r="K24" s="38"/>
      <c r="L24" s="99" t="s">
        <v>617</v>
      </c>
      <c r="M24" s="87"/>
      <c r="N24" s="87"/>
      <c r="O24" s="20" t="s">
        <v>557</v>
      </c>
      <c r="P24" s="21">
        <v>2</v>
      </c>
      <c r="Q24" s="22" t="s">
        <v>20</v>
      </c>
    </row>
    <row r="25" spans="1:17" ht="23.25" customHeight="1" x14ac:dyDescent="0.25">
      <c r="A25" s="311"/>
      <c r="B25" s="43" t="s">
        <v>616</v>
      </c>
      <c r="C25" s="58"/>
      <c r="D25" s="78"/>
      <c r="E25" s="60"/>
      <c r="F25" s="118"/>
      <c r="G25" s="38"/>
      <c r="H25" s="60"/>
      <c r="I25" s="38">
        <f>852-216*2</f>
        <v>420</v>
      </c>
      <c r="J25" s="38" t="s">
        <v>169</v>
      </c>
      <c r="K25" s="38"/>
      <c r="L25" s="99"/>
      <c r="M25" s="15"/>
      <c r="N25" s="15"/>
      <c r="O25" s="20" t="s">
        <v>558</v>
      </c>
      <c r="P25" s="21">
        <v>3</v>
      </c>
      <c r="Q25" s="22" t="s">
        <v>21</v>
      </c>
    </row>
    <row r="26" spans="1:17" ht="23.25" customHeight="1" x14ac:dyDescent="0.25">
      <c r="A26" s="311"/>
      <c r="B26" s="43" t="s">
        <v>618</v>
      </c>
      <c r="C26" s="58">
        <v>43276</v>
      </c>
      <c r="D26" s="78" t="s">
        <v>59</v>
      </c>
      <c r="E26" s="60" t="s">
        <v>69</v>
      </c>
      <c r="F26" s="118" t="s">
        <v>615</v>
      </c>
      <c r="G26" s="38">
        <v>216</v>
      </c>
      <c r="H26" s="60" t="s">
        <v>66</v>
      </c>
      <c r="I26" s="38">
        <v>216</v>
      </c>
      <c r="J26" s="38" t="s">
        <v>173</v>
      </c>
      <c r="K26" s="38"/>
      <c r="L26" s="99" t="s">
        <v>617</v>
      </c>
      <c r="M26" s="15"/>
      <c r="N26" s="15"/>
      <c r="O26" s="20"/>
      <c r="P26" s="21"/>
      <c r="Q26" s="22"/>
    </row>
    <row r="27" spans="1:17" ht="23.25" customHeight="1" x14ac:dyDescent="0.25">
      <c r="A27" s="311"/>
      <c r="B27" s="45" t="s">
        <v>619</v>
      </c>
      <c r="C27" s="86">
        <v>43276</v>
      </c>
      <c r="D27" s="82" t="s">
        <v>55</v>
      </c>
      <c r="E27" s="79" t="s">
        <v>69</v>
      </c>
      <c r="F27" s="101" t="s">
        <v>615</v>
      </c>
      <c r="G27" s="164">
        <v>684</v>
      </c>
      <c r="H27" s="48" t="s">
        <v>66</v>
      </c>
      <c r="I27" s="38">
        <v>216</v>
      </c>
      <c r="J27" s="38" t="s">
        <v>173</v>
      </c>
      <c r="K27" s="38"/>
      <c r="L27" s="99" t="s">
        <v>617</v>
      </c>
      <c r="M27" s="15"/>
      <c r="N27" s="49"/>
      <c r="O27" s="20" t="s">
        <v>559</v>
      </c>
      <c r="P27" s="21">
        <v>4</v>
      </c>
      <c r="Q27" s="22" t="s">
        <v>21</v>
      </c>
    </row>
    <row r="28" spans="1:17" ht="23.25" customHeight="1" x14ac:dyDescent="0.25">
      <c r="A28" s="311"/>
      <c r="B28" s="45" t="s">
        <v>383</v>
      </c>
      <c r="C28" s="305" t="s">
        <v>35</v>
      </c>
      <c r="D28" s="328"/>
      <c r="E28" s="60"/>
      <c r="F28" s="101"/>
      <c r="G28" s="164"/>
      <c r="H28" s="48"/>
      <c r="I28" s="164"/>
      <c r="J28" s="164"/>
      <c r="K28" s="164"/>
      <c r="L28" s="212"/>
      <c r="M28" s="49"/>
      <c r="N28" s="49"/>
      <c r="O28" s="100"/>
      <c r="P28" s="50"/>
      <c r="Q28" s="22"/>
    </row>
    <row r="29" spans="1:17" ht="23.25" customHeight="1" thickBot="1" x14ac:dyDescent="0.3">
      <c r="A29" s="312"/>
      <c r="B29" s="93"/>
      <c r="C29" s="205"/>
      <c r="D29" s="205"/>
      <c r="E29" s="205"/>
      <c r="F29" s="205"/>
      <c r="G29" s="205"/>
      <c r="H29" s="205"/>
      <c r="I29" s="206">
        <f>SUM(I23:I27)</f>
        <v>1488</v>
      </c>
      <c r="J29" s="206"/>
      <c r="K29" s="206"/>
      <c r="L29" s="162"/>
      <c r="M29" s="206"/>
      <c r="N29" s="206"/>
      <c r="O29" s="206"/>
      <c r="P29" s="206"/>
      <c r="Q29" s="206"/>
    </row>
    <row r="30" spans="1:17" ht="29.25" customHeight="1" thickBot="1" x14ac:dyDescent="0.3">
      <c r="A30" s="73"/>
      <c r="B30" s="64"/>
      <c r="C30" s="65"/>
      <c r="D30" s="66"/>
      <c r="E30" s="67"/>
      <c r="F30" s="66"/>
      <c r="G30" s="67"/>
      <c r="H30" s="67"/>
      <c r="I30" s="69">
        <f>SUM(I29,I22,I16,I10)</f>
        <v>5904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207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7">
    <mergeCell ref="A4:A10"/>
    <mergeCell ref="C10:F10"/>
    <mergeCell ref="A1:Q1"/>
    <mergeCell ref="A2:B2"/>
    <mergeCell ref="C2:E2"/>
    <mergeCell ref="F2:G2"/>
    <mergeCell ref="O2:Q2"/>
    <mergeCell ref="C28:D28"/>
    <mergeCell ref="A11:A16"/>
    <mergeCell ref="A17:A22"/>
    <mergeCell ref="C22:F22"/>
    <mergeCell ref="A23:A29"/>
    <mergeCell ref="F32:Q32"/>
    <mergeCell ref="B33:Q33"/>
    <mergeCell ref="F34:O34"/>
    <mergeCell ref="P34:Q34"/>
    <mergeCell ref="B35:O35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6" zoomScale="115" zoomScaleNormal="115" workbookViewId="0">
      <selection activeCell="G26" sqref="G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43256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43257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42" t="s">
        <v>445</v>
      </c>
      <c r="C4" s="62">
        <v>43275</v>
      </c>
      <c r="D4" s="77" t="s">
        <v>93</v>
      </c>
      <c r="E4" s="187" t="s">
        <v>56</v>
      </c>
      <c r="F4" s="188" t="s">
        <v>443</v>
      </c>
      <c r="G4" s="155">
        <v>3000</v>
      </c>
      <c r="H4" s="81" t="s">
        <v>53</v>
      </c>
      <c r="I4" s="155">
        <v>456</v>
      </c>
      <c r="J4" s="155" t="s">
        <v>620</v>
      </c>
      <c r="K4" s="155"/>
      <c r="L4" s="53" t="s">
        <v>447</v>
      </c>
      <c r="M4" s="16"/>
      <c r="N4" s="16"/>
      <c r="O4" s="17" t="s">
        <v>556</v>
      </c>
      <c r="P4" s="18">
        <v>1</v>
      </c>
      <c r="Q4" s="19" t="s">
        <v>19</v>
      </c>
    </row>
    <row r="5" spans="1:17" ht="23.25" customHeight="1" x14ac:dyDescent="0.25">
      <c r="A5" s="288"/>
      <c r="B5" s="45" t="s">
        <v>199</v>
      </c>
      <c r="C5" s="315" t="s">
        <v>35</v>
      </c>
      <c r="D5" s="316"/>
      <c r="E5" s="325" t="s">
        <v>446</v>
      </c>
      <c r="F5" s="326"/>
      <c r="G5" s="164"/>
      <c r="H5" s="48"/>
      <c r="I5" s="164">
        <f>3000-228*11</f>
        <v>492</v>
      </c>
      <c r="J5" s="164" t="s">
        <v>621</v>
      </c>
      <c r="K5" s="164"/>
      <c r="L5" s="57"/>
      <c r="M5" s="98"/>
      <c r="N5" s="63"/>
      <c r="O5" s="20" t="s">
        <v>557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622</v>
      </c>
      <c r="C6" s="112">
        <v>43276</v>
      </c>
      <c r="D6" s="135" t="s">
        <v>623</v>
      </c>
      <c r="E6" s="82" t="s">
        <v>56</v>
      </c>
      <c r="F6" s="143" t="s">
        <v>443</v>
      </c>
      <c r="G6" s="39">
        <v>1344</v>
      </c>
      <c r="H6" s="60" t="s">
        <v>53</v>
      </c>
      <c r="I6" s="164">
        <v>456</v>
      </c>
      <c r="J6" s="164" t="s">
        <v>624</v>
      </c>
      <c r="K6" s="164"/>
      <c r="L6" s="57" t="s">
        <v>625</v>
      </c>
      <c r="M6" s="98"/>
      <c r="N6" s="63"/>
      <c r="O6" s="20" t="s">
        <v>558</v>
      </c>
      <c r="P6" s="21">
        <v>3</v>
      </c>
      <c r="Q6" s="22" t="s">
        <v>21</v>
      </c>
    </row>
    <row r="7" spans="1:17" ht="23.25" customHeight="1" x14ac:dyDescent="0.25">
      <c r="A7" s="288"/>
      <c r="B7" s="126" t="s">
        <v>105</v>
      </c>
      <c r="C7" s="315" t="s">
        <v>35</v>
      </c>
      <c r="D7" s="316"/>
      <c r="E7" s="125"/>
      <c r="F7" s="143"/>
      <c r="G7" s="38"/>
      <c r="H7" s="60"/>
      <c r="I7" s="84">
        <v>228</v>
      </c>
      <c r="J7" s="164" t="s">
        <v>182</v>
      </c>
      <c r="K7" s="164"/>
      <c r="L7" s="57"/>
      <c r="M7" s="63"/>
      <c r="N7" s="63"/>
      <c r="O7" s="20" t="s">
        <v>559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05"/>
      <c r="H9" s="205"/>
      <c r="I9" s="205">
        <f>SUM(I4:I8)</f>
        <v>1632</v>
      </c>
      <c r="J9" s="205"/>
      <c r="K9" s="205"/>
      <c r="L9" s="208"/>
      <c r="M9" s="205"/>
      <c r="N9" s="205"/>
      <c r="O9" s="205"/>
      <c r="P9" s="206"/>
      <c r="Q9" s="206"/>
    </row>
    <row r="10" spans="1:17" ht="23.25" customHeight="1" x14ac:dyDescent="0.25">
      <c r="A10" s="287" t="s">
        <v>49</v>
      </c>
      <c r="B10" s="92" t="s">
        <v>420</v>
      </c>
      <c r="C10" s="12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626</v>
      </c>
      <c r="K10" s="155"/>
      <c r="L10" s="54" t="s">
        <v>424</v>
      </c>
      <c r="M10" s="16"/>
      <c r="N10" s="16"/>
      <c r="O10" s="17" t="s">
        <v>556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627</v>
      </c>
      <c r="K11" s="164"/>
      <c r="L11" s="88"/>
      <c r="M11" s="63"/>
      <c r="N11" s="63"/>
      <c r="O11" s="20" t="s">
        <v>557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628</v>
      </c>
      <c r="K12" s="164"/>
      <c r="L12" s="88"/>
      <c r="M12" s="63"/>
      <c r="N12" s="63"/>
      <c r="O12" s="20" t="s">
        <v>558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228</v>
      </c>
      <c r="J13" s="164" t="s">
        <v>655</v>
      </c>
      <c r="K13" s="164"/>
      <c r="L13" s="88"/>
      <c r="M13" s="15"/>
      <c r="N13" s="15"/>
      <c r="O13" s="20" t="s">
        <v>559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1596</v>
      </c>
      <c r="J15" s="115"/>
      <c r="K15" s="115"/>
      <c r="L15" s="96"/>
      <c r="M15" s="114"/>
      <c r="N15" s="114"/>
      <c r="O15" s="114"/>
      <c r="P15" s="206"/>
      <c r="Q15" s="206"/>
    </row>
    <row r="16" spans="1:17" ht="23.25" customHeight="1" x14ac:dyDescent="0.25">
      <c r="A16" s="287" t="s">
        <v>50</v>
      </c>
      <c r="B16" s="92" t="s">
        <v>314</v>
      </c>
      <c r="C16" s="12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629</v>
      </c>
      <c r="K16" s="164"/>
      <c r="L16" s="57" t="s">
        <v>67</v>
      </c>
      <c r="M16" s="16"/>
      <c r="N16" s="16"/>
      <c r="O16" s="17" t="s">
        <v>556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628</v>
      </c>
      <c r="K17" s="164"/>
      <c r="L17" s="57"/>
      <c r="M17" s="15"/>
      <c r="N17" s="15"/>
      <c r="O17" s="20" t="s">
        <v>557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630</v>
      </c>
      <c r="K18" s="164"/>
      <c r="L18" s="57"/>
      <c r="M18" s="15"/>
      <c r="N18" s="15"/>
      <c r="O18" s="20" t="s">
        <v>558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4" t="s">
        <v>631</v>
      </c>
      <c r="K19" s="164"/>
      <c r="L19" s="57"/>
      <c r="M19" s="49"/>
      <c r="N19" s="49"/>
      <c r="O19" s="20" t="s">
        <v>559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05">
        <f>SUM(I16:I20)</f>
        <v>1824</v>
      </c>
      <c r="J21" s="205"/>
      <c r="K21" s="205"/>
      <c r="L21" s="208"/>
      <c r="M21" s="205"/>
      <c r="N21" s="205"/>
      <c r="O21" s="205"/>
      <c r="P21" s="206"/>
      <c r="Q21" s="206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632</v>
      </c>
      <c r="K22" s="178"/>
      <c r="L22" s="180" t="s">
        <v>67</v>
      </c>
      <c r="M22" s="16"/>
      <c r="N22" s="16"/>
      <c r="O22" s="17" t="s">
        <v>556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103"/>
      <c r="G23" s="38"/>
      <c r="H23" s="193"/>
      <c r="I23" s="164">
        <v>456</v>
      </c>
      <c r="J23" s="197" t="s">
        <v>633</v>
      </c>
      <c r="K23" s="194"/>
      <c r="L23" s="195"/>
      <c r="M23" s="87"/>
      <c r="N23" s="15"/>
      <c r="O23" s="20" t="s">
        <v>557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634</v>
      </c>
      <c r="K24" s="164"/>
      <c r="L24" s="57"/>
      <c r="M24" s="49"/>
      <c r="N24" s="15"/>
      <c r="O24" s="20" t="s">
        <v>558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635</v>
      </c>
      <c r="K25" s="164"/>
      <c r="L25" s="57"/>
      <c r="M25" s="49"/>
      <c r="N25" s="49"/>
      <c r="O25" s="20" t="s">
        <v>559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06"/>
      <c r="Q27" s="206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6876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07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2">
    <mergeCell ref="A22:A27"/>
    <mergeCell ref="B22:B23"/>
    <mergeCell ref="C23:E23"/>
    <mergeCell ref="A1:Q1"/>
    <mergeCell ref="A2:B2"/>
    <mergeCell ref="C2:E2"/>
    <mergeCell ref="F2:G2"/>
    <mergeCell ref="O2:Q2"/>
    <mergeCell ref="A4:A9"/>
    <mergeCell ref="C5:D5"/>
    <mergeCell ref="E5:F5"/>
    <mergeCell ref="C9:F9"/>
    <mergeCell ref="C7:D7"/>
    <mergeCell ref="A10:A15"/>
    <mergeCell ref="C15:F15"/>
    <mergeCell ref="A16:A21"/>
    <mergeCell ref="B33:O33"/>
    <mergeCell ref="C21:F21"/>
    <mergeCell ref="F30:Q30"/>
    <mergeCell ref="B31:Q31"/>
    <mergeCell ref="F32:O32"/>
    <mergeCell ref="P32:Q3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8"/>
  <sheetViews>
    <sheetView zoomScaleNormal="100" workbookViewId="0">
      <selection activeCell="B4" sqref="B4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43256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43257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92" t="s">
        <v>225</v>
      </c>
      <c r="C4" s="104">
        <v>43259</v>
      </c>
      <c r="D4" s="90" t="s">
        <v>59</v>
      </c>
      <c r="E4" s="144" t="s">
        <v>54</v>
      </c>
      <c r="F4" s="40" t="s">
        <v>96</v>
      </c>
      <c r="G4" s="40">
        <v>6648</v>
      </c>
      <c r="H4" s="149" t="s">
        <v>90</v>
      </c>
      <c r="I4" s="150">
        <v>432</v>
      </c>
      <c r="J4" s="40" t="s">
        <v>636</v>
      </c>
      <c r="K4" s="40"/>
      <c r="L4" s="107" t="s">
        <v>67</v>
      </c>
      <c r="M4" s="16"/>
      <c r="N4" s="16"/>
      <c r="O4" s="17" t="s">
        <v>556</v>
      </c>
      <c r="P4" s="18">
        <v>1</v>
      </c>
      <c r="Q4" s="19" t="s">
        <v>19</v>
      </c>
    </row>
    <row r="5" spans="1:17" ht="24.75" customHeight="1" x14ac:dyDescent="0.25">
      <c r="A5" s="288"/>
      <c r="B5" s="127" t="s">
        <v>115</v>
      </c>
      <c r="C5" s="313" t="s">
        <v>57</v>
      </c>
      <c r="D5" s="314"/>
      <c r="E5" s="79"/>
      <c r="F5" s="39"/>
      <c r="G5" s="164"/>
      <c r="H5" s="55"/>
      <c r="I5" s="128">
        <f>6648-216*29</f>
        <v>384</v>
      </c>
      <c r="J5" s="164" t="s">
        <v>637</v>
      </c>
      <c r="K5" s="164"/>
      <c r="L5" s="44"/>
      <c r="M5" s="15"/>
      <c r="N5" s="15"/>
      <c r="O5" s="20" t="s">
        <v>557</v>
      </c>
      <c r="P5" s="21">
        <v>2</v>
      </c>
      <c r="Q5" s="22" t="s">
        <v>20</v>
      </c>
    </row>
    <row r="6" spans="1:17" ht="24.75" customHeight="1" x14ac:dyDescent="0.25">
      <c r="A6" s="288"/>
      <c r="B6" s="127" t="s">
        <v>638</v>
      </c>
      <c r="C6" s="112">
        <v>43269</v>
      </c>
      <c r="D6" s="110" t="s">
        <v>59</v>
      </c>
      <c r="E6" s="79" t="s">
        <v>54</v>
      </c>
      <c r="F6" s="39" t="s">
        <v>561</v>
      </c>
      <c r="G6" s="164">
        <v>456</v>
      </c>
      <c r="H6" s="55" t="s">
        <v>90</v>
      </c>
      <c r="I6" s="128">
        <v>216</v>
      </c>
      <c r="J6" s="164" t="s">
        <v>84</v>
      </c>
      <c r="K6" s="164"/>
      <c r="L6" s="44" t="s">
        <v>639</v>
      </c>
      <c r="M6" s="15"/>
      <c r="N6" s="15"/>
      <c r="O6" s="20" t="s">
        <v>558</v>
      </c>
      <c r="P6" s="21">
        <v>3</v>
      </c>
      <c r="Q6" s="22" t="s">
        <v>21</v>
      </c>
    </row>
    <row r="7" spans="1:17" ht="24.75" customHeight="1" x14ac:dyDescent="0.25">
      <c r="A7" s="288"/>
      <c r="B7" s="127" t="s">
        <v>658</v>
      </c>
      <c r="C7" s="112"/>
      <c r="D7" s="110"/>
      <c r="E7" s="79"/>
      <c r="F7" s="39"/>
      <c r="G7" s="164"/>
      <c r="H7" s="55"/>
      <c r="I7" s="128">
        <f>456-216</f>
        <v>240</v>
      </c>
      <c r="J7" s="164" t="s">
        <v>657</v>
      </c>
      <c r="K7" s="164"/>
      <c r="L7" s="44"/>
      <c r="M7" s="15"/>
      <c r="N7" s="15"/>
      <c r="O7" s="20" t="s">
        <v>559</v>
      </c>
      <c r="P7" s="21">
        <v>4</v>
      </c>
      <c r="Q7" s="22" t="s">
        <v>21</v>
      </c>
    </row>
    <row r="8" spans="1:17" ht="24.75" customHeight="1" x14ac:dyDescent="0.25">
      <c r="A8" s="288"/>
      <c r="B8" s="85"/>
      <c r="C8" s="112"/>
      <c r="D8" s="110"/>
      <c r="E8" s="79"/>
      <c r="F8" s="39"/>
      <c r="G8" s="164"/>
      <c r="H8" s="55"/>
      <c r="I8" s="84"/>
      <c r="J8" s="164"/>
      <c r="K8" s="164"/>
      <c r="L8" s="57"/>
      <c r="M8" s="49"/>
      <c r="N8" s="49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05"/>
      <c r="H9" s="205"/>
      <c r="I9" s="205">
        <f>SUM(I4:I7)</f>
        <v>1272</v>
      </c>
      <c r="J9" s="205"/>
      <c r="K9" s="205"/>
      <c r="L9" s="208"/>
      <c r="M9" s="205"/>
      <c r="N9" s="205"/>
      <c r="O9" s="205"/>
      <c r="P9" s="206"/>
      <c r="Q9" s="147"/>
    </row>
    <row r="10" spans="1:17" ht="24.75" customHeight="1" x14ac:dyDescent="0.25">
      <c r="A10" s="288" t="s">
        <v>31</v>
      </c>
      <c r="B10" s="42" t="s">
        <v>642</v>
      </c>
      <c r="C10" s="104">
        <v>43275</v>
      </c>
      <c r="D10" s="90" t="s">
        <v>93</v>
      </c>
      <c r="E10" s="144" t="s">
        <v>54</v>
      </c>
      <c r="F10" s="40" t="s">
        <v>539</v>
      </c>
      <c r="G10" s="40">
        <v>612</v>
      </c>
      <c r="H10" s="204" t="s">
        <v>456</v>
      </c>
      <c r="I10" s="155">
        <f>192*2</f>
        <v>384</v>
      </c>
      <c r="J10" s="155" t="s">
        <v>564</v>
      </c>
      <c r="K10" s="155"/>
      <c r="L10" s="53" t="s">
        <v>639</v>
      </c>
      <c r="M10" s="16"/>
      <c r="N10" s="16"/>
      <c r="O10" s="17" t="s">
        <v>556</v>
      </c>
      <c r="P10" s="18">
        <v>1</v>
      </c>
      <c r="Q10" s="19" t="s">
        <v>19</v>
      </c>
    </row>
    <row r="11" spans="1:17" ht="24.75" customHeight="1" x14ac:dyDescent="0.25">
      <c r="A11" s="288"/>
      <c r="B11" s="45" t="s">
        <v>181</v>
      </c>
      <c r="C11" s="313" t="s">
        <v>35</v>
      </c>
      <c r="D11" s="314"/>
      <c r="E11" s="129"/>
      <c r="F11" s="39"/>
      <c r="G11" s="39"/>
      <c r="H11" s="146"/>
      <c r="I11" s="164">
        <f>612-384</f>
        <v>228</v>
      </c>
      <c r="J11" s="164" t="s">
        <v>182</v>
      </c>
      <c r="K11" s="164"/>
      <c r="L11" s="57"/>
      <c r="M11" s="15"/>
      <c r="N11" s="15"/>
      <c r="O11" s="20" t="s">
        <v>557</v>
      </c>
      <c r="P11" s="21">
        <v>2</v>
      </c>
      <c r="Q11" s="22" t="s">
        <v>20</v>
      </c>
    </row>
    <row r="12" spans="1:17" ht="24.75" customHeight="1" x14ac:dyDescent="0.25">
      <c r="A12" s="288"/>
      <c r="B12" s="45" t="s">
        <v>643</v>
      </c>
      <c r="C12" s="133">
        <v>43276</v>
      </c>
      <c r="D12" s="134" t="s">
        <v>93</v>
      </c>
      <c r="E12" s="129" t="s">
        <v>54</v>
      </c>
      <c r="F12" s="39" t="s">
        <v>539</v>
      </c>
      <c r="G12" s="39">
        <v>1356</v>
      </c>
      <c r="H12" s="146" t="s">
        <v>456</v>
      </c>
      <c r="I12" s="164">
        <v>384</v>
      </c>
      <c r="J12" s="164" t="s">
        <v>564</v>
      </c>
      <c r="K12" s="164"/>
      <c r="L12" s="57" t="s">
        <v>644</v>
      </c>
      <c r="M12" s="15"/>
      <c r="N12" s="15"/>
      <c r="O12" s="20" t="s">
        <v>558</v>
      </c>
      <c r="P12" s="21">
        <v>3</v>
      </c>
      <c r="Q12" s="22" t="s">
        <v>21</v>
      </c>
    </row>
    <row r="13" spans="1:17" ht="24.75" customHeight="1" x14ac:dyDescent="0.25">
      <c r="A13" s="288"/>
      <c r="B13" s="45" t="s">
        <v>114</v>
      </c>
      <c r="C13" s="313" t="s">
        <v>35</v>
      </c>
      <c r="D13" s="314"/>
      <c r="E13" s="129"/>
      <c r="F13" s="39"/>
      <c r="G13" s="39"/>
      <c r="H13" s="146"/>
      <c r="I13" s="164">
        <v>192</v>
      </c>
      <c r="J13" s="164" t="s">
        <v>659</v>
      </c>
      <c r="K13" s="164"/>
      <c r="L13" s="57"/>
      <c r="M13" s="49"/>
      <c r="N13" s="49"/>
      <c r="O13" s="20" t="s">
        <v>559</v>
      </c>
      <c r="P13" s="21">
        <v>4</v>
      </c>
      <c r="Q13" s="22" t="s">
        <v>21</v>
      </c>
    </row>
    <row r="14" spans="1:17" ht="24.75" customHeight="1" x14ac:dyDescent="0.25">
      <c r="A14" s="288"/>
      <c r="B14" s="45"/>
      <c r="C14" s="133"/>
      <c r="D14" s="134"/>
      <c r="E14" s="129"/>
      <c r="F14" s="39"/>
      <c r="G14" s="39"/>
      <c r="H14" s="146"/>
      <c r="I14" s="164"/>
      <c r="J14" s="164"/>
      <c r="K14" s="164"/>
      <c r="L14" s="57"/>
      <c r="M14" s="49"/>
      <c r="N14" s="49"/>
      <c r="O14" s="20"/>
      <c r="P14" s="21"/>
      <c r="Q14" s="22"/>
    </row>
    <row r="15" spans="1:17" ht="24.7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05"/>
      <c r="H15" s="205"/>
      <c r="I15" s="205">
        <f>SUM(I10:I14)</f>
        <v>1188</v>
      </c>
      <c r="J15" s="205"/>
      <c r="K15" s="205"/>
      <c r="L15" s="208"/>
      <c r="M15" s="205"/>
      <c r="N15" s="205"/>
      <c r="O15" s="205"/>
      <c r="P15" s="205"/>
      <c r="Q15" s="151"/>
    </row>
    <row r="16" spans="1:17" ht="24.75" customHeight="1" x14ac:dyDescent="0.25">
      <c r="A16" s="287" t="s">
        <v>32</v>
      </c>
      <c r="B16" s="42" t="s">
        <v>545</v>
      </c>
      <c r="C16" s="104">
        <v>43304</v>
      </c>
      <c r="D16" s="90" t="s">
        <v>55</v>
      </c>
      <c r="E16" s="144" t="s">
        <v>54</v>
      </c>
      <c r="F16" s="40" t="s">
        <v>331</v>
      </c>
      <c r="G16" s="40">
        <v>624</v>
      </c>
      <c r="H16" s="149" t="s">
        <v>332</v>
      </c>
      <c r="I16" s="155">
        <f>624-432</f>
        <v>192</v>
      </c>
      <c r="J16" s="155" t="s">
        <v>182</v>
      </c>
      <c r="K16" s="155"/>
      <c r="L16" s="53" t="s">
        <v>547</v>
      </c>
      <c r="M16" s="16"/>
      <c r="N16" s="16"/>
      <c r="O16" s="17" t="s">
        <v>556</v>
      </c>
      <c r="P16" s="18">
        <v>1</v>
      </c>
      <c r="Q16" s="19" t="s">
        <v>19</v>
      </c>
    </row>
    <row r="17" spans="1:17" ht="24.75" customHeight="1" x14ac:dyDescent="0.25">
      <c r="A17" s="288"/>
      <c r="B17" s="127" t="s">
        <v>645</v>
      </c>
      <c r="C17" s="133">
        <v>43285</v>
      </c>
      <c r="D17" s="134" t="s">
        <v>93</v>
      </c>
      <c r="E17" s="129" t="s">
        <v>54</v>
      </c>
      <c r="F17" s="38" t="s">
        <v>240</v>
      </c>
      <c r="G17" s="38">
        <v>684</v>
      </c>
      <c r="H17" s="154" t="s">
        <v>241</v>
      </c>
      <c r="I17" s="164">
        <v>360</v>
      </c>
      <c r="J17" s="164" t="s">
        <v>564</v>
      </c>
      <c r="K17" s="164"/>
      <c r="L17" s="57" t="s">
        <v>646</v>
      </c>
      <c r="M17" s="15"/>
      <c r="N17" s="15"/>
      <c r="O17" s="20" t="s">
        <v>557</v>
      </c>
      <c r="P17" s="21">
        <v>2</v>
      </c>
      <c r="Q17" s="22" t="s">
        <v>20</v>
      </c>
    </row>
    <row r="18" spans="1:17" ht="24.75" customHeight="1" x14ac:dyDescent="0.25">
      <c r="A18" s="288"/>
      <c r="B18" s="45" t="s">
        <v>97</v>
      </c>
      <c r="C18" s="329" t="s">
        <v>446</v>
      </c>
      <c r="D18" s="330"/>
      <c r="E18" s="330"/>
      <c r="F18" s="331"/>
      <c r="G18" s="39"/>
      <c r="H18" s="130"/>
      <c r="I18" s="128">
        <v>180</v>
      </c>
      <c r="J18" s="38" t="s">
        <v>182</v>
      </c>
      <c r="K18" s="38"/>
      <c r="L18" s="44"/>
      <c r="M18" s="15"/>
      <c r="N18" s="15"/>
      <c r="O18" s="20" t="s">
        <v>558</v>
      </c>
      <c r="P18" s="21">
        <v>3</v>
      </c>
      <c r="Q18" s="22" t="s">
        <v>21</v>
      </c>
    </row>
    <row r="19" spans="1:17" ht="24.75" customHeight="1" x14ac:dyDescent="0.25">
      <c r="A19" s="288"/>
      <c r="B19" s="45"/>
      <c r="C19" s="133"/>
      <c r="D19" s="134"/>
      <c r="E19" s="129"/>
      <c r="F19" s="39"/>
      <c r="G19" s="39"/>
      <c r="H19" s="130"/>
      <c r="I19" s="164">
        <f>684-180*3</f>
        <v>144</v>
      </c>
      <c r="J19" s="164" t="s">
        <v>660</v>
      </c>
      <c r="K19" s="164"/>
      <c r="L19" s="57"/>
      <c r="M19" s="49"/>
      <c r="N19" s="49"/>
      <c r="O19" s="20" t="s">
        <v>559</v>
      </c>
      <c r="P19" s="21">
        <v>4</v>
      </c>
      <c r="Q19" s="22" t="s">
        <v>21</v>
      </c>
    </row>
    <row r="20" spans="1:17" ht="24.75" customHeight="1" x14ac:dyDescent="0.25">
      <c r="A20" s="288"/>
      <c r="B20" s="127"/>
      <c r="C20" s="133"/>
      <c r="D20" s="134"/>
      <c r="E20" s="129"/>
      <c r="F20" s="38"/>
      <c r="G20" s="38"/>
      <c r="H20" s="154"/>
      <c r="I20" s="164"/>
      <c r="J20" s="164"/>
      <c r="K20" s="164"/>
      <c r="L20" s="57"/>
      <c r="M20" s="49"/>
      <c r="N20" s="49"/>
      <c r="O20" s="20"/>
      <c r="P20" s="21"/>
      <c r="Q20" s="22"/>
    </row>
    <row r="21" spans="1:17" ht="24.7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205"/>
      <c r="H21" s="205"/>
      <c r="I21" s="205">
        <f>SUM(I16:I20)</f>
        <v>876</v>
      </c>
      <c r="J21" s="205"/>
      <c r="K21" s="205"/>
      <c r="L21" s="208"/>
      <c r="M21" s="205"/>
      <c r="N21" s="205"/>
      <c r="O21" s="205"/>
      <c r="P21" s="205"/>
      <c r="Q21" s="147"/>
    </row>
    <row r="22" spans="1:17" ht="29.25" customHeight="1" thickBot="1" x14ac:dyDescent="0.3">
      <c r="A22" s="73"/>
      <c r="B22" s="64"/>
      <c r="C22" s="65"/>
      <c r="D22" s="66"/>
      <c r="E22" s="67"/>
      <c r="F22" s="68"/>
      <c r="G22" s="67"/>
      <c r="H22" s="67"/>
      <c r="I22" s="69">
        <f>SUM(I21,I15,I9)</f>
        <v>3336</v>
      </c>
      <c r="J22" s="70"/>
      <c r="K22" s="70"/>
      <c r="L22" s="65"/>
      <c r="M22" s="71"/>
      <c r="N22" s="69"/>
      <c r="O22" s="70"/>
      <c r="P22" s="70"/>
      <c r="Q22" s="72"/>
    </row>
    <row r="23" spans="1:17" ht="17.25" thickTop="1" x14ac:dyDescent="0.3">
      <c r="A23" s="23" t="s">
        <v>22</v>
      </c>
      <c r="B23" s="24"/>
      <c r="C23" s="25"/>
      <c r="D23" s="24"/>
      <c r="E23" s="24"/>
      <c r="F23" s="26"/>
      <c r="G23" s="27"/>
      <c r="H23" s="28" t="s">
        <v>23</v>
      </c>
      <c r="I23" s="29"/>
      <c r="J23" s="29"/>
      <c r="K23" s="29"/>
      <c r="L23" s="30"/>
      <c r="M23" s="29"/>
      <c r="N23" s="29"/>
      <c r="O23" s="29"/>
      <c r="P23" s="207" t="s">
        <v>24</v>
      </c>
      <c r="Q23" s="31"/>
    </row>
    <row r="24" spans="1:17" ht="16.5" x14ac:dyDescent="0.3">
      <c r="A24" s="1"/>
      <c r="B24" s="32">
        <v>1</v>
      </c>
      <c r="C24" s="33"/>
      <c r="D24" s="32"/>
      <c r="E24" s="32"/>
      <c r="F24" s="304" t="s">
        <v>25</v>
      </c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</row>
    <row r="25" spans="1:17" ht="16.5" x14ac:dyDescent="0.3">
      <c r="A25" s="297" t="s">
        <v>26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</row>
    <row r="26" spans="1:17" ht="16.5" x14ac:dyDescent="0.3">
      <c r="A26" s="1"/>
      <c r="B26" s="34">
        <v>2</v>
      </c>
      <c r="C26" s="35"/>
      <c r="D26" s="36"/>
      <c r="E26" s="36"/>
      <c r="F26" s="298" t="s">
        <v>27</v>
      </c>
      <c r="G26" s="298"/>
      <c r="H26" s="298"/>
      <c r="I26" s="298"/>
      <c r="J26" s="298"/>
      <c r="K26" s="298"/>
      <c r="L26" s="298"/>
      <c r="M26" s="298"/>
      <c r="N26" s="298"/>
      <c r="O26" s="298"/>
      <c r="P26" s="76" t="s">
        <v>28</v>
      </c>
      <c r="Q26" s="75"/>
    </row>
    <row r="27" spans="1:17" ht="16.5" x14ac:dyDescent="0.3">
      <c r="A27" s="1"/>
      <c r="B27" s="297" t="s">
        <v>29</v>
      </c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1"/>
      <c r="Q27" s="1"/>
    </row>
    <row r="28" spans="1:17" x14ac:dyDescent="0.25">
      <c r="O28" s="74"/>
    </row>
  </sheetData>
  <mergeCells count="19">
    <mergeCell ref="A4:A9"/>
    <mergeCell ref="C5:D5"/>
    <mergeCell ref="C9:F9"/>
    <mergeCell ref="A1:Q1"/>
    <mergeCell ref="A2:B2"/>
    <mergeCell ref="C2:E2"/>
    <mergeCell ref="F2:G2"/>
    <mergeCell ref="O2:Q2"/>
    <mergeCell ref="F24:Q24"/>
    <mergeCell ref="A25:Q25"/>
    <mergeCell ref="F26:O26"/>
    <mergeCell ref="B27:O27"/>
    <mergeCell ref="A10:A15"/>
    <mergeCell ref="C11:D11"/>
    <mergeCell ref="C13:D13"/>
    <mergeCell ref="C15:F15"/>
    <mergeCell ref="A16:A21"/>
    <mergeCell ref="C21:F21"/>
    <mergeCell ref="C18:F18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5"/>
  <sheetViews>
    <sheetView topLeftCell="A16" zoomScaleNormal="100" workbookViewId="0">
      <selection activeCell="G13" sqref="G13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43257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43258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562</v>
      </c>
      <c r="C4" s="62">
        <v>43271</v>
      </c>
      <c r="D4" s="77" t="s">
        <v>59</v>
      </c>
      <c r="E4" s="41" t="s">
        <v>54</v>
      </c>
      <c r="F4" s="40" t="s">
        <v>267</v>
      </c>
      <c r="G4" s="40">
        <v>1008</v>
      </c>
      <c r="H4" s="41" t="s">
        <v>148</v>
      </c>
      <c r="I4" s="40">
        <v>144</v>
      </c>
      <c r="J4" s="40" t="s">
        <v>78</v>
      </c>
      <c r="K4" s="40"/>
      <c r="L4" s="54">
        <v>2689</v>
      </c>
      <c r="M4" s="16"/>
      <c r="N4" s="16"/>
      <c r="O4" s="17" t="s">
        <v>661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566</v>
      </c>
      <c r="C5" s="58">
        <v>43265</v>
      </c>
      <c r="D5" s="78" t="s">
        <v>93</v>
      </c>
      <c r="E5" s="60" t="s">
        <v>54</v>
      </c>
      <c r="F5" s="38" t="s">
        <v>567</v>
      </c>
      <c r="G5" s="38">
        <v>396</v>
      </c>
      <c r="H5" s="60" t="s">
        <v>568</v>
      </c>
      <c r="I5" s="38">
        <v>396</v>
      </c>
      <c r="J5" s="38" t="s">
        <v>77</v>
      </c>
      <c r="K5" s="38"/>
      <c r="L5" s="44" t="s">
        <v>671</v>
      </c>
      <c r="M5" s="15"/>
      <c r="N5" s="63"/>
      <c r="O5" s="20" t="s">
        <v>662</v>
      </c>
      <c r="P5" s="21">
        <v>2</v>
      </c>
      <c r="Q5" s="22" t="s">
        <v>20</v>
      </c>
    </row>
    <row r="6" spans="1:17" ht="22.5" customHeight="1" x14ac:dyDescent="0.25">
      <c r="A6" s="288"/>
      <c r="B6" s="43" t="s">
        <v>569</v>
      </c>
      <c r="C6" s="58">
        <v>43265</v>
      </c>
      <c r="D6" s="78" t="s">
        <v>55</v>
      </c>
      <c r="E6" s="60" t="s">
        <v>54</v>
      </c>
      <c r="F6" s="38" t="s">
        <v>570</v>
      </c>
      <c r="G6" s="38">
        <v>132</v>
      </c>
      <c r="H6" s="60" t="s">
        <v>571</v>
      </c>
      <c r="I6" s="38">
        <v>132</v>
      </c>
      <c r="J6" s="38" t="s">
        <v>84</v>
      </c>
      <c r="K6" s="38"/>
      <c r="L6" s="44" t="s">
        <v>672</v>
      </c>
      <c r="M6" s="15"/>
      <c r="N6" s="63"/>
      <c r="O6" s="20"/>
      <c r="P6" s="21"/>
      <c r="Q6" s="22"/>
    </row>
    <row r="7" spans="1:17" ht="22.5" customHeight="1" x14ac:dyDescent="0.25">
      <c r="A7" s="288"/>
      <c r="B7" s="43" t="s">
        <v>665</v>
      </c>
      <c r="C7" s="58">
        <v>43265</v>
      </c>
      <c r="D7" s="78" t="s">
        <v>59</v>
      </c>
      <c r="E7" s="60" t="s">
        <v>54</v>
      </c>
      <c r="F7" s="38" t="s">
        <v>666</v>
      </c>
      <c r="G7" s="38">
        <v>204</v>
      </c>
      <c r="H7" s="60" t="s">
        <v>667</v>
      </c>
      <c r="I7" s="38">
        <v>204</v>
      </c>
      <c r="J7" s="38" t="s">
        <v>84</v>
      </c>
      <c r="K7" s="38"/>
      <c r="L7" s="44" t="s">
        <v>673</v>
      </c>
      <c r="M7" s="15"/>
      <c r="N7" s="63"/>
      <c r="O7" s="20" t="s">
        <v>663</v>
      </c>
      <c r="P7" s="21">
        <v>3</v>
      </c>
      <c r="Q7" s="22" t="s">
        <v>21</v>
      </c>
    </row>
    <row r="8" spans="1:17" ht="22.5" customHeight="1" x14ac:dyDescent="0.25">
      <c r="A8" s="288"/>
      <c r="B8" s="43" t="s">
        <v>668</v>
      </c>
      <c r="C8" s="58">
        <v>43265</v>
      </c>
      <c r="D8" s="78" t="s">
        <v>55</v>
      </c>
      <c r="E8" s="60" t="s">
        <v>54</v>
      </c>
      <c r="F8" s="38" t="s">
        <v>666</v>
      </c>
      <c r="G8" s="38">
        <v>252</v>
      </c>
      <c r="H8" s="60" t="s">
        <v>667</v>
      </c>
      <c r="I8" s="38">
        <v>252</v>
      </c>
      <c r="J8" s="38" t="s">
        <v>84</v>
      </c>
      <c r="K8" s="38"/>
      <c r="L8" s="44" t="s">
        <v>673</v>
      </c>
      <c r="M8" s="15"/>
      <c r="N8" s="63"/>
      <c r="O8" s="20"/>
      <c r="P8" s="21"/>
      <c r="Q8" s="22"/>
    </row>
    <row r="9" spans="1:17" ht="22.5" customHeight="1" x14ac:dyDescent="0.25">
      <c r="A9" s="288"/>
      <c r="B9" s="43" t="s">
        <v>669</v>
      </c>
      <c r="C9" s="58">
        <v>43267</v>
      </c>
      <c r="D9" s="78" t="s">
        <v>59</v>
      </c>
      <c r="E9" s="60" t="s">
        <v>54</v>
      </c>
      <c r="F9" s="38" t="s">
        <v>670</v>
      </c>
      <c r="G9" s="38">
        <v>480</v>
      </c>
      <c r="H9" s="60" t="s">
        <v>667</v>
      </c>
      <c r="I9" s="38">
        <v>480</v>
      </c>
      <c r="J9" s="38" t="s">
        <v>77</v>
      </c>
      <c r="K9" s="38"/>
      <c r="L9" s="44" t="s">
        <v>673</v>
      </c>
      <c r="M9" s="15"/>
      <c r="N9" s="63"/>
      <c r="O9" s="20" t="s">
        <v>664</v>
      </c>
      <c r="P9" s="21">
        <v>4</v>
      </c>
      <c r="Q9" s="22" t="s">
        <v>21</v>
      </c>
    </row>
    <row r="10" spans="1:17" ht="22.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17"/>
      <c r="H10" s="217"/>
      <c r="I10" s="217">
        <f>SUM(I4:I9)</f>
        <v>1608</v>
      </c>
      <c r="J10" s="217"/>
      <c r="K10" s="217"/>
      <c r="L10" s="220"/>
      <c r="M10" s="217"/>
      <c r="N10" s="217"/>
      <c r="O10" s="217"/>
      <c r="P10" s="218"/>
      <c r="Q10" s="218"/>
    </row>
    <row r="11" spans="1:17" ht="22.5" customHeight="1" x14ac:dyDescent="0.25">
      <c r="A11" s="287" t="s">
        <v>39</v>
      </c>
      <c r="B11" s="42" t="s">
        <v>136</v>
      </c>
      <c r="C11" s="62">
        <v>43264</v>
      </c>
      <c r="D11" s="77" t="s">
        <v>59</v>
      </c>
      <c r="E11" s="41" t="s">
        <v>54</v>
      </c>
      <c r="F11" s="40" t="s">
        <v>137</v>
      </c>
      <c r="G11" s="40">
        <v>16104</v>
      </c>
      <c r="H11" s="41" t="s">
        <v>89</v>
      </c>
      <c r="I11" s="40">
        <v>432</v>
      </c>
      <c r="J11" s="40" t="s">
        <v>674</v>
      </c>
      <c r="K11" s="40"/>
      <c r="L11" s="54" t="s">
        <v>63</v>
      </c>
      <c r="M11" s="16"/>
      <c r="N11" s="16"/>
      <c r="O11" s="17" t="s">
        <v>661</v>
      </c>
      <c r="P11" s="18">
        <v>1</v>
      </c>
      <c r="Q11" s="19" t="s">
        <v>19</v>
      </c>
    </row>
    <row r="12" spans="1:17" ht="22.5" customHeight="1" x14ac:dyDescent="0.25">
      <c r="A12" s="288"/>
      <c r="B12" s="111" t="s">
        <v>138</v>
      </c>
      <c r="C12" s="58"/>
      <c r="D12" s="78"/>
      <c r="E12" s="48"/>
      <c r="F12" s="164"/>
      <c r="G12" s="164"/>
      <c r="H12" s="48"/>
      <c r="I12" s="164">
        <v>432</v>
      </c>
      <c r="J12" s="164" t="s">
        <v>675</v>
      </c>
      <c r="K12" s="164"/>
      <c r="L12" s="57"/>
      <c r="M12" s="49"/>
      <c r="N12" s="63"/>
      <c r="O12" s="20" t="s">
        <v>662</v>
      </c>
      <c r="P12" s="21">
        <v>2</v>
      </c>
      <c r="Q12" s="22" t="s">
        <v>20</v>
      </c>
    </row>
    <row r="13" spans="1:17" ht="22.5" customHeight="1" x14ac:dyDescent="0.25">
      <c r="A13" s="288"/>
      <c r="B13" s="111"/>
      <c r="C13" s="58"/>
      <c r="D13" s="78"/>
      <c r="E13" s="48"/>
      <c r="F13" s="164"/>
      <c r="G13" s="164"/>
      <c r="H13" s="48"/>
      <c r="I13" s="164">
        <v>432</v>
      </c>
      <c r="J13" s="164" t="s">
        <v>676</v>
      </c>
      <c r="K13" s="164"/>
      <c r="L13" s="57"/>
      <c r="M13" s="49"/>
      <c r="N13" s="63"/>
      <c r="O13" s="20" t="s">
        <v>663</v>
      </c>
      <c r="P13" s="21">
        <v>3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>
        <v>216</v>
      </c>
      <c r="J14" s="164" t="s">
        <v>762</v>
      </c>
      <c r="K14" s="164"/>
      <c r="L14" s="57"/>
      <c r="M14" s="49"/>
      <c r="N14" s="63"/>
      <c r="O14" s="20" t="s">
        <v>664</v>
      </c>
      <c r="P14" s="21">
        <v>4</v>
      </c>
      <c r="Q14" s="22" t="s">
        <v>21</v>
      </c>
    </row>
    <row r="15" spans="1:17" ht="22.5" customHeight="1" x14ac:dyDescent="0.25">
      <c r="A15" s="288"/>
      <c r="B15" s="45"/>
      <c r="C15" s="58"/>
      <c r="D15" s="78"/>
      <c r="E15" s="129"/>
      <c r="F15" s="164"/>
      <c r="G15" s="164"/>
      <c r="H15" s="48"/>
      <c r="I15" s="164"/>
      <c r="J15" s="164"/>
      <c r="K15" s="164"/>
      <c r="L15" s="57"/>
      <c r="M15" s="49"/>
      <c r="N15" s="15"/>
      <c r="O15" s="20"/>
      <c r="P15" s="21"/>
      <c r="Q15" s="22"/>
    </row>
    <row r="16" spans="1:17" ht="22.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17"/>
      <c r="H16" s="217"/>
      <c r="I16" s="217">
        <f>SUM(I11:I15)</f>
        <v>1512</v>
      </c>
      <c r="J16" s="217"/>
      <c r="K16" s="217"/>
      <c r="L16" s="220"/>
      <c r="M16" s="217"/>
      <c r="N16" s="217"/>
      <c r="O16" s="217"/>
      <c r="P16" s="218"/>
      <c r="Q16" s="218"/>
    </row>
    <row r="17" spans="1:17" ht="22.5" customHeight="1" x14ac:dyDescent="0.25">
      <c r="A17" s="287" t="s">
        <v>37</v>
      </c>
      <c r="B17" s="42" t="s">
        <v>270</v>
      </c>
      <c r="C17" s="116">
        <v>43269</v>
      </c>
      <c r="D17" s="52" t="s">
        <v>59</v>
      </c>
      <c r="E17" s="41" t="s">
        <v>54</v>
      </c>
      <c r="F17" s="40" t="s">
        <v>116</v>
      </c>
      <c r="G17" s="155">
        <v>7008</v>
      </c>
      <c r="H17" s="81" t="s">
        <v>117</v>
      </c>
      <c r="I17" s="155">
        <v>432</v>
      </c>
      <c r="J17" s="155" t="s">
        <v>656</v>
      </c>
      <c r="K17" s="155"/>
      <c r="L17" s="53" t="s">
        <v>67</v>
      </c>
      <c r="M17" s="16"/>
      <c r="N17" s="16"/>
      <c r="O17" s="17" t="s">
        <v>661</v>
      </c>
      <c r="P17" s="18">
        <v>1</v>
      </c>
      <c r="Q17" s="19" t="s">
        <v>19</v>
      </c>
    </row>
    <row r="18" spans="1:17" ht="22.5" customHeight="1" x14ac:dyDescent="0.25">
      <c r="A18" s="288"/>
      <c r="B18" s="45" t="s">
        <v>271</v>
      </c>
      <c r="C18" s="46"/>
      <c r="D18" s="47"/>
      <c r="E18" s="60"/>
      <c r="F18" s="38"/>
      <c r="G18" s="164"/>
      <c r="H18" s="48"/>
      <c r="I18" s="164">
        <v>432</v>
      </c>
      <c r="J18" s="164" t="s">
        <v>677</v>
      </c>
      <c r="K18" s="164"/>
      <c r="L18" s="57"/>
      <c r="M18" s="63"/>
      <c r="N18" s="63"/>
      <c r="O18" s="20" t="s">
        <v>662</v>
      </c>
      <c r="P18" s="21">
        <v>2</v>
      </c>
      <c r="Q18" s="22" t="s">
        <v>20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f>7008-216*31</f>
        <v>312</v>
      </c>
      <c r="J19" s="164" t="s">
        <v>678</v>
      </c>
      <c r="K19" s="164"/>
      <c r="L19" s="57"/>
      <c r="M19" s="15"/>
      <c r="N19" s="15"/>
      <c r="O19" s="20" t="s">
        <v>663</v>
      </c>
      <c r="P19" s="21">
        <v>3</v>
      </c>
      <c r="Q19" s="22" t="s">
        <v>21</v>
      </c>
    </row>
    <row r="20" spans="1:17" ht="22.5" customHeight="1" x14ac:dyDescent="0.25">
      <c r="A20" s="288"/>
      <c r="B20" s="45" t="s">
        <v>679</v>
      </c>
      <c r="C20" s="46">
        <v>43269</v>
      </c>
      <c r="D20" s="47" t="s">
        <v>59</v>
      </c>
      <c r="E20" s="60" t="s">
        <v>54</v>
      </c>
      <c r="F20" s="38" t="s">
        <v>116</v>
      </c>
      <c r="G20" s="164">
        <v>408</v>
      </c>
      <c r="H20" s="48" t="s">
        <v>117</v>
      </c>
      <c r="I20" s="164">
        <v>408</v>
      </c>
      <c r="J20" s="164" t="s">
        <v>77</v>
      </c>
      <c r="K20" s="164"/>
      <c r="L20" s="57" t="s">
        <v>680</v>
      </c>
      <c r="M20" s="15"/>
      <c r="N20" s="15"/>
      <c r="O20" s="20"/>
      <c r="P20" s="21"/>
      <c r="Q20" s="22"/>
    </row>
    <row r="21" spans="1:17" ht="22.5" customHeight="1" x14ac:dyDescent="0.25">
      <c r="A21" s="288"/>
      <c r="B21" s="45" t="s">
        <v>763</v>
      </c>
      <c r="C21" s="46">
        <v>43269</v>
      </c>
      <c r="D21" s="47" t="s">
        <v>59</v>
      </c>
      <c r="E21" s="60" t="s">
        <v>54</v>
      </c>
      <c r="F21" s="38" t="s">
        <v>116</v>
      </c>
      <c r="G21" s="164">
        <v>660</v>
      </c>
      <c r="H21" s="48" t="s">
        <v>117</v>
      </c>
      <c r="I21" s="164">
        <v>216</v>
      </c>
      <c r="J21" s="164" t="s">
        <v>764</v>
      </c>
      <c r="K21" s="164"/>
      <c r="L21" s="57" t="s">
        <v>765</v>
      </c>
      <c r="M21" s="15"/>
      <c r="N21" s="15"/>
      <c r="O21" s="20" t="s">
        <v>664</v>
      </c>
      <c r="P21" s="21">
        <v>4</v>
      </c>
      <c r="Q21" s="22" t="s">
        <v>21</v>
      </c>
    </row>
    <row r="22" spans="1:17" ht="22.5" customHeight="1" x14ac:dyDescent="0.25">
      <c r="A22" s="288"/>
      <c r="B22" s="45" t="s">
        <v>383</v>
      </c>
      <c r="C22" s="46"/>
      <c r="D22" s="47"/>
      <c r="E22" s="60"/>
      <c r="F22" s="38"/>
      <c r="G22" s="164"/>
      <c r="H22" s="48"/>
      <c r="I22" s="164"/>
      <c r="J22" s="164"/>
      <c r="K22" s="164"/>
      <c r="L22" s="57"/>
      <c r="M22" s="49"/>
      <c r="N22" s="49"/>
      <c r="O22" s="100"/>
      <c r="P22" s="50"/>
      <c r="Q22" s="22"/>
    </row>
    <row r="23" spans="1:17" ht="22.5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217"/>
      <c r="H23" s="217"/>
      <c r="I23" s="217">
        <f>SUM(I17:I21)</f>
        <v>1800</v>
      </c>
      <c r="J23" s="217"/>
      <c r="K23" s="217"/>
      <c r="L23" s="220"/>
      <c r="M23" s="217"/>
      <c r="N23" s="217"/>
      <c r="O23" s="217"/>
      <c r="P23" s="218"/>
      <c r="Q23" s="218"/>
    </row>
    <row r="24" spans="1:17" ht="22.5" customHeight="1" x14ac:dyDescent="0.25">
      <c r="A24" s="287" t="s">
        <v>38</v>
      </c>
      <c r="B24" s="42" t="s">
        <v>581</v>
      </c>
      <c r="C24" s="62">
        <v>43265</v>
      </c>
      <c r="D24" s="77" t="s">
        <v>59</v>
      </c>
      <c r="E24" s="41" t="s">
        <v>54</v>
      </c>
      <c r="F24" s="40" t="s">
        <v>582</v>
      </c>
      <c r="G24" s="40">
        <v>2640</v>
      </c>
      <c r="H24" s="41" t="s">
        <v>492</v>
      </c>
      <c r="I24" s="40">
        <v>432</v>
      </c>
      <c r="J24" s="40" t="s">
        <v>82</v>
      </c>
      <c r="K24" s="40"/>
      <c r="L24" s="54" t="s">
        <v>80</v>
      </c>
      <c r="M24" s="16"/>
      <c r="N24" s="16"/>
      <c r="O24" s="17" t="s">
        <v>661</v>
      </c>
      <c r="P24" s="18">
        <v>1</v>
      </c>
      <c r="Q24" s="19" t="s">
        <v>19</v>
      </c>
    </row>
    <row r="25" spans="1:17" ht="22.5" customHeight="1" x14ac:dyDescent="0.25">
      <c r="A25" s="288"/>
      <c r="B25" s="111" t="s">
        <v>498</v>
      </c>
      <c r="C25" s="58"/>
      <c r="D25" s="78"/>
      <c r="E25" s="48"/>
      <c r="F25" s="164"/>
      <c r="G25" s="164"/>
      <c r="H25" s="48"/>
      <c r="I25" s="164">
        <v>432</v>
      </c>
      <c r="J25" s="164" t="s">
        <v>682</v>
      </c>
      <c r="K25" s="164"/>
      <c r="L25" s="57"/>
      <c r="M25" s="15"/>
      <c r="N25" s="15"/>
      <c r="O25" s="20" t="s">
        <v>662</v>
      </c>
      <c r="P25" s="21">
        <v>2</v>
      </c>
      <c r="Q25" s="22" t="s">
        <v>20</v>
      </c>
    </row>
    <row r="26" spans="1:17" ht="22.5" customHeight="1" x14ac:dyDescent="0.25">
      <c r="A26" s="288"/>
      <c r="B26" s="111"/>
      <c r="C26" s="58"/>
      <c r="D26" s="78"/>
      <c r="E26" s="48"/>
      <c r="F26" s="164"/>
      <c r="G26" s="164"/>
      <c r="H26" s="48"/>
      <c r="I26" s="164">
        <v>432</v>
      </c>
      <c r="J26" s="164" t="s">
        <v>683</v>
      </c>
      <c r="K26" s="164"/>
      <c r="L26" s="57"/>
      <c r="M26" s="49"/>
      <c r="N26" s="15"/>
      <c r="O26" s="20" t="s">
        <v>663</v>
      </c>
      <c r="P26" s="21">
        <v>3</v>
      </c>
      <c r="Q26" s="22" t="s">
        <v>21</v>
      </c>
    </row>
    <row r="27" spans="1:17" ht="22.5" customHeight="1" x14ac:dyDescent="0.25">
      <c r="A27" s="288"/>
      <c r="B27" s="111"/>
      <c r="C27" s="58"/>
      <c r="D27" s="78"/>
      <c r="E27" s="48"/>
      <c r="F27" s="164"/>
      <c r="G27" s="164"/>
      <c r="H27" s="48"/>
      <c r="I27" s="84">
        <v>432</v>
      </c>
      <c r="J27" s="164" t="s">
        <v>766</v>
      </c>
      <c r="K27" s="164"/>
      <c r="L27" s="57"/>
      <c r="M27" s="15"/>
      <c r="N27" s="15"/>
      <c r="O27" s="20" t="s">
        <v>664</v>
      </c>
      <c r="P27" s="21">
        <v>4</v>
      </c>
      <c r="Q27" s="22" t="s">
        <v>21</v>
      </c>
    </row>
    <row r="28" spans="1:17" ht="22.5" customHeight="1" x14ac:dyDescent="0.25">
      <c r="A28" s="288"/>
      <c r="B28" s="111"/>
      <c r="C28" s="58"/>
      <c r="D28" s="78"/>
      <c r="E28" s="48"/>
      <c r="F28" s="164"/>
      <c r="G28" s="164"/>
      <c r="H28" s="48"/>
      <c r="I28" s="164"/>
      <c r="J28" s="164"/>
      <c r="K28" s="164"/>
      <c r="L28" s="57"/>
      <c r="M28" s="15"/>
      <c r="N28" s="15"/>
      <c r="O28" s="20"/>
      <c r="P28" s="21"/>
      <c r="Q28" s="22"/>
    </row>
    <row r="29" spans="1:17" ht="22.5" customHeight="1" thickBot="1" x14ac:dyDescent="0.3">
      <c r="A29" s="289"/>
      <c r="B29" s="93" t="s">
        <v>64</v>
      </c>
      <c r="C29" s="301" t="s">
        <v>98</v>
      </c>
      <c r="D29" s="302"/>
      <c r="E29" s="302"/>
      <c r="F29" s="303"/>
      <c r="G29" s="217"/>
      <c r="H29" s="217"/>
      <c r="I29" s="217">
        <f>SUM(I24:I28)</f>
        <v>1728</v>
      </c>
      <c r="J29" s="217"/>
      <c r="K29" s="217"/>
      <c r="L29" s="220"/>
      <c r="M29" s="217"/>
      <c r="N29" s="217"/>
      <c r="O29" s="217"/>
      <c r="P29" s="218"/>
      <c r="Q29" s="218"/>
    </row>
    <row r="30" spans="1:17" ht="29.25" customHeight="1" thickBot="1" x14ac:dyDescent="0.3">
      <c r="A30" s="37"/>
      <c r="B30" s="64"/>
      <c r="C30" s="65"/>
      <c r="D30" s="66"/>
      <c r="E30" s="67"/>
      <c r="F30" s="68"/>
      <c r="G30" s="67"/>
      <c r="H30" s="67"/>
      <c r="I30" s="69">
        <f>SUM(I29,I23,I16,I10)</f>
        <v>6648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219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8">
    <mergeCell ref="A4:A10"/>
    <mergeCell ref="C10:F10"/>
    <mergeCell ref="A1:Q1"/>
    <mergeCell ref="A2:B2"/>
    <mergeCell ref="C2:E2"/>
    <mergeCell ref="F2:G2"/>
    <mergeCell ref="O2:Q2"/>
    <mergeCell ref="A11:A16"/>
    <mergeCell ref="C16:F16"/>
    <mergeCell ref="A17:A23"/>
    <mergeCell ref="C23:F23"/>
    <mergeCell ref="A24:A29"/>
    <mergeCell ref="C29:F29"/>
    <mergeCell ref="F32:Q32"/>
    <mergeCell ref="B33:Q33"/>
    <mergeCell ref="F34:O34"/>
    <mergeCell ref="P34:Q34"/>
    <mergeCell ref="B35:O35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6" zoomScaleNormal="100" workbookViewId="0">
      <selection activeCell="G14" sqref="G14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43257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43258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4" customHeight="1" x14ac:dyDescent="0.25">
      <c r="A4" s="287" t="s">
        <v>40</v>
      </c>
      <c r="B4" s="42" t="s">
        <v>497</v>
      </c>
      <c r="C4" s="62">
        <v>43283</v>
      </c>
      <c r="D4" s="77" t="s">
        <v>93</v>
      </c>
      <c r="E4" s="41" t="s">
        <v>34</v>
      </c>
      <c r="F4" s="40" t="s">
        <v>382</v>
      </c>
      <c r="G4" s="40">
        <v>2556</v>
      </c>
      <c r="H4" s="41" t="s">
        <v>277</v>
      </c>
      <c r="I4" s="40">
        <f>216+180</f>
        <v>396</v>
      </c>
      <c r="J4" s="41" t="s">
        <v>684</v>
      </c>
      <c r="K4" s="40"/>
      <c r="L4" s="90" t="s">
        <v>61</v>
      </c>
      <c r="M4" s="16"/>
      <c r="N4" s="16"/>
      <c r="O4" s="17" t="s">
        <v>661</v>
      </c>
      <c r="P4" s="18">
        <v>1</v>
      </c>
      <c r="Q4" s="19" t="s">
        <v>19</v>
      </c>
    </row>
    <row r="5" spans="1:17" ht="24" customHeight="1" x14ac:dyDescent="0.25">
      <c r="A5" s="288"/>
      <c r="B5" s="45" t="s">
        <v>685</v>
      </c>
      <c r="C5" s="58">
        <v>43274</v>
      </c>
      <c r="D5" s="78" t="s">
        <v>93</v>
      </c>
      <c r="E5" s="48" t="s">
        <v>34</v>
      </c>
      <c r="F5" s="39" t="s">
        <v>76</v>
      </c>
      <c r="G5" s="164">
        <v>1920</v>
      </c>
      <c r="H5" s="48" t="s">
        <v>51</v>
      </c>
      <c r="I5" s="164">
        <v>432</v>
      </c>
      <c r="J5" s="48" t="s">
        <v>77</v>
      </c>
      <c r="K5" s="164"/>
      <c r="L5" s="51" t="s">
        <v>686</v>
      </c>
      <c r="M5" s="49"/>
      <c r="N5" s="15"/>
      <c r="O5" s="20" t="s">
        <v>662</v>
      </c>
      <c r="P5" s="21">
        <v>2</v>
      </c>
      <c r="Q5" s="22" t="s">
        <v>20</v>
      </c>
    </row>
    <row r="6" spans="1:17" ht="24" customHeight="1" x14ac:dyDescent="0.25">
      <c r="A6" s="288"/>
      <c r="B6" s="43" t="s">
        <v>106</v>
      </c>
      <c r="C6" s="58"/>
      <c r="D6" s="78"/>
      <c r="E6" s="60"/>
      <c r="F6" s="38"/>
      <c r="G6" s="38"/>
      <c r="H6" s="60"/>
      <c r="I6" s="38">
        <v>432</v>
      </c>
      <c r="J6" s="60" t="s">
        <v>82</v>
      </c>
      <c r="K6" s="38"/>
      <c r="L6" s="91"/>
      <c r="M6" s="49"/>
      <c r="N6" s="15"/>
      <c r="O6" s="20" t="s">
        <v>663</v>
      </c>
      <c r="P6" s="21">
        <v>3</v>
      </c>
      <c r="Q6" s="22" t="s">
        <v>21</v>
      </c>
    </row>
    <row r="7" spans="1:17" ht="24" customHeight="1" x14ac:dyDescent="0.25">
      <c r="A7" s="288"/>
      <c r="B7" s="43"/>
      <c r="C7" s="58"/>
      <c r="D7" s="78"/>
      <c r="E7" s="60"/>
      <c r="F7" s="38"/>
      <c r="G7" s="38"/>
      <c r="H7" s="60"/>
      <c r="I7" s="38">
        <v>432</v>
      </c>
      <c r="J7" s="60" t="s">
        <v>687</v>
      </c>
      <c r="K7" s="38"/>
      <c r="L7" s="91"/>
      <c r="M7" s="49"/>
      <c r="N7" s="15"/>
      <c r="O7" s="20" t="s">
        <v>664</v>
      </c>
      <c r="P7" s="21">
        <v>4</v>
      </c>
      <c r="Q7" s="22" t="s">
        <v>21</v>
      </c>
    </row>
    <row r="8" spans="1:17" ht="24" customHeight="1" x14ac:dyDescent="0.25">
      <c r="A8" s="288"/>
      <c r="B8" s="45"/>
      <c r="C8" s="58"/>
      <c r="D8" s="78"/>
      <c r="E8" s="48"/>
      <c r="F8" s="39"/>
      <c r="G8" s="164"/>
      <c r="H8" s="48"/>
      <c r="I8" s="164"/>
      <c r="J8" s="48"/>
      <c r="K8" s="164"/>
      <c r="L8" s="51"/>
      <c r="M8" s="49"/>
      <c r="N8" s="15"/>
      <c r="O8" s="20"/>
      <c r="P8" s="21"/>
      <c r="Q8" s="22"/>
    </row>
    <row r="9" spans="1:17" ht="24" customHeight="1" thickBot="1" x14ac:dyDescent="0.3">
      <c r="A9" s="289"/>
      <c r="B9" s="93"/>
      <c r="C9" s="217"/>
      <c r="D9" s="217"/>
      <c r="E9" s="217"/>
      <c r="F9" s="217"/>
      <c r="G9" s="217"/>
      <c r="H9" s="217"/>
      <c r="I9" s="217">
        <f>SUM(I4:I8)</f>
        <v>1692</v>
      </c>
      <c r="J9" s="217"/>
      <c r="K9" s="217"/>
      <c r="L9" s="220"/>
      <c r="M9" s="217"/>
      <c r="N9" s="217"/>
      <c r="O9" s="114"/>
      <c r="P9" s="218"/>
      <c r="Q9" s="152"/>
    </row>
    <row r="10" spans="1:17" ht="24" customHeight="1" x14ac:dyDescent="0.25">
      <c r="A10" s="287" t="s">
        <v>41</v>
      </c>
      <c r="B10" s="42" t="s">
        <v>688</v>
      </c>
      <c r="C10" s="62">
        <v>43283</v>
      </c>
      <c r="D10" s="90" t="s">
        <v>689</v>
      </c>
      <c r="E10" s="174" t="s">
        <v>690</v>
      </c>
      <c r="F10" s="40" t="s">
        <v>691</v>
      </c>
      <c r="G10" s="175">
        <v>384</v>
      </c>
      <c r="H10" s="41" t="s">
        <v>692</v>
      </c>
      <c r="I10" s="155">
        <v>384</v>
      </c>
      <c r="J10" s="155" t="s">
        <v>77</v>
      </c>
      <c r="K10" s="155"/>
      <c r="L10" s="90" t="s">
        <v>67</v>
      </c>
      <c r="M10" s="16"/>
      <c r="N10" s="16"/>
      <c r="O10" s="17" t="s">
        <v>661</v>
      </c>
      <c r="P10" s="18">
        <v>1</v>
      </c>
      <c r="Q10" s="19" t="s">
        <v>19</v>
      </c>
    </row>
    <row r="11" spans="1:17" ht="24" customHeight="1" x14ac:dyDescent="0.25">
      <c r="A11" s="288"/>
      <c r="B11" s="45" t="s">
        <v>693</v>
      </c>
      <c r="C11" s="58">
        <v>43281</v>
      </c>
      <c r="D11" s="91" t="s">
        <v>689</v>
      </c>
      <c r="E11" s="137" t="s">
        <v>690</v>
      </c>
      <c r="F11" s="38" t="s">
        <v>694</v>
      </c>
      <c r="G11" s="89">
        <v>228</v>
      </c>
      <c r="H11" s="48" t="s">
        <v>692</v>
      </c>
      <c r="I11" s="164">
        <v>228</v>
      </c>
      <c r="J11" s="164" t="s">
        <v>84</v>
      </c>
      <c r="K11" s="164"/>
      <c r="L11" s="51" t="s">
        <v>681</v>
      </c>
      <c r="M11" s="63"/>
      <c r="N11" s="63"/>
      <c r="O11" s="20" t="s">
        <v>662</v>
      </c>
      <c r="P11" s="21">
        <v>2</v>
      </c>
      <c r="Q11" s="22" t="s">
        <v>20</v>
      </c>
    </row>
    <row r="12" spans="1:17" ht="24" customHeight="1" x14ac:dyDescent="0.25">
      <c r="A12" s="288"/>
      <c r="B12" s="45" t="s">
        <v>695</v>
      </c>
      <c r="C12" s="58">
        <v>43282</v>
      </c>
      <c r="D12" s="91" t="s">
        <v>696</v>
      </c>
      <c r="E12" s="137" t="s">
        <v>690</v>
      </c>
      <c r="F12" s="38" t="s">
        <v>694</v>
      </c>
      <c r="G12" s="89">
        <v>1008</v>
      </c>
      <c r="H12" s="48" t="s">
        <v>692</v>
      </c>
      <c r="I12" s="164">
        <v>432</v>
      </c>
      <c r="J12" s="164" t="s">
        <v>77</v>
      </c>
      <c r="K12" s="164"/>
      <c r="L12" s="51" t="s">
        <v>67</v>
      </c>
      <c r="M12" s="49"/>
      <c r="N12" s="49"/>
      <c r="O12" s="20" t="s">
        <v>663</v>
      </c>
      <c r="P12" s="21">
        <v>3</v>
      </c>
      <c r="Q12" s="22" t="s">
        <v>21</v>
      </c>
    </row>
    <row r="13" spans="1:17" ht="24" customHeight="1" x14ac:dyDescent="0.25">
      <c r="A13" s="288"/>
      <c r="B13" s="45" t="s">
        <v>697</v>
      </c>
      <c r="C13" s="58"/>
      <c r="D13" s="91"/>
      <c r="E13" s="137"/>
      <c r="F13" s="38"/>
      <c r="G13" s="89"/>
      <c r="H13" s="48"/>
      <c r="I13" s="164">
        <v>432</v>
      </c>
      <c r="J13" s="164" t="s">
        <v>82</v>
      </c>
      <c r="K13" s="164"/>
      <c r="L13" s="51"/>
      <c r="M13" s="49"/>
      <c r="N13" s="49"/>
      <c r="O13" s="20" t="s">
        <v>664</v>
      </c>
      <c r="P13" s="21">
        <v>4</v>
      </c>
      <c r="Q13" s="22" t="s">
        <v>21</v>
      </c>
    </row>
    <row r="14" spans="1:17" ht="24" customHeight="1" x14ac:dyDescent="0.25">
      <c r="A14" s="288"/>
      <c r="B14" s="43"/>
      <c r="C14" s="58"/>
      <c r="D14" s="141"/>
      <c r="E14" s="79"/>
      <c r="F14" s="38"/>
      <c r="G14" s="38"/>
      <c r="H14" s="60"/>
      <c r="I14" s="164"/>
      <c r="J14" s="48"/>
      <c r="K14" s="164"/>
      <c r="L14" s="88"/>
      <c r="M14" s="49"/>
      <c r="N14" s="49"/>
      <c r="O14" s="20"/>
      <c r="P14" s="21"/>
      <c r="Q14" s="22"/>
    </row>
    <row r="15" spans="1:17" ht="24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217"/>
      <c r="H15" s="217"/>
      <c r="I15" s="217">
        <f>SUM(I10:I14)</f>
        <v>1476</v>
      </c>
      <c r="J15" s="217"/>
      <c r="K15" s="217"/>
      <c r="L15" s="220"/>
      <c r="M15" s="217"/>
      <c r="N15" s="217"/>
      <c r="O15" s="114"/>
      <c r="P15" s="218"/>
      <c r="Q15" s="152"/>
    </row>
    <row r="16" spans="1:17" ht="24" customHeight="1" x14ac:dyDescent="0.25">
      <c r="A16" s="287" t="s">
        <v>42</v>
      </c>
      <c r="B16" s="42" t="s">
        <v>597</v>
      </c>
      <c r="C16" s="140">
        <v>43276</v>
      </c>
      <c r="D16" s="90" t="s">
        <v>93</v>
      </c>
      <c r="E16" s="41" t="s">
        <v>393</v>
      </c>
      <c r="F16" s="40" t="s">
        <v>508</v>
      </c>
      <c r="G16" s="40">
        <v>1200</v>
      </c>
      <c r="H16" s="41" t="s">
        <v>395</v>
      </c>
      <c r="I16" s="40">
        <v>360</v>
      </c>
      <c r="J16" s="41" t="s">
        <v>698</v>
      </c>
      <c r="K16" s="40"/>
      <c r="L16" s="54" t="s">
        <v>61</v>
      </c>
      <c r="M16" s="16"/>
      <c r="N16" s="16"/>
      <c r="O16" s="17" t="s">
        <v>661</v>
      </c>
      <c r="P16" s="18">
        <v>1</v>
      </c>
      <c r="Q16" s="19" t="s">
        <v>19</v>
      </c>
    </row>
    <row r="17" spans="1:17" ht="24" customHeight="1" x14ac:dyDescent="0.25">
      <c r="A17" s="288"/>
      <c r="B17" s="45" t="s">
        <v>105</v>
      </c>
      <c r="C17" s="305" t="s">
        <v>384</v>
      </c>
      <c r="D17" s="306"/>
      <c r="E17" s="137"/>
      <c r="F17" s="38"/>
      <c r="G17" s="89"/>
      <c r="H17" s="48"/>
      <c r="I17" s="164">
        <v>360</v>
      </c>
      <c r="J17" s="164" t="s">
        <v>699</v>
      </c>
      <c r="K17" s="164"/>
      <c r="L17" s="51"/>
      <c r="M17" s="15"/>
      <c r="N17" s="15"/>
      <c r="O17" s="20" t="s">
        <v>662</v>
      </c>
      <c r="P17" s="21">
        <v>2</v>
      </c>
      <c r="Q17" s="22" t="s">
        <v>20</v>
      </c>
    </row>
    <row r="18" spans="1:17" ht="24" customHeight="1" x14ac:dyDescent="0.25">
      <c r="A18" s="288"/>
      <c r="B18" s="45"/>
      <c r="C18" s="58"/>
      <c r="D18" s="91"/>
      <c r="E18" s="137"/>
      <c r="F18" s="38"/>
      <c r="G18" s="89"/>
      <c r="H18" s="48"/>
      <c r="I18" s="164">
        <f>1200-180*5</f>
        <v>300</v>
      </c>
      <c r="J18" s="164" t="s">
        <v>700</v>
      </c>
      <c r="K18" s="164"/>
      <c r="L18" s="51"/>
      <c r="M18" s="15"/>
      <c r="N18" s="15"/>
      <c r="O18" s="20" t="s">
        <v>663</v>
      </c>
      <c r="P18" s="21">
        <v>3</v>
      </c>
      <c r="Q18" s="22" t="s">
        <v>21</v>
      </c>
    </row>
    <row r="19" spans="1:17" ht="24" customHeight="1" x14ac:dyDescent="0.25">
      <c r="A19" s="288"/>
      <c r="B19" s="45" t="s">
        <v>701</v>
      </c>
      <c r="C19" s="58">
        <v>43281</v>
      </c>
      <c r="D19" s="91" t="s">
        <v>59</v>
      </c>
      <c r="E19" s="58" t="s">
        <v>393</v>
      </c>
      <c r="F19" s="39" t="s">
        <v>508</v>
      </c>
      <c r="G19" s="89">
        <v>1260</v>
      </c>
      <c r="H19" s="79" t="s">
        <v>395</v>
      </c>
      <c r="I19" s="164">
        <v>216</v>
      </c>
      <c r="J19" s="164" t="s">
        <v>173</v>
      </c>
      <c r="K19" s="164"/>
      <c r="L19" s="44" t="s">
        <v>61</v>
      </c>
      <c r="M19" s="49"/>
      <c r="N19" s="49"/>
      <c r="O19" s="20" t="s">
        <v>664</v>
      </c>
      <c r="P19" s="21">
        <v>4</v>
      </c>
      <c r="Q19" s="22" t="s">
        <v>21</v>
      </c>
    </row>
    <row r="20" spans="1:17" ht="24" customHeight="1" x14ac:dyDescent="0.25">
      <c r="A20" s="288"/>
      <c r="B20" s="43" t="s">
        <v>105</v>
      </c>
      <c r="C20" s="58"/>
      <c r="D20" s="91"/>
      <c r="E20" s="58"/>
      <c r="F20" s="38"/>
      <c r="G20" s="105"/>
      <c r="H20" s="60"/>
      <c r="I20" s="38"/>
      <c r="J20" s="38"/>
      <c r="K20" s="38"/>
      <c r="L20" s="91"/>
      <c r="M20" s="49"/>
      <c r="N20" s="49"/>
      <c r="O20" s="20"/>
      <c r="P20" s="21"/>
      <c r="Q20" s="22"/>
    </row>
    <row r="21" spans="1:17" ht="24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17"/>
      <c r="H21" s="217"/>
      <c r="I21" s="217">
        <f>SUM(I16:I20)</f>
        <v>1236</v>
      </c>
      <c r="J21" s="217"/>
      <c r="K21" s="217"/>
      <c r="L21" s="220"/>
      <c r="M21" s="217"/>
      <c r="N21" s="217"/>
      <c r="O21" s="114"/>
      <c r="P21" s="218"/>
      <c r="Q21" s="152"/>
    </row>
    <row r="22" spans="1:17" ht="24" customHeight="1" x14ac:dyDescent="0.25">
      <c r="A22" s="287" t="s">
        <v>43</v>
      </c>
      <c r="B22" s="42" t="s">
        <v>291</v>
      </c>
      <c r="C22" s="140">
        <v>43283</v>
      </c>
      <c r="D22" s="90" t="s">
        <v>93</v>
      </c>
      <c r="E22" s="41" t="s">
        <v>34</v>
      </c>
      <c r="F22" s="40" t="s">
        <v>76</v>
      </c>
      <c r="G22" s="40">
        <v>6732</v>
      </c>
      <c r="H22" s="41" t="s">
        <v>51</v>
      </c>
      <c r="I22" s="40">
        <v>432</v>
      </c>
      <c r="J22" s="41" t="s">
        <v>702</v>
      </c>
      <c r="K22" s="40"/>
      <c r="L22" s="54" t="s">
        <v>61</v>
      </c>
      <c r="M22" s="16"/>
      <c r="N22" s="16"/>
      <c r="O22" s="17" t="s">
        <v>661</v>
      </c>
      <c r="P22" s="18">
        <v>1</v>
      </c>
      <c r="Q22" s="19" t="s">
        <v>19</v>
      </c>
    </row>
    <row r="23" spans="1:17" ht="24" customHeight="1" x14ac:dyDescent="0.25">
      <c r="A23" s="288"/>
      <c r="B23" s="45" t="s">
        <v>115</v>
      </c>
      <c r="C23" s="131"/>
      <c r="D23" s="134"/>
      <c r="E23" s="79"/>
      <c r="F23" s="164"/>
      <c r="G23" s="164"/>
      <c r="H23" s="48"/>
      <c r="I23" s="164">
        <v>252</v>
      </c>
      <c r="J23" s="48" t="s">
        <v>703</v>
      </c>
      <c r="K23" s="164"/>
      <c r="L23" s="57"/>
      <c r="M23" s="15"/>
      <c r="N23" s="15"/>
      <c r="O23" s="20" t="s">
        <v>662</v>
      </c>
      <c r="P23" s="21">
        <v>2</v>
      </c>
      <c r="Q23" s="22" t="s">
        <v>20</v>
      </c>
    </row>
    <row r="24" spans="1:17" ht="24" customHeight="1" x14ac:dyDescent="0.25">
      <c r="A24" s="288"/>
      <c r="B24" s="45" t="s">
        <v>704</v>
      </c>
      <c r="C24" s="141">
        <v>43281</v>
      </c>
      <c r="D24" s="91" t="s">
        <v>59</v>
      </c>
      <c r="E24" s="48" t="s">
        <v>34</v>
      </c>
      <c r="F24" s="39" t="s">
        <v>110</v>
      </c>
      <c r="G24" s="39">
        <v>120</v>
      </c>
      <c r="H24" s="79" t="s">
        <v>51</v>
      </c>
      <c r="I24" s="38">
        <v>120</v>
      </c>
      <c r="J24" s="48" t="s">
        <v>84</v>
      </c>
      <c r="K24" s="164"/>
      <c r="L24" s="44" t="s">
        <v>61</v>
      </c>
      <c r="M24" s="49"/>
      <c r="N24" s="49"/>
      <c r="O24" s="20" t="s">
        <v>663</v>
      </c>
      <c r="P24" s="21">
        <v>3</v>
      </c>
      <c r="Q24" s="22" t="s">
        <v>21</v>
      </c>
    </row>
    <row r="25" spans="1:17" ht="24" customHeight="1" x14ac:dyDescent="0.25">
      <c r="A25" s="288"/>
      <c r="B25" s="43" t="s">
        <v>706</v>
      </c>
      <c r="C25" s="141">
        <v>43281</v>
      </c>
      <c r="D25" s="91" t="s">
        <v>59</v>
      </c>
      <c r="E25" s="60" t="s">
        <v>34</v>
      </c>
      <c r="F25" s="38" t="s">
        <v>110</v>
      </c>
      <c r="G25" s="38">
        <v>720</v>
      </c>
      <c r="H25" s="60" t="s">
        <v>51</v>
      </c>
      <c r="I25" s="128">
        <v>432</v>
      </c>
      <c r="J25" s="60" t="s">
        <v>77</v>
      </c>
      <c r="K25" s="38"/>
      <c r="L25" s="44" t="s">
        <v>686</v>
      </c>
      <c r="M25" s="49"/>
      <c r="N25" s="49"/>
      <c r="O25" s="20" t="s">
        <v>664</v>
      </c>
      <c r="P25" s="21">
        <v>4</v>
      </c>
      <c r="Q25" s="22" t="s">
        <v>21</v>
      </c>
    </row>
    <row r="26" spans="1:17" ht="24" customHeight="1" x14ac:dyDescent="0.25">
      <c r="A26" s="288"/>
      <c r="B26" s="43" t="s">
        <v>707</v>
      </c>
      <c r="C26" s="141"/>
      <c r="D26" s="91"/>
      <c r="E26" s="60"/>
      <c r="F26" s="38"/>
      <c r="G26" s="38"/>
      <c r="H26" s="60"/>
      <c r="I26" s="38"/>
      <c r="J26" s="60"/>
      <c r="K26" s="38"/>
      <c r="L26" s="44"/>
      <c r="M26" s="49"/>
      <c r="N26" s="49"/>
      <c r="O26" s="20"/>
      <c r="P26" s="21"/>
      <c r="Q26" s="22"/>
    </row>
    <row r="27" spans="1:17" ht="24" customHeight="1" thickBot="1" x14ac:dyDescent="0.3">
      <c r="A27" s="289"/>
      <c r="B27" s="93" t="s">
        <v>64</v>
      </c>
      <c r="C27" s="290" t="s">
        <v>98</v>
      </c>
      <c r="D27" s="291"/>
      <c r="E27" s="291"/>
      <c r="F27" s="292"/>
      <c r="G27" s="217"/>
      <c r="H27" s="217"/>
      <c r="I27" s="217">
        <f>SUM(I22:I26)</f>
        <v>1236</v>
      </c>
      <c r="J27" s="217"/>
      <c r="K27" s="217"/>
      <c r="L27" s="220"/>
      <c r="M27" s="217"/>
      <c r="N27" s="217"/>
      <c r="O27" s="114"/>
      <c r="P27" s="218"/>
      <c r="Q27" s="152"/>
    </row>
    <row r="28" spans="1:17" ht="25.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5640</v>
      </c>
      <c r="J28" s="70"/>
      <c r="K28" s="70"/>
      <c r="L28" s="65"/>
      <c r="M28" s="71"/>
      <c r="N28" s="69"/>
      <c r="O28" s="70"/>
      <c r="P28" s="70"/>
      <c r="Q28" s="72"/>
    </row>
    <row r="29" spans="1:17" ht="17.25" customHeight="1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19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A4:A9"/>
    <mergeCell ref="A1:Q1"/>
    <mergeCell ref="A2:B2"/>
    <mergeCell ref="C2:E2"/>
    <mergeCell ref="F2:G2"/>
    <mergeCell ref="O2:Q2"/>
    <mergeCell ref="A10:A15"/>
    <mergeCell ref="C15:F15"/>
    <mergeCell ref="A16:A21"/>
    <mergeCell ref="C17:D17"/>
    <mergeCell ref="C21:F21"/>
    <mergeCell ref="B33:O33"/>
    <mergeCell ref="A22:A27"/>
    <mergeCell ref="C27:F27"/>
    <mergeCell ref="F30:Q30"/>
    <mergeCell ref="B31:Q31"/>
    <mergeCell ref="F32:O32"/>
    <mergeCell ref="P32:Q3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7"/>
  <sheetViews>
    <sheetView topLeftCell="A22" zoomScale="109" zoomScaleNormal="109" workbookViewId="0">
      <selection activeCell="R14" sqref="R14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43257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43258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708</v>
      </c>
      <c r="C4" s="121">
        <v>43269</v>
      </c>
      <c r="D4" s="109" t="s">
        <v>55</v>
      </c>
      <c r="E4" s="122" t="s">
        <v>54</v>
      </c>
      <c r="F4" s="108" t="s">
        <v>512</v>
      </c>
      <c r="G4" s="40">
        <v>240</v>
      </c>
      <c r="H4" s="41" t="s">
        <v>139</v>
      </c>
      <c r="I4" s="155">
        <v>240</v>
      </c>
      <c r="J4" s="155" t="s">
        <v>84</v>
      </c>
      <c r="K4" s="155"/>
      <c r="L4" s="123" t="s">
        <v>80</v>
      </c>
      <c r="M4" s="16"/>
      <c r="N4" s="16"/>
      <c r="O4" s="17" t="s">
        <v>661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709</v>
      </c>
      <c r="C5" s="117">
        <v>43277</v>
      </c>
      <c r="D5" s="113" t="s">
        <v>55</v>
      </c>
      <c r="E5" s="102" t="s">
        <v>54</v>
      </c>
      <c r="F5" s="101" t="s">
        <v>512</v>
      </c>
      <c r="G5" s="39">
        <v>240</v>
      </c>
      <c r="H5" s="79" t="s">
        <v>139</v>
      </c>
      <c r="I5" s="164">
        <v>240</v>
      </c>
      <c r="J5" s="164" t="s">
        <v>84</v>
      </c>
      <c r="K5" s="164"/>
      <c r="L5" s="51" t="s">
        <v>711</v>
      </c>
      <c r="M5" s="87"/>
      <c r="N5" s="87"/>
      <c r="O5" s="20"/>
      <c r="P5" s="21"/>
      <c r="Q5" s="22"/>
    </row>
    <row r="6" spans="1:28" ht="23.25" customHeight="1" x14ac:dyDescent="0.25">
      <c r="A6" s="308"/>
      <c r="B6" s="45" t="s">
        <v>652</v>
      </c>
      <c r="C6" s="117">
        <v>43266</v>
      </c>
      <c r="D6" s="113" t="s">
        <v>55</v>
      </c>
      <c r="E6" s="102" t="s">
        <v>54</v>
      </c>
      <c r="F6" s="101" t="s">
        <v>154</v>
      </c>
      <c r="G6" s="39">
        <v>636</v>
      </c>
      <c r="H6" s="79" t="s">
        <v>139</v>
      </c>
      <c r="I6" s="164">
        <v>432</v>
      </c>
      <c r="J6" s="164" t="s">
        <v>77</v>
      </c>
      <c r="K6" s="164"/>
      <c r="L6" s="51" t="s">
        <v>711</v>
      </c>
      <c r="M6" s="49"/>
      <c r="N6" s="49"/>
      <c r="O6" s="20" t="s">
        <v>662</v>
      </c>
      <c r="P6" s="21">
        <v>2</v>
      </c>
      <c r="Q6" s="22" t="s">
        <v>20</v>
      </c>
    </row>
    <row r="7" spans="1:28" ht="23.25" customHeight="1" x14ac:dyDescent="0.25">
      <c r="A7" s="308"/>
      <c r="B7" s="45"/>
      <c r="C7" s="117"/>
      <c r="D7" s="113"/>
      <c r="E7" s="102"/>
      <c r="F7" s="101"/>
      <c r="G7" s="39"/>
      <c r="H7" s="79"/>
      <c r="I7" s="164">
        <v>204</v>
      </c>
      <c r="J7" s="164" t="s">
        <v>182</v>
      </c>
      <c r="K7" s="164"/>
      <c r="L7" s="51"/>
      <c r="M7" s="49"/>
      <c r="N7" s="49"/>
      <c r="O7" s="20" t="s">
        <v>663</v>
      </c>
      <c r="P7" s="21">
        <v>3</v>
      </c>
      <c r="Q7" s="22" t="s">
        <v>21</v>
      </c>
    </row>
    <row r="8" spans="1:28" ht="23.25" customHeight="1" x14ac:dyDescent="0.25">
      <c r="A8" s="308"/>
      <c r="B8" s="45" t="s">
        <v>710</v>
      </c>
      <c r="C8" s="117">
        <v>43278</v>
      </c>
      <c r="D8" s="113" t="s">
        <v>93</v>
      </c>
      <c r="E8" s="102" t="s">
        <v>54</v>
      </c>
      <c r="F8" s="101" t="s">
        <v>154</v>
      </c>
      <c r="G8" s="39">
        <v>1368</v>
      </c>
      <c r="H8" s="79" t="s">
        <v>139</v>
      </c>
      <c r="I8" s="164">
        <v>192</v>
      </c>
      <c r="J8" s="164" t="s">
        <v>173</v>
      </c>
      <c r="K8" s="164"/>
      <c r="L8" s="51" t="s">
        <v>713</v>
      </c>
      <c r="M8" s="49"/>
      <c r="N8" s="49"/>
      <c r="O8" s="20" t="s">
        <v>664</v>
      </c>
      <c r="P8" s="21">
        <v>4</v>
      </c>
      <c r="Q8" s="22" t="s">
        <v>21</v>
      </c>
    </row>
    <row r="9" spans="1:28" ht="23.25" customHeight="1" x14ac:dyDescent="0.25">
      <c r="A9" s="308"/>
      <c r="B9" s="45" t="s">
        <v>712</v>
      </c>
      <c r="C9" s="117"/>
      <c r="D9" s="113"/>
      <c r="E9" s="102"/>
      <c r="F9" s="101"/>
      <c r="G9" s="164"/>
      <c r="H9" s="48"/>
      <c r="I9" s="164"/>
      <c r="J9" s="164"/>
      <c r="K9" s="164"/>
      <c r="L9" s="51"/>
      <c r="M9" s="49"/>
      <c r="N9" s="49"/>
      <c r="O9" s="20"/>
      <c r="P9" s="21"/>
      <c r="Q9" s="22"/>
    </row>
    <row r="10" spans="1:28" ht="23.25" customHeight="1" thickBot="1" x14ac:dyDescent="0.3">
      <c r="A10" s="309"/>
      <c r="B10" s="93" t="s">
        <v>64</v>
      </c>
      <c r="C10" s="290" t="s">
        <v>65</v>
      </c>
      <c r="D10" s="291"/>
      <c r="E10" s="291"/>
      <c r="F10" s="292"/>
      <c r="G10" s="217"/>
      <c r="H10" s="217"/>
      <c r="I10" s="217">
        <f>SUM(I4:I9)</f>
        <v>1308</v>
      </c>
      <c r="J10" s="217"/>
      <c r="K10" s="217"/>
      <c r="L10" s="220"/>
      <c r="M10" s="217"/>
      <c r="N10" s="217"/>
      <c r="O10" s="114"/>
      <c r="P10" s="218"/>
      <c r="Q10" s="218"/>
    </row>
    <row r="11" spans="1:28" ht="23.25" customHeight="1" x14ac:dyDescent="0.25">
      <c r="A11" s="287" t="s">
        <v>45</v>
      </c>
      <c r="B11" s="42" t="s">
        <v>610</v>
      </c>
      <c r="C11" s="121">
        <v>43272</v>
      </c>
      <c r="D11" s="109" t="s">
        <v>93</v>
      </c>
      <c r="E11" s="122" t="s">
        <v>54</v>
      </c>
      <c r="F11" s="108" t="s">
        <v>95</v>
      </c>
      <c r="G11" s="40">
        <v>1488</v>
      </c>
      <c r="H11" s="41" t="s">
        <v>62</v>
      </c>
      <c r="I11" s="155">
        <v>432</v>
      </c>
      <c r="J11" s="155" t="s">
        <v>77</v>
      </c>
      <c r="K11" s="155"/>
      <c r="L11" s="123" t="s">
        <v>67</v>
      </c>
      <c r="M11" s="95"/>
      <c r="N11" s="16"/>
      <c r="O11" s="17" t="s">
        <v>661</v>
      </c>
      <c r="P11" s="18">
        <v>1</v>
      </c>
      <c r="Q11" s="19" t="s">
        <v>19</v>
      </c>
    </row>
    <row r="12" spans="1:28" ht="23.25" customHeight="1" x14ac:dyDescent="0.25">
      <c r="A12" s="288"/>
      <c r="B12" s="45" t="s">
        <v>853</v>
      </c>
      <c r="C12" s="112"/>
      <c r="D12" s="110"/>
      <c r="E12" s="102"/>
      <c r="F12" s="101"/>
      <c r="G12" s="39"/>
      <c r="H12" s="79"/>
      <c r="I12" s="164">
        <v>432</v>
      </c>
      <c r="J12" s="164" t="s">
        <v>82</v>
      </c>
      <c r="K12" s="164"/>
      <c r="L12" s="51"/>
      <c r="M12" s="15"/>
      <c r="N12" s="63"/>
      <c r="O12" s="20" t="s">
        <v>662</v>
      </c>
      <c r="P12" s="21">
        <v>2</v>
      </c>
      <c r="Q12" s="22" t="s">
        <v>20</v>
      </c>
    </row>
    <row r="13" spans="1:28" ht="23.25" customHeight="1" x14ac:dyDescent="0.25">
      <c r="A13" s="288"/>
      <c r="B13" s="45"/>
      <c r="C13" s="112"/>
      <c r="D13" s="110"/>
      <c r="E13" s="102"/>
      <c r="F13" s="101"/>
      <c r="G13" s="39"/>
      <c r="H13" s="79"/>
      <c r="I13" s="164">
        <v>216</v>
      </c>
      <c r="J13" s="164" t="s">
        <v>201</v>
      </c>
      <c r="K13" s="164"/>
      <c r="L13" s="51"/>
      <c r="M13" s="83"/>
      <c r="N13" s="83"/>
      <c r="O13" s="20" t="s">
        <v>663</v>
      </c>
      <c r="P13" s="21">
        <v>3</v>
      </c>
      <c r="Q13" s="22" t="s">
        <v>21</v>
      </c>
    </row>
    <row r="14" spans="1:28" ht="23.25" customHeight="1" x14ac:dyDescent="0.25">
      <c r="A14" s="288"/>
      <c r="B14" s="45"/>
      <c r="C14" s="112"/>
      <c r="D14" s="110"/>
      <c r="E14" s="102"/>
      <c r="F14" s="101"/>
      <c r="G14" s="39"/>
      <c r="H14" s="79"/>
      <c r="I14" s="164">
        <v>216</v>
      </c>
      <c r="J14" s="164" t="s">
        <v>767</v>
      </c>
      <c r="K14" s="164"/>
      <c r="L14" s="51"/>
      <c r="M14" s="15"/>
      <c r="N14" s="15"/>
      <c r="O14" s="20" t="s">
        <v>664</v>
      </c>
      <c r="P14" s="21">
        <v>4</v>
      </c>
      <c r="Q14" s="22" t="s">
        <v>21</v>
      </c>
    </row>
    <row r="15" spans="1:28" ht="23.25" customHeight="1" x14ac:dyDescent="0.25">
      <c r="A15" s="288"/>
      <c r="B15" s="45"/>
      <c r="C15" s="112"/>
      <c r="D15" s="110"/>
      <c r="E15" s="102"/>
      <c r="F15" s="101"/>
      <c r="G15" s="39"/>
      <c r="H15" s="79"/>
      <c r="I15" s="164"/>
      <c r="J15" s="164"/>
      <c r="K15" s="164"/>
      <c r="L15" s="51"/>
      <c r="M15" s="15"/>
      <c r="N15" s="15"/>
      <c r="O15" s="20"/>
      <c r="P15" s="21"/>
      <c r="Q15" s="22"/>
    </row>
    <row r="16" spans="1:28" ht="23.25" customHeight="1" thickBot="1" x14ac:dyDescent="0.3">
      <c r="A16" s="289"/>
      <c r="B16" s="93"/>
      <c r="C16" s="217"/>
      <c r="D16" s="217"/>
      <c r="E16" s="217"/>
      <c r="F16" s="217"/>
      <c r="G16" s="217"/>
      <c r="H16" s="217"/>
      <c r="I16" s="217">
        <f>SUM(I11:I15)</f>
        <v>1296</v>
      </c>
      <c r="J16" s="217"/>
      <c r="K16" s="217"/>
      <c r="L16" s="220"/>
      <c r="M16" s="217"/>
      <c r="N16" s="217"/>
      <c r="O16" s="114"/>
      <c r="P16" s="217"/>
      <c r="Q16" s="217"/>
    </row>
    <row r="17" spans="1:17" ht="23.25" customHeight="1" x14ac:dyDescent="0.25">
      <c r="A17" s="287" t="s">
        <v>46</v>
      </c>
      <c r="B17" s="42" t="s">
        <v>611</v>
      </c>
      <c r="C17" s="62">
        <v>43274</v>
      </c>
      <c r="D17" s="77" t="s">
        <v>93</v>
      </c>
      <c r="E17" s="41" t="s">
        <v>143</v>
      </c>
      <c r="F17" s="40" t="s">
        <v>416</v>
      </c>
      <c r="G17" s="40">
        <v>1824</v>
      </c>
      <c r="H17" s="41" t="s">
        <v>66</v>
      </c>
      <c r="I17" s="155">
        <f>1824-180*8</f>
        <v>384</v>
      </c>
      <c r="J17" s="155" t="s">
        <v>189</v>
      </c>
      <c r="K17" s="155"/>
      <c r="L17" s="97" t="s">
        <v>414</v>
      </c>
      <c r="M17" s="95"/>
      <c r="N17" s="95"/>
      <c r="O17" s="17" t="s">
        <v>661</v>
      </c>
      <c r="P17" s="18">
        <v>1</v>
      </c>
      <c r="Q17" s="19" t="s">
        <v>19</v>
      </c>
    </row>
    <row r="18" spans="1:17" ht="23.25" customHeight="1" x14ac:dyDescent="0.25">
      <c r="A18" s="288"/>
      <c r="B18" s="229"/>
      <c r="C18" s="332" t="s">
        <v>801</v>
      </c>
      <c r="D18" s="333"/>
      <c r="E18" s="333"/>
      <c r="F18" s="333"/>
      <c r="G18" s="333"/>
      <c r="H18" s="334"/>
      <c r="I18" s="230"/>
      <c r="J18" s="230"/>
      <c r="K18" s="230"/>
      <c r="L18" s="231"/>
      <c r="M18" s="232"/>
      <c r="N18" s="233"/>
      <c r="O18" s="234"/>
      <c r="P18" s="235"/>
      <c r="Q18" s="236"/>
    </row>
    <row r="19" spans="1:17" ht="23.25" customHeight="1" x14ac:dyDescent="0.25">
      <c r="A19" s="288"/>
      <c r="B19" s="43" t="s">
        <v>715</v>
      </c>
      <c r="C19" s="86">
        <v>43281</v>
      </c>
      <c r="D19" s="78" t="s">
        <v>59</v>
      </c>
      <c r="E19" s="60" t="s">
        <v>143</v>
      </c>
      <c r="F19" s="38" t="s">
        <v>416</v>
      </c>
      <c r="G19" s="38">
        <v>168</v>
      </c>
      <c r="H19" s="60" t="s">
        <v>66</v>
      </c>
      <c r="I19" s="164">
        <v>168</v>
      </c>
      <c r="J19" s="164" t="s">
        <v>84</v>
      </c>
      <c r="K19" s="164"/>
      <c r="L19" s="99" t="s">
        <v>718</v>
      </c>
      <c r="M19" s="49"/>
      <c r="N19" s="15"/>
      <c r="O19" s="20" t="s">
        <v>662</v>
      </c>
      <c r="P19" s="21">
        <v>2</v>
      </c>
      <c r="Q19" s="22" t="s">
        <v>20</v>
      </c>
    </row>
    <row r="20" spans="1:17" ht="23.25" customHeight="1" x14ac:dyDescent="0.25">
      <c r="A20" s="288"/>
      <c r="B20" s="43" t="s">
        <v>716</v>
      </c>
      <c r="C20" s="58">
        <v>43281</v>
      </c>
      <c r="D20" s="78" t="s">
        <v>59</v>
      </c>
      <c r="E20" s="60" t="s">
        <v>143</v>
      </c>
      <c r="F20" s="38" t="s">
        <v>416</v>
      </c>
      <c r="G20" s="38">
        <v>288</v>
      </c>
      <c r="H20" s="60" t="s">
        <v>66</v>
      </c>
      <c r="I20" s="38">
        <v>288</v>
      </c>
      <c r="J20" s="38" t="s">
        <v>84</v>
      </c>
      <c r="K20" s="38"/>
      <c r="L20" s="99" t="s">
        <v>718</v>
      </c>
      <c r="M20" s="49"/>
      <c r="N20" s="15"/>
      <c r="O20" s="20" t="s">
        <v>663</v>
      </c>
      <c r="P20" s="21">
        <v>3</v>
      </c>
      <c r="Q20" s="22" t="s">
        <v>21</v>
      </c>
    </row>
    <row r="21" spans="1:17" ht="23.25" customHeight="1" x14ac:dyDescent="0.25">
      <c r="A21" s="288"/>
      <c r="B21" s="43" t="s">
        <v>717</v>
      </c>
      <c r="C21" s="86">
        <v>43281</v>
      </c>
      <c r="D21" s="78" t="s">
        <v>59</v>
      </c>
      <c r="E21" s="60" t="s">
        <v>143</v>
      </c>
      <c r="F21" s="38" t="s">
        <v>416</v>
      </c>
      <c r="G21" s="38">
        <v>144</v>
      </c>
      <c r="H21" s="60" t="s">
        <v>66</v>
      </c>
      <c r="I21" s="164">
        <v>144</v>
      </c>
      <c r="J21" s="164" t="s">
        <v>84</v>
      </c>
      <c r="K21" s="164"/>
      <c r="L21" s="119" t="s">
        <v>718</v>
      </c>
      <c r="M21" s="49"/>
      <c r="N21" s="49"/>
      <c r="O21" s="20"/>
      <c r="P21" s="21"/>
      <c r="Q21" s="22"/>
    </row>
    <row r="22" spans="1:17" ht="23.25" customHeight="1" x14ac:dyDescent="0.25">
      <c r="A22" s="288"/>
      <c r="B22" s="43" t="s">
        <v>719</v>
      </c>
      <c r="C22" s="86">
        <v>43281</v>
      </c>
      <c r="D22" s="78" t="s">
        <v>59</v>
      </c>
      <c r="E22" s="60" t="s">
        <v>143</v>
      </c>
      <c r="F22" s="38" t="s">
        <v>416</v>
      </c>
      <c r="G22" s="38">
        <v>1836</v>
      </c>
      <c r="H22" s="60" t="s">
        <v>66</v>
      </c>
      <c r="I22" s="164">
        <v>432</v>
      </c>
      <c r="J22" s="164" t="s">
        <v>77</v>
      </c>
      <c r="K22" s="164"/>
      <c r="L22" s="99" t="s">
        <v>718</v>
      </c>
      <c r="M22" s="49"/>
      <c r="N22" s="59"/>
      <c r="O22" s="20" t="s">
        <v>664</v>
      </c>
      <c r="P22" s="21">
        <v>4</v>
      </c>
      <c r="Q22" s="22" t="s">
        <v>21</v>
      </c>
    </row>
    <row r="23" spans="1:17" ht="23.25" customHeight="1" x14ac:dyDescent="0.25">
      <c r="A23" s="288"/>
      <c r="B23" s="45" t="s">
        <v>720</v>
      </c>
      <c r="C23" s="86"/>
      <c r="D23" s="78"/>
      <c r="E23" s="60"/>
      <c r="F23" s="38"/>
      <c r="G23" s="38"/>
      <c r="H23" s="48"/>
      <c r="I23" s="164"/>
      <c r="J23" s="164"/>
      <c r="K23" s="164"/>
      <c r="L23" s="119"/>
      <c r="M23" s="49"/>
      <c r="N23" s="59"/>
      <c r="O23" s="124"/>
      <c r="P23" s="50"/>
      <c r="Q23" s="22"/>
    </row>
    <row r="24" spans="1:17" ht="23.25" customHeight="1" thickBot="1" x14ac:dyDescent="0.3">
      <c r="A24" s="289"/>
      <c r="B24" s="93" t="s">
        <v>64</v>
      </c>
      <c r="C24" s="290" t="s">
        <v>65</v>
      </c>
      <c r="D24" s="291"/>
      <c r="E24" s="291"/>
      <c r="F24" s="292"/>
      <c r="G24" s="217"/>
      <c r="H24" s="217"/>
      <c r="I24" s="217">
        <f>SUM(I17:I23)</f>
        <v>1416</v>
      </c>
      <c r="J24" s="217"/>
      <c r="K24" s="217"/>
      <c r="L24" s="80"/>
      <c r="M24" s="217"/>
      <c r="N24" s="217"/>
      <c r="O24" s="114"/>
      <c r="P24" s="217"/>
      <c r="Q24" s="218"/>
    </row>
    <row r="25" spans="1:17" ht="23.25" customHeight="1" x14ac:dyDescent="0.25">
      <c r="A25" s="310" t="s">
        <v>47</v>
      </c>
      <c r="B25" s="42" t="s">
        <v>619</v>
      </c>
      <c r="C25" s="62">
        <v>43276</v>
      </c>
      <c r="D25" s="77" t="s">
        <v>55</v>
      </c>
      <c r="E25" s="41" t="s">
        <v>69</v>
      </c>
      <c r="F25" s="40" t="s">
        <v>615</v>
      </c>
      <c r="G25" s="40">
        <v>684</v>
      </c>
      <c r="H25" s="41" t="s">
        <v>66</v>
      </c>
      <c r="I25" s="155">
        <f>684-216</f>
        <v>468</v>
      </c>
      <c r="J25" s="155" t="s">
        <v>721</v>
      </c>
      <c r="K25" s="155"/>
      <c r="L25" s="97" t="s">
        <v>722</v>
      </c>
      <c r="M25" s="95"/>
      <c r="N25" s="95"/>
      <c r="O25" s="17" t="s">
        <v>723</v>
      </c>
      <c r="P25" s="18">
        <v>1</v>
      </c>
      <c r="Q25" s="19" t="s">
        <v>19</v>
      </c>
    </row>
    <row r="26" spans="1:17" ht="23.25" customHeight="1" x14ac:dyDescent="0.25">
      <c r="A26" s="311"/>
      <c r="B26" s="45" t="s">
        <v>383</v>
      </c>
      <c r="C26" s="305" t="s">
        <v>35</v>
      </c>
      <c r="D26" s="328"/>
      <c r="E26" s="60"/>
      <c r="F26" s="101"/>
      <c r="G26" s="164"/>
      <c r="H26" s="48"/>
      <c r="I26" s="164"/>
      <c r="J26" s="164"/>
      <c r="K26" s="164"/>
      <c r="L26" s="212"/>
      <c r="M26" s="87"/>
      <c r="N26" s="87"/>
      <c r="O26" s="20"/>
      <c r="P26" s="21"/>
      <c r="Q26" s="22"/>
    </row>
    <row r="27" spans="1:17" ht="23.25" customHeight="1" x14ac:dyDescent="0.25">
      <c r="A27" s="311"/>
      <c r="B27" s="43" t="s">
        <v>724</v>
      </c>
      <c r="C27" s="58">
        <v>43281</v>
      </c>
      <c r="D27" s="78" t="s">
        <v>59</v>
      </c>
      <c r="E27" s="60" t="s">
        <v>69</v>
      </c>
      <c r="F27" s="118" t="s">
        <v>615</v>
      </c>
      <c r="G27" s="38">
        <v>1920</v>
      </c>
      <c r="H27" s="60" t="s">
        <v>66</v>
      </c>
      <c r="I27" s="38">
        <v>432</v>
      </c>
      <c r="J27" s="38" t="s">
        <v>77</v>
      </c>
      <c r="K27" s="38"/>
      <c r="L27" s="99" t="s">
        <v>718</v>
      </c>
      <c r="M27" s="15"/>
      <c r="N27" s="15"/>
      <c r="O27" s="20" t="s">
        <v>662</v>
      </c>
      <c r="P27" s="21">
        <v>2</v>
      </c>
      <c r="Q27" s="22" t="s">
        <v>20</v>
      </c>
    </row>
    <row r="28" spans="1:17" ht="23.25" customHeight="1" x14ac:dyDescent="0.25">
      <c r="A28" s="311"/>
      <c r="B28" s="43" t="s">
        <v>106</v>
      </c>
      <c r="C28" s="58"/>
      <c r="D28" s="78"/>
      <c r="E28" s="60"/>
      <c r="F28" s="118"/>
      <c r="G28" s="38"/>
      <c r="H28" s="60"/>
      <c r="I28" s="38">
        <v>432</v>
      </c>
      <c r="J28" s="38" t="s">
        <v>82</v>
      </c>
      <c r="K28" s="38"/>
      <c r="L28" s="99"/>
      <c r="M28" s="15"/>
      <c r="N28" s="15"/>
      <c r="O28" s="20" t="s">
        <v>663</v>
      </c>
      <c r="P28" s="21">
        <v>3</v>
      </c>
      <c r="Q28" s="22" t="s">
        <v>21</v>
      </c>
    </row>
    <row r="29" spans="1:17" ht="23.25" customHeight="1" x14ac:dyDescent="0.25">
      <c r="A29" s="311"/>
      <c r="B29" s="45"/>
      <c r="C29" s="86"/>
      <c r="D29" s="82"/>
      <c r="E29" s="79"/>
      <c r="F29" s="101"/>
      <c r="G29" s="164"/>
      <c r="H29" s="48"/>
      <c r="I29" s="38">
        <v>216</v>
      </c>
      <c r="J29" s="38" t="s">
        <v>78</v>
      </c>
      <c r="K29" s="38"/>
      <c r="L29" s="99"/>
      <c r="M29" s="15"/>
      <c r="N29" s="49"/>
      <c r="O29" s="20" t="s">
        <v>664</v>
      </c>
      <c r="P29" s="21">
        <v>4</v>
      </c>
      <c r="Q29" s="22" t="s">
        <v>21</v>
      </c>
    </row>
    <row r="30" spans="1:17" ht="23.25" customHeight="1" x14ac:dyDescent="0.25">
      <c r="A30" s="311"/>
      <c r="B30" s="45"/>
      <c r="C30" s="86"/>
      <c r="D30" s="82"/>
      <c r="E30" s="60"/>
      <c r="F30" s="101"/>
      <c r="G30" s="164"/>
      <c r="H30" s="48"/>
      <c r="I30" s="164"/>
      <c r="J30" s="164"/>
      <c r="K30" s="164"/>
      <c r="L30" s="212"/>
      <c r="M30" s="49"/>
      <c r="N30" s="49"/>
      <c r="O30" s="100"/>
      <c r="P30" s="50"/>
      <c r="Q30" s="22"/>
    </row>
    <row r="31" spans="1:17" ht="23.25" customHeight="1" thickBot="1" x14ac:dyDescent="0.3">
      <c r="A31" s="312"/>
      <c r="B31" s="93"/>
      <c r="C31" s="217"/>
      <c r="D31" s="217"/>
      <c r="E31" s="217"/>
      <c r="F31" s="217"/>
      <c r="G31" s="217"/>
      <c r="H31" s="217"/>
      <c r="I31" s="218">
        <f>SUM(I25:I29)</f>
        <v>1548</v>
      </c>
      <c r="J31" s="218"/>
      <c r="K31" s="218"/>
      <c r="L31" s="162"/>
      <c r="M31" s="218"/>
      <c r="N31" s="218"/>
      <c r="O31" s="218"/>
      <c r="P31" s="218"/>
      <c r="Q31" s="218"/>
    </row>
    <row r="32" spans="1:17" ht="29.25" customHeight="1" thickBot="1" x14ac:dyDescent="0.3">
      <c r="A32" s="73"/>
      <c r="B32" s="64"/>
      <c r="C32" s="65"/>
      <c r="D32" s="66"/>
      <c r="E32" s="67"/>
      <c r="F32" s="66"/>
      <c r="G32" s="67"/>
      <c r="H32" s="67"/>
      <c r="I32" s="69">
        <f>SUM(I31,I24,I16,I10)</f>
        <v>5568</v>
      </c>
      <c r="J32" s="70"/>
      <c r="K32" s="70"/>
      <c r="L32" s="65"/>
      <c r="M32" s="71"/>
      <c r="N32" s="69"/>
      <c r="O32" s="70"/>
      <c r="P32" s="70"/>
      <c r="Q32" s="72"/>
    </row>
    <row r="33" spans="1:17" ht="17.25" thickTop="1" x14ac:dyDescent="0.3">
      <c r="A33" s="23" t="s">
        <v>22</v>
      </c>
      <c r="B33" s="24"/>
      <c r="C33" s="25"/>
      <c r="D33" s="24"/>
      <c r="E33" s="24"/>
      <c r="F33" s="26"/>
      <c r="G33" s="27"/>
      <c r="H33" s="28" t="s">
        <v>23</v>
      </c>
      <c r="I33" s="29"/>
      <c r="J33" s="29"/>
      <c r="K33" s="29"/>
      <c r="L33" s="30"/>
      <c r="M33" s="29"/>
      <c r="N33" s="29"/>
      <c r="O33" s="29"/>
      <c r="P33" s="219" t="s">
        <v>24</v>
      </c>
      <c r="Q33" s="31"/>
    </row>
    <row r="34" spans="1:17" ht="16.5" x14ac:dyDescent="0.3">
      <c r="A34" s="1"/>
      <c r="B34" s="32">
        <v>1</v>
      </c>
      <c r="C34" s="33"/>
      <c r="D34" s="32"/>
      <c r="E34" s="32"/>
      <c r="F34" s="304" t="s">
        <v>25</v>
      </c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</row>
    <row r="35" spans="1:17" ht="16.5" x14ac:dyDescent="0.3">
      <c r="A35" s="1"/>
      <c r="B35" s="297" t="s">
        <v>26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</row>
    <row r="36" spans="1:17" ht="16.5" x14ac:dyDescent="0.3">
      <c r="A36" s="1"/>
      <c r="B36" s="34">
        <v>2</v>
      </c>
      <c r="C36" s="35"/>
      <c r="D36" s="36"/>
      <c r="E36" s="36"/>
      <c r="F36" s="298" t="s">
        <v>27</v>
      </c>
      <c r="G36" s="298"/>
      <c r="H36" s="298"/>
      <c r="I36" s="298"/>
      <c r="J36" s="298"/>
      <c r="K36" s="298"/>
      <c r="L36" s="298"/>
      <c r="M36" s="298"/>
      <c r="N36" s="298"/>
      <c r="O36" s="298"/>
      <c r="P36" s="299" t="s">
        <v>28</v>
      </c>
      <c r="Q36" s="300"/>
    </row>
    <row r="37" spans="1:17" ht="16.5" x14ac:dyDescent="0.3">
      <c r="A37" s="1"/>
      <c r="B37" s="297" t="s">
        <v>29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1"/>
      <c r="Q37" s="1"/>
    </row>
  </sheetData>
  <mergeCells count="18">
    <mergeCell ref="A4:A10"/>
    <mergeCell ref="C10:F10"/>
    <mergeCell ref="A1:Q1"/>
    <mergeCell ref="A2:B2"/>
    <mergeCell ref="C2:E2"/>
    <mergeCell ref="F2:G2"/>
    <mergeCell ref="O2:Q2"/>
    <mergeCell ref="A11:A16"/>
    <mergeCell ref="A17:A24"/>
    <mergeCell ref="C24:F24"/>
    <mergeCell ref="A25:A31"/>
    <mergeCell ref="C18:H18"/>
    <mergeCell ref="B35:Q35"/>
    <mergeCell ref="F36:O36"/>
    <mergeCell ref="P36:Q36"/>
    <mergeCell ref="B37:O37"/>
    <mergeCell ref="C26:D26"/>
    <mergeCell ref="F34:Q34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19" zoomScale="115" zoomScaleNormal="115" workbookViewId="0">
      <selection activeCell="G27" sqref="G27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43257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43258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92" t="s">
        <v>622</v>
      </c>
      <c r="C4" s="121">
        <v>43276</v>
      </c>
      <c r="D4" s="138" t="s">
        <v>623</v>
      </c>
      <c r="E4" s="77" t="s">
        <v>56</v>
      </c>
      <c r="F4" s="54" t="s">
        <v>443</v>
      </c>
      <c r="G4" s="40">
        <v>1344</v>
      </c>
      <c r="H4" s="41" t="s">
        <v>53</v>
      </c>
      <c r="I4" s="155">
        <v>456</v>
      </c>
      <c r="J4" s="155" t="s">
        <v>725</v>
      </c>
      <c r="K4" s="155"/>
      <c r="L4" s="54" t="s">
        <v>726</v>
      </c>
      <c r="M4" s="16"/>
      <c r="N4" s="16"/>
      <c r="O4" s="17" t="s">
        <v>723</v>
      </c>
      <c r="P4" s="18">
        <v>1</v>
      </c>
      <c r="Q4" s="19" t="s">
        <v>19</v>
      </c>
    </row>
    <row r="5" spans="1:17" ht="23.25" customHeight="1" x14ac:dyDescent="0.25">
      <c r="A5" s="288"/>
      <c r="B5" s="126" t="s">
        <v>105</v>
      </c>
      <c r="C5" s="315" t="s">
        <v>35</v>
      </c>
      <c r="D5" s="316"/>
      <c r="E5" s="125"/>
      <c r="F5" s="143"/>
      <c r="G5" s="38"/>
      <c r="H5" s="60"/>
      <c r="I5" s="84">
        <v>204</v>
      </c>
      <c r="J5" s="164" t="s">
        <v>99</v>
      </c>
      <c r="K5" s="164"/>
      <c r="L5" s="57"/>
      <c r="M5" s="98"/>
      <c r="N5" s="63"/>
      <c r="O5" s="20" t="s">
        <v>662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727</v>
      </c>
      <c r="C6" s="112">
        <v>43277</v>
      </c>
      <c r="D6" s="135" t="s">
        <v>93</v>
      </c>
      <c r="E6" s="82" t="s">
        <v>56</v>
      </c>
      <c r="F6" s="143" t="s">
        <v>728</v>
      </c>
      <c r="G6" s="39">
        <v>264</v>
      </c>
      <c r="H6" s="60" t="s">
        <v>53</v>
      </c>
      <c r="I6" s="164">
        <v>264</v>
      </c>
      <c r="J6" s="164" t="s">
        <v>84</v>
      </c>
      <c r="K6" s="164"/>
      <c r="L6" s="57" t="s">
        <v>732</v>
      </c>
      <c r="M6" s="98"/>
      <c r="N6" s="63"/>
      <c r="O6" s="20" t="s">
        <v>663</v>
      </c>
      <c r="P6" s="21">
        <v>3</v>
      </c>
      <c r="Q6" s="22" t="s">
        <v>21</v>
      </c>
    </row>
    <row r="7" spans="1:17" ht="23.25" customHeight="1" x14ac:dyDescent="0.25">
      <c r="A7" s="288"/>
      <c r="B7" s="126" t="s">
        <v>729</v>
      </c>
      <c r="C7" s="112">
        <v>43277</v>
      </c>
      <c r="D7" s="135" t="s">
        <v>93</v>
      </c>
      <c r="E7" s="125" t="s">
        <v>56</v>
      </c>
      <c r="F7" s="143" t="s">
        <v>735</v>
      </c>
      <c r="G7" s="38">
        <v>192</v>
      </c>
      <c r="H7" s="60" t="s">
        <v>53</v>
      </c>
      <c r="I7" s="84">
        <v>192</v>
      </c>
      <c r="J7" s="164" t="s">
        <v>84</v>
      </c>
      <c r="K7" s="164"/>
      <c r="L7" s="57" t="s">
        <v>733</v>
      </c>
      <c r="M7" s="63"/>
      <c r="N7" s="63"/>
      <c r="O7" s="20"/>
      <c r="P7" s="21"/>
      <c r="Q7" s="22"/>
    </row>
    <row r="8" spans="1:17" ht="23.25" customHeight="1" x14ac:dyDescent="0.25">
      <c r="A8" s="288"/>
      <c r="B8" s="45" t="s">
        <v>731</v>
      </c>
      <c r="C8" s="58">
        <v>43277</v>
      </c>
      <c r="D8" s="78" t="s">
        <v>93</v>
      </c>
      <c r="E8" s="125" t="s">
        <v>56</v>
      </c>
      <c r="F8" s="143" t="s">
        <v>730</v>
      </c>
      <c r="G8" s="39">
        <v>336</v>
      </c>
      <c r="H8" s="60" t="s">
        <v>53</v>
      </c>
      <c r="I8" s="164">
        <v>336</v>
      </c>
      <c r="J8" s="164" t="s">
        <v>734</v>
      </c>
      <c r="K8" s="164"/>
      <c r="L8" s="57" t="s">
        <v>733</v>
      </c>
      <c r="M8" s="49"/>
      <c r="N8" s="49"/>
      <c r="O8" s="20" t="s">
        <v>664</v>
      </c>
      <c r="P8" s="21">
        <v>4</v>
      </c>
      <c r="Q8" s="22" t="s">
        <v>21</v>
      </c>
    </row>
    <row r="9" spans="1:17" ht="23.25" customHeight="1" x14ac:dyDescent="0.25">
      <c r="A9" s="288"/>
      <c r="B9" s="45"/>
      <c r="C9" s="58"/>
      <c r="D9" s="78"/>
      <c r="E9" s="125"/>
      <c r="F9" s="143"/>
      <c r="G9" s="164"/>
      <c r="H9" s="48"/>
      <c r="I9" s="164"/>
      <c r="J9" s="164"/>
      <c r="K9" s="164"/>
      <c r="L9" s="57"/>
      <c r="M9" s="49"/>
      <c r="N9" s="49"/>
      <c r="O9" s="100"/>
      <c r="P9" s="50"/>
      <c r="Q9" s="22"/>
    </row>
    <row r="10" spans="1:17" ht="23.25" customHeight="1" thickBot="1" x14ac:dyDescent="0.3">
      <c r="A10" s="289"/>
      <c r="B10" s="93" t="s">
        <v>448</v>
      </c>
      <c r="C10" s="317" t="s">
        <v>449</v>
      </c>
      <c r="D10" s="318"/>
      <c r="E10" s="318"/>
      <c r="F10" s="319"/>
      <c r="G10" s="217"/>
      <c r="H10" s="217"/>
      <c r="I10" s="217">
        <f>SUM(I4:I9)</f>
        <v>1452</v>
      </c>
      <c r="J10" s="217"/>
      <c r="K10" s="217"/>
      <c r="L10" s="220"/>
      <c r="M10" s="217"/>
      <c r="N10" s="217"/>
      <c r="O10" s="217"/>
      <c r="P10" s="218"/>
      <c r="Q10" s="218"/>
    </row>
    <row r="11" spans="1:17" ht="23.25" customHeight="1" x14ac:dyDescent="0.25">
      <c r="A11" s="287" t="s">
        <v>49</v>
      </c>
      <c r="B11" s="92" t="s">
        <v>420</v>
      </c>
      <c r="C11" s="121">
        <v>43277</v>
      </c>
      <c r="D11" s="138" t="s">
        <v>93</v>
      </c>
      <c r="E11" s="77" t="s">
        <v>56</v>
      </c>
      <c r="F11" s="54" t="s">
        <v>305</v>
      </c>
      <c r="G11" s="40">
        <v>14832</v>
      </c>
      <c r="H11" s="41" t="s">
        <v>70</v>
      </c>
      <c r="I11" s="155">
        <v>456</v>
      </c>
      <c r="J11" s="155" t="s">
        <v>738</v>
      </c>
      <c r="K11" s="155"/>
      <c r="L11" s="54" t="s">
        <v>424</v>
      </c>
      <c r="M11" s="16"/>
      <c r="N11" s="16"/>
      <c r="O11" s="17" t="s">
        <v>661</v>
      </c>
      <c r="P11" s="18">
        <v>1</v>
      </c>
      <c r="Q11" s="19" t="s">
        <v>19</v>
      </c>
    </row>
    <row r="12" spans="1:17" ht="23.25" customHeight="1" x14ac:dyDescent="0.25">
      <c r="A12" s="288"/>
      <c r="B12" s="85" t="s">
        <v>421</v>
      </c>
      <c r="C12" s="112"/>
      <c r="D12" s="135"/>
      <c r="E12" s="82"/>
      <c r="F12" s="39"/>
      <c r="G12" s="39"/>
      <c r="H12" s="60"/>
      <c r="I12" s="164">
        <v>456</v>
      </c>
      <c r="J12" s="164" t="s">
        <v>739</v>
      </c>
      <c r="K12" s="164"/>
      <c r="L12" s="88"/>
      <c r="M12" s="63"/>
      <c r="N12" s="63"/>
      <c r="O12" s="20" t="s">
        <v>662</v>
      </c>
      <c r="P12" s="21">
        <v>2</v>
      </c>
      <c r="Q12" s="22" t="s">
        <v>20</v>
      </c>
    </row>
    <row r="13" spans="1:17" ht="23.25" customHeight="1" x14ac:dyDescent="0.25">
      <c r="A13" s="288"/>
      <c r="B13" s="85"/>
      <c r="C13" s="112"/>
      <c r="D13" s="135"/>
      <c r="E13" s="82"/>
      <c r="F13" s="103"/>
      <c r="G13" s="39"/>
      <c r="H13" s="60"/>
      <c r="I13" s="164">
        <v>456</v>
      </c>
      <c r="J13" s="164" t="s">
        <v>740</v>
      </c>
      <c r="K13" s="164"/>
      <c r="L13" s="88"/>
      <c r="M13" s="63"/>
      <c r="N13" s="63"/>
      <c r="O13" s="20" t="s">
        <v>663</v>
      </c>
      <c r="P13" s="21">
        <v>3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39"/>
      <c r="G14" s="39"/>
      <c r="H14" s="60"/>
      <c r="I14" s="164">
        <v>228</v>
      </c>
      <c r="J14" s="164" t="s">
        <v>768</v>
      </c>
      <c r="K14" s="164"/>
      <c r="L14" s="88"/>
      <c r="M14" s="15"/>
      <c r="N14" s="15"/>
      <c r="O14" s="20" t="s">
        <v>664</v>
      </c>
      <c r="P14" s="21">
        <v>4</v>
      </c>
      <c r="Q14" s="22" t="s">
        <v>21</v>
      </c>
    </row>
    <row r="15" spans="1:17" ht="23.25" customHeight="1" x14ac:dyDescent="0.25">
      <c r="A15" s="288"/>
      <c r="B15" s="85"/>
      <c r="C15" s="112"/>
      <c r="D15" s="135"/>
      <c r="E15" s="82"/>
      <c r="F15" s="103"/>
      <c r="G15" s="39"/>
      <c r="H15" s="60"/>
      <c r="I15" s="164"/>
      <c r="J15" s="164"/>
      <c r="K15" s="164"/>
      <c r="L15" s="88"/>
      <c r="M15" s="15"/>
      <c r="N15" s="15"/>
      <c r="O15" s="20"/>
      <c r="P15" s="21"/>
      <c r="Q15" s="22"/>
    </row>
    <row r="16" spans="1:17" ht="23.2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114"/>
      <c r="H16" s="114"/>
      <c r="I16" s="115">
        <f>SUM(I11:I15)</f>
        <v>1596</v>
      </c>
      <c r="J16" s="115"/>
      <c r="K16" s="115"/>
      <c r="L16" s="96"/>
      <c r="M16" s="114"/>
      <c r="N16" s="114"/>
      <c r="O16" s="114"/>
      <c r="P16" s="218"/>
      <c r="Q16" s="218"/>
    </row>
    <row r="17" spans="1:17" ht="23.25" customHeight="1" x14ac:dyDescent="0.25">
      <c r="A17" s="287" t="s">
        <v>50</v>
      </c>
      <c r="B17" s="92" t="s">
        <v>314</v>
      </c>
      <c r="C17" s="121">
        <v>43277</v>
      </c>
      <c r="D17" s="138" t="s">
        <v>93</v>
      </c>
      <c r="E17" s="77" t="s">
        <v>56</v>
      </c>
      <c r="F17" s="40" t="s">
        <v>315</v>
      </c>
      <c r="G17" s="40">
        <v>15600</v>
      </c>
      <c r="H17" s="41" t="s">
        <v>70</v>
      </c>
      <c r="I17" s="164">
        <v>456</v>
      </c>
      <c r="J17" s="164" t="s">
        <v>536</v>
      </c>
      <c r="K17" s="164"/>
      <c r="L17" s="57" t="s">
        <v>67</v>
      </c>
      <c r="M17" s="16"/>
      <c r="N17" s="16"/>
      <c r="O17" s="17" t="s">
        <v>661</v>
      </c>
      <c r="P17" s="18">
        <v>1</v>
      </c>
      <c r="Q17" s="19" t="s">
        <v>19</v>
      </c>
    </row>
    <row r="18" spans="1:17" ht="23.25" customHeight="1" x14ac:dyDescent="0.25">
      <c r="A18" s="288"/>
      <c r="B18" s="45" t="s">
        <v>316</v>
      </c>
      <c r="C18" s="46"/>
      <c r="D18" s="47"/>
      <c r="E18" s="48"/>
      <c r="F18" s="88"/>
      <c r="G18" s="39"/>
      <c r="H18" s="79"/>
      <c r="I18" s="164">
        <v>456</v>
      </c>
      <c r="J18" s="164" t="s">
        <v>741</v>
      </c>
      <c r="K18" s="164"/>
      <c r="L18" s="57"/>
      <c r="M18" s="15"/>
      <c r="N18" s="15"/>
      <c r="O18" s="20" t="s">
        <v>662</v>
      </c>
      <c r="P18" s="21">
        <v>2</v>
      </c>
      <c r="Q18" s="22" t="s">
        <v>20</v>
      </c>
    </row>
    <row r="19" spans="1:17" ht="23.25" customHeight="1" x14ac:dyDescent="0.25">
      <c r="A19" s="288"/>
      <c r="B19" s="45"/>
      <c r="C19" s="46"/>
      <c r="D19" s="47"/>
      <c r="E19" s="48"/>
      <c r="F19" s="103"/>
      <c r="G19" s="39"/>
      <c r="H19" s="79"/>
      <c r="I19" s="164">
        <v>456</v>
      </c>
      <c r="J19" s="164" t="s">
        <v>656</v>
      </c>
      <c r="K19" s="164"/>
      <c r="L19" s="57"/>
      <c r="M19" s="15"/>
      <c r="N19" s="15"/>
      <c r="O19" s="20" t="s">
        <v>663</v>
      </c>
      <c r="P19" s="21">
        <v>3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59"/>
      <c r="G20" s="39"/>
      <c r="H20" s="79"/>
      <c r="I20" s="84">
        <v>228</v>
      </c>
      <c r="J20" s="164" t="s">
        <v>769</v>
      </c>
      <c r="K20" s="164"/>
      <c r="L20" s="57"/>
      <c r="M20" s="49"/>
      <c r="N20" s="49"/>
      <c r="O20" s="20" t="s">
        <v>664</v>
      </c>
      <c r="P20" s="21">
        <v>4</v>
      </c>
      <c r="Q20" s="22" t="s">
        <v>21</v>
      </c>
    </row>
    <row r="21" spans="1:17" ht="23.25" customHeight="1" x14ac:dyDescent="0.25">
      <c r="A21" s="288"/>
      <c r="B21" s="45"/>
      <c r="C21" s="46"/>
      <c r="D21" s="47"/>
      <c r="E21" s="48"/>
      <c r="F21" s="103"/>
      <c r="G21" s="39"/>
      <c r="H21" s="79"/>
      <c r="I21" s="164"/>
      <c r="J21" s="57"/>
      <c r="K21" s="164"/>
      <c r="L21" s="57"/>
      <c r="M21" s="49"/>
      <c r="N21" s="49"/>
      <c r="O21" s="20"/>
      <c r="P21" s="21"/>
      <c r="Q21" s="22"/>
    </row>
    <row r="22" spans="1:17" ht="23.2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114"/>
      <c r="H22" s="114"/>
      <c r="I22" s="217">
        <f>SUM(I17:I21)</f>
        <v>1596</v>
      </c>
      <c r="J22" s="217"/>
      <c r="K22" s="217"/>
      <c r="L22" s="220"/>
      <c r="M22" s="217"/>
      <c r="N22" s="217"/>
      <c r="O22" s="217"/>
      <c r="P22" s="218"/>
      <c r="Q22" s="218"/>
    </row>
    <row r="23" spans="1:17" ht="23.25" customHeight="1" x14ac:dyDescent="0.25">
      <c r="A23" s="287" t="s">
        <v>52</v>
      </c>
      <c r="B23" s="327" t="s">
        <v>322</v>
      </c>
      <c r="C23" s="189">
        <v>43277</v>
      </c>
      <c r="D23" s="190" t="s">
        <v>93</v>
      </c>
      <c r="E23" s="179" t="s">
        <v>56</v>
      </c>
      <c r="F23" s="191" t="s">
        <v>319</v>
      </c>
      <c r="G23" s="168">
        <v>25980</v>
      </c>
      <c r="H23" s="192" t="s">
        <v>70</v>
      </c>
      <c r="I23" s="178">
        <v>456</v>
      </c>
      <c r="J23" s="196" t="s">
        <v>742</v>
      </c>
      <c r="K23" s="178"/>
      <c r="L23" s="180" t="s">
        <v>67</v>
      </c>
      <c r="M23" s="16"/>
      <c r="N23" s="16"/>
      <c r="O23" s="17" t="s">
        <v>661</v>
      </c>
      <c r="P23" s="18">
        <v>1</v>
      </c>
      <c r="Q23" s="19" t="s">
        <v>19</v>
      </c>
    </row>
    <row r="24" spans="1:17" ht="23.25" customHeight="1" x14ac:dyDescent="0.25">
      <c r="A24" s="288"/>
      <c r="B24" s="324"/>
      <c r="C24" s="320" t="s">
        <v>320</v>
      </c>
      <c r="D24" s="321"/>
      <c r="E24" s="322"/>
      <c r="F24" s="335" t="s">
        <v>761</v>
      </c>
      <c r="G24" s="336"/>
      <c r="H24" s="337"/>
      <c r="I24" s="164">
        <v>456</v>
      </c>
      <c r="J24" s="197" t="s">
        <v>743</v>
      </c>
      <c r="K24" s="194"/>
      <c r="L24" s="195"/>
      <c r="M24" s="87"/>
      <c r="N24" s="15"/>
      <c r="O24" s="20" t="s">
        <v>662</v>
      </c>
      <c r="P24" s="21">
        <v>2</v>
      </c>
      <c r="Q24" s="22" t="s">
        <v>20</v>
      </c>
    </row>
    <row r="25" spans="1:17" ht="23.25" customHeight="1" x14ac:dyDescent="0.25">
      <c r="A25" s="288"/>
      <c r="B25" s="45" t="s">
        <v>321</v>
      </c>
      <c r="C25" s="46"/>
      <c r="D25" s="47"/>
      <c r="E25" s="82"/>
      <c r="F25" s="88" t="s">
        <v>119</v>
      </c>
      <c r="G25" s="39"/>
      <c r="H25" s="48"/>
      <c r="I25" s="164">
        <v>456</v>
      </c>
      <c r="J25" s="51" t="s">
        <v>744</v>
      </c>
      <c r="K25" s="164"/>
      <c r="L25" s="57"/>
      <c r="M25" s="49"/>
      <c r="N25" s="15"/>
      <c r="O25" s="20" t="s">
        <v>663</v>
      </c>
      <c r="P25" s="21">
        <v>3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103"/>
      <c r="G26" s="39"/>
      <c r="H26" s="48"/>
      <c r="I26" s="164">
        <v>228</v>
      </c>
      <c r="J26" s="51" t="s">
        <v>770</v>
      </c>
      <c r="K26" s="164"/>
      <c r="L26" s="57"/>
      <c r="M26" s="49"/>
      <c r="N26" s="49"/>
      <c r="O26" s="20" t="s">
        <v>664</v>
      </c>
      <c r="P26" s="21">
        <v>4</v>
      </c>
      <c r="Q26" s="22" t="s">
        <v>21</v>
      </c>
    </row>
    <row r="27" spans="1:17" ht="23.25" customHeight="1" x14ac:dyDescent="0.25">
      <c r="A27" s="288"/>
      <c r="B27" s="45"/>
      <c r="C27" s="46"/>
      <c r="D27" s="47"/>
      <c r="E27" s="82"/>
      <c r="F27" s="88"/>
      <c r="G27" s="39"/>
      <c r="H27" s="48"/>
      <c r="I27" s="164"/>
      <c r="J27" s="57"/>
      <c r="K27" s="164"/>
      <c r="L27" s="57"/>
      <c r="M27" s="49"/>
      <c r="N27" s="49"/>
      <c r="O27" s="20"/>
      <c r="P27" s="21"/>
      <c r="Q27" s="22"/>
    </row>
    <row r="28" spans="1:17" ht="23.25" customHeight="1" thickBot="1" x14ac:dyDescent="0.3">
      <c r="A28" s="289"/>
      <c r="B28" s="94"/>
      <c r="C28" s="114"/>
      <c r="D28" s="114"/>
      <c r="E28" s="114"/>
      <c r="F28" s="114"/>
      <c r="G28" s="114"/>
      <c r="H28" s="114"/>
      <c r="I28" s="114">
        <f>SUM(I23:I27)</f>
        <v>1596</v>
      </c>
      <c r="J28" s="114"/>
      <c r="K28" s="114"/>
      <c r="L28" s="80"/>
      <c r="M28" s="114"/>
      <c r="N28" s="114"/>
      <c r="O28" s="114"/>
      <c r="P28" s="218"/>
      <c r="Q28" s="218"/>
    </row>
    <row r="29" spans="1:17" ht="29.2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SUM(I28,I22,I16,I10)</f>
        <v>6240</v>
      </c>
      <c r="J29" s="70"/>
      <c r="K29" s="70"/>
      <c r="L29" s="65"/>
      <c r="M29" s="71"/>
      <c r="N29" s="69"/>
      <c r="O29" s="70"/>
      <c r="P29" s="70"/>
      <c r="Q29" s="72"/>
    </row>
    <row r="30" spans="1:17" ht="17.25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19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21">
    <mergeCell ref="C22:F22"/>
    <mergeCell ref="B34:O34"/>
    <mergeCell ref="A23:A28"/>
    <mergeCell ref="B23:B24"/>
    <mergeCell ref="C24:E24"/>
    <mergeCell ref="A17:A22"/>
    <mergeCell ref="F24:H24"/>
    <mergeCell ref="F31:Q31"/>
    <mergeCell ref="B32:Q32"/>
    <mergeCell ref="F33:O33"/>
    <mergeCell ref="P33:Q33"/>
    <mergeCell ref="A1:Q1"/>
    <mergeCell ref="A2:B2"/>
    <mergeCell ref="C2:E2"/>
    <mergeCell ref="F2:G2"/>
    <mergeCell ref="O2:Q2"/>
    <mergeCell ref="A4:A10"/>
    <mergeCell ref="C5:D5"/>
    <mergeCell ref="C10:F10"/>
    <mergeCell ref="A11:A16"/>
    <mergeCell ref="C16:F1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9"/>
  <sheetViews>
    <sheetView topLeftCell="A13" zoomScaleNormal="100" workbookViewId="0">
      <selection activeCell="G20" sqref="G20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43257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43258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560</v>
      </c>
      <c r="C4" s="104">
        <v>43281</v>
      </c>
      <c r="D4" s="90" t="s">
        <v>59</v>
      </c>
      <c r="E4" s="144" t="s">
        <v>54</v>
      </c>
      <c r="F4" s="40" t="s">
        <v>561</v>
      </c>
      <c r="G4" s="40">
        <v>288</v>
      </c>
      <c r="H4" s="204" t="s">
        <v>90</v>
      </c>
      <c r="I4" s="155">
        <v>288</v>
      </c>
      <c r="J4" s="155" t="s">
        <v>84</v>
      </c>
      <c r="K4" s="155"/>
      <c r="L4" s="53" t="s">
        <v>67</v>
      </c>
      <c r="M4" s="16"/>
      <c r="N4" s="16"/>
      <c r="O4" s="17" t="s">
        <v>661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745</v>
      </c>
      <c r="C5" s="133">
        <v>43282</v>
      </c>
      <c r="D5" s="134" t="s">
        <v>746</v>
      </c>
      <c r="E5" s="129" t="s">
        <v>747</v>
      </c>
      <c r="F5" s="39" t="s">
        <v>748</v>
      </c>
      <c r="G5" s="39">
        <v>444</v>
      </c>
      <c r="H5" s="146" t="s">
        <v>749</v>
      </c>
      <c r="I5" s="164">
        <v>444</v>
      </c>
      <c r="J5" s="164" t="s">
        <v>77</v>
      </c>
      <c r="K5" s="164"/>
      <c r="L5" s="57" t="s">
        <v>752</v>
      </c>
      <c r="M5" s="15"/>
      <c r="N5" s="15"/>
      <c r="O5" s="20" t="s">
        <v>662</v>
      </c>
      <c r="P5" s="21">
        <v>2</v>
      </c>
      <c r="Q5" s="22" t="s">
        <v>20</v>
      </c>
    </row>
    <row r="6" spans="1:17" ht="24.75" customHeight="1" x14ac:dyDescent="0.25">
      <c r="A6" s="288"/>
      <c r="B6" s="45" t="s">
        <v>750</v>
      </c>
      <c r="C6" s="133">
        <v>43282</v>
      </c>
      <c r="D6" s="134" t="s">
        <v>689</v>
      </c>
      <c r="E6" s="129" t="s">
        <v>690</v>
      </c>
      <c r="F6" s="39" t="s">
        <v>751</v>
      </c>
      <c r="G6" s="39">
        <v>648</v>
      </c>
      <c r="H6" s="146" t="s">
        <v>749</v>
      </c>
      <c r="I6" s="164">
        <v>432</v>
      </c>
      <c r="J6" s="164" t="s">
        <v>77</v>
      </c>
      <c r="K6" s="164"/>
      <c r="L6" s="57" t="s">
        <v>67</v>
      </c>
      <c r="M6" s="15"/>
      <c r="N6" s="15"/>
      <c r="O6" s="20" t="s">
        <v>663</v>
      </c>
      <c r="P6" s="21">
        <v>3</v>
      </c>
      <c r="Q6" s="22" t="s">
        <v>21</v>
      </c>
    </row>
    <row r="7" spans="1:17" ht="24.75" customHeight="1" x14ac:dyDescent="0.25">
      <c r="A7" s="288"/>
      <c r="B7" s="45"/>
      <c r="C7" s="133"/>
      <c r="D7" s="134"/>
      <c r="E7" s="129"/>
      <c r="F7" s="39"/>
      <c r="G7" s="39"/>
      <c r="H7" s="146"/>
      <c r="I7" s="164">
        <f>648-432</f>
        <v>216</v>
      </c>
      <c r="J7" s="164" t="s">
        <v>182</v>
      </c>
      <c r="K7" s="164"/>
      <c r="L7" s="57"/>
      <c r="M7" s="15"/>
      <c r="N7" s="15"/>
      <c r="O7" s="20" t="s">
        <v>664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133"/>
      <c r="D8" s="134"/>
      <c r="E8" s="129"/>
      <c r="F8" s="39"/>
      <c r="G8" s="39"/>
      <c r="H8" s="146"/>
      <c r="I8" s="84"/>
      <c r="J8" s="164"/>
      <c r="K8" s="164"/>
      <c r="L8" s="57"/>
      <c r="M8" s="49"/>
      <c r="N8" s="49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17"/>
      <c r="H9" s="217"/>
      <c r="I9" s="217">
        <f>SUM(I4:I8)</f>
        <v>1380</v>
      </c>
      <c r="J9" s="217"/>
      <c r="K9" s="217"/>
      <c r="L9" s="220"/>
      <c r="M9" s="217"/>
      <c r="N9" s="217"/>
      <c r="O9" s="217"/>
      <c r="P9" s="218"/>
      <c r="Q9" s="147"/>
    </row>
    <row r="10" spans="1:17" ht="24.75" customHeight="1" x14ac:dyDescent="0.25">
      <c r="A10" s="288" t="s">
        <v>31</v>
      </c>
      <c r="B10" s="42" t="s">
        <v>643</v>
      </c>
      <c r="C10" s="104">
        <v>43276</v>
      </c>
      <c r="D10" s="90" t="s">
        <v>93</v>
      </c>
      <c r="E10" s="144" t="s">
        <v>54</v>
      </c>
      <c r="F10" s="40" t="s">
        <v>539</v>
      </c>
      <c r="G10" s="40">
        <v>1356</v>
      </c>
      <c r="H10" s="149" t="s">
        <v>456</v>
      </c>
      <c r="I10" s="155">
        <v>384</v>
      </c>
      <c r="J10" s="155" t="s">
        <v>68</v>
      </c>
      <c r="K10" s="155"/>
      <c r="L10" s="53" t="s">
        <v>67</v>
      </c>
      <c r="M10" s="16"/>
      <c r="N10" s="16"/>
      <c r="O10" s="17" t="s">
        <v>661</v>
      </c>
      <c r="P10" s="18">
        <v>1</v>
      </c>
      <c r="Q10" s="19" t="s">
        <v>19</v>
      </c>
    </row>
    <row r="11" spans="1:17" ht="24.75" customHeight="1" x14ac:dyDescent="0.25">
      <c r="A11" s="288"/>
      <c r="B11" s="45" t="s">
        <v>114</v>
      </c>
      <c r="C11" s="313" t="s">
        <v>35</v>
      </c>
      <c r="D11" s="314"/>
      <c r="E11" s="129"/>
      <c r="F11" s="39"/>
      <c r="G11" s="39"/>
      <c r="H11" s="146"/>
      <c r="I11" s="164">
        <f>192+204</f>
        <v>396</v>
      </c>
      <c r="J11" s="164" t="s">
        <v>753</v>
      </c>
      <c r="K11" s="164"/>
      <c r="L11" s="57"/>
      <c r="M11" s="15"/>
      <c r="N11" s="15"/>
      <c r="O11" s="20" t="s">
        <v>662</v>
      </c>
      <c r="P11" s="21">
        <v>2</v>
      </c>
      <c r="Q11" s="22" t="s">
        <v>20</v>
      </c>
    </row>
    <row r="12" spans="1:17" ht="24.75" customHeight="1" x14ac:dyDescent="0.25">
      <c r="A12" s="288"/>
      <c r="B12" s="45" t="s">
        <v>754</v>
      </c>
      <c r="C12" s="133">
        <v>43283</v>
      </c>
      <c r="D12" s="134" t="s">
        <v>689</v>
      </c>
      <c r="E12" s="129" t="s">
        <v>755</v>
      </c>
      <c r="F12" s="39" t="s">
        <v>539</v>
      </c>
      <c r="G12" s="39">
        <v>120</v>
      </c>
      <c r="H12" s="146" t="s">
        <v>456</v>
      </c>
      <c r="I12" s="164">
        <v>120</v>
      </c>
      <c r="J12" s="164" t="s">
        <v>84</v>
      </c>
      <c r="K12" s="164"/>
      <c r="L12" s="57" t="s">
        <v>760</v>
      </c>
      <c r="M12" s="15"/>
      <c r="N12" s="15"/>
      <c r="O12" s="20" t="s">
        <v>663</v>
      </c>
      <c r="P12" s="21">
        <v>3</v>
      </c>
      <c r="Q12" s="22" t="s">
        <v>21</v>
      </c>
    </row>
    <row r="13" spans="1:17" ht="24.75" customHeight="1" x14ac:dyDescent="0.25">
      <c r="A13" s="288"/>
      <c r="B13" s="45" t="s">
        <v>756</v>
      </c>
      <c r="C13" s="133">
        <v>43271</v>
      </c>
      <c r="D13" s="134" t="s">
        <v>689</v>
      </c>
      <c r="E13" s="129" t="s">
        <v>755</v>
      </c>
      <c r="F13" s="39" t="s">
        <v>757</v>
      </c>
      <c r="G13" s="39">
        <v>180</v>
      </c>
      <c r="H13" s="146" t="s">
        <v>758</v>
      </c>
      <c r="I13" s="84">
        <v>180</v>
      </c>
      <c r="J13" s="164" t="s">
        <v>84</v>
      </c>
      <c r="K13" s="164"/>
      <c r="L13" s="57" t="s">
        <v>760</v>
      </c>
      <c r="M13" s="49"/>
      <c r="N13" s="49"/>
      <c r="O13" s="20"/>
      <c r="P13" s="21"/>
      <c r="Q13" s="22"/>
    </row>
    <row r="14" spans="1:17" ht="24.75" customHeight="1" x14ac:dyDescent="0.25">
      <c r="A14" s="288"/>
      <c r="B14" s="45" t="s">
        <v>759</v>
      </c>
      <c r="C14" s="133">
        <v>43282</v>
      </c>
      <c r="D14" s="134" t="s">
        <v>689</v>
      </c>
      <c r="E14" s="129" t="s">
        <v>755</v>
      </c>
      <c r="F14" s="39" t="s">
        <v>757</v>
      </c>
      <c r="G14" s="39">
        <v>120</v>
      </c>
      <c r="H14" s="146" t="s">
        <v>758</v>
      </c>
      <c r="I14" s="164">
        <v>120</v>
      </c>
      <c r="J14" s="164" t="s">
        <v>84</v>
      </c>
      <c r="K14" s="164"/>
      <c r="L14" s="57" t="s">
        <v>760</v>
      </c>
      <c r="M14" s="49"/>
      <c r="N14" s="49"/>
      <c r="O14" s="20" t="s">
        <v>664</v>
      </c>
      <c r="P14" s="21">
        <v>4</v>
      </c>
      <c r="Q14" s="22" t="s">
        <v>21</v>
      </c>
    </row>
    <row r="15" spans="1:17" ht="24.75" customHeight="1" x14ac:dyDescent="0.25">
      <c r="A15" s="288"/>
      <c r="B15" s="45"/>
      <c r="C15" s="133"/>
      <c r="D15" s="134"/>
      <c r="E15" s="129"/>
      <c r="F15" s="39"/>
      <c r="G15" s="39"/>
      <c r="H15" s="146"/>
      <c r="I15" s="164"/>
      <c r="J15" s="164"/>
      <c r="K15" s="164"/>
      <c r="L15" s="57"/>
      <c r="M15" s="49"/>
      <c r="N15" s="49"/>
      <c r="O15" s="100"/>
      <c r="P15" s="50"/>
      <c r="Q15" s="148"/>
    </row>
    <row r="16" spans="1:17" ht="24.7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17"/>
      <c r="H16" s="217"/>
      <c r="I16" s="217">
        <f>SUM(I10:I15)</f>
        <v>1200</v>
      </c>
      <c r="J16" s="217"/>
      <c r="K16" s="217"/>
      <c r="L16" s="220"/>
      <c r="M16" s="217"/>
      <c r="N16" s="217"/>
      <c r="O16" s="217"/>
      <c r="P16" s="217"/>
      <c r="Q16" s="151"/>
    </row>
    <row r="17" spans="1:17" ht="24.75" customHeight="1" x14ac:dyDescent="0.25">
      <c r="A17" s="287" t="s">
        <v>32</v>
      </c>
      <c r="B17" s="42" t="s">
        <v>647</v>
      </c>
      <c r="C17" s="104">
        <v>43285</v>
      </c>
      <c r="D17" s="90" t="s">
        <v>93</v>
      </c>
      <c r="E17" s="144" t="s">
        <v>54</v>
      </c>
      <c r="F17" s="40" t="s">
        <v>240</v>
      </c>
      <c r="G17" s="40">
        <v>4224</v>
      </c>
      <c r="H17" s="149" t="s">
        <v>241</v>
      </c>
      <c r="I17" s="155">
        <v>360</v>
      </c>
      <c r="J17" s="155" t="s">
        <v>77</v>
      </c>
      <c r="K17" s="155"/>
      <c r="L17" s="53" t="s">
        <v>547</v>
      </c>
      <c r="M17" s="16"/>
      <c r="N17" s="16"/>
      <c r="O17" s="17" t="s">
        <v>661</v>
      </c>
      <c r="P17" s="18">
        <v>1</v>
      </c>
      <c r="Q17" s="19" t="s">
        <v>19</v>
      </c>
    </row>
    <row r="18" spans="1:17" ht="24.75" customHeight="1" x14ac:dyDescent="0.25">
      <c r="A18" s="288"/>
      <c r="B18" s="127" t="s">
        <v>648</v>
      </c>
      <c r="C18" s="133"/>
      <c r="D18" s="134"/>
      <c r="E18" s="129"/>
      <c r="F18" s="38"/>
      <c r="G18" s="38"/>
      <c r="H18" s="154"/>
      <c r="I18" s="164">
        <v>180</v>
      </c>
      <c r="J18" s="164" t="s">
        <v>182</v>
      </c>
      <c r="K18" s="164"/>
      <c r="L18" s="57"/>
      <c r="M18" s="15"/>
      <c r="N18" s="15"/>
      <c r="O18" s="20" t="s">
        <v>662</v>
      </c>
      <c r="P18" s="21">
        <v>2</v>
      </c>
      <c r="Q18" s="22" t="s">
        <v>20</v>
      </c>
    </row>
    <row r="19" spans="1:17" ht="24.75" customHeight="1" x14ac:dyDescent="0.25">
      <c r="A19" s="288"/>
      <c r="B19" s="45"/>
      <c r="C19" s="133"/>
      <c r="D19" s="134"/>
      <c r="E19" s="129"/>
      <c r="F19" s="39"/>
      <c r="G19" s="39"/>
      <c r="H19" s="130"/>
      <c r="I19" s="128">
        <v>180</v>
      </c>
      <c r="J19" s="38" t="s">
        <v>246</v>
      </c>
      <c r="K19" s="38"/>
      <c r="L19" s="44"/>
      <c r="M19" s="15"/>
      <c r="N19" s="15"/>
      <c r="O19" s="20" t="s">
        <v>663</v>
      </c>
      <c r="P19" s="21">
        <v>3</v>
      </c>
      <c r="Q19" s="22" t="s">
        <v>21</v>
      </c>
    </row>
    <row r="20" spans="1:17" ht="24.75" customHeight="1" x14ac:dyDescent="0.25">
      <c r="A20" s="288"/>
      <c r="B20" s="45"/>
      <c r="C20" s="133"/>
      <c r="D20" s="134"/>
      <c r="E20" s="129"/>
      <c r="F20" s="39"/>
      <c r="G20" s="39"/>
      <c r="H20" s="130"/>
      <c r="I20" s="164">
        <v>180</v>
      </c>
      <c r="J20" s="164" t="s">
        <v>771</v>
      </c>
      <c r="K20" s="164"/>
      <c r="L20" s="57"/>
      <c r="M20" s="49"/>
      <c r="N20" s="49"/>
      <c r="O20" s="20" t="s">
        <v>664</v>
      </c>
      <c r="P20" s="21">
        <v>4</v>
      </c>
      <c r="Q20" s="22" t="s">
        <v>21</v>
      </c>
    </row>
    <row r="21" spans="1:17" ht="24.75" customHeight="1" x14ac:dyDescent="0.25">
      <c r="A21" s="288"/>
      <c r="B21" s="127"/>
      <c r="C21" s="133"/>
      <c r="D21" s="134"/>
      <c r="E21" s="129"/>
      <c r="F21" s="38"/>
      <c r="G21" s="38"/>
      <c r="H21" s="154"/>
      <c r="I21" s="164"/>
      <c r="J21" s="164"/>
      <c r="K21" s="164"/>
      <c r="L21" s="57"/>
      <c r="M21" s="49"/>
      <c r="N21" s="49"/>
      <c r="O21" s="20"/>
      <c r="P21" s="21"/>
      <c r="Q21" s="22"/>
    </row>
    <row r="22" spans="1:17" ht="24.7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217"/>
      <c r="H22" s="217"/>
      <c r="I22" s="217">
        <f>SUM(I17:I21)</f>
        <v>900</v>
      </c>
      <c r="J22" s="217"/>
      <c r="K22" s="217"/>
      <c r="L22" s="220"/>
      <c r="M22" s="217"/>
      <c r="N22" s="217"/>
      <c r="O22" s="217"/>
      <c r="P22" s="217"/>
      <c r="Q22" s="147"/>
    </row>
    <row r="23" spans="1:17" ht="29.25" customHeight="1" thickBot="1" x14ac:dyDescent="0.3">
      <c r="A23" s="73"/>
      <c r="B23" s="64"/>
      <c r="C23" s="65"/>
      <c r="D23" s="66"/>
      <c r="E23" s="67"/>
      <c r="F23" s="68"/>
      <c r="G23" s="67"/>
      <c r="H23" s="67"/>
      <c r="I23" s="69">
        <f>SUM(I22,I16,I9)</f>
        <v>3480</v>
      </c>
      <c r="J23" s="70"/>
      <c r="K23" s="70"/>
      <c r="L23" s="65"/>
      <c r="M23" s="71"/>
      <c r="N23" s="69"/>
      <c r="O23" s="70"/>
      <c r="P23" s="70"/>
      <c r="Q23" s="72"/>
    </row>
    <row r="24" spans="1:17" ht="17.25" thickTop="1" x14ac:dyDescent="0.3">
      <c r="A24" s="23" t="s">
        <v>22</v>
      </c>
      <c r="B24" s="24"/>
      <c r="C24" s="25"/>
      <c r="D24" s="24"/>
      <c r="E24" s="24"/>
      <c r="F24" s="26"/>
      <c r="G24" s="27"/>
      <c r="H24" s="28" t="s">
        <v>23</v>
      </c>
      <c r="I24" s="29"/>
      <c r="J24" s="29"/>
      <c r="K24" s="29"/>
      <c r="L24" s="30"/>
      <c r="M24" s="29"/>
      <c r="N24" s="29"/>
      <c r="O24" s="29"/>
      <c r="P24" s="219" t="s">
        <v>24</v>
      </c>
      <c r="Q24" s="31"/>
    </row>
    <row r="25" spans="1:17" ht="16.5" x14ac:dyDescent="0.3">
      <c r="A25" s="1"/>
      <c r="B25" s="32">
        <v>1</v>
      </c>
      <c r="C25" s="33"/>
      <c r="D25" s="32"/>
      <c r="E25" s="32"/>
      <c r="F25" s="304" t="s">
        <v>25</v>
      </c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</row>
    <row r="26" spans="1:17" ht="16.5" x14ac:dyDescent="0.3">
      <c r="A26" s="297" t="s">
        <v>26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</row>
    <row r="27" spans="1:17" ht="16.5" x14ac:dyDescent="0.3">
      <c r="A27" s="1"/>
      <c r="B27" s="34">
        <v>2</v>
      </c>
      <c r="C27" s="35"/>
      <c r="D27" s="36"/>
      <c r="E27" s="36"/>
      <c r="F27" s="298" t="s">
        <v>27</v>
      </c>
      <c r="G27" s="298"/>
      <c r="H27" s="298"/>
      <c r="I27" s="298"/>
      <c r="J27" s="298"/>
      <c r="K27" s="298"/>
      <c r="L27" s="298"/>
      <c r="M27" s="298"/>
      <c r="N27" s="298"/>
      <c r="O27" s="298"/>
      <c r="P27" s="76" t="s">
        <v>28</v>
      </c>
      <c r="Q27" s="75"/>
    </row>
    <row r="28" spans="1:17" ht="16.5" x14ac:dyDescent="0.3">
      <c r="A28" s="1"/>
      <c r="B28" s="297" t="s">
        <v>29</v>
      </c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1"/>
      <c r="Q28" s="1"/>
    </row>
    <row r="29" spans="1:17" x14ac:dyDescent="0.25">
      <c r="O29" s="74"/>
    </row>
  </sheetData>
  <mergeCells count="16">
    <mergeCell ref="A1:Q1"/>
    <mergeCell ref="A2:B2"/>
    <mergeCell ref="C2:E2"/>
    <mergeCell ref="F2:G2"/>
    <mergeCell ref="O2:Q2"/>
    <mergeCell ref="B28:O28"/>
    <mergeCell ref="C11:D11"/>
    <mergeCell ref="A10:A16"/>
    <mergeCell ref="C16:F16"/>
    <mergeCell ref="A17:A22"/>
    <mergeCell ref="C22:F22"/>
    <mergeCell ref="A4:A9"/>
    <mergeCell ref="C9:F9"/>
    <mergeCell ref="F25:Q25"/>
    <mergeCell ref="A26:Q26"/>
    <mergeCell ref="F27:O27"/>
  </mergeCells>
  <phoneticPr fontId="40" type="noConversion"/>
  <pageMargins left="0" right="0" top="0" bottom="0" header="0" footer="0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10" zoomScaleNormal="100" workbookViewId="0">
      <selection activeCell="B18" sqref="B18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43258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43259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776</v>
      </c>
      <c r="C4" s="140">
        <v>43265</v>
      </c>
      <c r="D4" s="77" t="s">
        <v>55</v>
      </c>
      <c r="E4" s="41" t="s">
        <v>54</v>
      </c>
      <c r="F4" s="40" t="s">
        <v>670</v>
      </c>
      <c r="G4" s="40">
        <v>120</v>
      </c>
      <c r="H4" s="41" t="s">
        <v>667</v>
      </c>
      <c r="I4" s="40">
        <v>120</v>
      </c>
      <c r="J4" s="40" t="s">
        <v>173</v>
      </c>
      <c r="K4" s="40"/>
      <c r="L4" s="54" t="s">
        <v>63</v>
      </c>
      <c r="M4" s="16"/>
      <c r="N4" s="16"/>
      <c r="O4" s="17" t="s">
        <v>772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777</v>
      </c>
      <c r="C5" s="141">
        <v>43265</v>
      </c>
      <c r="D5" s="78" t="s">
        <v>55</v>
      </c>
      <c r="E5" s="60" t="s">
        <v>54</v>
      </c>
      <c r="F5" s="38" t="s">
        <v>778</v>
      </c>
      <c r="G5" s="38">
        <v>288</v>
      </c>
      <c r="H5" s="60" t="s">
        <v>667</v>
      </c>
      <c r="I5" s="38">
        <v>288</v>
      </c>
      <c r="J5" s="38" t="s">
        <v>173</v>
      </c>
      <c r="K5" s="38"/>
      <c r="L5" s="44" t="s">
        <v>63</v>
      </c>
      <c r="M5" s="15"/>
      <c r="N5" s="63"/>
      <c r="O5" s="20"/>
      <c r="P5" s="21"/>
      <c r="Q5" s="22"/>
    </row>
    <row r="6" spans="1:17" ht="22.5" customHeight="1" x14ac:dyDescent="0.25">
      <c r="A6" s="288"/>
      <c r="B6" s="43" t="s">
        <v>779</v>
      </c>
      <c r="C6" s="141">
        <v>43265</v>
      </c>
      <c r="D6" s="78" t="s">
        <v>59</v>
      </c>
      <c r="E6" s="60" t="s">
        <v>54</v>
      </c>
      <c r="F6" s="38" t="s">
        <v>778</v>
      </c>
      <c r="G6" s="38">
        <v>2412</v>
      </c>
      <c r="H6" s="60" t="s">
        <v>667</v>
      </c>
      <c r="I6" s="38">
        <v>432</v>
      </c>
      <c r="J6" s="38" t="s">
        <v>77</v>
      </c>
      <c r="K6" s="38"/>
      <c r="L6" s="44" t="s">
        <v>63</v>
      </c>
      <c r="M6" s="15"/>
      <c r="N6" s="63"/>
      <c r="O6" s="20" t="s">
        <v>773</v>
      </c>
      <c r="P6" s="21">
        <v>2</v>
      </c>
      <c r="Q6" s="22" t="s">
        <v>20</v>
      </c>
    </row>
    <row r="7" spans="1:17" ht="22.5" customHeight="1" x14ac:dyDescent="0.25">
      <c r="A7" s="288"/>
      <c r="B7" s="43" t="s">
        <v>780</v>
      </c>
      <c r="C7" s="58"/>
      <c r="D7" s="78"/>
      <c r="E7" s="60"/>
      <c r="F7" s="38"/>
      <c r="G7" s="38"/>
      <c r="H7" s="60"/>
      <c r="I7" s="38">
        <v>432</v>
      </c>
      <c r="J7" s="38" t="s">
        <v>169</v>
      </c>
      <c r="K7" s="38"/>
      <c r="L7" s="44"/>
      <c r="M7" s="15"/>
      <c r="N7" s="63"/>
      <c r="O7" s="20" t="s">
        <v>774</v>
      </c>
      <c r="P7" s="21">
        <v>3</v>
      </c>
      <c r="Q7" s="22" t="s">
        <v>21</v>
      </c>
    </row>
    <row r="8" spans="1:17" ht="22.5" customHeight="1" x14ac:dyDescent="0.25">
      <c r="A8" s="288"/>
      <c r="B8" s="43"/>
      <c r="C8" s="58"/>
      <c r="D8" s="78"/>
      <c r="E8" s="60"/>
      <c r="F8" s="38"/>
      <c r="G8" s="38"/>
      <c r="H8" s="60"/>
      <c r="I8" s="38">
        <v>432</v>
      </c>
      <c r="J8" s="38" t="s">
        <v>127</v>
      </c>
      <c r="K8" s="38"/>
      <c r="L8" s="44"/>
      <c r="M8" s="15"/>
      <c r="N8" s="63"/>
      <c r="O8" s="20" t="s">
        <v>775</v>
      </c>
      <c r="P8" s="21">
        <v>4</v>
      </c>
      <c r="Q8" s="22" t="s">
        <v>21</v>
      </c>
    </row>
    <row r="9" spans="1:17" ht="22.5" customHeight="1" x14ac:dyDescent="0.25">
      <c r="A9" s="288"/>
      <c r="B9" s="43"/>
      <c r="C9" s="58"/>
      <c r="D9" s="78"/>
      <c r="E9" s="60"/>
      <c r="F9" s="38"/>
      <c r="G9" s="38"/>
      <c r="H9" s="60"/>
      <c r="I9" s="38"/>
      <c r="J9" s="38"/>
      <c r="K9" s="38"/>
      <c r="L9" s="44"/>
      <c r="M9" s="15"/>
      <c r="N9" s="63"/>
      <c r="O9" s="20"/>
      <c r="P9" s="21"/>
      <c r="Q9" s="22"/>
    </row>
    <row r="10" spans="1:17" ht="22.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24"/>
      <c r="H10" s="224"/>
      <c r="I10" s="224">
        <f>SUM(I4:I9)</f>
        <v>1704</v>
      </c>
      <c r="J10" s="224"/>
      <c r="K10" s="224"/>
      <c r="L10" s="227"/>
      <c r="M10" s="224"/>
      <c r="N10" s="224"/>
      <c r="O10" s="224"/>
      <c r="P10" s="225"/>
      <c r="Q10" s="225"/>
    </row>
    <row r="11" spans="1:17" ht="22.5" customHeight="1" x14ac:dyDescent="0.25">
      <c r="A11" s="287" t="s">
        <v>39</v>
      </c>
      <c r="B11" s="42" t="s">
        <v>136</v>
      </c>
      <c r="C11" s="140">
        <v>43264</v>
      </c>
      <c r="D11" s="77" t="s">
        <v>59</v>
      </c>
      <c r="E11" s="41" t="s">
        <v>54</v>
      </c>
      <c r="F11" s="40" t="s">
        <v>137</v>
      </c>
      <c r="G11" s="40">
        <v>16104</v>
      </c>
      <c r="H11" s="41" t="s">
        <v>89</v>
      </c>
      <c r="I11" s="40">
        <v>432</v>
      </c>
      <c r="J11" s="40" t="s">
        <v>781</v>
      </c>
      <c r="K11" s="40"/>
      <c r="L11" s="54" t="s">
        <v>63</v>
      </c>
      <c r="M11" s="16"/>
      <c r="N11" s="16"/>
      <c r="O11" s="17" t="s">
        <v>772</v>
      </c>
      <c r="P11" s="18">
        <v>1</v>
      </c>
      <c r="Q11" s="19" t="s">
        <v>19</v>
      </c>
    </row>
    <row r="12" spans="1:17" ht="22.5" customHeight="1" x14ac:dyDescent="0.25">
      <c r="A12" s="288"/>
      <c r="B12" s="111" t="s">
        <v>138</v>
      </c>
      <c r="C12" s="58"/>
      <c r="D12" s="78"/>
      <c r="E12" s="48"/>
      <c r="F12" s="164"/>
      <c r="G12" s="164"/>
      <c r="H12" s="48"/>
      <c r="I12" s="164">
        <v>432</v>
      </c>
      <c r="J12" s="164" t="s">
        <v>782</v>
      </c>
      <c r="K12" s="164"/>
      <c r="L12" s="57"/>
      <c r="M12" s="49"/>
      <c r="N12" s="63"/>
      <c r="O12" s="20" t="s">
        <v>773</v>
      </c>
      <c r="P12" s="21">
        <v>2</v>
      </c>
      <c r="Q12" s="22" t="s">
        <v>20</v>
      </c>
    </row>
    <row r="13" spans="1:17" ht="22.5" customHeight="1" x14ac:dyDescent="0.25">
      <c r="A13" s="288"/>
      <c r="B13" s="111"/>
      <c r="C13" s="58"/>
      <c r="D13" s="78"/>
      <c r="E13" s="48"/>
      <c r="F13" s="164"/>
      <c r="G13" s="164"/>
      <c r="H13" s="48"/>
      <c r="I13" s="164">
        <v>432</v>
      </c>
      <c r="J13" s="164" t="s">
        <v>783</v>
      </c>
      <c r="K13" s="164"/>
      <c r="L13" s="57"/>
      <c r="M13" s="49"/>
      <c r="N13" s="63"/>
      <c r="O13" s="20" t="s">
        <v>774</v>
      </c>
      <c r="P13" s="21">
        <v>3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>
        <v>216</v>
      </c>
      <c r="J14" s="164" t="s">
        <v>865</v>
      </c>
      <c r="K14" s="164"/>
      <c r="L14" s="57"/>
      <c r="M14" s="49"/>
      <c r="N14" s="63"/>
      <c r="O14" s="20" t="s">
        <v>775</v>
      </c>
      <c r="P14" s="21">
        <v>4</v>
      </c>
      <c r="Q14" s="22" t="s">
        <v>21</v>
      </c>
    </row>
    <row r="15" spans="1:17" ht="22.5" customHeight="1" x14ac:dyDescent="0.25">
      <c r="A15" s="288"/>
      <c r="B15" s="45"/>
      <c r="C15" s="58"/>
      <c r="D15" s="78"/>
      <c r="E15" s="129"/>
      <c r="F15" s="164"/>
      <c r="G15" s="164"/>
      <c r="H15" s="48"/>
      <c r="I15" s="164"/>
      <c r="J15" s="164"/>
      <c r="K15" s="164"/>
      <c r="L15" s="57"/>
      <c r="M15" s="49"/>
      <c r="N15" s="15"/>
      <c r="O15" s="20"/>
      <c r="P15" s="21"/>
      <c r="Q15" s="22"/>
    </row>
    <row r="16" spans="1:17" ht="22.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24"/>
      <c r="H16" s="224"/>
      <c r="I16" s="224">
        <f>SUM(I11:I15)</f>
        <v>1512</v>
      </c>
      <c r="J16" s="224"/>
      <c r="K16" s="224"/>
      <c r="L16" s="227"/>
      <c r="M16" s="224"/>
      <c r="N16" s="224"/>
      <c r="O16" s="224"/>
      <c r="P16" s="225"/>
      <c r="Q16" s="225"/>
    </row>
    <row r="17" spans="1:17" ht="22.5" customHeight="1" x14ac:dyDescent="0.25">
      <c r="A17" s="287" t="s">
        <v>37</v>
      </c>
      <c r="B17" s="42" t="s">
        <v>763</v>
      </c>
      <c r="C17" s="244">
        <v>43269</v>
      </c>
      <c r="D17" s="52" t="s">
        <v>59</v>
      </c>
      <c r="E17" s="41" t="s">
        <v>54</v>
      </c>
      <c r="F17" s="40" t="s">
        <v>116</v>
      </c>
      <c r="G17" s="155">
        <v>660</v>
      </c>
      <c r="H17" s="81" t="s">
        <v>117</v>
      </c>
      <c r="I17" s="155">
        <f>660-216</f>
        <v>444</v>
      </c>
      <c r="J17" s="155" t="s">
        <v>784</v>
      </c>
      <c r="K17" s="155"/>
      <c r="L17" s="53" t="s">
        <v>765</v>
      </c>
      <c r="M17" s="16"/>
      <c r="N17" s="16"/>
      <c r="O17" s="17" t="s">
        <v>772</v>
      </c>
      <c r="P17" s="18">
        <v>1</v>
      </c>
      <c r="Q17" s="19" t="s">
        <v>19</v>
      </c>
    </row>
    <row r="18" spans="1:17" ht="22.5" customHeight="1" x14ac:dyDescent="0.25">
      <c r="A18" s="288"/>
      <c r="B18" s="45" t="s">
        <v>785</v>
      </c>
      <c r="C18" s="245">
        <v>43269</v>
      </c>
      <c r="D18" s="47" t="s">
        <v>59</v>
      </c>
      <c r="E18" s="60" t="s">
        <v>54</v>
      </c>
      <c r="F18" s="38" t="s">
        <v>116</v>
      </c>
      <c r="G18" s="164">
        <v>1560</v>
      </c>
      <c r="H18" s="48" t="s">
        <v>117</v>
      </c>
      <c r="I18" s="164">
        <v>432</v>
      </c>
      <c r="J18" s="164" t="s">
        <v>77</v>
      </c>
      <c r="K18" s="164"/>
      <c r="L18" s="57" t="s">
        <v>786</v>
      </c>
      <c r="M18" s="63"/>
      <c r="N18" s="63"/>
      <c r="O18" s="20" t="s">
        <v>773</v>
      </c>
      <c r="P18" s="21">
        <v>2</v>
      </c>
      <c r="Q18" s="22" t="s">
        <v>20</v>
      </c>
    </row>
    <row r="19" spans="1:17" ht="22.5" customHeight="1" x14ac:dyDescent="0.25">
      <c r="A19" s="288"/>
      <c r="B19" s="45" t="s">
        <v>114</v>
      </c>
      <c r="C19" s="46"/>
      <c r="D19" s="47"/>
      <c r="E19" s="60"/>
      <c r="F19" s="38"/>
      <c r="G19" s="164"/>
      <c r="H19" s="48"/>
      <c r="I19" s="164">
        <v>432</v>
      </c>
      <c r="J19" s="164" t="s">
        <v>169</v>
      </c>
      <c r="K19" s="164"/>
      <c r="L19" s="57"/>
      <c r="M19" s="15"/>
      <c r="N19" s="15"/>
      <c r="O19" s="20" t="s">
        <v>774</v>
      </c>
      <c r="P19" s="21">
        <v>3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>
        <v>432</v>
      </c>
      <c r="J20" s="164" t="s">
        <v>127</v>
      </c>
      <c r="K20" s="164"/>
      <c r="L20" s="57"/>
      <c r="M20" s="15"/>
      <c r="N20" s="15"/>
      <c r="O20" s="20" t="s">
        <v>775</v>
      </c>
      <c r="P20" s="21">
        <v>4</v>
      </c>
      <c r="Q20" s="22" t="s">
        <v>21</v>
      </c>
    </row>
    <row r="21" spans="1:17" ht="22.5" customHeight="1" x14ac:dyDescent="0.25">
      <c r="A21" s="288"/>
      <c r="B21" s="45"/>
      <c r="C21" s="46"/>
      <c r="D21" s="47"/>
      <c r="E21" s="60"/>
      <c r="F21" s="38"/>
      <c r="G21" s="164"/>
      <c r="H21" s="48"/>
      <c r="I21" s="164"/>
      <c r="J21" s="164"/>
      <c r="K21" s="164"/>
      <c r="L21" s="57"/>
      <c r="M21" s="15"/>
      <c r="N21" s="15"/>
      <c r="O21" s="20"/>
      <c r="P21" s="21"/>
      <c r="Q21" s="22"/>
    </row>
    <row r="22" spans="1:17" ht="22.5" customHeight="1" thickBot="1" x14ac:dyDescent="0.3">
      <c r="A22" s="289"/>
      <c r="B22" s="93" t="s">
        <v>64</v>
      </c>
      <c r="C22" s="290" t="s">
        <v>98</v>
      </c>
      <c r="D22" s="291"/>
      <c r="E22" s="291"/>
      <c r="F22" s="292"/>
      <c r="G22" s="224"/>
      <c r="H22" s="224"/>
      <c r="I22" s="224">
        <f>SUM(I17:I21)</f>
        <v>1740</v>
      </c>
      <c r="J22" s="224"/>
      <c r="K22" s="224"/>
      <c r="L22" s="227"/>
      <c r="M22" s="224"/>
      <c r="N22" s="224"/>
      <c r="O22" s="224"/>
      <c r="P22" s="225"/>
      <c r="Q22" s="225"/>
    </row>
    <row r="23" spans="1:17" ht="22.5" customHeight="1" x14ac:dyDescent="0.25">
      <c r="A23" s="287" t="s">
        <v>38</v>
      </c>
      <c r="B23" s="42" t="s">
        <v>581</v>
      </c>
      <c r="C23" s="140">
        <v>43265</v>
      </c>
      <c r="D23" s="77" t="s">
        <v>59</v>
      </c>
      <c r="E23" s="41" t="s">
        <v>54</v>
      </c>
      <c r="F23" s="40" t="s">
        <v>582</v>
      </c>
      <c r="G23" s="40">
        <v>2640</v>
      </c>
      <c r="H23" s="109" t="s">
        <v>492</v>
      </c>
      <c r="I23" s="40">
        <f>2640-216*10</f>
        <v>480</v>
      </c>
      <c r="J23" s="40" t="s">
        <v>122</v>
      </c>
      <c r="K23" s="40"/>
      <c r="L23" s="54" t="s">
        <v>80</v>
      </c>
      <c r="M23" s="16"/>
      <c r="N23" s="16"/>
      <c r="O23" s="17" t="s">
        <v>772</v>
      </c>
      <c r="P23" s="18">
        <v>1</v>
      </c>
      <c r="Q23" s="19" t="s">
        <v>19</v>
      </c>
    </row>
    <row r="24" spans="1:17" ht="22.5" customHeight="1" x14ac:dyDescent="0.25">
      <c r="A24" s="288"/>
      <c r="B24" s="111" t="s">
        <v>787</v>
      </c>
      <c r="C24" s="141">
        <v>43265</v>
      </c>
      <c r="D24" s="78" t="s">
        <v>59</v>
      </c>
      <c r="E24" s="48" t="s">
        <v>54</v>
      </c>
      <c r="F24" s="164" t="s">
        <v>788</v>
      </c>
      <c r="G24" s="164">
        <v>2004</v>
      </c>
      <c r="H24" s="48" t="s">
        <v>789</v>
      </c>
      <c r="I24" s="164">
        <v>432</v>
      </c>
      <c r="J24" s="164" t="s">
        <v>77</v>
      </c>
      <c r="K24" s="164"/>
      <c r="L24" s="57" t="s">
        <v>790</v>
      </c>
      <c r="M24" s="15"/>
      <c r="N24" s="15"/>
      <c r="O24" s="20" t="s">
        <v>773</v>
      </c>
      <c r="P24" s="21">
        <v>2</v>
      </c>
      <c r="Q24" s="22" t="s">
        <v>20</v>
      </c>
    </row>
    <row r="25" spans="1:17" ht="22.5" customHeight="1" x14ac:dyDescent="0.25">
      <c r="A25" s="288"/>
      <c r="B25" s="111" t="s">
        <v>106</v>
      </c>
      <c r="C25" s="58"/>
      <c r="D25" s="78"/>
      <c r="E25" s="48"/>
      <c r="F25" s="164"/>
      <c r="G25" s="164"/>
      <c r="H25" s="48"/>
      <c r="I25" s="164">
        <v>216</v>
      </c>
      <c r="J25" s="164" t="s">
        <v>182</v>
      </c>
      <c r="K25" s="164"/>
      <c r="L25" s="57"/>
      <c r="M25" s="49"/>
      <c r="N25" s="15"/>
      <c r="O25" s="20" t="s">
        <v>774</v>
      </c>
      <c r="P25" s="21">
        <v>3</v>
      </c>
      <c r="Q25" s="22" t="s">
        <v>21</v>
      </c>
    </row>
    <row r="26" spans="1:17" ht="22.5" customHeight="1" x14ac:dyDescent="0.25">
      <c r="A26" s="288"/>
      <c r="B26" s="111"/>
      <c r="C26" s="58"/>
      <c r="D26" s="78"/>
      <c r="E26" s="48"/>
      <c r="F26" s="164"/>
      <c r="G26" s="164"/>
      <c r="H26" s="48"/>
      <c r="I26" s="84">
        <v>216</v>
      </c>
      <c r="J26" s="164" t="s">
        <v>866</v>
      </c>
      <c r="K26" s="164"/>
      <c r="L26" s="57"/>
      <c r="M26" s="15"/>
      <c r="N26" s="15"/>
      <c r="O26" s="20" t="s">
        <v>775</v>
      </c>
      <c r="P26" s="21">
        <v>4</v>
      </c>
      <c r="Q26" s="22" t="s">
        <v>21</v>
      </c>
    </row>
    <row r="27" spans="1:17" ht="22.5" customHeight="1" x14ac:dyDescent="0.25">
      <c r="A27" s="288"/>
      <c r="B27" s="111"/>
      <c r="C27" s="58"/>
      <c r="D27" s="78"/>
      <c r="E27" s="48"/>
      <c r="F27" s="164"/>
      <c r="G27" s="164"/>
      <c r="H27" s="48"/>
      <c r="I27" s="164"/>
      <c r="J27" s="164"/>
      <c r="K27" s="164"/>
      <c r="L27" s="57"/>
      <c r="M27" s="15"/>
      <c r="N27" s="15"/>
      <c r="O27" s="20"/>
      <c r="P27" s="21"/>
      <c r="Q27" s="22"/>
    </row>
    <row r="28" spans="1:17" ht="22.5" customHeight="1" thickBot="1" x14ac:dyDescent="0.3">
      <c r="A28" s="289"/>
      <c r="B28" s="93" t="s">
        <v>64</v>
      </c>
      <c r="C28" s="301" t="s">
        <v>98</v>
      </c>
      <c r="D28" s="302"/>
      <c r="E28" s="302"/>
      <c r="F28" s="303"/>
      <c r="G28" s="224"/>
      <c r="H28" s="224"/>
      <c r="I28" s="224">
        <f>SUM(I23:I27)</f>
        <v>1344</v>
      </c>
      <c r="J28" s="224"/>
      <c r="K28" s="224"/>
      <c r="L28" s="227"/>
      <c r="M28" s="224"/>
      <c r="N28" s="224"/>
      <c r="O28" s="224"/>
      <c r="P28" s="225"/>
      <c r="Q28" s="225"/>
    </row>
    <row r="29" spans="1:17" ht="29.2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SUM(I28,I22,I16,I10)</f>
        <v>6300</v>
      </c>
      <c r="J29" s="70"/>
      <c r="K29" s="70"/>
      <c r="L29" s="65"/>
      <c r="M29" s="71"/>
      <c r="N29" s="69"/>
      <c r="O29" s="70"/>
      <c r="P29" s="70"/>
      <c r="Q29" s="72"/>
    </row>
    <row r="30" spans="1:17" ht="17.25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26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18">
    <mergeCell ref="F31:Q31"/>
    <mergeCell ref="B32:Q32"/>
    <mergeCell ref="F33:O33"/>
    <mergeCell ref="P33:Q33"/>
    <mergeCell ref="B34:O34"/>
    <mergeCell ref="A11:A16"/>
    <mergeCell ref="C16:F16"/>
    <mergeCell ref="A17:A22"/>
    <mergeCell ref="C22:F22"/>
    <mergeCell ref="A23:A28"/>
    <mergeCell ref="C28:F28"/>
    <mergeCell ref="A4:A10"/>
    <mergeCell ref="C10:F10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7"/>
  <sheetViews>
    <sheetView topLeftCell="A2" zoomScaleNormal="100" workbookViewId="0">
      <selection activeCell="B8" sqref="B8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43258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43259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685</v>
      </c>
      <c r="C4" s="140">
        <v>43274</v>
      </c>
      <c r="D4" s="77" t="s">
        <v>93</v>
      </c>
      <c r="E4" s="81" t="s">
        <v>34</v>
      </c>
      <c r="F4" s="40" t="s">
        <v>76</v>
      </c>
      <c r="G4" s="155">
        <v>1920</v>
      </c>
      <c r="H4" s="81" t="s">
        <v>51</v>
      </c>
      <c r="I4" s="155">
        <v>432</v>
      </c>
      <c r="J4" s="81" t="s">
        <v>132</v>
      </c>
      <c r="K4" s="155"/>
      <c r="L4" s="123" t="s">
        <v>193</v>
      </c>
      <c r="M4" s="16"/>
      <c r="N4" s="16"/>
      <c r="O4" s="17" t="s">
        <v>772</v>
      </c>
      <c r="P4" s="18">
        <v>1</v>
      </c>
      <c r="Q4" s="19" t="s">
        <v>19</v>
      </c>
    </row>
    <row r="5" spans="1:17" ht="21.75" customHeight="1" x14ac:dyDescent="0.25">
      <c r="A5" s="288"/>
      <c r="B5" s="43" t="s">
        <v>106</v>
      </c>
      <c r="C5" s="141"/>
      <c r="D5" s="78"/>
      <c r="E5" s="60"/>
      <c r="F5" s="38"/>
      <c r="G5" s="38"/>
      <c r="H5" s="60"/>
      <c r="I5" s="38">
        <f>1920-216*8</f>
        <v>192</v>
      </c>
      <c r="J5" s="60" t="s">
        <v>243</v>
      </c>
      <c r="K5" s="38"/>
      <c r="L5" s="91"/>
      <c r="M5" s="49"/>
      <c r="N5" s="15"/>
      <c r="O5" s="20" t="s">
        <v>773</v>
      </c>
      <c r="P5" s="21">
        <v>2</v>
      </c>
      <c r="Q5" s="22" t="s">
        <v>20</v>
      </c>
    </row>
    <row r="6" spans="1:17" ht="21.75" customHeight="1" x14ac:dyDescent="0.25">
      <c r="A6" s="288"/>
      <c r="B6" s="43" t="s">
        <v>791</v>
      </c>
      <c r="C6" s="141">
        <v>43274</v>
      </c>
      <c r="D6" s="78" t="s">
        <v>93</v>
      </c>
      <c r="E6" s="60" t="s">
        <v>34</v>
      </c>
      <c r="F6" s="38" t="s">
        <v>76</v>
      </c>
      <c r="G6" s="38">
        <v>396</v>
      </c>
      <c r="H6" s="60" t="s">
        <v>51</v>
      </c>
      <c r="I6" s="38">
        <v>396</v>
      </c>
      <c r="J6" s="60" t="s">
        <v>77</v>
      </c>
      <c r="K6" s="38"/>
      <c r="L6" s="91" t="s">
        <v>794</v>
      </c>
      <c r="M6" s="49"/>
      <c r="N6" s="15"/>
      <c r="O6" s="20" t="s">
        <v>774</v>
      </c>
      <c r="P6" s="21">
        <v>3</v>
      </c>
      <c r="Q6" s="22" t="s">
        <v>21</v>
      </c>
    </row>
    <row r="7" spans="1:17" ht="21.75" customHeight="1" x14ac:dyDescent="0.25">
      <c r="A7" s="288"/>
      <c r="B7" s="43" t="s">
        <v>792</v>
      </c>
      <c r="C7" s="141">
        <v>43281</v>
      </c>
      <c r="D7" s="78" t="s">
        <v>59</v>
      </c>
      <c r="E7" s="60" t="s">
        <v>34</v>
      </c>
      <c r="F7" s="38" t="s">
        <v>76</v>
      </c>
      <c r="G7" s="38">
        <v>132</v>
      </c>
      <c r="H7" s="60" t="s">
        <v>51</v>
      </c>
      <c r="I7" s="38">
        <v>132</v>
      </c>
      <c r="J7" s="60" t="s">
        <v>173</v>
      </c>
      <c r="K7" s="38"/>
      <c r="L7" s="91" t="s">
        <v>795</v>
      </c>
      <c r="M7" s="49"/>
      <c r="N7" s="15"/>
      <c r="O7" s="20"/>
      <c r="P7" s="21"/>
      <c r="Q7" s="22"/>
    </row>
    <row r="8" spans="1:17" ht="21.75" customHeight="1" x14ac:dyDescent="0.25">
      <c r="A8" s="288"/>
      <c r="B8" s="45" t="s">
        <v>793</v>
      </c>
      <c r="C8" s="141">
        <v>43274</v>
      </c>
      <c r="D8" s="78" t="s">
        <v>93</v>
      </c>
      <c r="E8" s="48" t="s">
        <v>34</v>
      </c>
      <c r="F8" s="39" t="s">
        <v>110</v>
      </c>
      <c r="G8" s="164">
        <v>1920</v>
      </c>
      <c r="H8" s="48" t="s">
        <v>51</v>
      </c>
      <c r="I8" s="164">
        <v>432</v>
      </c>
      <c r="J8" s="48" t="s">
        <v>77</v>
      </c>
      <c r="K8" s="164"/>
      <c r="L8" s="228" t="s">
        <v>193</v>
      </c>
      <c r="M8" s="49"/>
      <c r="N8" s="15"/>
      <c r="O8" s="20" t="s">
        <v>775</v>
      </c>
      <c r="P8" s="21">
        <v>4</v>
      </c>
      <c r="Q8" s="22" t="s">
        <v>21</v>
      </c>
    </row>
    <row r="9" spans="1:17" ht="21.75" customHeight="1" x14ac:dyDescent="0.25">
      <c r="A9" s="288"/>
      <c r="B9" s="45" t="s">
        <v>106</v>
      </c>
      <c r="C9" s="46"/>
      <c r="D9" s="47"/>
      <c r="E9" s="48"/>
      <c r="F9" s="164"/>
      <c r="G9" s="164"/>
      <c r="H9" s="48"/>
      <c r="I9" s="164"/>
      <c r="J9" s="48"/>
      <c r="K9" s="164"/>
      <c r="L9" s="51"/>
      <c r="M9" s="49"/>
      <c r="N9" s="49"/>
      <c r="O9" s="124"/>
      <c r="P9" s="50"/>
      <c r="Q9" s="153"/>
    </row>
    <row r="10" spans="1:17" ht="21.75" customHeight="1" thickBot="1" x14ac:dyDescent="0.3">
      <c r="A10" s="289"/>
      <c r="B10" s="93"/>
      <c r="C10" s="224"/>
      <c r="D10" s="224"/>
      <c r="E10" s="224"/>
      <c r="F10" s="224"/>
      <c r="G10" s="224"/>
      <c r="H10" s="224"/>
      <c r="I10" s="224">
        <f>SUM(I4:I9)</f>
        <v>1584</v>
      </c>
      <c r="J10" s="224"/>
      <c r="K10" s="224"/>
      <c r="L10" s="227"/>
      <c r="M10" s="224"/>
      <c r="N10" s="224"/>
      <c r="O10" s="114"/>
      <c r="P10" s="225"/>
      <c r="Q10" s="152"/>
    </row>
    <row r="11" spans="1:17" ht="21.75" customHeight="1" x14ac:dyDescent="0.25">
      <c r="A11" s="287" t="s">
        <v>41</v>
      </c>
      <c r="B11" s="42" t="s">
        <v>695</v>
      </c>
      <c r="C11" s="140">
        <v>43282</v>
      </c>
      <c r="D11" s="90" t="s">
        <v>696</v>
      </c>
      <c r="E11" s="145" t="s">
        <v>690</v>
      </c>
      <c r="F11" s="40" t="s">
        <v>694</v>
      </c>
      <c r="G11" s="175">
        <v>1008</v>
      </c>
      <c r="H11" s="81" t="s">
        <v>692</v>
      </c>
      <c r="I11" s="155">
        <f>1008-216*4</f>
        <v>144</v>
      </c>
      <c r="J11" s="155" t="s">
        <v>201</v>
      </c>
      <c r="K11" s="155"/>
      <c r="L11" s="123" t="s">
        <v>67</v>
      </c>
      <c r="M11" s="16"/>
      <c r="N11" s="16"/>
      <c r="O11" s="17" t="s">
        <v>772</v>
      </c>
      <c r="P11" s="18">
        <v>1</v>
      </c>
      <c r="Q11" s="19" t="s">
        <v>19</v>
      </c>
    </row>
    <row r="12" spans="1:17" ht="21.75" customHeight="1" x14ac:dyDescent="0.25">
      <c r="A12" s="288"/>
      <c r="B12" s="43" t="s">
        <v>857</v>
      </c>
      <c r="C12" s="141">
        <v>43264</v>
      </c>
      <c r="D12" s="141" t="s">
        <v>55</v>
      </c>
      <c r="E12" s="79" t="s">
        <v>54</v>
      </c>
      <c r="F12" s="38" t="s">
        <v>858</v>
      </c>
      <c r="G12" s="38">
        <v>1524</v>
      </c>
      <c r="H12" s="60" t="s">
        <v>456</v>
      </c>
      <c r="I12" s="164">
        <v>432</v>
      </c>
      <c r="J12" s="48" t="s">
        <v>856</v>
      </c>
      <c r="K12" s="164"/>
      <c r="L12" s="88" t="s">
        <v>860</v>
      </c>
      <c r="M12" s="63"/>
      <c r="N12" s="63"/>
      <c r="O12" s="20"/>
      <c r="P12" s="21"/>
      <c r="Q12" s="22"/>
    </row>
    <row r="13" spans="1:17" ht="21.75" customHeight="1" x14ac:dyDescent="0.25">
      <c r="A13" s="288"/>
      <c r="B13" s="45" t="s">
        <v>114</v>
      </c>
      <c r="C13" s="58"/>
      <c r="D13" s="141"/>
      <c r="E13" s="79"/>
      <c r="F13" s="38"/>
      <c r="G13" s="164"/>
      <c r="H13" s="48"/>
      <c r="I13" s="164">
        <v>432</v>
      </c>
      <c r="J13" s="48" t="s">
        <v>861</v>
      </c>
      <c r="K13" s="164"/>
      <c r="L13" s="57"/>
      <c r="M13" s="49"/>
      <c r="N13" s="49"/>
      <c r="O13" s="20" t="s">
        <v>773</v>
      </c>
      <c r="P13" s="21">
        <v>2</v>
      </c>
      <c r="Q13" s="22" t="s">
        <v>20</v>
      </c>
    </row>
    <row r="14" spans="1:17" ht="21.75" customHeight="1" x14ac:dyDescent="0.25">
      <c r="A14" s="288"/>
      <c r="B14" s="45"/>
      <c r="C14" s="58"/>
      <c r="D14" s="91"/>
      <c r="E14" s="137"/>
      <c r="F14" s="38"/>
      <c r="G14" s="89"/>
      <c r="H14" s="48"/>
      <c r="I14" s="164">
        <v>432</v>
      </c>
      <c r="J14" s="164" t="s">
        <v>862</v>
      </c>
      <c r="K14" s="164"/>
      <c r="L14" s="51"/>
      <c r="M14" s="49"/>
      <c r="N14" s="49"/>
      <c r="O14" s="20" t="s">
        <v>774</v>
      </c>
      <c r="P14" s="21">
        <v>3</v>
      </c>
      <c r="Q14" s="22" t="s">
        <v>21</v>
      </c>
    </row>
    <row r="15" spans="1:17" ht="21.75" customHeight="1" x14ac:dyDescent="0.25">
      <c r="A15" s="288"/>
      <c r="B15" s="43"/>
      <c r="C15" s="58"/>
      <c r="D15" s="141"/>
      <c r="E15" s="79"/>
      <c r="F15" s="38"/>
      <c r="G15" s="38"/>
      <c r="H15" s="60"/>
      <c r="I15" s="164">
        <f>1524-216*6</f>
        <v>228</v>
      </c>
      <c r="J15" s="48" t="s">
        <v>863</v>
      </c>
      <c r="K15" s="164"/>
      <c r="L15" s="88"/>
      <c r="M15" s="49"/>
      <c r="N15" s="49"/>
      <c r="O15" s="20" t="s">
        <v>775</v>
      </c>
      <c r="P15" s="21">
        <v>4</v>
      </c>
      <c r="Q15" s="22" t="s">
        <v>21</v>
      </c>
    </row>
    <row r="16" spans="1:17" ht="21.75" customHeight="1" thickBot="1" x14ac:dyDescent="0.3">
      <c r="A16" s="289"/>
      <c r="B16" s="93" t="s">
        <v>64</v>
      </c>
      <c r="C16" s="290" t="s">
        <v>98</v>
      </c>
      <c r="D16" s="291"/>
      <c r="E16" s="291"/>
      <c r="F16" s="292"/>
      <c r="G16" s="224"/>
      <c r="H16" s="224"/>
      <c r="I16" s="224">
        <f>SUM(I11:I15)</f>
        <v>1668</v>
      </c>
      <c r="J16" s="224"/>
      <c r="K16" s="224"/>
      <c r="L16" s="227"/>
      <c r="M16" s="224"/>
      <c r="N16" s="224"/>
      <c r="O16" s="114"/>
      <c r="P16" s="225"/>
      <c r="Q16" s="152"/>
    </row>
    <row r="17" spans="1:17" ht="21.75" customHeight="1" x14ac:dyDescent="0.25">
      <c r="A17" s="287" t="s">
        <v>42</v>
      </c>
      <c r="B17" s="42" t="s">
        <v>701</v>
      </c>
      <c r="C17" s="140">
        <v>43281</v>
      </c>
      <c r="D17" s="90" t="s">
        <v>59</v>
      </c>
      <c r="E17" s="62" t="s">
        <v>393</v>
      </c>
      <c r="F17" s="40" t="s">
        <v>508</v>
      </c>
      <c r="G17" s="175">
        <v>1260</v>
      </c>
      <c r="H17" s="41" t="s">
        <v>395</v>
      </c>
      <c r="I17" s="155">
        <v>432</v>
      </c>
      <c r="J17" s="155" t="s">
        <v>517</v>
      </c>
      <c r="K17" s="155"/>
      <c r="L17" s="54" t="s">
        <v>61</v>
      </c>
      <c r="M17" s="16"/>
      <c r="N17" s="16"/>
      <c r="O17" s="17" t="s">
        <v>772</v>
      </c>
      <c r="P17" s="18">
        <v>1</v>
      </c>
      <c r="Q17" s="19" t="s">
        <v>19</v>
      </c>
    </row>
    <row r="18" spans="1:17" ht="21.75" customHeight="1" x14ac:dyDescent="0.25">
      <c r="A18" s="288"/>
      <c r="B18" s="43" t="s">
        <v>105</v>
      </c>
      <c r="C18" s="141"/>
      <c r="D18" s="91"/>
      <c r="E18" s="58"/>
      <c r="F18" s="38"/>
      <c r="G18" s="105"/>
      <c r="H18" s="60"/>
      <c r="I18" s="38">
        <v>432</v>
      </c>
      <c r="J18" s="38" t="s">
        <v>797</v>
      </c>
      <c r="K18" s="38"/>
      <c r="L18" s="91"/>
      <c r="M18" s="15"/>
      <c r="N18" s="15"/>
      <c r="O18" s="20" t="s">
        <v>773</v>
      </c>
      <c r="P18" s="21">
        <v>2</v>
      </c>
      <c r="Q18" s="22" t="s">
        <v>20</v>
      </c>
    </row>
    <row r="19" spans="1:17" ht="21.75" customHeight="1" x14ac:dyDescent="0.25">
      <c r="A19" s="288"/>
      <c r="B19" s="45"/>
      <c r="C19" s="141"/>
      <c r="D19" s="91"/>
      <c r="E19" s="137"/>
      <c r="F19" s="38"/>
      <c r="G19" s="89"/>
      <c r="H19" s="48"/>
      <c r="I19" s="164">
        <f>1260-216*5</f>
        <v>180</v>
      </c>
      <c r="J19" s="164" t="s">
        <v>99</v>
      </c>
      <c r="K19" s="164"/>
      <c r="L19" s="51"/>
      <c r="M19" s="15"/>
      <c r="N19" s="15"/>
      <c r="O19" s="20" t="s">
        <v>774</v>
      </c>
      <c r="P19" s="21">
        <v>3</v>
      </c>
      <c r="Q19" s="22" t="s">
        <v>21</v>
      </c>
    </row>
    <row r="20" spans="1:17" ht="21.75" customHeight="1" x14ac:dyDescent="0.25">
      <c r="A20" s="288"/>
      <c r="B20" s="45" t="s">
        <v>798</v>
      </c>
      <c r="C20" s="141">
        <v>43281</v>
      </c>
      <c r="D20" s="91" t="s">
        <v>59</v>
      </c>
      <c r="E20" s="58" t="s">
        <v>393</v>
      </c>
      <c r="F20" s="39" t="s">
        <v>508</v>
      </c>
      <c r="G20" s="89">
        <v>216</v>
      </c>
      <c r="H20" s="79" t="s">
        <v>395</v>
      </c>
      <c r="I20" s="164">
        <v>216</v>
      </c>
      <c r="J20" s="164" t="s">
        <v>173</v>
      </c>
      <c r="K20" s="164"/>
      <c r="L20" s="44" t="s">
        <v>800</v>
      </c>
      <c r="M20" s="49"/>
      <c r="N20" s="49"/>
      <c r="O20" s="20"/>
      <c r="P20" s="21"/>
      <c r="Q20" s="22"/>
    </row>
    <row r="21" spans="1:17" ht="21.75" customHeight="1" x14ac:dyDescent="0.25">
      <c r="A21" s="288"/>
      <c r="B21" s="43" t="s">
        <v>799</v>
      </c>
      <c r="C21" s="141">
        <v>43284</v>
      </c>
      <c r="D21" s="91" t="s">
        <v>93</v>
      </c>
      <c r="E21" s="58" t="s">
        <v>393</v>
      </c>
      <c r="F21" s="38" t="s">
        <v>508</v>
      </c>
      <c r="G21" s="105">
        <v>1200</v>
      </c>
      <c r="H21" s="60" t="s">
        <v>395</v>
      </c>
      <c r="I21" s="38">
        <v>384</v>
      </c>
      <c r="J21" s="38" t="s">
        <v>77</v>
      </c>
      <c r="K21" s="38"/>
      <c r="L21" s="91" t="s">
        <v>794</v>
      </c>
      <c r="M21" s="49"/>
      <c r="N21" s="49"/>
      <c r="O21" s="20" t="s">
        <v>775</v>
      </c>
      <c r="P21" s="21">
        <v>4</v>
      </c>
      <c r="Q21" s="22" t="s">
        <v>21</v>
      </c>
    </row>
    <row r="22" spans="1:17" ht="21.75" customHeight="1" x14ac:dyDescent="0.25">
      <c r="A22" s="288"/>
      <c r="B22" s="45" t="s">
        <v>105</v>
      </c>
      <c r="C22" s="209"/>
      <c r="D22" s="58"/>
      <c r="E22" s="91"/>
      <c r="F22" s="58"/>
      <c r="G22" s="38"/>
      <c r="H22" s="48"/>
      <c r="I22" s="164"/>
      <c r="J22" s="164"/>
      <c r="K22" s="164"/>
      <c r="L22" s="51"/>
      <c r="M22" s="49"/>
      <c r="N22" s="49"/>
      <c r="O22" s="124"/>
      <c r="P22" s="50"/>
      <c r="Q22" s="153"/>
    </row>
    <row r="23" spans="1:17" ht="21.75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224"/>
      <c r="H23" s="224"/>
      <c r="I23" s="224">
        <f>SUM(I17:I21)</f>
        <v>1644</v>
      </c>
      <c r="J23" s="224"/>
      <c r="K23" s="224"/>
      <c r="L23" s="227"/>
      <c r="M23" s="224"/>
      <c r="N23" s="224"/>
      <c r="O23" s="114"/>
      <c r="P23" s="225"/>
      <c r="Q23" s="152"/>
    </row>
    <row r="24" spans="1:17" ht="21.75" customHeight="1" x14ac:dyDescent="0.25">
      <c r="A24" s="287" t="s">
        <v>43</v>
      </c>
      <c r="B24" s="42" t="s">
        <v>706</v>
      </c>
      <c r="C24" s="140">
        <v>43281</v>
      </c>
      <c r="D24" s="90" t="s">
        <v>59</v>
      </c>
      <c r="E24" s="41" t="s">
        <v>34</v>
      </c>
      <c r="F24" s="40" t="s">
        <v>110</v>
      </c>
      <c r="G24" s="40">
        <v>720</v>
      </c>
      <c r="H24" s="41" t="s">
        <v>51</v>
      </c>
      <c r="I24" s="150">
        <f>720-432</f>
        <v>288</v>
      </c>
      <c r="J24" s="41" t="s">
        <v>182</v>
      </c>
      <c r="K24" s="40"/>
      <c r="L24" s="54" t="s">
        <v>193</v>
      </c>
      <c r="M24" s="16"/>
      <c r="N24" s="16"/>
      <c r="O24" s="17" t="s">
        <v>772</v>
      </c>
      <c r="P24" s="18">
        <v>1</v>
      </c>
      <c r="Q24" s="19" t="s">
        <v>19</v>
      </c>
    </row>
    <row r="25" spans="1:17" ht="21.75" customHeight="1" x14ac:dyDescent="0.25">
      <c r="A25" s="288"/>
      <c r="B25" s="43" t="s">
        <v>705</v>
      </c>
      <c r="C25" s="141">
        <v>43276</v>
      </c>
      <c r="D25" s="91" t="s">
        <v>93</v>
      </c>
      <c r="E25" s="60" t="s">
        <v>34</v>
      </c>
      <c r="F25" s="38" t="s">
        <v>110</v>
      </c>
      <c r="G25" s="38">
        <v>468</v>
      </c>
      <c r="H25" s="60" t="s">
        <v>51</v>
      </c>
      <c r="I25" s="38">
        <v>468</v>
      </c>
      <c r="J25" s="60" t="s">
        <v>77</v>
      </c>
      <c r="K25" s="38"/>
      <c r="L25" s="44" t="s">
        <v>794</v>
      </c>
      <c r="M25" s="15"/>
      <c r="N25" s="15"/>
      <c r="O25" s="20" t="s">
        <v>773</v>
      </c>
      <c r="P25" s="21">
        <v>2</v>
      </c>
      <c r="Q25" s="22" t="s">
        <v>20</v>
      </c>
    </row>
    <row r="26" spans="1:17" ht="21.75" customHeight="1" x14ac:dyDescent="0.25">
      <c r="A26" s="288"/>
      <c r="B26" s="45"/>
      <c r="C26" s="305" t="s">
        <v>35</v>
      </c>
      <c r="D26" s="306"/>
      <c r="E26" s="48"/>
      <c r="F26" s="39"/>
      <c r="G26" s="39"/>
      <c r="H26" s="79"/>
      <c r="I26" s="38"/>
      <c r="J26" s="48"/>
      <c r="K26" s="164"/>
      <c r="L26" s="44"/>
      <c r="M26" s="49"/>
      <c r="N26" s="49"/>
      <c r="O26" s="20"/>
      <c r="P26" s="21"/>
      <c r="Q26" s="22"/>
    </row>
    <row r="27" spans="1:17" ht="21.75" customHeight="1" x14ac:dyDescent="0.25">
      <c r="A27" s="288"/>
      <c r="B27" s="43" t="s">
        <v>802</v>
      </c>
      <c r="C27" s="141">
        <v>43274</v>
      </c>
      <c r="D27" s="91" t="s">
        <v>93</v>
      </c>
      <c r="E27" s="60" t="s">
        <v>34</v>
      </c>
      <c r="F27" s="38" t="s">
        <v>276</v>
      </c>
      <c r="G27" s="38">
        <v>576</v>
      </c>
      <c r="H27" s="60" t="s">
        <v>277</v>
      </c>
      <c r="I27" s="128">
        <v>432</v>
      </c>
      <c r="J27" s="60" t="s">
        <v>77</v>
      </c>
      <c r="K27" s="38"/>
      <c r="L27" s="44" t="s">
        <v>794</v>
      </c>
      <c r="M27" s="49"/>
      <c r="N27" s="49"/>
      <c r="O27" s="20" t="s">
        <v>774</v>
      </c>
      <c r="P27" s="21">
        <v>3</v>
      </c>
      <c r="Q27" s="22" t="s">
        <v>21</v>
      </c>
    </row>
    <row r="28" spans="1:17" ht="21.75" customHeight="1" x14ac:dyDescent="0.25">
      <c r="A28" s="288"/>
      <c r="B28" s="43"/>
      <c r="C28" s="141"/>
      <c r="D28" s="91"/>
      <c r="E28" s="60"/>
      <c r="F28" s="38"/>
      <c r="G28" s="38"/>
      <c r="H28" s="60"/>
      <c r="I28" s="38">
        <f>576-432</f>
        <v>144</v>
      </c>
      <c r="J28" s="60" t="s">
        <v>182</v>
      </c>
      <c r="K28" s="38"/>
      <c r="L28" s="44"/>
      <c r="M28" s="49"/>
      <c r="N28" s="49"/>
      <c r="O28" s="20"/>
      <c r="P28" s="21"/>
      <c r="Q28" s="22"/>
    </row>
    <row r="29" spans="1:17" ht="21.75" customHeight="1" x14ac:dyDescent="0.25">
      <c r="A29" s="288"/>
      <c r="B29" s="45" t="s">
        <v>803</v>
      </c>
      <c r="C29" s="141">
        <v>43276</v>
      </c>
      <c r="D29" s="91" t="s">
        <v>93</v>
      </c>
      <c r="E29" s="60" t="s">
        <v>34</v>
      </c>
      <c r="F29" s="38" t="s">
        <v>276</v>
      </c>
      <c r="G29" s="164">
        <v>528</v>
      </c>
      <c r="H29" s="48" t="s">
        <v>277</v>
      </c>
      <c r="I29" s="164">
        <v>216</v>
      </c>
      <c r="J29" s="48" t="s">
        <v>173</v>
      </c>
      <c r="K29" s="164"/>
      <c r="L29" s="57" t="s">
        <v>794</v>
      </c>
      <c r="M29" s="49"/>
      <c r="N29" s="49"/>
      <c r="O29" s="20" t="s">
        <v>775</v>
      </c>
      <c r="P29" s="21">
        <v>4</v>
      </c>
      <c r="Q29" s="22" t="s">
        <v>21</v>
      </c>
    </row>
    <row r="30" spans="1:17" ht="21.75" customHeight="1" x14ac:dyDescent="0.25">
      <c r="A30" s="288"/>
      <c r="B30" s="45" t="s">
        <v>804</v>
      </c>
      <c r="C30" s="305" t="s">
        <v>35</v>
      </c>
      <c r="D30" s="306"/>
      <c r="E30" s="60"/>
      <c r="F30" s="38"/>
      <c r="G30" s="164"/>
      <c r="H30" s="48"/>
      <c r="I30" s="164"/>
      <c r="J30" s="48"/>
      <c r="K30" s="164"/>
      <c r="L30" s="57"/>
      <c r="M30" s="49"/>
      <c r="N30" s="49"/>
      <c r="O30" s="124"/>
      <c r="P30" s="50"/>
      <c r="Q30" s="153"/>
    </row>
    <row r="31" spans="1:17" ht="24" customHeight="1" thickBot="1" x14ac:dyDescent="0.3">
      <c r="A31" s="289"/>
      <c r="B31" s="93" t="s">
        <v>64</v>
      </c>
      <c r="C31" s="290" t="s">
        <v>98</v>
      </c>
      <c r="D31" s="291"/>
      <c r="E31" s="291"/>
      <c r="F31" s="292"/>
      <c r="G31" s="224"/>
      <c r="H31" s="224"/>
      <c r="I31" s="224">
        <f>SUM(I24:I30)</f>
        <v>1548</v>
      </c>
      <c r="J31" s="224"/>
      <c r="K31" s="224"/>
      <c r="L31" s="227"/>
      <c r="M31" s="224"/>
      <c r="N31" s="224"/>
      <c r="O31" s="114"/>
      <c r="P31" s="225"/>
      <c r="Q31" s="152"/>
    </row>
    <row r="32" spans="1:17" ht="25.5" customHeight="1" thickBot="1" x14ac:dyDescent="0.3">
      <c r="A32" s="37"/>
      <c r="B32" s="64"/>
      <c r="C32" s="65"/>
      <c r="D32" s="66"/>
      <c r="E32" s="67"/>
      <c r="F32" s="68"/>
      <c r="G32" s="67"/>
      <c r="H32" s="67"/>
      <c r="I32" s="69">
        <f>SUM(I31,I23,I16,I10)</f>
        <v>6444</v>
      </c>
      <c r="J32" s="70"/>
      <c r="K32" s="70"/>
      <c r="L32" s="65"/>
      <c r="M32" s="71"/>
      <c r="N32" s="69"/>
      <c r="O32" s="70"/>
      <c r="P32" s="70"/>
      <c r="Q32" s="72"/>
    </row>
    <row r="33" spans="1:17" ht="17.25" customHeight="1" thickTop="1" x14ac:dyDescent="0.3">
      <c r="A33" s="23" t="s">
        <v>22</v>
      </c>
      <c r="B33" s="24"/>
      <c r="C33" s="25"/>
      <c r="D33" s="24"/>
      <c r="E33" s="24"/>
      <c r="F33" s="26"/>
      <c r="G33" s="27"/>
      <c r="H33" s="28" t="s">
        <v>23</v>
      </c>
      <c r="I33" s="29"/>
      <c r="J33" s="29"/>
      <c r="K33" s="29"/>
      <c r="L33" s="30"/>
      <c r="M33" s="29"/>
      <c r="N33" s="29"/>
      <c r="O33" s="29"/>
      <c r="P33" s="226" t="s">
        <v>24</v>
      </c>
      <c r="Q33" s="31"/>
    </row>
    <row r="34" spans="1:17" ht="16.5" x14ac:dyDescent="0.3">
      <c r="A34" s="1"/>
      <c r="B34" s="32">
        <v>1</v>
      </c>
      <c r="C34" s="33"/>
      <c r="D34" s="32"/>
      <c r="E34" s="32"/>
      <c r="F34" s="304" t="s">
        <v>25</v>
      </c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</row>
    <row r="35" spans="1:17" ht="16.5" x14ac:dyDescent="0.3">
      <c r="A35" s="1"/>
      <c r="B35" s="297" t="s">
        <v>26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</row>
    <row r="36" spans="1:17" ht="16.5" x14ac:dyDescent="0.3">
      <c r="A36" s="1"/>
      <c r="B36" s="34">
        <v>2</v>
      </c>
      <c r="C36" s="35"/>
      <c r="D36" s="36"/>
      <c r="E36" s="36"/>
      <c r="F36" s="298" t="s">
        <v>27</v>
      </c>
      <c r="G36" s="298"/>
      <c r="H36" s="298"/>
      <c r="I36" s="298"/>
      <c r="J36" s="298"/>
      <c r="K36" s="298"/>
      <c r="L36" s="298"/>
      <c r="M36" s="298"/>
      <c r="N36" s="298"/>
      <c r="O36" s="298"/>
      <c r="P36" s="299" t="s">
        <v>28</v>
      </c>
      <c r="Q36" s="300"/>
    </row>
    <row r="37" spans="1:17" ht="16.5" x14ac:dyDescent="0.3">
      <c r="A37" s="1"/>
      <c r="B37" s="297" t="s">
        <v>29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1"/>
      <c r="Q37" s="1"/>
    </row>
  </sheetData>
  <mergeCells count="19">
    <mergeCell ref="F34:Q34"/>
    <mergeCell ref="B35:Q35"/>
    <mergeCell ref="F36:O36"/>
    <mergeCell ref="P36:Q36"/>
    <mergeCell ref="B37:O37"/>
    <mergeCell ref="C26:D26"/>
    <mergeCell ref="C30:D30"/>
    <mergeCell ref="A11:A16"/>
    <mergeCell ref="C16:F16"/>
    <mergeCell ref="A17:A23"/>
    <mergeCell ref="C23:F23"/>
    <mergeCell ref="A24:A31"/>
    <mergeCell ref="C31:F31"/>
    <mergeCell ref="A4:A10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5"/>
  <sheetViews>
    <sheetView topLeftCell="A8" zoomScale="109" zoomScaleNormal="109" workbookViewId="0">
      <selection activeCell="B15" sqref="B15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43258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43259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3.25" customHeight="1" x14ac:dyDescent="0.25">
      <c r="A4" s="307" t="s">
        <v>44</v>
      </c>
      <c r="B4" s="42" t="s">
        <v>710</v>
      </c>
      <c r="C4" s="121">
        <v>43278</v>
      </c>
      <c r="D4" s="109" t="s">
        <v>93</v>
      </c>
      <c r="E4" s="122" t="s">
        <v>54</v>
      </c>
      <c r="F4" s="108" t="s">
        <v>154</v>
      </c>
      <c r="G4" s="40">
        <v>1368</v>
      </c>
      <c r="H4" s="41" t="s">
        <v>139</v>
      </c>
      <c r="I4" s="155">
        <f>192*2</f>
        <v>384</v>
      </c>
      <c r="J4" s="155" t="s">
        <v>517</v>
      </c>
      <c r="K4" s="155"/>
      <c r="L4" s="123" t="s">
        <v>200</v>
      </c>
      <c r="M4" s="16"/>
      <c r="N4" s="16"/>
      <c r="O4" s="17" t="s">
        <v>772</v>
      </c>
      <c r="P4" s="18">
        <v>1</v>
      </c>
      <c r="Q4" s="19" t="s">
        <v>19</v>
      </c>
    </row>
    <row r="5" spans="1:28" ht="23.25" customHeight="1" x14ac:dyDescent="0.25">
      <c r="A5" s="308"/>
      <c r="B5" s="45" t="s">
        <v>712</v>
      </c>
      <c r="C5" s="117"/>
      <c r="D5" s="113"/>
      <c r="E5" s="102"/>
      <c r="F5" s="101"/>
      <c r="G5" s="164"/>
      <c r="H5" s="48"/>
      <c r="I5" s="164">
        <v>384</v>
      </c>
      <c r="J5" s="164" t="s">
        <v>797</v>
      </c>
      <c r="K5" s="164"/>
      <c r="L5" s="51"/>
      <c r="M5" s="87"/>
      <c r="N5" s="87"/>
      <c r="O5" s="20" t="s">
        <v>773</v>
      </c>
      <c r="P5" s="21">
        <v>2</v>
      </c>
      <c r="Q5" s="22" t="s">
        <v>20</v>
      </c>
    </row>
    <row r="6" spans="1:28" ht="23.25" customHeight="1" x14ac:dyDescent="0.25">
      <c r="A6" s="308"/>
      <c r="B6" s="45"/>
      <c r="C6" s="117"/>
      <c r="D6" s="113"/>
      <c r="E6" s="102"/>
      <c r="F6" s="101"/>
      <c r="G6" s="39"/>
      <c r="H6" s="79"/>
      <c r="I6" s="164">
        <f>1368-192*5</f>
        <v>408</v>
      </c>
      <c r="J6" s="164" t="s">
        <v>805</v>
      </c>
      <c r="K6" s="164"/>
      <c r="L6" s="51"/>
      <c r="M6" s="49"/>
      <c r="N6" s="49"/>
      <c r="O6" s="20" t="s">
        <v>774</v>
      </c>
      <c r="P6" s="21">
        <v>3</v>
      </c>
      <c r="Q6" s="22" t="s">
        <v>21</v>
      </c>
    </row>
    <row r="7" spans="1:28" ht="23.25" customHeight="1" x14ac:dyDescent="0.25">
      <c r="A7" s="308"/>
      <c r="B7" s="45" t="s">
        <v>806</v>
      </c>
      <c r="C7" s="117">
        <v>43299</v>
      </c>
      <c r="D7" s="113" t="s">
        <v>93</v>
      </c>
      <c r="E7" s="102" t="s">
        <v>54</v>
      </c>
      <c r="F7" s="101" t="s">
        <v>154</v>
      </c>
      <c r="G7" s="39">
        <v>432</v>
      </c>
      <c r="H7" s="79" t="s">
        <v>139</v>
      </c>
      <c r="I7" s="164">
        <v>432</v>
      </c>
      <c r="J7" s="164" t="s">
        <v>77</v>
      </c>
      <c r="K7" s="164"/>
      <c r="L7" s="51" t="s">
        <v>807</v>
      </c>
      <c r="M7" s="49"/>
      <c r="N7" s="49"/>
      <c r="O7" s="20"/>
      <c r="P7" s="21"/>
      <c r="Q7" s="22"/>
    </row>
    <row r="8" spans="1:28" ht="23.25" customHeight="1" x14ac:dyDescent="0.25">
      <c r="A8" s="308"/>
      <c r="B8" s="45" t="s">
        <v>867</v>
      </c>
      <c r="C8" s="117">
        <v>43294</v>
      </c>
      <c r="D8" s="113" t="s">
        <v>93</v>
      </c>
      <c r="E8" s="102" t="s">
        <v>54</v>
      </c>
      <c r="F8" s="101" t="s">
        <v>868</v>
      </c>
      <c r="G8" s="39">
        <v>2316</v>
      </c>
      <c r="H8" s="79" t="s">
        <v>139</v>
      </c>
      <c r="I8" s="164">
        <v>192</v>
      </c>
      <c r="J8" s="164" t="s">
        <v>859</v>
      </c>
      <c r="K8" s="164"/>
      <c r="L8" s="51" t="s">
        <v>869</v>
      </c>
      <c r="M8" s="49"/>
      <c r="N8" s="49"/>
      <c r="O8" s="20" t="s">
        <v>775</v>
      </c>
      <c r="P8" s="21">
        <v>4</v>
      </c>
      <c r="Q8" s="22" t="s">
        <v>21</v>
      </c>
    </row>
    <row r="9" spans="1:28" ht="23.25" customHeight="1" x14ac:dyDescent="0.25">
      <c r="A9" s="308"/>
      <c r="B9" s="45" t="s">
        <v>498</v>
      </c>
      <c r="C9" s="117"/>
      <c r="D9" s="113"/>
      <c r="E9" s="102"/>
      <c r="F9" s="101"/>
      <c r="G9" s="39"/>
      <c r="H9" s="79"/>
      <c r="I9" s="164"/>
      <c r="J9" s="164"/>
      <c r="K9" s="164"/>
      <c r="L9" s="51"/>
      <c r="M9" s="49"/>
      <c r="N9" s="49"/>
      <c r="O9" s="20"/>
      <c r="P9" s="21"/>
      <c r="Q9" s="22"/>
    </row>
    <row r="10" spans="1:28" ht="23.25" customHeight="1" thickBot="1" x14ac:dyDescent="0.3">
      <c r="A10" s="309"/>
      <c r="B10" s="93" t="s">
        <v>64</v>
      </c>
      <c r="C10" s="290" t="s">
        <v>65</v>
      </c>
      <c r="D10" s="291"/>
      <c r="E10" s="291"/>
      <c r="F10" s="292"/>
      <c r="G10" s="224"/>
      <c r="H10" s="224"/>
      <c r="I10" s="224">
        <f>SUM(I4:I9)</f>
        <v>1800</v>
      </c>
      <c r="J10" s="224"/>
      <c r="K10" s="224"/>
      <c r="L10" s="227"/>
      <c r="M10" s="224"/>
      <c r="N10" s="224"/>
      <c r="O10" s="114"/>
      <c r="P10" s="225"/>
      <c r="Q10" s="225"/>
    </row>
    <row r="11" spans="1:28" ht="23.25" customHeight="1" x14ac:dyDescent="0.25">
      <c r="A11" s="287" t="s">
        <v>45</v>
      </c>
      <c r="B11" s="42" t="s">
        <v>610</v>
      </c>
      <c r="C11" s="121">
        <v>43272</v>
      </c>
      <c r="D11" s="109" t="s">
        <v>93</v>
      </c>
      <c r="E11" s="122" t="s">
        <v>54</v>
      </c>
      <c r="F11" s="108" t="s">
        <v>95</v>
      </c>
      <c r="G11" s="40">
        <v>1488</v>
      </c>
      <c r="H11" s="41" t="s">
        <v>62</v>
      </c>
      <c r="I11" s="155">
        <f>1488-216*6</f>
        <v>192</v>
      </c>
      <c r="J11" s="155" t="s">
        <v>227</v>
      </c>
      <c r="K11" s="155"/>
      <c r="L11" s="123" t="s">
        <v>67</v>
      </c>
      <c r="M11" s="95"/>
      <c r="N11" s="16"/>
      <c r="O11" s="17" t="s">
        <v>772</v>
      </c>
      <c r="P11" s="18">
        <v>1</v>
      </c>
      <c r="Q11" s="19" t="s">
        <v>19</v>
      </c>
    </row>
    <row r="12" spans="1:28" ht="23.25" customHeight="1" x14ac:dyDescent="0.25">
      <c r="A12" s="288"/>
      <c r="B12" s="45" t="s">
        <v>714</v>
      </c>
      <c r="C12" s="112">
        <v>43276</v>
      </c>
      <c r="D12" s="110" t="s">
        <v>93</v>
      </c>
      <c r="E12" s="102" t="s">
        <v>54</v>
      </c>
      <c r="F12" s="101" t="s">
        <v>95</v>
      </c>
      <c r="G12" s="39">
        <v>672</v>
      </c>
      <c r="H12" s="79" t="s">
        <v>62</v>
      </c>
      <c r="I12" s="164">
        <v>432</v>
      </c>
      <c r="J12" s="164" t="s">
        <v>77</v>
      </c>
      <c r="K12" s="164"/>
      <c r="L12" s="51" t="s">
        <v>796</v>
      </c>
      <c r="M12" s="15"/>
      <c r="N12" s="63"/>
      <c r="O12" s="20" t="s">
        <v>773</v>
      </c>
      <c r="P12" s="21">
        <v>2</v>
      </c>
      <c r="Q12" s="22" t="s">
        <v>20</v>
      </c>
    </row>
    <row r="13" spans="1:28" ht="23.25" customHeight="1" x14ac:dyDescent="0.25">
      <c r="A13" s="288"/>
      <c r="B13" s="45"/>
      <c r="C13" s="112"/>
      <c r="D13" s="110"/>
      <c r="E13" s="102"/>
      <c r="F13" s="101"/>
      <c r="G13" s="39"/>
      <c r="H13" s="79"/>
      <c r="I13" s="164">
        <f>672-216*2</f>
        <v>240</v>
      </c>
      <c r="J13" s="164" t="s">
        <v>182</v>
      </c>
      <c r="K13" s="164"/>
      <c r="L13" s="51"/>
      <c r="M13" s="83"/>
      <c r="N13" s="83"/>
      <c r="O13" s="20" t="s">
        <v>774</v>
      </c>
      <c r="P13" s="21">
        <v>3</v>
      </c>
      <c r="Q13" s="22" t="s">
        <v>21</v>
      </c>
    </row>
    <row r="14" spans="1:28" ht="23.25" customHeight="1" x14ac:dyDescent="0.25">
      <c r="A14" s="288"/>
      <c r="B14" s="45" t="s">
        <v>808</v>
      </c>
      <c r="C14" s="112">
        <v>43266</v>
      </c>
      <c r="D14" s="110" t="s">
        <v>59</v>
      </c>
      <c r="E14" s="102" t="s">
        <v>54</v>
      </c>
      <c r="F14" s="101" t="s">
        <v>809</v>
      </c>
      <c r="G14" s="39">
        <v>480</v>
      </c>
      <c r="H14" s="79" t="s">
        <v>62</v>
      </c>
      <c r="I14" s="164">
        <v>480</v>
      </c>
      <c r="J14" s="164" t="s">
        <v>77</v>
      </c>
      <c r="K14" s="164"/>
      <c r="L14" s="51" t="s">
        <v>796</v>
      </c>
      <c r="M14" s="15"/>
      <c r="N14" s="15"/>
      <c r="O14" s="20"/>
      <c r="P14" s="21"/>
      <c r="Q14" s="22"/>
    </row>
    <row r="15" spans="1:28" ht="23.25" customHeight="1" x14ac:dyDescent="0.25">
      <c r="A15" s="288"/>
      <c r="B15" s="45" t="s">
        <v>810</v>
      </c>
      <c r="C15" s="112">
        <v>43271</v>
      </c>
      <c r="D15" s="110" t="s">
        <v>93</v>
      </c>
      <c r="E15" s="102" t="s">
        <v>54</v>
      </c>
      <c r="F15" s="101" t="s">
        <v>811</v>
      </c>
      <c r="G15" s="39">
        <v>70</v>
      </c>
      <c r="H15" s="79" t="s">
        <v>62</v>
      </c>
      <c r="I15" s="164">
        <v>70</v>
      </c>
      <c r="J15" s="164" t="s">
        <v>173</v>
      </c>
      <c r="K15" s="164"/>
      <c r="L15" s="51" t="s">
        <v>814</v>
      </c>
      <c r="M15" s="15"/>
      <c r="N15" s="15"/>
      <c r="O15" s="20" t="s">
        <v>775</v>
      </c>
      <c r="P15" s="21">
        <v>4</v>
      </c>
      <c r="Q15" s="22" t="s">
        <v>21</v>
      </c>
    </row>
    <row r="16" spans="1:28" ht="23.25" customHeight="1" x14ac:dyDescent="0.25">
      <c r="A16" s="288"/>
      <c r="B16" s="45"/>
      <c r="C16" s="315" t="s">
        <v>35</v>
      </c>
      <c r="D16" s="316"/>
      <c r="E16" s="221"/>
      <c r="F16" s="222"/>
      <c r="G16" s="164"/>
      <c r="H16" s="48"/>
      <c r="I16" s="164"/>
      <c r="J16" s="164"/>
      <c r="K16" s="164"/>
      <c r="L16" s="51"/>
      <c r="M16" s="49"/>
      <c r="N16" s="49"/>
      <c r="O16" s="124"/>
      <c r="P16" s="50"/>
      <c r="Q16" s="22"/>
    </row>
    <row r="17" spans="1:17" ht="23.25" customHeight="1" thickBot="1" x14ac:dyDescent="0.3">
      <c r="A17" s="289"/>
      <c r="B17" s="93"/>
      <c r="C17" s="224"/>
      <c r="D17" s="224"/>
      <c r="E17" s="224"/>
      <c r="F17" s="224"/>
      <c r="G17" s="224"/>
      <c r="H17" s="224"/>
      <c r="I17" s="224">
        <f>SUM(I11:I16)</f>
        <v>1414</v>
      </c>
      <c r="J17" s="224"/>
      <c r="K17" s="224"/>
      <c r="L17" s="227"/>
      <c r="M17" s="224"/>
      <c r="N17" s="224"/>
      <c r="O17" s="114"/>
      <c r="P17" s="224"/>
      <c r="Q17" s="224"/>
    </row>
    <row r="18" spans="1:17" ht="23.25" customHeight="1" x14ac:dyDescent="0.25">
      <c r="A18" s="287" t="s">
        <v>46</v>
      </c>
      <c r="B18" s="42" t="s">
        <v>719</v>
      </c>
      <c r="C18" s="140">
        <v>43281</v>
      </c>
      <c r="D18" s="77" t="s">
        <v>59</v>
      </c>
      <c r="E18" s="41" t="s">
        <v>143</v>
      </c>
      <c r="F18" s="40" t="s">
        <v>416</v>
      </c>
      <c r="G18" s="40">
        <v>1836</v>
      </c>
      <c r="H18" s="41" t="s">
        <v>66</v>
      </c>
      <c r="I18" s="155">
        <v>432</v>
      </c>
      <c r="J18" s="155" t="s">
        <v>169</v>
      </c>
      <c r="K18" s="155"/>
      <c r="L18" s="97" t="s">
        <v>158</v>
      </c>
      <c r="M18" s="95"/>
      <c r="N18" s="95"/>
      <c r="O18" s="17" t="s">
        <v>772</v>
      </c>
      <c r="P18" s="18">
        <v>1</v>
      </c>
      <c r="Q18" s="19" t="s">
        <v>19</v>
      </c>
    </row>
    <row r="19" spans="1:17" ht="23.25" customHeight="1" x14ac:dyDescent="0.25">
      <c r="A19" s="288"/>
      <c r="B19" s="45" t="s">
        <v>720</v>
      </c>
      <c r="C19" s="242"/>
      <c r="D19" s="78"/>
      <c r="E19" s="60"/>
      <c r="F19" s="38"/>
      <c r="G19" s="38"/>
      <c r="H19" s="48"/>
      <c r="I19" s="164">
        <v>432</v>
      </c>
      <c r="J19" s="164" t="s">
        <v>816</v>
      </c>
      <c r="K19" s="164"/>
      <c r="L19" s="119"/>
      <c r="M19" s="49"/>
      <c r="N19" s="15"/>
      <c r="O19" s="20" t="s">
        <v>773</v>
      </c>
      <c r="P19" s="21">
        <v>2</v>
      </c>
      <c r="Q19" s="22" t="s">
        <v>20</v>
      </c>
    </row>
    <row r="20" spans="1:17" ht="23.25" customHeight="1" x14ac:dyDescent="0.25">
      <c r="A20" s="288"/>
      <c r="B20" s="43"/>
      <c r="C20" s="243"/>
      <c r="D20" s="78"/>
      <c r="E20" s="60"/>
      <c r="F20" s="38"/>
      <c r="G20" s="38"/>
      <c r="H20" s="60"/>
      <c r="I20" s="38">
        <v>216</v>
      </c>
      <c r="J20" s="38" t="s">
        <v>227</v>
      </c>
      <c r="K20" s="38"/>
      <c r="L20" s="99"/>
      <c r="M20" s="49"/>
      <c r="N20" s="15"/>
      <c r="O20" s="20" t="s">
        <v>774</v>
      </c>
      <c r="P20" s="21">
        <v>3</v>
      </c>
      <c r="Q20" s="22" t="s">
        <v>21</v>
      </c>
    </row>
    <row r="21" spans="1:17" ht="23.25" customHeight="1" x14ac:dyDescent="0.25">
      <c r="A21" s="288"/>
      <c r="B21" s="43"/>
      <c r="C21" s="242"/>
      <c r="D21" s="78"/>
      <c r="E21" s="60"/>
      <c r="F21" s="38"/>
      <c r="G21" s="38"/>
      <c r="H21" s="60"/>
      <c r="I21" s="164">
        <v>216</v>
      </c>
      <c r="J21" s="164" t="s">
        <v>248</v>
      </c>
      <c r="K21" s="164"/>
      <c r="L21" s="119"/>
      <c r="M21" s="49"/>
      <c r="N21" s="49"/>
      <c r="O21" s="20" t="s">
        <v>775</v>
      </c>
      <c r="P21" s="21">
        <v>4</v>
      </c>
      <c r="Q21" s="22" t="s">
        <v>21</v>
      </c>
    </row>
    <row r="22" spans="1:17" ht="23.25" customHeight="1" x14ac:dyDescent="0.25">
      <c r="A22" s="288"/>
      <c r="B22" s="43"/>
      <c r="C22" s="242"/>
      <c r="D22" s="78"/>
      <c r="E22" s="60"/>
      <c r="F22" s="38"/>
      <c r="G22" s="38"/>
      <c r="H22" s="60"/>
      <c r="I22" s="164"/>
      <c r="J22" s="164"/>
      <c r="K22" s="164"/>
      <c r="L22" s="99"/>
      <c r="M22" s="49"/>
      <c r="N22" s="59"/>
      <c r="O22" s="20"/>
      <c r="P22" s="21"/>
      <c r="Q22" s="22"/>
    </row>
    <row r="23" spans="1:17" ht="23.2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224"/>
      <c r="H23" s="224"/>
      <c r="I23" s="224">
        <f>SUM(I18:I22)</f>
        <v>1296</v>
      </c>
      <c r="J23" s="224"/>
      <c r="K23" s="224"/>
      <c r="L23" s="80"/>
      <c r="M23" s="224"/>
      <c r="N23" s="224"/>
      <c r="O23" s="114"/>
      <c r="P23" s="224"/>
      <c r="Q23" s="225"/>
    </row>
    <row r="24" spans="1:17" ht="23.25" customHeight="1" x14ac:dyDescent="0.25">
      <c r="A24" s="310" t="s">
        <v>47</v>
      </c>
      <c r="B24" s="42" t="s">
        <v>724</v>
      </c>
      <c r="C24" s="140">
        <v>43281</v>
      </c>
      <c r="D24" s="77" t="s">
        <v>59</v>
      </c>
      <c r="E24" s="41" t="s">
        <v>69</v>
      </c>
      <c r="F24" s="108" t="s">
        <v>615</v>
      </c>
      <c r="G24" s="40">
        <v>1920</v>
      </c>
      <c r="H24" s="41" t="s">
        <v>66</v>
      </c>
      <c r="I24" s="40">
        <v>432</v>
      </c>
      <c r="J24" s="40" t="s">
        <v>292</v>
      </c>
      <c r="K24" s="40"/>
      <c r="L24" s="97" t="s">
        <v>158</v>
      </c>
      <c r="M24" s="16"/>
      <c r="N24" s="16"/>
      <c r="O24" s="17" t="s">
        <v>772</v>
      </c>
      <c r="P24" s="18">
        <v>1</v>
      </c>
      <c r="Q24" s="19" t="s">
        <v>19</v>
      </c>
    </row>
    <row r="25" spans="1:17" ht="23.25" customHeight="1" x14ac:dyDescent="0.25">
      <c r="A25" s="311"/>
      <c r="B25" s="43" t="s">
        <v>106</v>
      </c>
      <c r="C25" s="141"/>
      <c r="D25" s="78"/>
      <c r="E25" s="60"/>
      <c r="F25" s="118"/>
      <c r="G25" s="38"/>
      <c r="H25" s="60"/>
      <c r="I25" s="38">
        <f>1920-216*7</f>
        <v>408</v>
      </c>
      <c r="J25" s="38" t="s">
        <v>229</v>
      </c>
      <c r="K25" s="38"/>
      <c r="L25" s="99"/>
      <c r="M25" s="87"/>
      <c r="N25" s="87"/>
      <c r="O25" s="20" t="s">
        <v>773</v>
      </c>
      <c r="P25" s="21">
        <v>2</v>
      </c>
      <c r="Q25" s="22" t="s">
        <v>20</v>
      </c>
    </row>
    <row r="26" spans="1:17" ht="23.25" customHeight="1" x14ac:dyDescent="0.25">
      <c r="A26" s="311"/>
      <c r="B26" s="45" t="s">
        <v>818</v>
      </c>
      <c r="C26" s="131">
        <v>43281</v>
      </c>
      <c r="D26" s="82" t="s">
        <v>59</v>
      </c>
      <c r="E26" s="79" t="s">
        <v>69</v>
      </c>
      <c r="F26" s="101" t="s">
        <v>615</v>
      </c>
      <c r="G26" s="164">
        <v>660</v>
      </c>
      <c r="H26" s="48" t="s">
        <v>66</v>
      </c>
      <c r="I26" s="38">
        <v>432</v>
      </c>
      <c r="J26" s="38" t="s">
        <v>77</v>
      </c>
      <c r="K26" s="38"/>
      <c r="L26" s="99" t="s">
        <v>819</v>
      </c>
      <c r="M26" s="15"/>
      <c r="N26" s="15"/>
      <c r="O26" s="20" t="s">
        <v>774</v>
      </c>
      <c r="P26" s="21">
        <v>3</v>
      </c>
      <c r="Q26" s="22" t="s">
        <v>21</v>
      </c>
    </row>
    <row r="27" spans="1:17" ht="23.25" customHeight="1" x14ac:dyDescent="0.25">
      <c r="A27" s="311"/>
      <c r="B27" s="43" t="s">
        <v>383</v>
      </c>
      <c r="C27" s="58"/>
      <c r="D27" s="78"/>
      <c r="E27" s="60"/>
      <c r="F27" s="118"/>
      <c r="G27" s="38"/>
      <c r="H27" s="60"/>
      <c r="I27" s="38">
        <f>660-432</f>
        <v>228</v>
      </c>
      <c r="J27" s="38" t="s">
        <v>182</v>
      </c>
      <c r="K27" s="38"/>
      <c r="L27" s="99"/>
      <c r="M27" s="15"/>
      <c r="N27" s="15"/>
      <c r="O27" s="20" t="s">
        <v>775</v>
      </c>
      <c r="P27" s="21">
        <v>4</v>
      </c>
      <c r="Q27" s="22" t="s">
        <v>21</v>
      </c>
    </row>
    <row r="28" spans="1:17" ht="23.25" customHeight="1" x14ac:dyDescent="0.25">
      <c r="A28" s="311"/>
      <c r="B28" s="45"/>
      <c r="C28" s="86"/>
      <c r="D28" s="82"/>
      <c r="E28" s="79"/>
      <c r="F28" s="101"/>
      <c r="G28" s="164"/>
      <c r="H28" s="48"/>
      <c r="I28" s="38"/>
      <c r="J28" s="38"/>
      <c r="K28" s="38"/>
      <c r="L28" s="99"/>
      <c r="M28" s="15"/>
      <c r="N28" s="49"/>
      <c r="O28" s="20"/>
      <c r="P28" s="21"/>
      <c r="Q28" s="22"/>
    </row>
    <row r="29" spans="1:17" ht="23.25" customHeight="1" thickBot="1" x14ac:dyDescent="0.3">
      <c r="A29" s="312"/>
      <c r="B29" s="93"/>
      <c r="C29" s="224"/>
      <c r="D29" s="224"/>
      <c r="E29" s="224"/>
      <c r="F29" s="224"/>
      <c r="G29" s="224"/>
      <c r="H29" s="224"/>
      <c r="I29" s="225">
        <f>SUM(I24:I28)</f>
        <v>1500</v>
      </c>
      <c r="J29" s="225"/>
      <c r="K29" s="225"/>
      <c r="L29" s="162"/>
      <c r="M29" s="225"/>
      <c r="N29" s="225"/>
      <c r="O29" s="225"/>
      <c r="P29" s="225"/>
      <c r="Q29" s="225"/>
    </row>
    <row r="30" spans="1:17" ht="29.25" customHeight="1" thickBot="1" x14ac:dyDescent="0.3">
      <c r="A30" s="73"/>
      <c r="B30" s="64"/>
      <c r="C30" s="65"/>
      <c r="D30" s="66"/>
      <c r="E30" s="67"/>
      <c r="F30" s="66"/>
      <c r="G30" s="67"/>
      <c r="H30" s="67"/>
      <c r="I30" s="69">
        <f>SUM(I29,I23,I17,I10)</f>
        <v>6010</v>
      </c>
      <c r="J30" s="70"/>
      <c r="K30" s="70"/>
      <c r="L30" s="65"/>
      <c r="M30" s="71"/>
      <c r="N30" s="69"/>
      <c r="O30" s="70"/>
      <c r="P30" s="70"/>
      <c r="Q30" s="72"/>
    </row>
    <row r="31" spans="1:17" ht="17.25" thickTop="1" x14ac:dyDescent="0.3">
      <c r="A31" s="23" t="s">
        <v>22</v>
      </c>
      <c r="B31" s="24"/>
      <c r="C31" s="25"/>
      <c r="D31" s="24"/>
      <c r="E31" s="24"/>
      <c r="F31" s="26"/>
      <c r="G31" s="27"/>
      <c r="H31" s="28" t="s">
        <v>23</v>
      </c>
      <c r="I31" s="29"/>
      <c r="J31" s="29"/>
      <c r="K31" s="29"/>
      <c r="L31" s="30"/>
      <c r="M31" s="29"/>
      <c r="N31" s="29"/>
      <c r="O31" s="29"/>
      <c r="P31" s="226" t="s">
        <v>24</v>
      </c>
      <c r="Q31" s="31"/>
    </row>
    <row r="32" spans="1:17" ht="16.5" x14ac:dyDescent="0.3">
      <c r="A32" s="1"/>
      <c r="B32" s="32">
        <v>1</v>
      </c>
      <c r="C32" s="33"/>
      <c r="D32" s="32"/>
      <c r="E32" s="32"/>
      <c r="F32" s="304" t="s">
        <v>25</v>
      </c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</row>
    <row r="33" spans="1:17" ht="16.5" x14ac:dyDescent="0.3">
      <c r="A33" s="1"/>
      <c r="B33" s="297" t="s">
        <v>26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1:17" ht="16.5" x14ac:dyDescent="0.3">
      <c r="A34" s="1"/>
      <c r="B34" s="34">
        <v>2</v>
      </c>
      <c r="C34" s="35"/>
      <c r="D34" s="36"/>
      <c r="E34" s="36"/>
      <c r="F34" s="298" t="s">
        <v>27</v>
      </c>
      <c r="G34" s="298"/>
      <c r="H34" s="298"/>
      <c r="I34" s="298"/>
      <c r="J34" s="298"/>
      <c r="K34" s="298"/>
      <c r="L34" s="298"/>
      <c r="M34" s="298"/>
      <c r="N34" s="298"/>
      <c r="O34" s="298"/>
      <c r="P34" s="299" t="s">
        <v>28</v>
      </c>
      <c r="Q34" s="300"/>
    </row>
    <row r="35" spans="1:17" ht="16.5" x14ac:dyDescent="0.3">
      <c r="A35" s="1"/>
      <c r="B35" s="297" t="s">
        <v>29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1"/>
      <c r="Q35" s="1"/>
    </row>
  </sheetData>
  <mergeCells count="17">
    <mergeCell ref="B33:Q33"/>
    <mergeCell ref="F34:O34"/>
    <mergeCell ref="P34:Q34"/>
    <mergeCell ref="B35:O35"/>
    <mergeCell ref="C16:D16"/>
    <mergeCell ref="A11:A17"/>
    <mergeCell ref="A18:A23"/>
    <mergeCell ref="C23:F23"/>
    <mergeCell ref="A24:A29"/>
    <mergeCell ref="F32:Q32"/>
    <mergeCell ref="A4:A10"/>
    <mergeCell ref="C10:F10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22" zoomScale="115" zoomScaleNormal="115" workbookViewId="0">
      <selection activeCell="G26" sqref="G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43258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43259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822</v>
      </c>
      <c r="K4" s="155"/>
      <c r="L4" s="54" t="s">
        <v>825</v>
      </c>
      <c r="M4" s="16"/>
      <c r="N4" s="16"/>
      <c r="O4" s="17" t="s">
        <v>772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823</v>
      </c>
      <c r="K5" s="164"/>
      <c r="L5" s="57"/>
      <c r="M5" s="98"/>
      <c r="N5" s="63"/>
      <c r="O5" s="20" t="s">
        <v>773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824</v>
      </c>
      <c r="K6" s="164"/>
      <c r="L6" s="57"/>
      <c r="M6" s="98"/>
      <c r="N6" s="63"/>
      <c r="O6" s="20" t="s">
        <v>774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228</v>
      </c>
      <c r="J7" s="164" t="s">
        <v>227</v>
      </c>
      <c r="K7" s="164"/>
      <c r="L7" s="57"/>
      <c r="M7" s="63"/>
      <c r="N7" s="63"/>
      <c r="O7" s="20" t="s">
        <v>775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24"/>
      <c r="H9" s="224"/>
      <c r="I9" s="224">
        <f>SUM(I4:I8)</f>
        <v>1596</v>
      </c>
      <c r="J9" s="224"/>
      <c r="K9" s="224"/>
      <c r="L9" s="227"/>
      <c r="M9" s="224"/>
      <c r="N9" s="224"/>
      <c r="O9" s="224"/>
      <c r="P9" s="225"/>
      <c r="Q9" s="225"/>
    </row>
    <row r="10" spans="1:17" ht="23.25" customHeight="1" x14ac:dyDescent="0.25">
      <c r="A10" s="287" t="s">
        <v>49</v>
      </c>
      <c r="B10" s="92" t="s">
        <v>420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826</v>
      </c>
      <c r="K10" s="155"/>
      <c r="L10" s="54" t="s">
        <v>67</v>
      </c>
      <c r="M10" s="16"/>
      <c r="N10" s="16"/>
      <c r="O10" s="17" t="s">
        <v>772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827</v>
      </c>
      <c r="K11" s="164"/>
      <c r="L11" s="88"/>
      <c r="M11" s="63"/>
      <c r="N11" s="63"/>
      <c r="O11" s="20" t="s">
        <v>773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828</v>
      </c>
      <c r="K12" s="164"/>
      <c r="L12" s="88"/>
      <c r="M12" s="63"/>
      <c r="N12" s="63"/>
      <c r="O12" s="20" t="s">
        <v>774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228</v>
      </c>
      <c r="J13" s="164" t="s">
        <v>870</v>
      </c>
      <c r="K13" s="164"/>
      <c r="L13" s="88"/>
      <c r="M13" s="15"/>
      <c r="N13" s="15"/>
      <c r="O13" s="20" t="s">
        <v>775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1596</v>
      </c>
      <c r="J15" s="115"/>
      <c r="K15" s="115"/>
      <c r="L15" s="96"/>
      <c r="M15" s="114"/>
      <c r="N15" s="114"/>
      <c r="O15" s="114"/>
      <c r="P15" s="225"/>
      <c r="Q15" s="225"/>
    </row>
    <row r="16" spans="1:17" ht="23.25" customHeight="1" x14ac:dyDescent="0.25">
      <c r="A16" s="287" t="s">
        <v>50</v>
      </c>
      <c r="B16" s="92" t="s">
        <v>314</v>
      </c>
      <c r="C16" s="24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829</v>
      </c>
      <c r="K16" s="164"/>
      <c r="L16" s="57" t="s">
        <v>67</v>
      </c>
      <c r="M16" s="16"/>
      <c r="N16" s="16"/>
      <c r="O16" s="17" t="s">
        <v>772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830</v>
      </c>
      <c r="K17" s="164"/>
      <c r="L17" s="57"/>
      <c r="M17" s="15"/>
      <c r="N17" s="15"/>
      <c r="O17" s="20" t="s">
        <v>773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831</v>
      </c>
      <c r="K18" s="164"/>
      <c r="L18" s="57"/>
      <c r="M18" s="15"/>
      <c r="N18" s="15"/>
      <c r="O18" s="20" t="s">
        <v>774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228</v>
      </c>
      <c r="J19" s="164" t="s">
        <v>871</v>
      </c>
      <c r="K19" s="164"/>
      <c r="L19" s="57"/>
      <c r="M19" s="49"/>
      <c r="N19" s="49"/>
      <c r="O19" s="20" t="s">
        <v>775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24">
        <f>SUM(I16:I20)</f>
        <v>1596</v>
      </c>
      <c r="J21" s="224"/>
      <c r="K21" s="224"/>
      <c r="L21" s="227"/>
      <c r="M21" s="224"/>
      <c r="N21" s="224"/>
      <c r="O21" s="224"/>
      <c r="P21" s="225"/>
      <c r="Q21" s="225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832</v>
      </c>
      <c r="K22" s="178"/>
      <c r="L22" s="180" t="s">
        <v>67</v>
      </c>
      <c r="M22" s="16"/>
      <c r="N22" s="16"/>
      <c r="O22" s="17" t="s">
        <v>772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833</v>
      </c>
      <c r="K23" s="194"/>
      <c r="L23" s="195"/>
      <c r="M23" s="87"/>
      <c r="N23" s="15"/>
      <c r="O23" s="20" t="s">
        <v>773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834</v>
      </c>
      <c r="K24" s="164"/>
      <c r="L24" s="57"/>
      <c r="M24" s="49"/>
      <c r="N24" s="15"/>
      <c r="O24" s="20" t="s">
        <v>774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228</v>
      </c>
      <c r="J25" s="51" t="s">
        <v>872</v>
      </c>
      <c r="K25" s="164"/>
      <c r="L25" s="57"/>
      <c r="M25" s="49"/>
      <c r="N25" s="49"/>
      <c r="O25" s="20" t="s">
        <v>775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1596</v>
      </c>
      <c r="J27" s="114"/>
      <c r="K27" s="114"/>
      <c r="L27" s="80"/>
      <c r="M27" s="114"/>
      <c r="N27" s="114"/>
      <c r="O27" s="114"/>
      <c r="P27" s="225"/>
      <c r="Q27" s="225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6384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26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F30:Q30"/>
    <mergeCell ref="B31:Q31"/>
    <mergeCell ref="F32:O32"/>
    <mergeCell ref="P32:Q32"/>
    <mergeCell ref="B33:O33"/>
    <mergeCell ref="A22:A27"/>
    <mergeCell ref="B22:B23"/>
    <mergeCell ref="C23:E23"/>
    <mergeCell ref="F23:H23"/>
    <mergeCell ref="A1:Q1"/>
    <mergeCell ref="A2:B2"/>
    <mergeCell ref="C2:E2"/>
    <mergeCell ref="F2:G2"/>
    <mergeCell ref="O2:Q2"/>
    <mergeCell ref="A4:A9"/>
    <mergeCell ref="C9:F9"/>
    <mergeCell ref="B4:B5"/>
    <mergeCell ref="A10:A15"/>
    <mergeCell ref="C15:F15"/>
    <mergeCell ref="A16:A21"/>
    <mergeCell ref="C21:F21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1"/>
  <sheetViews>
    <sheetView topLeftCell="A16" zoomScaleNormal="100" workbookViewId="0">
      <selection activeCell="J15" sqref="J15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43258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43259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835</v>
      </c>
      <c r="C4" s="104">
        <v>43292</v>
      </c>
      <c r="D4" s="90" t="s">
        <v>59</v>
      </c>
      <c r="E4" s="144" t="s">
        <v>54</v>
      </c>
      <c r="F4" s="40" t="s">
        <v>561</v>
      </c>
      <c r="G4" s="40">
        <v>168</v>
      </c>
      <c r="H4" s="204" t="s">
        <v>90</v>
      </c>
      <c r="I4" s="155">
        <v>168</v>
      </c>
      <c r="J4" s="155" t="s">
        <v>173</v>
      </c>
      <c r="K4" s="155"/>
      <c r="L4" s="53" t="s">
        <v>842</v>
      </c>
      <c r="M4" s="16"/>
      <c r="N4" s="16"/>
      <c r="O4" s="17" t="s">
        <v>772</v>
      </c>
      <c r="P4" s="18">
        <v>1</v>
      </c>
      <c r="Q4" s="19" t="s">
        <v>19</v>
      </c>
    </row>
    <row r="5" spans="1:17" ht="24.75" customHeight="1" x14ac:dyDescent="0.25">
      <c r="A5" s="288"/>
      <c r="B5" s="45"/>
      <c r="C5" s="313" t="s">
        <v>841</v>
      </c>
      <c r="D5" s="314"/>
      <c r="E5" s="129"/>
      <c r="F5" s="39"/>
      <c r="G5" s="39"/>
      <c r="H5" s="146"/>
      <c r="I5" s="164"/>
      <c r="J5" s="164"/>
      <c r="K5" s="164"/>
      <c r="L5" s="57"/>
      <c r="M5" s="15"/>
      <c r="N5" s="15"/>
      <c r="O5" s="20"/>
      <c r="P5" s="21"/>
      <c r="Q5" s="22"/>
    </row>
    <row r="6" spans="1:17" ht="24.75" customHeight="1" x14ac:dyDescent="0.25">
      <c r="A6" s="288"/>
      <c r="B6" s="45" t="s">
        <v>836</v>
      </c>
      <c r="C6" s="133">
        <v>43291</v>
      </c>
      <c r="D6" s="134" t="s">
        <v>93</v>
      </c>
      <c r="E6" s="129" t="s">
        <v>54</v>
      </c>
      <c r="F6" s="39" t="s">
        <v>837</v>
      </c>
      <c r="G6" s="39">
        <v>240</v>
      </c>
      <c r="H6" s="146" t="s">
        <v>90</v>
      </c>
      <c r="I6" s="164">
        <v>240</v>
      </c>
      <c r="J6" s="164" t="s">
        <v>173</v>
      </c>
      <c r="K6" s="164"/>
      <c r="L6" s="57" t="s">
        <v>67</v>
      </c>
      <c r="M6" s="15"/>
      <c r="N6" s="15"/>
      <c r="O6" s="20"/>
      <c r="P6" s="21"/>
      <c r="Q6" s="22"/>
    </row>
    <row r="7" spans="1:17" ht="24.75" customHeight="1" x14ac:dyDescent="0.25">
      <c r="A7" s="288"/>
      <c r="B7" s="45" t="s">
        <v>840</v>
      </c>
      <c r="C7" s="133">
        <v>43276</v>
      </c>
      <c r="D7" s="134" t="s">
        <v>59</v>
      </c>
      <c r="E7" s="129" t="s">
        <v>54</v>
      </c>
      <c r="F7" s="39" t="s">
        <v>561</v>
      </c>
      <c r="G7" s="39">
        <v>564</v>
      </c>
      <c r="H7" s="146" t="s">
        <v>90</v>
      </c>
      <c r="I7" s="164">
        <v>432</v>
      </c>
      <c r="J7" s="164" t="s">
        <v>77</v>
      </c>
      <c r="K7" s="164"/>
      <c r="L7" s="57" t="s">
        <v>67</v>
      </c>
      <c r="M7" s="15"/>
      <c r="N7" s="15"/>
      <c r="O7" s="20" t="s">
        <v>773</v>
      </c>
      <c r="P7" s="21">
        <v>2</v>
      </c>
      <c r="Q7" s="22" t="s">
        <v>20</v>
      </c>
    </row>
    <row r="8" spans="1:17" ht="24.75" customHeight="1" x14ac:dyDescent="0.25">
      <c r="A8" s="288"/>
      <c r="B8" s="45" t="s">
        <v>181</v>
      </c>
      <c r="C8" s="133"/>
      <c r="D8" s="134"/>
      <c r="E8" s="129"/>
      <c r="F8" s="39"/>
      <c r="G8" s="39"/>
      <c r="H8" s="146"/>
      <c r="I8" s="84">
        <f>564-432</f>
        <v>132</v>
      </c>
      <c r="J8" s="164" t="s">
        <v>864</v>
      </c>
      <c r="K8" s="164"/>
      <c r="L8" s="57"/>
      <c r="M8" s="49"/>
      <c r="N8" s="49"/>
      <c r="O8" s="20" t="s">
        <v>774</v>
      </c>
      <c r="P8" s="21">
        <v>3</v>
      </c>
      <c r="Q8" s="22" t="s">
        <v>21</v>
      </c>
    </row>
    <row r="9" spans="1:17" ht="24.75" customHeight="1" x14ac:dyDescent="0.25">
      <c r="A9" s="288"/>
      <c r="B9" s="45" t="s">
        <v>838</v>
      </c>
      <c r="C9" s="133">
        <v>43276</v>
      </c>
      <c r="D9" s="134" t="s">
        <v>59</v>
      </c>
      <c r="E9" s="129" t="s">
        <v>54</v>
      </c>
      <c r="F9" s="39" t="s">
        <v>96</v>
      </c>
      <c r="G9" s="39">
        <v>444</v>
      </c>
      <c r="H9" s="146" t="s">
        <v>90</v>
      </c>
      <c r="I9" s="164">
        <v>444</v>
      </c>
      <c r="J9" s="164" t="s">
        <v>77</v>
      </c>
      <c r="K9" s="164"/>
      <c r="L9" s="57" t="s">
        <v>67</v>
      </c>
      <c r="M9" s="49"/>
      <c r="N9" s="49"/>
      <c r="O9" s="20" t="s">
        <v>775</v>
      </c>
      <c r="P9" s="21">
        <v>4</v>
      </c>
      <c r="Q9" s="22" t="s">
        <v>21</v>
      </c>
    </row>
    <row r="10" spans="1:17" ht="23.25" customHeight="1" x14ac:dyDescent="0.25">
      <c r="A10" s="288"/>
      <c r="B10" s="45"/>
      <c r="C10" s="133"/>
      <c r="D10" s="134"/>
      <c r="E10" s="129"/>
      <c r="F10" s="39"/>
      <c r="G10" s="39"/>
      <c r="H10" s="146"/>
      <c r="I10" s="164"/>
      <c r="J10" s="164"/>
      <c r="K10" s="164"/>
      <c r="L10" s="57"/>
      <c r="M10" s="49"/>
      <c r="N10" s="49"/>
      <c r="O10" s="20"/>
      <c r="P10" s="21"/>
      <c r="Q10" s="22"/>
    </row>
    <row r="11" spans="1:17" ht="24.75" customHeight="1" thickBot="1" x14ac:dyDescent="0.3">
      <c r="A11" s="289"/>
      <c r="B11" s="93" t="s">
        <v>64</v>
      </c>
      <c r="C11" s="290" t="s">
        <v>65</v>
      </c>
      <c r="D11" s="291"/>
      <c r="E11" s="291"/>
      <c r="F11" s="292"/>
      <c r="G11" s="224"/>
      <c r="H11" s="224"/>
      <c r="I11" s="224">
        <f>SUM(I4:I10)</f>
        <v>1416</v>
      </c>
      <c r="J11" s="224"/>
      <c r="K11" s="224"/>
      <c r="L11" s="227"/>
      <c r="M11" s="224"/>
      <c r="N11" s="224"/>
      <c r="O11" s="224"/>
      <c r="P11" s="225"/>
      <c r="Q11" s="147"/>
    </row>
    <row r="12" spans="1:17" ht="24.75" customHeight="1" x14ac:dyDescent="0.25">
      <c r="A12" s="288" t="s">
        <v>31</v>
      </c>
      <c r="B12" s="42" t="s">
        <v>843</v>
      </c>
      <c r="C12" s="104">
        <v>43283</v>
      </c>
      <c r="D12" s="90" t="s">
        <v>59</v>
      </c>
      <c r="E12" s="144" t="s">
        <v>54</v>
      </c>
      <c r="F12" s="40" t="s">
        <v>455</v>
      </c>
      <c r="G12" s="40">
        <v>120</v>
      </c>
      <c r="H12" s="149" t="s">
        <v>456</v>
      </c>
      <c r="I12" s="155">
        <v>120</v>
      </c>
      <c r="J12" s="155" t="s">
        <v>173</v>
      </c>
      <c r="K12" s="155"/>
      <c r="L12" s="53" t="s">
        <v>67</v>
      </c>
      <c r="M12" s="16"/>
      <c r="N12" s="16"/>
      <c r="O12" s="17" t="s">
        <v>772</v>
      </c>
      <c r="P12" s="18">
        <v>1</v>
      </c>
      <c r="Q12" s="19" t="s">
        <v>19</v>
      </c>
    </row>
    <row r="13" spans="1:17" ht="24.75" customHeight="1" x14ac:dyDescent="0.25">
      <c r="A13" s="288"/>
      <c r="B13" s="45" t="s">
        <v>844</v>
      </c>
      <c r="C13" s="133">
        <v>43274</v>
      </c>
      <c r="D13" s="134" t="s">
        <v>55</v>
      </c>
      <c r="E13" s="129" t="s">
        <v>54</v>
      </c>
      <c r="F13" s="39" t="s">
        <v>845</v>
      </c>
      <c r="G13" s="39">
        <v>552</v>
      </c>
      <c r="H13" s="146" t="s">
        <v>456</v>
      </c>
      <c r="I13" s="164">
        <v>432</v>
      </c>
      <c r="J13" s="164" t="s">
        <v>77</v>
      </c>
      <c r="K13" s="164"/>
      <c r="L13" s="57" t="s">
        <v>846</v>
      </c>
      <c r="M13" s="15"/>
      <c r="N13" s="15"/>
      <c r="O13" s="20" t="s">
        <v>773</v>
      </c>
      <c r="P13" s="21">
        <v>2</v>
      </c>
      <c r="Q13" s="22" t="s">
        <v>20</v>
      </c>
    </row>
    <row r="14" spans="1:17" ht="24.75" customHeight="1" x14ac:dyDescent="0.25">
      <c r="A14" s="288"/>
      <c r="B14" s="45" t="s">
        <v>181</v>
      </c>
      <c r="C14" s="133"/>
      <c r="D14" s="134"/>
      <c r="E14" s="129"/>
      <c r="F14" s="39"/>
      <c r="G14" s="39"/>
      <c r="H14" s="146"/>
      <c r="I14" s="164">
        <f>552-216*2</f>
        <v>120</v>
      </c>
      <c r="J14" s="164" t="s">
        <v>182</v>
      </c>
      <c r="K14" s="164"/>
      <c r="L14" s="57"/>
      <c r="M14" s="15"/>
      <c r="N14" s="15"/>
      <c r="O14" s="20"/>
      <c r="P14" s="21"/>
      <c r="Q14" s="22"/>
    </row>
    <row r="15" spans="1:17" ht="24.75" customHeight="1" x14ac:dyDescent="0.25">
      <c r="A15" s="288"/>
      <c r="B15" s="45" t="s">
        <v>847</v>
      </c>
      <c r="C15" s="133">
        <v>43269</v>
      </c>
      <c r="D15" s="134" t="s">
        <v>59</v>
      </c>
      <c r="E15" s="129" t="s">
        <v>54</v>
      </c>
      <c r="F15" s="39" t="s">
        <v>848</v>
      </c>
      <c r="G15" s="39">
        <v>408</v>
      </c>
      <c r="H15" s="146" t="s">
        <v>456</v>
      </c>
      <c r="I15" s="84">
        <v>408</v>
      </c>
      <c r="J15" s="164" t="s">
        <v>77</v>
      </c>
      <c r="K15" s="164"/>
      <c r="L15" s="57" t="s">
        <v>796</v>
      </c>
      <c r="M15" s="49"/>
      <c r="N15" s="49"/>
      <c r="O15" s="20" t="s">
        <v>774</v>
      </c>
      <c r="P15" s="21">
        <v>3</v>
      </c>
      <c r="Q15" s="22" t="s">
        <v>21</v>
      </c>
    </row>
    <row r="16" spans="1:17" ht="24.75" customHeight="1" x14ac:dyDescent="0.25">
      <c r="A16" s="288"/>
      <c r="B16" s="45" t="s">
        <v>849</v>
      </c>
      <c r="C16" s="133">
        <v>43274</v>
      </c>
      <c r="D16" s="134" t="s">
        <v>55</v>
      </c>
      <c r="E16" s="129" t="s">
        <v>54</v>
      </c>
      <c r="F16" s="39" t="s">
        <v>848</v>
      </c>
      <c r="G16" s="39">
        <v>564</v>
      </c>
      <c r="H16" s="146" t="s">
        <v>456</v>
      </c>
      <c r="I16" s="164">
        <v>216</v>
      </c>
      <c r="J16" s="164" t="s">
        <v>84</v>
      </c>
      <c r="K16" s="164"/>
      <c r="L16" s="57" t="s">
        <v>814</v>
      </c>
      <c r="M16" s="49"/>
      <c r="N16" s="49"/>
      <c r="O16" s="20" t="s">
        <v>775</v>
      </c>
      <c r="P16" s="21">
        <v>4</v>
      </c>
      <c r="Q16" s="22" t="s">
        <v>21</v>
      </c>
    </row>
    <row r="17" spans="1:17" ht="24.75" customHeight="1" x14ac:dyDescent="0.25">
      <c r="A17" s="288"/>
      <c r="B17" s="45" t="s">
        <v>181</v>
      </c>
      <c r="C17" s="133"/>
      <c r="D17" s="134"/>
      <c r="E17" s="129"/>
      <c r="F17" s="39"/>
      <c r="G17" s="39"/>
      <c r="H17" s="146"/>
      <c r="I17" s="164"/>
      <c r="J17" s="164"/>
      <c r="K17" s="164"/>
      <c r="L17" s="57"/>
      <c r="M17" s="49"/>
      <c r="N17" s="49"/>
      <c r="O17" s="100"/>
      <c r="P17" s="50"/>
      <c r="Q17" s="148"/>
    </row>
    <row r="18" spans="1:17" ht="24.75" customHeight="1" thickBot="1" x14ac:dyDescent="0.3">
      <c r="A18" s="289"/>
      <c r="B18" s="93" t="s">
        <v>64</v>
      </c>
      <c r="C18" s="290" t="s">
        <v>65</v>
      </c>
      <c r="D18" s="291"/>
      <c r="E18" s="291"/>
      <c r="F18" s="292"/>
      <c r="G18" s="224"/>
      <c r="H18" s="224"/>
      <c r="I18" s="224">
        <f>SUM(I12:I17)</f>
        <v>1296</v>
      </c>
      <c r="J18" s="224"/>
      <c r="K18" s="224"/>
      <c r="L18" s="227"/>
      <c r="M18" s="224"/>
      <c r="N18" s="224"/>
      <c r="O18" s="224"/>
      <c r="P18" s="224"/>
      <c r="Q18" s="151"/>
    </row>
    <row r="19" spans="1:17" ht="24.75" customHeight="1" x14ac:dyDescent="0.25">
      <c r="A19" s="287" t="s">
        <v>32</v>
      </c>
      <c r="B19" s="42" t="s">
        <v>647</v>
      </c>
      <c r="C19" s="104">
        <v>43285</v>
      </c>
      <c r="D19" s="90" t="s">
        <v>93</v>
      </c>
      <c r="E19" s="144" t="s">
        <v>54</v>
      </c>
      <c r="F19" s="40" t="s">
        <v>240</v>
      </c>
      <c r="G19" s="40">
        <v>4224</v>
      </c>
      <c r="H19" s="149" t="s">
        <v>241</v>
      </c>
      <c r="I19" s="155">
        <v>360</v>
      </c>
      <c r="J19" s="155" t="s">
        <v>292</v>
      </c>
      <c r="K19" s="155"/>
      <c r="L19" s="53" t="s">
        <v>330</v>
      </c>
      <c r="M19" s="16"/>
      <c r="N19" s="16"/>
      <c r="O19" s="17" t="s">
        <v>772</v>
      </c>
      <c r="P19" s="18">
        <v>1</v>
      </c>
      <c r="Q19" s="19" t="s">
        <v>19</v>
      </c>
    </row>
    <row r="20" spans="1:17" ht="24.75" customHeight="1" x14ac:dyDescent="0.25">
      <c r="A20" s="288"/>
      <c r="B20" s="127" t="s">
        <v>648</v>
      </c>
      <c r="C20" s="133"/>
      <c r="D20" s="134"/>
      <c r="E20" s="129"/>
      <c r="F20" s="38"/>
      <c r="G20" s="38"/>
      <c r="H20" s="154"/>
      <c r="I20" s="164">
        <v>360</v>
      </c>
      <c r="J20" s="164" t="s">
        <v>850</v>
      </c>
      <c r="K20" s="164"/>
      <c r="L20" s="57"/>
      <c r="M20" s="15"/>
      <c r="N20" s="15"/>
      <c r="O20" s="20" t="s">
        <v>773</v>
      </c>
      <c r="P20" s="21">
        <v>2</v>
      </c>
      <c r="Q20" s="22" t="s">
        <v>20</v>
      </c>
    </row>
    <row r="21" spans="1:17" ht="24.75" customHeight="1" x14ac:dyDescent="0.25">
      <c r="A21" s="288"/>
      <c r="B21" s="45"/>
      <c r="C21" s="133"/>
      <c r="D21" s="134"/>
      <c r="E21" s="129"/>
      <c r="F21" s="39"/>
      <c r="G21" s="39"/>
      <c r="H21" s="130"/>
      <c r="I21" s="128">
        <v>360</v>
      </c>
      <c r="J21" s="38" t="s">
        <v>851</v>
      </c>
      <c r="K21" s="38"/>
      <c r="L21" s="44"/>
      <c r="M21" s="15"/>
      <c r="N21" s="15"/>
      <c r="O21" s="20" t="s">
        <v>774</v>
      </c>
      <c r="P21" s="21">
        <v>3</v>
      </c>
      <c r="Q21" s="22" t="s">
        <v>21</v>
      </c>
    </row>
    <row r="22" spans="1:17" ht="24.75" customHeight="1" x14ac:dyDescent="0.25">
      <c r="A22" s="288"/>
      <c r="B22" s="45"/>
      <c r="C22" s="133"/>
      <c r="D22" s="134"/>
      <c r="E22" s="129"/>
      <c r="F22" s="39"/>
      <c r="G22" s="39"/>
      <c r="H22" s="130"/>
      <c r="I22" s="164">
        <v>360</v>
      </c>
      <c r="J22" s="164" t="s">
        <v>852</v>
      </c>
      <c r="K22" s="164"/>
      <c r="L22" s="57"/>
      <c r="M22" s="49"/>
      <c r="N22" s="49"/>
      <c r="O22" s="20" t="s">
        <v>775</v>
      </c>
      <c r="P22" s="21">
        <v>4</v>
      </c>
      <c r="Q22" s="22" t="s">
        <v>21</v>
      </c>
    </row>
    <row r="23" spans="1:17" ht="24.75" customHeight="1" x14ac:dyDescent="0.25">
      <c r="A23" s="288"/>
      <c r="B23" s="127"/>
      <c r="C23" s="133"/>
      <c r="D23" s="134"/>
      <c r="E23" s="129"/>
      <c r="F23" s="38"/>
      <c r="G23" s="38"/>
      <c r="H23" s="154"/>
      <c r="I23" s="164"/>
      <c r="J23" s="164"/>
      <c r="K23" s="164"/>
      <c r="L23" s="57"/>
      <c r="M23" s="49"/>
      <c r="N23" s="49"/>
      <c r="O23" s="20"/>
      <c r="P23" s="21"/>
      <c r="Q23" s="22"/>
    </row>
    <row r="24" spans="1:17" ht="24.75" customHeight="1" thickBot="1" x14ac:dyDescent="0.3">
      <c r="A24" s="289"/>
      <c r="B24" s="93" t="s">
        <v>64</v>
      </c>
      <c r="C24" s="290" t="s">
        <v>65</v>
      </c>
      <c r="D24" s="291"/>
      <c r="E24" s="291"/>
      <c r="F24" s="292"/>
      <c r="G24" s="224"/>
      <c r="H24" s="224"/>
      <c r="I24" s="224">
        <f>SUM(I19:I23)</f>
        <v>1440</v>
      </c>
      <c r="J24" s="224"/>
      <c r="K24" s="224"/>
      <c r="L24" s="227"/>
      <c r="M24" s="224"/>
      <c r="N24" s="224"/>
      <c r="O24" s="224"/>
      <c r="P24" s="224"/>
      <c r="Q24" s="147"/>
    </row>
    <row r="25" spans="1:17" ht="29.25" customHeight="1" thickBot="1" x14ac:dyDescent="0.3">
      <c r="A25" s="73"/>
      <c r="B25" s="64"/>
      <c r="C25" s="65"/>
      <c r="D25" s="66"/>
      <c r="E25" s="67"/>
      <c r="F25" s="68"/>
      <c r="G25" s="67"/>
      <c r="H25" s="67"/>
      <c r="I25" s="69">
        <f>SUM(I24,I18,I11)</f>
        <v>4152</v>
      </c>
      <c r="J25" s="70"/>
      <c r="K25" s="70"/>
      <c r="L25" s="65"/>
      <c r="M25" s="71"/>
      <c r="N25" s="69"/>
      <c r="O25" s="70"/>
      <c r="P25" s="70"/>
      <c r="Q25" s="72"/>
    </row>
    <row r="26" spans="1:17" ht="17.25" thickTop="1" x14ac:dyDescent="0.3">
      <c r="A26" s="23" t="s">
        <v>22</v>
      </c>
      <c r="B26" s="24"/>
      <c r="C26" s="25"/>
      <c r="D26" s="24"/>
      <c r="E26" s="24"/>
      <c r="F26" s="26"/>
      <c r="G26" s="27"/>
      <c r="H26" s="28" t="s">
        <v>23</v>
      </c>
      <c r="I26" s="29"/>
      <c r="J26" s="29"/>
      <c r="K26" s="29"/>
      <c r="L26" s="30"/>
      <c r="M26" s="29"/>
      <c r="N26" s="29"/>
      <c r="O26" s="29"/>
      <c r="P26" s="226" t="s">
        <v>24</v>
      </c>
      <c r="Q26" s="31"/>
    </row>
    <row r="27" spans="1:17" ht="16.5" x14ac:dyDescent="0.3">
      <c r="A27" s="1"/>
      <c r="B27" s="32">
        <v>1</v>
      </c>
      <c r="C27" s="33"/>
      <c r="D27" s="32"/>
      <c r="E27" s="32"/>
      <c r="F27" s="304" t="s">
        <v>25</v>
      </c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</row>
    <row r="28" spans="1:17" ht="16.5" x14ac:dyDescent="0.3">
      <c r="A28" s="297" t="s">
        <v>26</v>
      </c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</row>
    <row r="29" spans="1:17" ht="16.5" x14ac:dyDescent="0.3">
      <c r="A29" s="1"/>
      <c r="B29" s="34">
        <v>2</v>
      </c>
      <c r="C29" s="35"/>
      <c r="D29" s="36"/>
      <c r="E29" s="36"/>
      <c r="F29" s="298" t="s">
        <v>27</v>
      </c>
      <c r="G29" s="298"/>
      <c r="H29" s="298"/>
      <c r="I29" s="298"/>
      <c r="J29" s="298"/>
      <c r="K29" s="298"/>
      <c r="L29" s="298"/>
      <c r="M29" s="298"/>
      <c r="N29" s="298"/>
      <c r="O29" s="298"/>
      <c r="P29" s="76" t="s">
        <v>28</v>
      </c>
      <c r="Q29" s="75"/>
    </row>
    <row r="30" spans="1:17" ht="16.5" x14ac:dyDescent="0.3">
      <c r="A30" s="1"/>
      <c r="B30" s="297" t="s">
        <v>29</v>
      </c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1"/>
      <c r="Q30" s="1"/>
    </row>
    <row r="31" spans="1:17" x14ac:dyDescent="0.25">
      <c r="O31" s="74"/>
    </row>
  </sheetData>
  <mergeCells count="16">
    <mergeCell ref="A28:Q28"/>
    <mergeCell ref="F29:O29"/>
    <mergeCell ref="B30:O30"/>
    <mergeCell ref="C5:D5"/>
    <mergeCell ref="A12:A18"/>
    <mergeCell ref="C18:F18"/>
    <mergeCell ref="A19:A24"/>
    <mergeCell ref="C24:F24"/>
    <mergeCell ref="F27:Q27"/>
    <mergeCell ref="A4:A11"/>
    <mergeCell ref="C11:F11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zoomScaleNormal="100" workbookViewId="0">
      <selection activeCell="B7" sqref="B7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43259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43260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2.5" customHeight="1" x14ac:dyDescent="0.25">
      <c r="A4" s="287" t="s">
        <v>36</v>
      </c>
      <c r="B4" s="42" t="s">
        <v>779</v>
      </c>
      <c r="C4" s="140">
        <v>43265</v>
      </c>
      <c r="D4" s="77" t="s">
        <v>59</v>
      </c>
      <c r="E4" s="41" t="s">
        <v>54</v>
      </c>
      <c r="F4" s="40" t="s">
        <v>778</v>
      </c>
      <c r="G4" s="40">
        <v>2412</v>
      </c>
      <c r="H4" s="41" t="s">
        <v>667</v>
      </c>
      <c r="I4" s="40">
        <v>432</v>
      </c>
      <c r="J4" s="40" t="s">
        <v>132</v>
      </c>
      <c r="K4" s="40"/>
      <c r="L4" s="54" t="s">
        <v>63</v>
      </c>
      <c r="M4" s="16"/>
      <c r="N4" s="16"/>
      <c r="O4" s="17" t="s">
        <v>873</v>
      </c>
      <c r="P4" s="18">
        <v>1</v>
      </c>
      <c r="Q4" s="19" t="s">
        <v>19</v>
      </c>
    </row>
    <row r="5" spans="1:17" ht="22.5" customHeight="1" x14ac:dyDescent="0.25">
      <c r="A5" s="288"/>
      <c r="B5" s="43" t="s">
        <v>780</v>
      </c>
      <c r="C5" s="58"/>
      <c r="D5" s="78"/>
      <c r="E5" s="60"/>
      <c r="F5" s="38"/>
      <c r="G5" s="38"/>
      <c r="H5" s="60"/>
      <c r="I5" s="38">
        <v>432</v>
      </c>
      <c r="J5" s="38" t="s">
        <v>877</v>
      </c>
      <c r="K5" s="38"/>
      <c r="L5" s="44"/>
      <c r="M5" s="15"/>
      <c r="N5" s="63"/>
      <c r="O5" s="20" t="s">
        <v>874</v>
      </c>
      <c r="P5" s="21">
        <v>2</v>
      </c>
      <c r="Q5" s="22" t="s">
        <v>20</v>
      </c>
    </row>
    <row r="6" spans="1:17" ht="22.5" customHeight="1" x14ac:dyDescent="0.25">
      <c r="A6" s="288"/>
      <c r="B6" s="43"/>
      <c r="C6" s="58"/>
      <c r="D6" s="78"/>
      <c r="E6" s="60"/>
      <c r="F6" s="38"/>
      <c r="G6" s="38"/>
      <c r="H6" s="60"/>
      <c r="I6" s="38">
        <f>2412-216*10</f>
        <v>252</v>
      </c>
      <c r="J6" s="38" t="s">
        <v>878</v>
      </c>
      <c r="K6" s="38"/>
      <c r="L6" s="44"/>
      <c r="M6" s="15"/>
      <c r="N6" s="63"/>
      <c r="O6" s="20" t="s">
        <v>875</v>
      </c>
      <c r="P6" s="21">
        <v>3</v>
      </c>
      <c r="Q6" s="22" t="s">
        <v>21</v>
      </c>
    </row>
    <row r="7" spans="1:17" ht="22.5" customHeight="1" x14ac:dyDescent="0.25">
      <c r="A7" s="288"/>
      <c r="B7" s="43" t="s">
        <v>879</v>
      </c>
      <c r="C7" s="58">
        <v>43269</v>
      </c>
      <c r="D7" s="78" t="s">
        <v>59</v>
      </c>
      <c r="E7" s="60" t="s">
        <v>54</v>
      </c>
      <c r="F7" s="38" t="s">
        <v>778</v>
      </c>
      <c r="G7" s="38">
        <v>132</v>
      </c>
      <c r="H7" s="60" t="s">
        <v>667</v>
      </c>
      <c r="I7" s="38">
        <v>132</v>
      </c>
      <c r="J7" s="38" t="s">
        <v>84</v>
      </c>
      <c r="K7" s="38"/>
      <c r="L7" s="44" t="s">
        <v>881</v>
      </c>
      <c r="M7" s="15"/>
      <c r="N7" s="63"/>
      <c r="O7" s="20" t="s">
        <v>876</v>
      </c>
      <c r="P7" s="21">
        <v>4</v>
      </c>
      <c r="Q7" s="22" t="s">
        <v>21</v>
      </c>
    </row>
    <row r="8" spans="1:17" ht="22.5" customHeight="1" x14ac:dyDescent="0.25">
      <c r="A8" s="288"/>
      <c r="B8" s="43"/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2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37"/>
      <c r="H9" s="237"/>
      <c r="I9" s="237">
        <f>SUM(I4:I8)</f>
        <v>1248</v>
      </c>
      <c r="J9" s="237"/>
      <c r="K9" s="237"/>
      <c r="L9" s="240"/>
      <c r="M9" s="237"/>
      <c r="N9" s="237"/>
      <c r="O9" s="237"/>
      <c r="P9" s="238"/>
      <c r="Q9" s="238"/>
    </row>
    <row r="10" spans="1:17" ht="22.5" customHeight="1" x14ac:dyDescent="0.25">
      <c r="A10" s="287" t="s">
        <v>39</v>
      </c>
      <c r="B10" s="42" t="s">
        <v>136</v>
      </c>
      <c r="C10" s="140">
        <v>43264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882</v>
      </c>
      <c r="K10" s="40"/>
      <c r="L10" s="54" t="s">
        <v>63</v>
      </c>
      <c r="M10" s="16"/>
      <c r="N10" s="16"/>
      <c r="O10" s="17" t="s">
        <v>873</v>
      </c>
      <c r="P10" s="18">
        <v>1</v>
      </c>
      <c r="Q10" s="19" t="s">
        <v>19</v>
      </c>
    </row>
    <row r="11" spans="1:17" ht="22.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v>432</v>
      </c>
      <c r="J11" s="164" t="s">
        <v>883</v>
      </c>
      <c r="K11" s="164"/>
      <c r="L11" s="57"/>
      <c r="M11" s="49"/>
      <c r="N11" s="63"/>
      <c r="O11" s="20" t="s">
        <v>874</v>
      </c>
      <c r="P11" s="21">
        <v>2</v>
      </c>
      <c r="Q11" s="22" t="s">
        <v>20</v>
      </c>
    </row>
    <row r="12" spans="1:17" ht="22.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v>432</v>
      </c>
      <c r="J12" s="164" t="s">
        <v>884</v>
      </c>
      <c r="K12" s="164"/>
      <c r="L12" s="57"/>
      <c r="M12" s="49"/>
      <c r="N12" s="63"/>
      <c r="O12" s="20" t="s">
        <v>875</v>
      </c>
      <c r="P12" s="21">
        <v>3</v>
      </c>
      <c r="Q12" s="22" t="s">
        <v>21</v>
      </c>
    </row>
    <row r="13" spans="1:17" ht="22.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v>432</v>
      </c>
      <c r="J13" s="164" t="s">
        <v>885</v>
      </c>
      <c r="K13" s="164"/>
      <c r="L13" s="57"/>
      <c r="M13" s="49"/>
      <c r="N13" s="63"/>
      <c r="O13" s="20" t="s">
        <v>876</v>
      </c>
      <c r="P13" s="21">
        <v>4</v>
      </c>
      <c r="Q13" s="22" t="s">
        <v>21</v>
      </c>
    </row>
    <row r="14" spans="1:17" ht="22.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/>
      <c r="J14" s="164"/>
      <c r="K14" s="164"/>
      <c r="L14" s="57"/>
      <c r="M14" s="49"/>
      <c r="N14" s="15"/>
      <c r="O14" s="20"/>
      <c r="P14" s="21"/>
      <c r="Q14" s="22"/>
    </row>
    <row r="15" spans="1:17" ht="22.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37"/>
      <c r="H15" s="237"/>
      <c r="I15" s="237">
        <f>SUM(I10:I14)</f>
        <v>1728</v>
      </c>
      <c r="J15" s="237"/>
      <c r="K15" s="237"/>
      <c r="L15" s="240"/>
      <c r="M15" s="237"/>
      <c r="N15" s="237"/>
      <c r="O15" s="237"/>
      <c r="P15" s="238"/>
      <c r="Q15" s="238"/>
    </row>
    <row r="16" spans="1:17" ht="22.5" customHeight="1" x14ac:dyDescent="0.25">
      <c r="A16" s="287" t="s">
        <v>37</v>
      </c>
      <c r="B16" s="42" t="s">
        <v>785</v>
      </c>
      <c r="C16" s="244">
        <v>43269</v>
      </c>
      <c r="D16" s="52" t="s">
        <v>59</v>
      </c>
      <c r="E16" s="41" t="s">
        <v>54</v>
      </c>
      <c r="F16" s="40" t="s">
        <v>116</v>
      </c>
      <c r="G16" s="155">
        <v>1560</v>
      </c>
      <c r="H16" s="81" t="s">
        <v>117</v>
      </c>
      <c r="I16" s="155">
        <f>1560-216*6</f>
        <v>264</v>
      </c>
      <c r="J16" s="155" t="s">
        <v>227</v>
      </c>
      <c r="K16" s="155"/>
      <c r="L16" s="53" t="s">
        <v>67</v>
      </c>
      <c r="M16" s="16"/>
      <c r="N16" s="16"/>
      <c r="O16" s="17" t="s">
        <v>873</v>
      </c>
      <c r="P16" s="18">
        <v>1</v>
      </c>
      <c r="Q16" s="19" t="s">
        <v>19</v>
      </c>
    </row>
    <row r="17" spans="1:17" ht="22.5" customHeight="1" x14ac:dyDescent="0.25">
      <c r="A17" s="288"/>
      <c r="B17" s="45" t="s">
        <v>886</v>
      </c>
      <c r="C17" s="46">
        <v>43269</v>
      </c>
      <c r="D17" s="47" t="s">
        <v>59</v>
      </c>
      <c r="E17" s="60" t="s">
        <v>54</v>
      </c>
      <c r="F17" s="38" t="s">
        <v>116</v>
      </c>
      <c r="G17" s="164">
        <v>1236</v>
      </c>
      <c r="H17" s="48" t="s">
        <v>117</v>
      </c>
      <c r="I17" s="164">
        <v>432</v>
      </c>
      <c r="J17" s="164" t="s">
        <v>77</v>
      </c>
      <c r="K17" s="164"/>
      <c r="L17" s="57" t="s">
        <v>889</v>
      </c>
      <c r="M17" s="63"/>
      <c r="N17" s="63"/>
      <c r="O17" s="20" t="s">
        <v>874</v>
      </c>
      <c r="P17" s="21">
        <v>2</v>
      </c>
      <c r="Q17" s="22" t="s">
        <v>20</v>
      </c>
    </row>
    <row r="18" spans="1:17" ht="22.5" customHeight="1" x14ac:dyDescent="0.25">
      <c r="A18" s="288"/>
      <c r="B18" s="45" t="s">
        <v>105</v>
      </c>
      <c r="C18" s="46"/>
      <c r="D18" s="47"/>
      <c r="E18" s="60"/>
      <c r="F18" s="38"/>
      <c r="G18" s="164"/>
      <c r="H18" s="48"/>
      <c r="I18" s="164">
        <v>432</v>
      </c>
      <c r="J18" s="164" t="s">
        <v>887</v>
      </c>
      <c r="K18" s="164"/>
      <c r="L18" s="57"/>
      <c r="M18" s="15"/>
      <c r="N18" s="15"/>
      <c r="O18" s="20" t="s">
        <v>875</v>
      </c>
      <c r="P18" s="21">
        <v>3</v>
      </c>
      <c r="Q18" s="22" t="s">
        <v>21</v>
      </c>
    </row>
    <row r="19" spans="1:17" ht="22.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f>1236-216*4</f>
        <v>372</v>
      </c>
      <c r="J19" s="164" t="s">
        <v>888</v>
      </c>
      <c r="K19" s="164"/>
      <c r="L19" s="57"/>
      <c r="M19" s="15"/>
      <c r="N19" s="15"/>
      <c r="O19" s="20" t="s">
        <v>876</v>
      </c>
      <c r="P19" s="21">
        <v>4</v>
      </c>
      <c r="Q19" s="22" t="s">
        <v>21</v>
      </c>
    </row>
    <row r="20" spans="1:17" ht="22.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2.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37"/>
      <c r="H21" s="237"/>
      <c r="I21" s="237">
        <f>SUM(I16:I20)</f>
        <v>1500</v>
      </c>
      <c r="J21" s="237"/>
      <c r="K21" s="237"/>
      <c r="L21" s="240"/>
      <c r="M21" s="237"/>
      <c r="N21" s="237"/>
      <c r="O21" s="237"/>
      <c r="P21" s="238"/>
      <c r="Q21" s="238"/>
    </row>
    <row r="22" spans="1:17" ht="22.5" customHeight="1" x14ac:dyDescent="0.25">
      <c r="A22" s="287" t="s">
        <v>38</v>
      </c>
      <c r="B22" s="246" t="s">
        <v>787</v>
      </c>
      <c r="C22" s="140">
        <v>43264</v>
      </c>
      <c r="D22" s="77" t="s">
        <v>59</v>
      </c>
      <c r="E22" s="81" t="s">
        <v>54</v>
      </c>
      <c r="F22" s="155" t="s">
        <v>788</v>
      </c>
      <c r="G22" s="155">
        <v>2004</v>
      </c>
      <c r="H22" s="81" t="s">
        <v>789</v>
      </c>
      <c r="I22" s="155">
        <v>432</v>
      </c>
      <c r="J22" s="155" t="s">
        <v>127</v>
      </c>
      <c r="K22" s="155"/>
      <c r="L22" s="53" t="s">
        <v>63</v>
      </c>
      <c r="M22" s="16"/>
      <c r="N22" s="16"/>
      <c r="O22" s="17" t="s">
        <v>873</v>
      </c>
      <c r="P22" s="18">
        <v>1</v>
      </c>
      <c r="Q22" s="19" t="s">
        <v>19</v>
      </c>
    </row>
    <row r="23" spans="1:17" ht="22.5" customHeight="1" x14ac:dyDescent="0.25">
      <c r="A23" s="288"/>
      <c r="B23" s="111" t="s">
        <v>106</v>
      </c>
      <c r="C23" s="58"/>
      <c r="D23" s="78"/>
      <c r="E23" s="48"/>
      <c r="F23" s="164"/>
      <c r="G23" s="164"/>
      <c r="H23" s="48"/>
      <c r="I23" s="164">
        <v>432</v>
      </c>
      <c r="J23" s="164" t="s">
        <v>132</v>
      </c>
      <c r="K23" s="164"/>
      <c r="L23" s="57"/>
      <c r="M23" s="15"/>
      <c r="N23" s="15"/>
      <c r="O23" s="20" t="s">
        <v>874</v>
      </c>
      <c r="P23" s="21">
        <v>2</v>
      </c>
      <c r="Q23" s="22" t="s">
        <v>20</v>
      </c>
    </row>
    <row r="24" spans="1:17" ht="22.5" customHeight="1" x14ac:dyDescent="0.25">
      <c r="A24" s="288"/>
      <c r="B24" s="111"/>
      <c r="C24" s="58"/>
      <c r="D24" s="78"/>
      <c r="E24" s="48"/>
      <c r="F24" s="164"/>
      <c r="G24" s="164"/>
      <c r="H24" s="48"/>
      <c r="I24" s="84">
        <f>2004-216*8</f>
        <v>276</v>
      </c>
      <c r="J24" s="164" t="s">
        <v>890</v>
      </c>
      <c r="K24" s="164"/>
      <c r="L24" s="57"/>
      <c r="M24" s="49"/>
      <c r="N24" s="15"/>
      <c r="O24" s="20" t="s">
        <v>875</v>
      </c>
      <c r="P24" s="21">
        <v>3</v>
      </c>
      <c r="Q24" s="22" t="s">
        <v>21</v>
      </c>
    </row>
    <row r="25" spans="1:17" ht="22.5" customHeight="1" x14ac:dyDescent="0.25">
      <c r="A25" s="288"/>
      <c r="B25" s="111" t="s">
        <v>891</v>
      </c>
      <c r="C25" s="58">
        <v>43265</v>
      </c>
      <c r="D25" s="78" t="s">
        <v>55</v>
      </c>
      <c r="E25" s="48" t="s">
        <v>54</v>
      </c>
      <c r="F25" s="164" t="s">
        <v>892</v>
      </c>
      <c r="G25" s="164">
        <v>636</v>
      </c>
      <c r="H25" s="48" t="s">
        <v>88</v>
      </c>
      <c r="I25" s="84">
        <v>432</v>
      </c>
      <c r="J25" s="164" t="s">
        <v>77</v>
      </c>
      <c r="K25" s="164"/>
      <c r="L25" s="57" t="s">
        <v>80</v>
      </c>
      <c r="M25" s="15"/>
      <c r="N25" s="15"/>
      <c r="O25" s="20"/>
      <c r="P25" s="21"/>
      <c r="Q25" s="22"/>
    </row>
    <row r="26" spans="1:17" ht="22.5" customHeight="1" x14ac:dyDescent="0.25">
      <c r="A26" s="288"/>
      <c r="B26" s="111" t="s">
        <v>893</v>
      </c>
      <c r="C26" s="58"/>
      <c r="D26" s="78"/>
      <c r="E26" s="48"/>
      <c r="F26" s="164"/>
      <c r="G26" s="164"/>
      <c r="H26" s="48"/>
      <c r="I26" s="164">
        <f>636-432</f>
        <v>204</v>
      </c>
      <c r="J26" s="164" t="s">
        <v>958</v>
      </c>
      <c r="K26" s="164"/>
      <c r="L26" s="57"/>
      <c r="M26" s="15"/>
      <c r="N26" s="15"/>
      <c r="O26" s="20" t="s">
        <v>876</v>
      </c>
      <c r="P26" s="21">
        <v>4</v>
      </c>
      <c r="Q26" s="22" t="s">
        <v>21</v>
      </c>
    </row>
    <row r="27" spans="1:17" ht="22.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237"/>
      <c r="H27" s="237"/>
      <c r="I27" s="237">
        <f>SUM(I22:I26)</f>
        <v>1776</v>
      </c>
      <c r="J27" s="237"/>
      <c r="K27" s="237"/>
      <c r="L27" s="240"/>
      <c r="M27" s="237"/>
      <c r="N27" s="237"/>
      <c r="O27" s="237"/>
      <c r="P27" s="238"/>
      <c r="Q27" s="238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6252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39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C27:F27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6"/>
  <sheetViews>
    <sheetView zoomScaleNormal="100" workbookViewId="0">
      <selection activeCell="B4" sqref="B4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43259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43260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793</v>
      </c>
      <c r="C4" s="140">
        <v>43274</v>
      </c>
      <c r="D4" s="77" t="s">
        <v>93</v>
      </c>
      <c r="E4" s="81" t="s">
        <v>34</v>
      </c>
      <c r="F4" s="40" t="s">
        <v>110</v>
      </c>
      <c r="G4" s="155">
        <v>1920</v>
      </c>
      <c r="H4" s="81" t="s">
        <v>51</v>
      </c>
      <c r="I4" s="155">
        <v>432</v>
      </c>
      <c r="J4" s="81" t="s">
        <v>82</v>
      </c>
      <c r="K4" s="155"/>
      <c r="L4" s="247" t="s">
        <v>61</v>
      </c>
      <c r="M4" s="16"/>
      <c r="N4" s="16"/>
      <c r="O4" s="17" t="s">
        <v>873</v>
      </c>
      <c r="P4" s="18">
        <v>1</v>
      </c>
      <c r="Q4" s="19" t="s">
        <v>19</v>
      </c>
    </row>
    <row r="5" spans="1:17" ht="21.75" customHeight="1" x14ac:dyDescent="0.25">
      <c r="A5" s="288"/>
      <c r="B5" s="45" t="s">
        <v>106</v>
      </c>
      <c r="C5" s="46"/>
      <c r="D5" s="47"/>
      <c r="E5" s="48"/>
      <c r="F5" s="164"/>
      <c r="G5" s="164"/>
      <c r="H5" s="48"/>
      <c r="I5" s="164">
        <v>432</v>
      </c>
      <c r="J5" s="48" t="s">
        <v>127</v>
      </c>
      <c r="K5" s="164"/>
      <c r="L5" s="51"/>
      <c r="M5" s="49"/>
      <c r="N5" s="15"/>
      <c r="O5" s="20" t="s">
        <v>874</v>
      </c>
      <c r="P5" s="21">
        <v>2</v>
      </c>
      <c r="Q5" s="22" t="s">
        <v>20</v>
      </c>
    </row>
    <row r="6" spans="1:17" ht="21.75" customHeight="1" x14ac:dyDescent="0.25">
      <c r="A6" s="288"/>
      <c r="B6" s="43"/>
      <c r="C6" s="141"/>
      <c r="D6" s="78"/>
      <c r="E6" s="60"/>
      <c r="F6" s="38"/>
      <c r="G6" s="38"/>
      <c r="H6" s="60"/>
      <c r="I6" s="128">
        <v>432</v>
      </c>
      <c r="J6" s="60" t="s">
        <v>894</v>
      </c>
      <c r="K6" s="38"/>
      <c r="L6" s="91"/>
      <c r="M6" s="49"/>
      <c r="N6" s="15"/>
      <c r="O6" s="20" t="s">
        <v>875</v>
      </c>
      <c r="P6" s="21">
        <v>3</v>
      </c>
      <c r="Q6" s="22" t="s">
        <v>21</v>
      </c>
    </row>
    <row r="7" spans="1:17" ht="21.75" customHeight="1" x14ac:dyDescent="0.25">
      <c r="A7" s="288"/>
      <c r="B7" s="43"/>
      <c r="C7" s="141"/>
      <c r="D7" s="78"/>
      <c r="E7" s="60"/>
      <c r="F7" s="38"/>
      <c r="G7" s="38"/>
      <c r="H7" s="60"/>
      <c r="I7" s="38">
        <f>1920-216*8</f>
        <v>192</v>
      </c>
      <c r="J7" s="60" t="s">
        <v>243</v>
      </c>
      <c r="K7" s="38"/>
      <c r="L7" s="91"/>
      <c r="M7" s="49"/>
      <c r="N7" s="15"/>
      <c r="O7" s="20"/>
      <c r="P7" s="21"/>
      <c r="Q7" s="22"/>
    </row>
    <row r="8" spans="1:17" ht="21.75" customHeight="1" x14ac:dyDescent="0.25">
      <c r="A8" s="288"/>
      <c r="B8" s="45" t="s">
        <v>895</v>
      </c>
      <c r="C8" s="141">
        <v>43274</v>
      </c>
      <c r="D8" s="78" t="s">
        <v>93</v>
      </c>
      <c r="E8" s="48" t="s">
        <v>34</v>
      </c>
      <c r="F8" s="39" t="s">
        <v>110</v>
      </c>
      <c r="G8" s="164">
        <v>432</v>
      </c>
      <c r="H8" s="48" t="s">
        <v>51</v>
      </c>
      <c r="I8" s="164">
        <v>432</v>
      </c>
      <c r="J8" s="48" t="s">
        <v>77</v>
      </c>
      <c r="K8" s="164"/>
      <c r="L8" s="228" t="s">
        <v>896</v>
      </c>
      <c r="M8" s="49"/>
      <c r="N8" s="15"/>
      <c r="O8" s="20" t="s">
        <v>876</v>
      </c>
      <c r="P8" s="21">
        <v>4</v>
      </c>
      <c r="Q8" s="22" t="s">
        <v>21</v>
      </c>
    </row>
    <row r="9" spans="1:17" ht="21.75" customHeight="1" x14ac:dyDescent="0.25">
      <c r="A9" s="288"/>
      <c r="B9" s="45" t="s">
        <v>654</v>
      </c>
      <c r="C9" s="46"/>
      <c r="D9" s="47"/>
      <c r="E9" s="48"/>
      <c r="F9" s="164"/>
      <c r="G9" s="164"/>
      <c r="H9" s="48"/>
      <c r="I9" s="164"/>
      <c r="J9" s="48"/>
      <c r="K9" s="164"/>
      <c r="L9" s="51"/>
      <c r="M9" s="49"/>
      <c r="N9" s="49"/>
      <c r="O9" s="124"/>
      <c r="P9" s="50"/>
      <c r="Q9" s="153"/>
    </row>
    <row r="10" spans="1:17" ht="21.75" customHeight="1" thickBot="1" x14ac:dyDescent="0.3">
      <c r="A10" s="289"/>
      <c r="B10" s="93"/>
      <c r="C10" s="237"/>
      <c r="D10" s="237"/>
      <c r="E10" s="237"/>
      <c r="F10" s="237"/>
      <c r="G10" s="237"/>
      <c r="H10" s="237"/>
      <c r="I10" s="237">
        <f>SUM(I4:I9)</f>
        <v>1920</v>
      </c>
      <c r="J10" s="237"/>
      <c r="K10" s="237"/>
      <c r="L10" s="240"/>
      <c r="M10" s="237"/>
      <c r="N10" s="237"/>
      <c r="O10" s="114"/>
      <c r="P10" s="238"/>
      <c r="Q10" s="152"/>
    </row>
    <row r="11" spans="1:17" ht="21.75" customHeight="1" x14ac:dyDescent="0.25">
      <c r="A11" s="287" t="s">
        <v>41</v>
      </c>
      <c r="B11" s="42" t="s">
        <v>897</v>
      </c>
      <c r="C11" s="140">
        <v>43265</v>
      </c>
      <c r="D11" s="90" t="s">
        <v>93</v>
      </c>
      <c r="E11" s="145" t="s">
        <v>54</v>
      </c>
      <c r="F11" s="40" t="s">
        <v>858</v>
      </c>
      <c r="G11" s="175">
        <v>408</v>
      </c>
      <c r="H11" s="81" t="s">
        <v>456</v>
      </c>
      <c r="I11" s="155">
        <v>192</v>
      </c>
      <c r="J11" s="155" t="s">
        <v>84</v>
      </c>
      <c r="K11" s="155"/>
      <c r="L11" s="123" t="s">
        <v>67</v>
      </c>
      <c r="M11" s="16"/>
      <c r="N11" s="16"/>
      <c r="O11" s="17" t="s">
        <v>873</v>
      </c>
      <c r="P11" s="18">
        <v>1</v>
      </c>
      <c r="Q11" s="19" t="s">
        <v>19</v>
      </c>
    </row>
    <row r="12" spans="1:17" ht="21.75" customHeight="1" x14ac:dyDescent="0.25">
      <c r="A12" s="288"/>
      <c r="B12" s="43"/>
      <c r="C12" s="141"/>
      <c r="D12" s="141"/>
      <c r="E12" s="79"/>
      <c r="F12" s="38"/>
      <c r="G12" s="38"/>
      <c r="H12" s="60"/>
      <c r="I12" s="164">
        <v>216</v>
      </c>
      <c r="J12" s="48" t="s">
        <v>959</v>
      </c>
      <c r="K12" s="164"/>
      <c r="L12" s="88"/>
      <c r="M12" s="63"/>
      <c r="N12" s="63"/>
      <c r="O12" s="20" t="s">
        <v>874</v>
      </c>
      <c r="P12" s="21">
        <v>2</v>
      </c>
      <c r="Q12" s="22" t="s">
        <v>20</v>
      </c>
    </row>
    <row r="13" spans="1:17" ht="21.75" customHeight="1" x14ac:dyDescent="0.25">
      <c r="A13" s="288"/>
      <c r="B13" s="43" t="s">
        <v>854</v>
      </c>
      <c r="C13" s="141">
        <v>43265</v>
      </c>
      <c r="D13" s="141" t="s">
        <v>55</v>
      </c>
      <c r="E13" s="79" t="s">
        <v>54</v>
      </c>
      <c r="F13" s="38" t="s">
        <v>855</v>
      </c>
      <c r="G13" s="38">
        <v>1320</v>
      </c>
      <c r="H13" s="60" t="s">
        <v>456</v>
      </c>
      <c r="I13" s="164">
        <v>216</v>
      </c>
      <c r="J13" s="48" t="s">
        <v>84</v>
      </c>
      <c r="K13" s="164"/>
      <c r="L13" s="88" t="s">
        <v>79</v>
      </c>
      <c r="M13" s="49"/>
      <c r="N13" s="49"/>
      <c r="O13" s="20" t="s">
        <v>875</v>
      </c>
      <c r="P13" s="21">
        <v>3</v>
      </c>
      <c r="Q13" s="22" t="s">
        <v>21</v>
      </c>
    </row>
    <row r="14" spans="1:17" ht="21.75" customHeight="1" x14ac:dyDescent="0.25">
      <c r="A14" s="288"/>
      <c r="B14" s="45" t="s">
        <v>105</v>
      </c>
      <c r="C14" s="58"/>
      <c r="D14" s="141"/>
      <c r="E14" s="79"/>
      <c r="F14" s="38"/>
      <c r="G14" s="164"/>
      <c r="H14" s="48"/>
      <c r="I14" s="164">
        <v>216</v>
      </c>
      <c r="J14" s="48" t="s">
        <v>959</v>
      </c>
      <c r="K14" s="164"/>
      <c r="L14" s="57"/>
      <c r="M14" s="49"/>
      <c r="N14" s="49"/>
      <c r="O14" s="20" t="s">
        <v>876</v>
      </c>
      <c r="P14" s="21">
        <v>4</v>
      </c>
      <c r="Q14" s="22" t="s">
        <v>21</v>
      </c>
    </row>
    <row r="15" spans="1:17" ht="21.75" customHeight="1" x14ac:dyDescent="0.25">
      <c r="A15" s="288"/>
      <c r="B15" s="43"/>
      <c r="C15" s="58"/>
      <c r="D15" s="141"/>
      <c r="E15" s="79"/>
      <c r="F15" s="38"/>
      <c r="G15" s="38"/>
      <c r="H15" s="60"/>
      <c r="I15" s="164"/>
      <c r="J15" s="48"/>
      <c r="K15" s="164"/>
      <c r="L15" s="88"/>
      <c r="M15" s="49"/>
      <c r="N15" s="49"/>
      <c r="O15" s="20"/>
      <c r="P15" s="21"/>
      <c r="Q15" s="22"/>
    </row>
    <row r="16" spans="1:17" ht="21.75" customHeight="1" thickBot="1" x14ac:dyDescent="0.3">
      <c r="A16" s="289"/>
      <c r="B16" s="93" t="s">
        <v>64</v>
      </c>
      <c r="C16" s="290" t="s">
        <v>98</v>
      </c>
      <c r="D16" s="291"/>
      <c r="E16" s="291"/>
      <c r="F16" s="292"/>
      <c r="G16" s="237"/>
      <c r="H16" s="237"/>
      <c r="I16" s="237">
        <f>SUM(I11:I15)</f>
        <v>840</v>
      </c>
      <c r="J16" s="237"/>
      <c r="K16" s="237"/>
      <c r="L16" s="240"/>
      <c r="M16" s="237"/>
      <c r="N16" s="237"/>
      <c r="O16" s="114"/>
      <c r="P16" s="238"/>
      <c r="Q16" s="152"/>
    </row>
    <row r="17" spans="1:17" ht="21.75" customHeight="1" x14ac:dyDescent="0.25">
      <c r="A17" s="287" t="s">
        <v>42</v>
      </c>
      <c r="B17" s="42" t="s">
        <v>799</v>
      </c>
      <c r="C17" s="140">
        <v>43284</v>
      </c>
      <c r="D17" s="90" t="s">
        <v>93</v>
      </c>
      <c r="E17" s="62" t="s">
        <v>393</v>
      </c>
      <c r="F17" s="40" t="s">
        <v>508</v>
      </c>
      <c r="G17" s="248">
        <v>1200</v>
      </c>
      <c r="H17" s="41" t="s">
        <v>395</v>
      </c>
      <c r="I17" s="40">
        <v>384</v>
      </c>
      <c r="J17" s="40" t="s">
        <v>82</v>
      </c>
      <c r="K17" s="40"/>
      <c r="L17" s="90" t="s">
        <v>61</v>
      </c>
      <c r="M17" s="16"/>
      <c r="N17" s="16"/>
      <c r="O17" s="17" t="s">
        <v>873</v>
      </c>
      <c r="P17" s="18">
        <v>1</v>
      </c>
      <c r="Q17" s="19" t="s">
        <v>19</v>
      </c>
    </row>
    <row r="18" spans="1:17" ht="21.75" customHeight="1" x14ac:dyDescent="0.25">
      <c r="A18" s="288"/>
      <c r="B18" s="45" t="s">
        <v>105</v>
      </c>
      <c r="C18" s="209"/>
      <c r="D18" s="58"/>
      <c r="E18" s="91"/>
      <c r="F18" s="58"/>
      <c r="G18" s="38"/>
      <c r="H18" s="48"/>
      <c r="I18" s="164">
        <f>1200-192*4</f>
        <v>432</v>
      </c>
      <c r="J18" s="164" t="s">
        <v>127</v>
      </c>
      <c r="K18" s="164"/>
      <c r="L18" s="51"/>
      <c r="M18" s="15"/>
      <c r="N18" s="15"/>
      <c r="O18" s="20" t="s">
        <v>874</v>
      </c>
      <c r="P18" s="21">
        <v>2</v>
      </c>
      <c r="Q18" s="22" t="s">
        <v>20</v>
      </c>
    </row>
    <row r="19" spans="1:17" ht="21.75" customHeight="1" x14ac:dyDescent="0.25">
      <c r="A19" s="288"/>
      <c r="B19" s="45" t="s">
        <v>898</v>
      </c>
      <c r="C19" s="141">
        <v>43273</v>
      </c>
      <c r="D19" s="91" t="s">
        <v>59</v>
      </c>
      <c r="E19" s="137" t="s">
        <v>393</v>
      </c>
      <c r="F19" s="38" t="s">
        <v>899</v>
      </c>
      <c r="G19" s="89">
        <v>480</v>
      </c>
      <c r="H19" s="48" t="s">
        <v>900</v>
      </c>
      <c r="I19" s="164">
        <v>216</v>
      </c>
      <c r="J19" s="164" t="s">
        <v>84</v>
      </c>
      <c r="K19" s="164"/>
      <c r="L19" s="51" t="s">
        <v>896</v>
      </c>
      <c r="M19" s="15"/>
      <c r="N19" s="15"/>
      <c r="O19" s="20" t="s">
        <v>875</v>
      </c>
      <c r="P19" s="21">
        <v>3</v>
      </c>
      <c r="Q19" s="22" t="s">
        <v>21</v>
      </c>
    </row>
    <row r="20" spans="1:17" ht="21.75" customHeight="1" x14ac:dyDescent="0.25">
      <c r="A20" s="288"/>
      <c r="B20" s="45"/>
      <c r="C20" s="141"/>
      <c r="D20" s="91"/>
      <c r="E20" s="58"/>
      <c r="F20" s="39"/>
      <c r="G20" s="89"/>
      <c r="H20" s="79"/>
      <c r="I20" s="164">
        <v>264</v>
      </c>
      <c r="J20" s="164" t="s">
        <v>959</v>
      </c>
      <c r="K20" s="164"/>
      <c r="L20" s="44"/>
      <c r="M20" s="49"/>
      <c r="N20" s="49"/>
      <c r="O20" s="20" t="s">
        <v>876</v>
      </c>
      <c r="P20" s="21">
        <v>4</v>
      </c>
      <c r="Q20" s="22" t="s">
        <v>21</v>
      </c>
    </row>
    <row r="21" spans="1:17" ht="21.75" customHeight="1" x14ac:dyDescent="0.25">
      <c r="A21" s="288"/>
      <c r="B21" s="43"/>
      <c r="C21" s="141"/>
      <c r="D21" s="91"/>
      <c r="E21" s="58"/>
      <c r="F21" s="38"/>
      <c r="G21" s="105"/>
      <c r="H21" s="60"/>
      <c r="I21" s="38"/>
      <c r="J21" s="38"/>
      <c r="K21" s="38"/>
      <c r="L21" s="91"/>
      <c r="M21" s="49"/>
      <c r="N21" s="49"/>
      <c r="O21" s="20"/>
      <c r="P21" s="21"/>
      <c r="Q21" s="22"/>
    </row>
    <row r="22" spans="1:17" ht="21.75" customHeight="1" thickBot="1" x14ac:dyDescent="0.3">
      <c r="A22" s="289"/>
      <c r="B22" s="93" t="s">
        <v>64</v>
      </c>
      <c r="C22" s="290" t="s">
        <v>98</v>
      </c>
      <c r="D22" s="291"/>
      <c r="E22" s="291"/>
      <c r="F22" s="292"/>
      <c r="G22" s="237"/>
      <c r="H22" s="237"/>
      <c r="I22" s="237">
        <f>SUM(I17:I21)</f>
        <v>1296</v>
      </c>
      <c r="J22" s="237"/>
      <c r="K22" s="237"/>
      <c r="L22" s="240"/>
      <c r="M22" s="237"/>
      <c r="N22" s="237"/>
      <c r="O22" s="114"/>
      <c r="P22" s="238"/>
      <c r="Q22" s="152"/>
    </row>
    <row r="23" spans="1:17" ht="21.75" customHeight="1" x14ac:dyDescent="0.25">
      <c r="A23" s="287" t="s">
        <v>43</v>
      </c>
      <c r="B23" s="42" t="s">
        <v>803</v>
      </c>
      <c r="C23" s="140">
        <v>43276</v>
      </c>
      <c r="D23" s="90" t="s">
        <v>93</v>
      </c>
      <c r="E23" s="41" t="s">
        <v>34</v>
      </c>
      <c r="F23" s="40" t="s">
        <v>276</v>
      </c>
      <c r="G23" s="155">
        <v>528</v>
      </c>
      <c r="H23" s="81" t="s">
        <v>277</v>
      </c>
      <c r="I23" s="155">
        <f>528-216</f>
        <v>312</v>
      </c>
      <c r="J23" s="81" t="s">
        <v>94</v>
      </c>
      <c r="K23" s="155"/>
      <c r="L23" s="53" t="s">
        <v>61</v>
      </c>
      <c r="M23" s="16"/>
      <c r="N23" s="16"/>
      <c r="O23" s="17" t="s">
        <v>873</v>
      </c>
      <c r="P23" s="18">
        <v>1</v>
      </c>
      <c r="Q23" s="19" t="s">
        <v>19</v>
      </c>
    </row>
    <row r="24" spans="1:17" ht="21.75" customHeight="1" x14ac:dyDescent="0.25">
      <c r="A24" s="288"/>
      <c r="B24" s="45" t="s">
        <v>654</v>
      </c>
      <c r="C24" s="305" t="s">
        <v>35</v>
      </c>
      <c r="D24" s="306"/>
      <c r="E24" s="60"/>
      <c r="F24" s="38"/>
      <c r="G24" s="164"/>
      <c r="H24" s="48"/>
      <c r="I24" s="164"/>
      <c r="J24" s="48"/>
      <c r="K24" s="164"/>
      <c r="L24" s="57"/>
      <c r="M24" s="15"/>
      <c r="N24" s="15"/>
      <c r="O24" s="20"/>
      <c r="P24" s="21"/>
      <c r="Q24" s="22"/>
    </row>
    <row r="25" spans="1:17" ht="21.75" customHeight="1" x14ac:dyDescent="0.25">
      <c r="A25" s="288"/>
      <c r="B25" s="45" t="s">
        <v>902</v>
      </c>
      <c r="C25" s="141">
        <v>43274</v>
      </c>
      <c r="D25" s="91" t="s">
        <v>93</v>
      </c>
      <c r="E25" s="48" t="s">
        <v>34</v>
      </c>
      <c r="F25" s="39" t="s">
        <v>276</v>
      </c>
      <c r="G25" s="39">
        <v>900</v>
      </c>
      <c r="H25" s="79" t="s">
        <v>277</v>
      </c>
      <c r="I25" s="38">
        <v>432</v>
      </c>
      <c r="J25" s="48" t="s">
        <v>77</v>
      </c>
      <c r="K25" s="164"/>
      <c r="L25" s="44" t="s">
        <v>904</v>
      </c>
      <c r="M25" s="49"/>
      <c r="N25" s="49"/>
      <c r="O25" s="20" t="s">
        <v>874</v>
      </c>
      <c r="P25" s="21">
        <v>2</v>
      </c>
      <c r="Q25" s="22" t="s">
        <v>20</v>
      </c>
    </row>
    <row r="26" spans="1:17" ht="21.75" customHeight="1" x14ac:dyDescent="0.25">
      <c r="A26" s="288"/>
      <c r="B26" s="43" t="s">
        <v>903</v>
      </c>
      <c r="C26" s="141"/>
      <c r="D26" s="91"/>
      <c r="E26" s="60"/>
      <c r="F26" s="38"/>
      <c r="G26" s="38"/>
      <c r="H26" s="60"/>
      <c r="I26" s="128">
        <f>900-432</f>
        <v>468</v>
      </c>
      <c r="J26" s="60" t="s">
        <v>82</v>
      </c>
      <c r="K26" s="38"/>
      <c r="L26" s="44"/>
      <c r="M26" s="49"/>
      <c r="N26" s="49"/>
      <c r="O26" s="20" t="s">
        <v>875</v>
      </c>
      <c r="P26" s="21">
        <v>3</v>
      </c>
      <c r="Q26" s="22" t="s">
        <v>21</v>
      </c>
    </row>
    <row r="27" spans="1:17" ht="21.75" customHeight="1" x14ac:dyDescent="0.25">
      <c r="A27" s="288"/>
      <c r="B27" s="43" t="s">
        <v>905</v>
      </c>
      <c r="C27" s="141">
        <v>43276</v>
      </c>
      <c r="D27" s="91" t="s">
        <v>93</v>
      </c>
      <c r="E27" s="60" t="s">
        <v>34</v>
      </c>
      <c r="F27" s="38" t="s">
        <v>276</v>
      </c>
      <c r="G27" s="38">
        <v>1008</v>
      </c>
      <c r="H27" s="60" t="s">
        <v>277</v>
      </c>
      <c r="I27" s="38">
        <v>432</v>
      </c>
      <c r="J27" s="60" t="s">
        <v>77</v>
      </c>
      <c r="K27" s="38"/>
      <c r="L27" s="44" t="s">
        <v>906</v>
      </c>
      <c r="M27" s="49"/>
      <c r="N27" s="49"/>
      <c r="O27" s="20"/>
      <c r="P27" s="21"/>
      <c r="Q27" s="22"/>
    </row>
    <row r="28" spans="1:17" ht="21.75" customHeight="1" x14ac:dyDescent="0.25">
      <c r="A28" s="288"/>
      <c r="B28" s="45" t="s">
        <v>74</v>
      </c>
      <c r="C28" s="305" t="s">
        <v>35</v>
      </c>
      <c r="D28" s="306"/>
      <c r="E28" s="60"/>
      <c r="F28" s="38"/>
      <c r="G28" s="164"/>
      <c r="H28" s="48"/>
      <c r="I28" s="164">
        <v>216</v>
      </c>
      <c r="J28" s="48" t="s">
        <v>958</v>
      </c>
      <c r="K28" s="164"/>
      <c r="L28" s="57"/>
      <c r="M28" s="49"/>
      <c r="N28" s="49"/>
      <c r="O28" s="20" t="s">
        <v>876</v>
      </c>
      <c r="P28" s="21">
        <v>4</v>
      </c>
      <c r="Q28" s="22" t="s">
        <v>21</v>
      </c>
    </row>
    <row r="29" spans="1:17" ht="21.75" customHeight="1" x14ac:dyDescent="0.25">
      <c r="A29" s="288"/>
      <c r="B29" s="45"/>
      <c r="C29" s="141"/>
      <c r="D29" s="91"/>
      <c r="E29" s="60"/>
      <c r="F29" s="38"/>
      <c r="G29" s="164"/>
      <c r="H29" s="48"/>
      <c r="I29" s="164"/>
      <c r="J29" s="48"/>
      <c r="K29" s="164"/>
      <c r="L29" s="57"/>
      <c r="M29" s="49"/>
      <c r="N29" s="49"/>
      <c r="O29" s="124"/>
      <c r="P29" s="50"/>
      <c r="Q29" s="153"/>
    </row>
    <row r="30" spans="1:17" ht="24" customHeight="1" thickBot="1" x14ac:dyDescent="0.3">
      <c r="A30" s="289"/>
      <c r="B30" s="93" t="s">
        <v>64</v>
      </c>
      <c r="C30" s="290" t="s">
        <v>98</v>
      </c>
      <c r="D30" s="291"/>
      <c r="E30" s="291"/>
      <c r="F30" s="292"/>
      <c r="G30" s="237"/>
      <c r="H30" s="237"/>
      <c r="I30" s="237">
        <f>SUM(I23:I29)</f>
        <v>1860</v>
      </c>
      <c r="J30" s="237"/>
      <c r="K30" s="237"/>
      <c r="L30" s="240"/>
      <c r="M30" s="237"/>
      <c r="N30" s="237"/>
      <c r="O30" s="114"/>
      <c r="P30" s="238"/>
      <c r="Q30" s="152"/>
    </row>
    <row r="31" spans="1:17" ht="25.5" customHeight="1" thickBot="1" x14ac:dyDescent="0.3">
      <c r="A31" s="37"/>
      <c r="B31" s="64"/>
      <c r="C31" s="65"/>
      <c r="D31" s="66"/>
      <c r="E31" s="67"/>
      <c r="F31" s="68"/>
      <c r="G31" s="67"/>
      <c r="H31" s="67"/>
      <c r="I31" s="69">
        <f>SUM(I30,I22,I16,I10)</f>
        <v>5916</v>
      </c>
      <c r="J31" s="70"/>
      <c r="K31" s="70"/>
      <c r="L31" s="65"/>
      <c r="M31" s="71"/>
      <c r="N31" s="69"/>
      <c r="O31" s="70"/>
      <c r="P31" s="70"/>
      <c r="Q31" s="72"/>
    </row>
    <row r="32" spans="1:17" ht="17.25" customHeight="1" thickTop="1" x14ac:dyDescent="0.3">
      <c r="A32" s="23" t="s">
        <v>22</v>
      </c>
      <c r="B32" s="24"/>
      <c r="C32" s="25"/>
      <c r="D32" s="24"/>
      <c r="E32" s="24"/>
      <c r="F32" s="26"/>
      <c r="G32" s="27"/>
      <c r="H32" s="28" t="s">
        <v>23</v>
      </c>
      <c r="I32" s="29"/>
      <c r="J32" s="29"/>
      <c r="K32" s="29"/>
      <c r="L32" s="30"/>
      <c r="M32" s="29"/>
      <c r="N32" s="29"/>
      <c r="O32" s="29"/>
      <c r="P32" s="239" t="s">
        <v>24</v>
      </c>
      <c r="Q32" s="31"/>
    </row>
    <row r="33" spans="1:17" ht="16.5" x14ac:dyDescent="0.3">
      <c r="A33" s="1"/>
      <c r="B33" s="32">
        <v>1</v>
      </c>
      <c r="C33" s="33"/>
      <c r="D33" s="32"/>
      <c r="E33" s="32"/>
      <c r="F33" s="304" t="s">
        <v>25</v>
      </c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</row>
    <row r="34" spans="1:17" ht="16.5" x14ac:dyDescent="0.3">
      <c r="A34" s="1"/>
      <c r="B34" s="297" t="s">
        <v>26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1:17" ht="16.5" x14ac:dyDescent="0.3">
      <c r="A35" s="1"/>
      <c r="B35" s="34">
        <v>2</v>
      </c>
      <c r="C35" s="35"/>
      <c r="D35" s="36"/>
      <c r="E35" s="36"/>
      <c r="F35" s="298" t="s">
        <v>27</v>
      </c>
      <c r="G35" s="298"/>
      <c r="H35" s="298"/>
      <c r="I35" s="298"/>
      <c r="J35" s="298"/>
      <c r="K35" s="298"/>
      <c r="L35" s="298"/>
      <c r="M35" s="298"/>
      <c r="N35" s="298"/>
      <c r="O35" s="298"/>
      <c r="P35" s="299" t="s">
        <v>28</v>
      </c>
      <c r="Q35" s="300"/>
    </row>
    <row r="36" spans="1:17" ht="16.5" x14ac:dyDescent="0.3">
      <c r="A36" s="1"/>
      <c r="B36" s="297" t="s">
        <v>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1"/>
      <c r="Q36" s="1"/>
    </row>
  </sheetData>
  <mergeCells count="19">
    <mergeCell ref="A4:A10"/>
    <mergeCell ref="A1:Q1"/>
    <mergeCell ref="A2:B2"/>
    <mergeCell ref="C2:E2"/>
    <mergeCell ref="F2:G2"/>
    <mergeCell ref="O2:Q2"/>
    <mergeCell ref="C24:D24"/>
    <mergeCell ref="C28:D28"/>
    <mergeCell ref="A11:A16"/>
    <mergeCell ref="C16:F16"/>
    <mergeCell ref="A17:A22"/>
    <mergeCell ref="C22:F22"/>
    <mergeCell ref="A23:A30"/>
    <mergeCell ref="C30:F30"/>
    <mergeCell ref="F33:Q33"/>
    <mergeCell ref="B34:Q34"/>
    <mergeCell ref="F35:O35"/>
    <mergeCell ref="P35:Q35"/>
    <mergeCell ref="B36:O3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8"/>
  <sheetViews>
    <sheetView zoomScale="109" zoomScaleNormal="109" workbookViewId="0">
      <selection activeCell="B13" sqref="B13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43259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43260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1" customHeight="1" x14ac:dyDescent="0.25">
      <c r="A4" s="307" t="s">
        <v>44</v>
      </c>
      <c r="B4" s="42" t="s">
        <v>867</v>
      </c>
      <c r="C4" s="121">
        <v>43294</v>
      </c>
      <c r="D4" s="109" t="s">
        <v>93</v>
      </c>
      <c r="E4" s="122" t="s">
        <v>54</v>
      </c>
      <c r="F4" s="108" t="s">
        <v>868</v>
      </c>
      <c r="G4" s="40">
        <v>2316</v>
      </c>
      <c r="H4" s="41" t="s">
        <v>139</v>
      </c>
      <c r="I4" s="155">
        <v>384</v>
      </c>
      <c r="J4" s="155" t="s">
        <v>907</v>
      </c>
      <c r="K4" s="155"/>
      <c r="L4" s="123" t="s">
        <v>869</v>
      </c>
      <c r="M4" s="16"/>
      <c r="N4" s="16"/>
      <c r="O4" s="17" t="s">
        <v>873</v>
      </c>
      <c r="P4" s="18">
        <v>1</v>
      </c>
      <c r="Q4" s="19" t="s">
        <v>19</v>
      </c>
    </row>
    <row r="5" spans="1:28" ht="21" customHeight="1" x14ac:dyDescent="0.25">
      <c r="A5" s="308"/>
      <c r="B5" s="45" t="s">
        <v>498</v>
      </c>
      <c r="C5" s="117"/>
      <c r="D5" s="113"/>
      <c r="E5" s="102"/>
      <c r="F5" s="101"/>
      <c r="G5" s="39"/>
      <c r="H5" s="79"/>
      <c r="I5" s="164">
        <v>384</v>
      </c>
      <c r="J5" s="164" t="s">
        <v>68</v>
      </c>
      <c r="K5" s="164"/>
      <c r="L5" s="51"/>
      <c r="M5" s="87"/>
      <c r="N5" s="87"/>
      <c r="O5" s="20" t="s">
        <v>874</v>
      </c>
      <c r="P5" s="21">
        <v>2</v>
      </c>
      <c r="Q5" s="22" t="s">
        <v>20</v>
      </c>
    </row>
    <row r="6" spans="1:28" ht="21" customHeight="1" x14ac:dyDescent="0.25">
      <c r="A6" s="308"/>
      <c r="B6" s="45"/>
      <c r="C6" s="117"/>
      <c r="D6" s="113"/>
      <c r="E6" s="102"/>
      <c r="F6" s="101"/>
      <c r="G6" s="39"/>
      <c r="H6" s="79"/>
      <c r="I6" s="164">
        <v>384</v>
      </c>
      <c r="J6" s="164" t="s">
        <v>85</v>
      </c>
      <c r="K6" s="164"/>
      <c r="L6" s="51"/>
      <c r="M6" s="49"/>
      <c r="N6" s="49"/>
      <c r="O6" s="20" t="s">
        <v>875</v>
      </c>
      <c r="P6" s="21">
        <v>3</v>
      </c>
      <c r="Q6" s="22" t="s">
        <v>21</v>
      </c>
    </row>
    <row r="7" spans="1:28" ht="21" customHeight="1" x14ac:dyDescent="0.25">
      <c r="A7" s="308"/>
      <c r="B7" s="45"/>
      <c r="C7" s="117"/>
      <c r="D7" s="113"/>
      <c r="E7" s="102"/>
      <c r="F7" s="101"/>
      <c r="G7" s="39"/>
      <c r="H7" s="79"/>
      <c r="I7" s="164">
        <v>384</v>
      </c>
      <c r="J7" s="164" t="s">
        <v>229</v>
      </c>
      <c r="K7" s="164"/>
      <c r="L7" s="51"/>
      <c r="M7" s="49"/>
      <c r="N7" s="49"/>
      <c r="O7" s="20" t="s">
        <v>876</v>
      </c>
      <c r="P7" s="21">
        <v>4</v>
      </c>
      <c r="Q7" s="22" t="s">
        <v>21</v>
      </c>
    </row>
    <row r="8" spans="1:28" ht="21" customHeight="1" x14ac:dyDescent="0.25">
      <c r="A8" s="308"/>
      <c r="B8" s="45"/>
      <c r="C8" s="117"/>
      <c r="D8" s="113"/>
      <c r="E8" s="102"/>
      <c r="F8" s="101"/>
      <c r="G8" s="39"/>
      <c r="H8" s="79"/>
      <c r="I8" s="164"/>
      <c r="J8" s="164"/>
      <c r="K8" s="164"/>
      <c r="L8" s="51"/>
      <c r="M8" s="49"/>
      <c r="N8" s="49"/>
      <c r="O8" s="20"/>
      <c r="P8" s="21"/>
      <c r="Q8" s="22"/>
    </row>
    <row r="9" spans="1:28" ht="21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237"/>
      <c r="H9" s="237"/>
      <c r="I9" s="237">
        <f>SUM(I4:I8)</f>
        <v>1536</v>
      </c>
      <c r="J9" s="237"/>
      <c r="K9" s="237"/>
      <c r="L9" s="240"/>
      <c r="M9" s="237"/>
      <c r="N9" s="237"/>
      <c r="O9" s="114"/>
      <c r="P9" s="238"/>
      <c r="Q9" s="238"/>
    </row>
    <row r="10" spans="1:28" ht="21" customHeight="1" x14ac:dyDescent="0.25">
      <c r="A10" s="287" t="s">
        <v>45</v>
      </c>
      <c r="B10" s="42" t="s">
        <v>812</v>
      </c>
      <c r="C10" s="121">
        <v>43271</v>
      </c>
      <c r="D10" s="109" t="s">
        <v>93</v>
      </c>
      <c r="E10" s="122" t="s">
        <v>54</v>
      </c>
      <c r="F10" s="108" t="s">
        <v>813</v>
      </c>
      <c r="G10" s="40">
        <v>70</v>
      </c>
      <c r="H10" s="41" t="s">
        <v>62</v>
      </c>
      <c r="I10" s="155">
        <v>70</v>
      </c>
      <c r="J10" s="155" t="s">
        <v>84</v>
      </c>
      <c r="K10" s="155"/>
      <c r="L10" s="123" t="s">
        <v>67</v>
      </c>
      <c r="M10" s="95"/>
      <c r="N10" s="16"/>
      <c r="O10" s="17" t="s">
        <v>873</v>
      </c>
      <c r="P10" s="18">
        <v>1</v>
      </c>
      <c r="Q10" s="19" t="s">
        <v>19</v>
      </c>
    </row>
    <row r="11" spans="1:28" ht="21" customHeight="1" x14ac:dyDescent="0.25">
      <c r="A11" s="288"/>
      <c r="B11" s="45"/>
      <c r="C11" s="315" t="s">
        <v>35</v>
      </c>
      <c r="D11" s="316"/>
      <c r="E11" s="102"/>
      <c r="F11" s="101"/>
      <c r="G11" s="39"/>
      <c r="H11" s="79"/>
      <c r="I11" s="164"/>
      <c r="J11" s="164"/>
      <c r="K11" s="164"/>
      <c r="L11" s="51"/>
      <c r="M11" s="15"/>
      <c r="N11" s="63"/>
      <c r="O11" s="20"/>
      <c r="P11" s="21"/>
      <c r="Q11" s="22"/>
    </row>
    <row r="12" spans="1:28" ht="21" customHeight="1" x14ac:dyDescent="0.25">
      <c r="A12" s="288"/>
      <c r="B12" s="45" t="s">
        <v>815</v>
      </c>
      <c r="C12" s="112">
        <v>43266</v>
      </c>
      <c r="D12" s="110" t="s">
        <v>59</v>
      </c>
      <c r="E12" s="102" t="s">
        <v>54</v>
      </c>
      <c r="F12" s="101" t="s">
        <v>813</v>
      </c>
      <c r="G12" s="39">
        <v>252</v>
      </c>
      <c r="H12" s="79" t="s">
        <v>62</v>
      </c>
      <c r="I12" s="164">
        <v>252</v>
      </c>
      <c r="J12" s="164" t="s">
        <v>84</v>
      </c>
      <c r="K12" s="164"/>
      <c r="L12" s="51" t="s">
        <v>889</v>
      </c>
      <c r="M12" s="83"/>
      <c r="N12" s="83"/>
      <c r="O12" s="20"/>
      <c r="P12" s="21"/>
      <c r="Q12" s="22"/>
    </row>
    <row r="13" spans="1:28" ht="21" customHeight="1" x14ac:dyDescent="0.25">
      <c r="A13" s="288"/>
      <c r="B13" s="45" t="s">
        <v>908</v>
      </c>
      <c r="C13" s="112">
        <v>43271</v>
      </c>
      <c r="D13" s="110" t="s">
        <v>93</v>
      </c>
      <c r="E13" s="102" t="s">
        <v>54</v>
      </c>
      <c r="F13" s="101" t="s">
        <v>909</v>
      </c>
      <c r="G13" s="39">
        <v>70</v>
      </c>
      <c r="H13" s="79" t="s">
        <v>62</v>
      </c>
      <c r="I13" s="164">
        <v>70</v>
      </c>
      <c r="J13" s="164" t="s">
        <v>84</v>
      </c>
      <c r="K13" s="164"/>
      <c r="L13" s="51" t="s">
        <v>67</v>
      </c>
      <c r="M13" s="15"/>
      <c r="N13" s="15"/>
      <c r="O13" s="20"/>
      <c r="P13" s="21"/>
      <c r="Q13" s="22"/>
    </row>
    <row r="14" spans="1:28" ht="21" customHeight="1" x14ac:dyDescent="0.25">
      <c r="A14" s="288"/>
      <c r="B14" s="45"/>
      <c r="C14" s="315" t="s">
        <v>35</v>
      </c>
      <c r="D14" s="316"/>
      <c r="E14" s="102"/>
      <c r="F14" s="101"/>
      <c r="G14" s="39"/>
      <c r="H14" s="79"/>
      <c r="I14" s="164"/>
      <c r="J14" s="164"/>
      <c r="K14" s="164"/>
      <c r="L14" s="51"/>
      <c r="M14" s="15"/>
      <c r="N14" s="15"/>
      <c r="O14" s="20"/>
      <c r="P14" s="21"/>
      <c r="Q14" s="22"/>
    </row>
    <row r="15" spans="1:28" ht="21" customHeight="1" x14ac:dyDescent="0.25">
      <c r="A15" s="288"/>
      <c r="B15" s="45" t="s">
        <v>910</v>
      </c>
      <c r="C15" s="112">
        <v>43264</v>
      </c>
      <c r="D15" s="110" t="s">
        <v>59</v>
      </c>
      <c r="E15" s="221" t="s">
        <v>54</v>
      </c>
      <c r="F15" s="222" t="s">
        <v>911</v>
      </c>
      <c r="G15" s="164">
        <v>1092</v>
      </c>
      <c r="H15" s="48" t="s">
        <v>58</v>
      </c>
      <c r="I15" s="164">
        <v>432</v>
      </c>
      <c r="J15" s="164" t="s">
        <v>77</v>
      </c>
      <c r="K15" s="164"/>
      <c r="L15" s="51" t="s">
        <v>913</v>
      </c>
      <c r="M15" s="49"/>
      <c r="N15" s="49"/>
      <c r="O15" s="20" t="s">
        <v>874</v>
      </c>
      <c r="P15" s="21">
        <v>2</v>
      </c>
      <c r="Q15" s="22" t="s">
        <v>20</v>
      </c>
    </row>
    <row r="16" spans="1:28" ht="21" customHeight="1" x14ac:dyDescent="0.25">
      <c r="A16" s="288"/>
      <c r="B16" s="45" t="s">
        <v>912</v>
      </c>
      <c r="C16" s="112"/>
      <c r="D16" s="110"/>
      <c r="E16" s="221"/>
      <c r="F16" s="222"/>
      <c r="G16" s="164"/>
      <c r="H16" s="48"/>
      <c r="I16" s="164">
        <v>432</v>
      </c>
      <c r="J16" s="164" t="s">
        <v>82</v>
      </c>
      <c r="K16" s="164"/>
      <c r="L16" s="51"/>
      <c r="M16" s="49"/>
      <c r="N16" s="49"/>
      <c r="O16" s="20" t="s">
        <v>875</v>
      </c>
      <c r="P16" s="21">
        <v>3</v>
      </c>
      <c r="Q16" s="22" t="s">
        <v>21</v>
      </c>
    </row>
    <row r="17" spans="1:17" ht="21" customHeight="1" x14ac:dyDescent="0.25">
      <c r="A17" s="288"/>
      <c r="B17" s="45"/>
      <c r="C17" s="112"/>
      <c r="D17" s="110"/>
      <c r="E17" s="221"/>
      <c r="F17" s="222"/>
      <c r="G17" s="164"/>
      <c r="H17" s="48"/>
      <c r="I17" s="164">
        <f>1092-216*4</f>
        <v>228</v>
      </c>
      <c r="J17" s="164" t="s">
        <v>78</v>
      </c>
      <c r="K17" s="164"/>
      <c r="L17" s="51"/>
      <c r="M17" s="49"/>
      <c r="N17" s="49"/>
      <c r="O17" s="20" t="s">
        <v>876</v>
      </c>
      <c r="P17" s="21">
        <v>4</v>
      </c>
      <c r="Q17" s="22" t="s">
        <v>21</v>
      </c>
    </row>
    <row r="18" spans="1:17" ht="21" customHeight="1" thickBot="1" x14ac:dyDescent="0.3">
      <c r="A18" s="289"/>
      <c r="B18" s="93"/>
      <c r="C18" s="237"/>
      <c r="D18" s="237"/>
      <c r="E18" s="237"/>
      <c r="F18" s="237"/>
      <c r="G18" s="237"/>
      <c r="H18" s="237"/>
      <c r="I18" s="237">
        <f>SUM(I10:I17)</f>
        <v>1484</v>
      </c>
      <c r="J18" s="237"/>
      <c r="K18" s="237"/>
      <c r="L18" s="240"/>
      <c r="M18" s="237"/>
      <c r="N18" s="237"/>
      <c r="O18" s="114"/>
      <c r="P18" s="237"/>
      <c r="Q18" s="237"/>
    </row>
    <row r="19" spans="1:17" ht="21" customHeight="1" x14ac:dyDescent="0.25">
      <c r="A19" s="287" t="s">
        <v>46</v>
      </c>
      <c r="B19" s="42" t="s">
        <v>719</v>
      </c>
      <c r="C19" s="140">
        <v>43281</v>
      </c>
      <c r="D19" s="77" t="s">
        <v>59</v>
      </c>
      <c r="E19" s="41" t="s">
        <v>143</v>
      </c>
      <c r="F19" s="40" t="s">
        <v>416</v>
      </c>
      <c r="G19" s="40">
        <v>1836</v>
      </c>
      <c r="H19" s="41" t="s">
        <v>66</v>
      </c>
      <c r="I19" s="155">
        <f>1836-216*8</f>
        <v>108</v>
      </c>
      <c r="J19" s="155" t="s">
        <v>243</v>
      </c>
      <c r="K19" s="155"/>
      <c r="L19" s="97" t="s">
        <v>158</v>
      </c>
      <c r="M19" s="95"/>
      <c r="N19" s="95"/>
      <c r="O19" s="17" t="s">
        <v>873</v>
      </c>
      <c r="P19" s="18">
        <v>1</v>
      </c>
      <c r="Q19" s="19" t="s">
        <v>19</v>
      </c>
    </row>
    <row r="20" spans="1:17" ht="21" customHeight="1" x14ac:dyDescent="0.25">
      <c r="A20" s="288"/>
      <c r="B20" s="45" t="s">
        <v>817</v>
      </c>
      <c r="C20" s="131">
        <v>43291</v>
      </c>
      <c r="D20" s="78" t="s">
        <v>55</v>
      </c>
      <c r="E20" s="60" t="s">
        <v>143</v>
      </c>
      <c r="F20" s="38" t="s">
        <v>416</v>
      </c>
      <c r="G20" s="38">
        <v>894</v>
      </c>
      <c r="H20" s="48" t="s">
        <v>66</v>
      </c>
      <c r="I20" s="164">
        <v>432</v>
      </c>
      <c r="J20" s="164" t="s">
        <v>77</v>
      </c>
      <c r="K20" s="164"/>
      <c r="L20" s="119" t="s">
        <v>915</v>
      </c>
      <c r="M20" s="49"/>
      <c r="N20" s="15"/>
      <c r="O20" s="20" t="s">
        <v>874</v>
      </c>
      <c r="P20" s="21">
        <v>2</v>
      </c>
      <c r="Q20" s="22" t="s">
        <v>20</v>
      </c>
    </row>
    <row r="21" spans="1:17" ht="21" customHeight="1" x14ac:dyDescent="0.25">
      <c r="A21" s="288"/>
      <c r="B21" s="43" t="s">
        <v>914</v>
      </c>
      <c r="C21" s="141"/>
      <c r="D21" s="78"/>
      <c r="E21" s="60"/>
      <c r="F21" s="38"/>
      <c r="G21" s="38"/>
      <c r="H21" s="60"/>
      <c r="I21" s="38">
        <f>894-216*2</f>
        <v>462</v>
      </c>
      <c r="J21" s="38" t="s">
        <v>82</v>
      </c>
      <c r="K21" s="38"/>
      <c r="L21" s="99"/>
      <c r="M21" s="49"/>
      <c r="N21" s="15"/>
      <c r="O21" s="20" t="s">
        <v>875</v>
      </c>
      <c r="P21" s="21">
        <v>3</v>
      </c>
      <c r="Q21" s="22" t="s">
        <v>21</v>
      </c>
    </row>
    <row r="22" spans="1:17" ht="21" customHeight="1" x14ac:dyDescent="0.25">
      <c r="A22" s="288"/>
      <c r="B22" s="43" t="s">
        <v>916</v>
      </c>
      <c r="C22" s="131">
        <v>43245</v>
      </c>
      <c r="D22" s="78" t="s">
        <v>55</v>
      </c>
      <c r="E22" s="60" t="s">
        <v>143</v>
      </c>
      <c r="F22" s="38" t="s">
        <v>917</v>
      </c>
      <c r="G22" s="38">
        <v>240</v>
      </c>
      <c r="H22" s="60" t="s">
        <v>918</v>
      </c>
      <c r="I22" s="164">
        <v>240</v>
      </c>
      <c r="J22" s="164" t="s">
        <v>84</v>
      </c>
      <c r="K22" s="164"/>
      <c r="L22" s="119" t="s">
        <v>80</v>
      </c>
      <c r="M22" s="49"/>
      <c r="N22" s="49"/>
      <c r="O22" s="20"/>
      <c r="P22" s="21"/>
      <c r="Q22" s="22"/>
    </row>
    <row r="23" spans="1:17" ht="21" customHeight="1" x14ac:dyDescent="0.25">
      <c r="A23" s="288"/>
      <c r="B23" s="43" t="s">
        <v>919</v>
      </c>
      <c r="C23" s="131">
        <v>43245</v>
      </c>
      <c r="D23" s="78" t="s">
        <v>55</v>
      </c>
      <c r="E23" s="60" t="s">
        <v>143</v>
      </c>
      <c r="F23" s="38" t="s">
        <v>920</v>
      </c>
      <c r="G23" s="38">
        <v>240</v>
      </c>
      <c r="H23" s="60" t="s">
        <v>918</v>
      </c>
      <c r="I23" s="164">
        <v>240</v>
      </c>
      <c r="J23" s="164" t="s">
        <v>84</v>
      </c>
      <c r="K23" s="164"/>
      <c r="L23" s="99" t="s">
        <v>80</v>
      </c>
      <c r="M23" s="49"/>
      <c r="N23" s="59"/>
      <c r="O23" s="20" t="s">
        <v>876</v>
      </c>
      <c r="P23" s="21">
        <v>4</v>
      </c>
      <c r="Q23" s="22" t="s">
        <v>21</v>
      </c>
    </row>
    <row r="24" spans="1:17" ht="21" customHeight="1" x14ac:dyDescent="0.25">
      <c r="A24" s="288"/>
      <c r="B24" s="45"/>
      <c r="C24" s="242"/>
      <c r="D24" s="78"/>
      <c r="E24" s="60"/>
      <c r="F24" s="38"/>
      <c r="G24" s="164"/>
      <c r="H24" s="48"/>
      <c r="I24" s="164"/>
      <c r="J24" s="164"/>
      <c r="K24" s="164"/>
      <c r="L24" s="119"/>
      <c r="M24" s="49"/>
      <c r="N24" s="59"/>
      <c r="O24" s="124"/>
      <c r="P24" s="50"/>
      <c r="Q24" s="22"/>
    </row>
    <row r="25" spans="1:17" ht="21" customHeight="1" thickBot="1" x14ac:dyDescent="0.3">
      <c r="A25" s="289"/>
      <c r="B25" s="93" t="s">
        <v>64</v>
      </c>
      <c r="C25" s="290" t="s">
        <v>65</v>
      </c>
      <c r="D25" s="291"/>
      <c r="E25" s="291"/>
      <c r="F25" s="292"/>
      <c r="G25" s="237"/>
      <c r="H25" s="237"/>
      <c r="I25" s="237">
        <f>SUM(I19:I24)</f>
        <v>1482</v>
      </c>
      <c r="J25" s="237"/>
      <c r="K25" s="237"/>
      <c r="L25" s="80"/>
      <c r="M25" s="237"/>
      <c r="N25" s="237"/>
      <c r="O25" s="114"/>
      <c r="P25" s="237"/>
      <c r="Q25" s="238"/>
    </row>
    <row r="26" spans="1:17" ht="21" customHeight="1" x14ac:dyDescent="0.25">
      <c r="A26" s="310" t="s">
        <v>47</v>
      </c>
      <c r="B26" s="42" t="s">
        <v>922</v>
      </c>
      <c r="C26" s="140">
        <v>43281</v>
      </c>
      <c r="D26" s="77" t="s">
        <v>59</v>
      </c>
      <c r="E26" s="41" t="s">
        <v>69</v>
      </c>
      <c r="F26" s="108" t="s">
        <v>615</v>
      </c>
      <c r="G26" s="40">
        <v>144</v>
      </c>
      <c r="H26" s="41" t="s">
        <v>66</v>
      </c>
      <c r="I26" s="40">
        <v>144</v>
      </c>
      <c r="J26" s="40" t="s">
        <v>84</v>
      </c>
      <c r="K26" s="40"/>
      <c r="L26" s="97" t="s">
        <v>158</v>
      </c>
      <c r="M26" s="16"/>
      <c r="N26" s="16"/>
      <c r="O26" s="17" t="s">
        <v>873</v>
      </c>
      <c r="P26" s="18">
        <v>1</v>
      </c>
      <c r="Q26" s="19" t="s">
        <v>19</v>
      </c>
    </row>
    <row r="27" spans="1:17" ht="21" customHeight="1" x14ac:dyDescent="0.25">
      <c r="A27" s="311"/>
      <c r="B27" s="43" t="s">
        <v>923</v>
      </c>
      <c r="C27" s="141">
        <v>43281</v>
      </c>
      <c r="D27" s="78" t="s">
        <v>59</v>
      </c>
      <c r="E27" s="60" t="s">
        <v>69</v>
      </c>
      <c r="F27" s="118" t="s">
        <v>615</v>
      </c>
      <c r="G27" s="38">
        <v>156</v>
      </c>
      <c r="H27" s="60" t="s">
        <v>66</v>
      </c>
      <c r="I27" s="38">
        <v>156</v>
      </c>
      <c r="J27" s="38" t="s">
        <v>84</v>
      </c>
      <c r="K27" s="38"/>
      <c r="L27" s="99" t="s">
        <v>915</v>
      </c>
      <c r="M27" s="87"/>
      <c r="N27" s="87"/>
      <c r="O27" s="20"/>
      <c r="P27" s="21"/>
      <c r="Q27" s="22"/>
    </row>
    <row r="28" spans="1:17" ht="21" customHeight="1" x14ac:dyDescent="0.25">
      <c r="A28" s="311"/>
      <c r="B28" s="45" t="s">
        <v>924</v>
      </c>
      <c r="C28" s="131">
        <v>43291</v>
      </c>
      <c r="D28" s="82" t="s">
        <v>55</v>
      </c>
      <c r="E28" s="79" t="s">
        <v>69</v>
      </c>
      <c r="F28" s="101" t="s">
        <v>615</v>
      </c>
      <c r="G28" s="164">
        <v>894</v>
      </c>
      <c r="H28" s="48" t="s">
        <v>66</v>
      </c>
      <c r="I28" s="38">
        <v>432</v>
      </c>
      <c r="J28" s="38" t="s">
        <v>77</v>
      </c>
      <c r="K28" s="38"/>
      <c r="L28" s="99" t="s">
        <v>158</v>
      </c>
      <c r="M28" s="15"/>
      <c r="N28" s="15"/>
      <c r="O28" s="20" t="s">
        <v>874</v>
      </c>
      <c r="P28" s="21">
        <v>2</v>
      </c>
      <c r="Q28" s="22" t="s">
        <v>20</v>
      </c>
    </row>
    <row r="29" spans="1:17" ht="21" customHeight="1" x14ac:dyDescent="0.25">
      <c r="A29" s="311"/>
      <c r="B29" s="43" t="s">
        <v>242</v>
      </c>
      <c r="C29" s="58"/>
      <c r="D29" s="78"/>
      <c r="E29" s="60"/>
      <c r="F29" s="118"/>
      <c r="G29" s="38"/>
      <c r="H29" s="60"/>
      <c r="I29" s="38">
        <f>894-432</f>
        <v>462</v>
      </c>
      <c r="J29" s="38" t="s">
        <v>82</v>
      </c>
      <c r="K29" s="38"/>
      <c r="L29" s="99"/>
      <c r="M29" s="15"/>
      <c r="N29" s="15"/>
      <c r="O29" s="20" t="s">
        <v>875</v>
      </c>
      <c r="P29" s="21">
        <v>3</v>
      </c>
      <c r="Q29" s="22" t="s">
        <v>21</v>
      </c>
    </row>
    <row r="30" spans="1:17" ht="21" customHeight="1" x14ac:dyDescent="0.25">
      <c r="A30" s="311"/>
      <c r="B30" s="45" t="s">
        <v>925</v>
      </c>
      <c r="C30" s="86">
        <v>43299</v>
      </c>
      <c r="D30" s="82" t="s">
        <v>59</v>
      </c>
      <c r="E30" s="79" t="s">
        <v>69</v>
      </c>
      <c r="F30" s="101" t="s">
        <v>615</v>
      </c>
      <c r="G30" s="164">
        <v>636</v>
      </c>
      <c r="H30" s="48" t="s">
        <v>66</v>
      </c>
      <c r="I30" s="38">
        <v>216</v>
      </c>
      <c r="J30" s="38" t="s">
        <v>84</v>
      </c>
      <c r="K30" s="38"/>
      <c r="L30" s="99" t="s">
        <v>915</v>
      </c>
      <c r="M30" s="15"/>
      <c r="N30" s="49"/>
      <c r="O30" s="20" t="s">
        <v>876</v>
      </c>
      <c r="P30" s="21">
        <v>4</v>
      </c>
      <c r="Q30" s="22" t="s">
        <v>21</v>
      </c>
    </row>
    <row r="31" spans="1:17" ht="21" customHeight="1" x14ac:dyDescent="0.25">
      <c r="A31" s="311"/>
      <c r="B31" s="45" t="s">
        <v>383</v>
      </c>
      <c r="C31" s="46"/>
      <c r="D31" s="47"/>
      <c r="E31" s="48"/>
      <c r="F31" s="222"/>
      <c r="G31" s="164"/>
      <c r="H31" s="48"/>
      <c r="I31" s="164"/>
      <c r="J31" s="164"/>
      <c r="K31" s="164"/>
      <c r="L31" s="212"/>
      <c r="M31" s="49"/>
      <c r="N31" s="49"/>
      <c r="O31" s="100"/>
      <c r="P31" s="50"/>
      <c r="Q31" s="22"/>
    </row>
    <row r="32" spans="1:17" ht="21" customHeight="1" thickBot="1" x14ac:dyDescent="0.3">
      <c r="A32" s="312"/>
      <c r="B32" s="93"/>
      <c r="C32" s="237"/>
      <c r="D32" s="237"/>
      <c r="E32" s="237"/>
      <c r="F32" s="237"/>
      <c r="G32" s="237"/>
      <c r="H32" s="237"/>
      <c r="I32" s="238">
        <f>SUM(I26:I30)</f>
        <v>1410</v>
      </c>
      <c r="J32" s="238"/>
      <c r="K32" s="238"/>
      <c r="L32" s="162"/>
      <c r="M32" s="238"/>
      <c r="N32" s="238"/>
      <c r="O32" s="238"/>
      <c r="P32" s="238"/>
      <c r="Q32" s="238"/>
    </row>
    <row r="33" spans="1:17" ht="29.25" customHeight="1" thickBot="1" x14ac:dyDescent="0.3">
      <c r="A33" s="73"/>
      <c r="B33" s="64"/>
      <c r="C33" s="65"/>
      <c r="D33" s="66"/>
      <c r="E33" s="67"/>
      <c r="F33" s="66"/>
      <c r="G33" s="67"/>
      <c r="H33" s="67"/>
      <c r="I33" s="69">
        <f>SUM(I32,I25,I18,I9)</f>
        <v>5912</v>
      </c>
      <c r="J33" s="70"/>
      <c r="K33" s="70"/>
      <c r="L33" s="65"/>
      <c r="M33" s="71"/>
      <c r="N33" s="69"/>
      <c r="O33" s="70"/>
      <c r="P33" s="70"/>
      <c r="Q33" s="72"/>
    </row>
    <row r="34" spans="1:17" ht="17.25" thickTop="1" x14ac:dyDescent="0.3">
      <c r="A34" s="23" t="s">
        <v>22</v>
      </c>
      <c r="B34" s="24"/>
      <c r="C34" s="25"/>
      <c r="D34" s="24"/>
      <c r="E34" s="24"/>
      <c r="F34" s="26"/>
      <c r="G34" s="27"/>
      <c r="H34" s="28" t="s">
        <v>23</v>
      </c>
      <c r="I34" s="29"/>
      <c r="J34" s="29"/>
      <c r="K34" s="29"/>
      <c r="L34" s="30"/>
      <c r="M34" s="29"/>
      <c r="N34" s="29"/>
      <c r="O34" s="29"/>
      <c r="P34" s="239" t="s">
        <v>24</v>
      </c>
      <c r="Q34" s="31"/>
    </row>
    <row r="35" spans="1:17" ht="16.5" x14ac:dyDescent="0.3">
      <c r="A35" s="1"/>
      <c r="B35" s="32">
        <v>1</v>
      </c>
      <c r="C35" s="33"/>
      <c r="D35" s="32"/>
      <c r="E35" s="32"/>
      <c r="F35" s="304" t="s">
        <v>25</v>
      </c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</row>
    <row r="36" spans="1:17" ht="16.5" x14ac:dyDescent="0.3">
      <c r="A36" s="1"/>
      <c r="B36" s="297" t="s">
        <v>26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</row>
    <row r="37" spans="1:17" ht="16.5" x14ac:dyDescent="0.3">
      <c r="A37" s="1"/>
      <c r="B37" s="34">
        <v>2</v>
      </c>
      <c r="C37" s="35"/>
      <c r="D37" s="36"/>
      <c r="E37" s="36"/>
      <c r="F37" s="298" t="s">
        <v>27</v>
      </c>
      <c r="G37" s="298"/>
      <c r="H37" s="298"/>
      <c r="I37" s="298"/>
      <c r="J37" s="298"/>
      <c r="K37" s="298"/>
      <c r="L37" s="298"/>
      <c r="M37" s="298"/>
      <c r="N37" s="298"/>
      <c r="O37" s="298"/>
      <c r="P37" s="299" t="s">
        <v>28</v>
      </c>
      <c r="Q37" s="300"/>
    </row>
    <row r="38" spans="1:17" ht="16.5" x14ac:dyDescent="0.3">
      <c r="A38" s="1"/>
      <c r="B38" s="297" t="s">
        <v>29</v>
      </c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1"/>
      <c r="Q38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8"/>
    <mergeCell ref="A19:A25"/>
    <mergeCell ref="C25:F25"/>
    <mergeCell ref="A26:A32"/>
    <mergeCell ref="F35:Q35"/>
    <mergeCell ref="B36:Q36"/>
    <mergeCell ref="F37:O37"/>
    <mergeCell ref="P37:Q37"/>
    <mergeCell ref="B38:O38"/>
    <mergeCell ref="C11:D11"/>
    <mergeCell ref="C14:D14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9" zoomScale="115" zoomScaleNormal="115" workbookViewId="0">
      <selection activeCell="G25" sqref="G25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43259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43260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229</v>
      </c>
      <c r="K4" s="155"/>
      <c r="L4" s="54" t="s">
        <v>72</v>
      </c>
      <c r="M4" s="16"/>
      <c r="N4" s="16"/>
      <c r="O4" s="17" t="s">
        <v>873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283</v>
      </c>
      <c r="K5" s="164"/>
      <c r="L5" s="57"/>
      <c r="M5" s="98"/>
      <c r="N5" s="63"/>
      <c r="O5" s="20" t="s">
        <v>874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194</v>
      </c>
      <c r="K6" s="164"/>
      <c r="L6" s="57"/>
      <c r="M6" s="98"/>
      <c r="N6" s="63"/>
      <c r="O6" s="20" t="s">
        <v>875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456</v>
      </c>
      <c r="J7" s="164" t="s">
        <v>926</v>
      </c>
      <c r="K7" s="164"/>
      <c r="L7" s="57"/>
      <c r="M7" s="63"/>
      <c r="N7" s="63"/>
      <c r="O7" s="20" t="s">
        <v>876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37"/>
      <c r="H9" s="237"/>
      <c r="I9" s="237">
        <f>SUM(I4:I8)</f>
        <v>1824</v>
      </c>
      <c r="J9" s="237"/>
      <c r="K9" s="237"/>
      <c r="L9" s="240"/>
      <c r="M9" s="237"/>
      <c r="N9" s="237"/>
      <c r="O9" s="237"/>
      <c r="P9" s="238"/>
      <c r="Q9" s="238"/>
    </row>
    <row r="10" spans="1:17" ht="23.25" customHeight="1" x14ac:dyDescent="0.25">
      <c r="A10" s="287" t="s">
        <v>49</v>
      </c>
      <c r="B10" s="92" t="s">
        <v>420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927</v>
      </c>
      <c r="K10" s="155"/>
      <c r="L10" s="54" t="s">
        <v>67</v>
      </c>
      <c r="M10" s="16"/>
      <c r="N10" s="16"/>
      <c r="O10" s="17" t="s">
        <v>873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928</v>
      </c>
      <c r="K11" s="164"/>
      <c r="L11" s="88"/>
      <c r="M11" s="63"/>
      <c r="N11" s="63"/>
      <c r="O11" s="20" t="s">
        <v>874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929</v>
      </c>
      <c r="K12" s="164"/>
      <c r="L12" s="88"/>
      <c r="M12" s="63"/>
      <c r="N12" s="63"/>
      <c r="O12" s="20" t="s">
        <v>875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456</v>
      </c>
      <c r="J13" s="164" t="s">
        <v>930</v>
      </c>
      <c r="K13" s="164"/>
      <c r="L13" s="88"/>
      <c r="M13" s="15"/>
      <c r="N13" s="15"/>
      <c r="O13" s="20" t="s">
        <v>876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1824</v>
      </c>
      <c r="J15" s="115"/>
      <c r="K15" s="115"/>
      <c r="L15" s="96"/>
      <c r="M15" s="114"/>
      <c r="N15" s="114"/>
      <c r="O15" s="114"/>
      <c r="P15" s="238"/>
      <c r="Q15" s="238"/>
    </row>
    <row r="16" spans="1:17" ht="23.25" customHeight="1" x14ac:dyDescent="0.25">
      <c r="A16" s="287" t="s">
        <v>50</v>
      </c>
      <c r="B16" s="92" t="s">
        <v>314</v>
      </c>
      <c r="C16" s="24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931</v>
      </c>
      <c r="K16" s="164"/>
      <c r="L16" s="57" t="s">
        <v>67</v>
      </c>
      <c r="M16" s="16"/>
      <c r="N16" s="16"/>
      <c r="O16" s="17" t="s">
        <v>873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932</v>
      </c>
      <c r="K17" s="164"/>
      <c r="L17" s="57"/>
      <c r="M17" s="15"/>
      <c r="N17" s="15"/>
      <c r="O17" s="20" t="s">
        <v>874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933</v>
      </c>
      <c r="K18" s="164"/>
      <c r="L18" s="57"/>
      <c r="M18" s="15"/>
      <c r="N18" s="15"/>
      <c r="O18" s="20" t="s">
        <v>875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4" t="s">
        <v>934</v>
      </c>
      <c r="K19" s="164"/>
      <c r="L19" s="57"/>
      <c r="M19" s="49"/>
      <c r="N19" s="49"/>
      <c r="O19" s="20" t="s">
        <v>876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37">
        <f>SUM(I16:I20)</f>
        <v>1824</v>
      </c>
      <c r="J21" s="237"/>
      <c r="K21" s="237"/>
      <c r="L21" s="240"/>
      <c r="M21" s="237"/>
      <c r="N21" s="237"/>
      <c r="O21" s="237"/>
      <c r="P21" s="238"/>
      <c r="Q21" s="238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935</v>
      </c>
      <c r="K22" s="178"/>
      <c r="L22" s="180" t="s">
        <v>67</v>
      </c>
      <c r="M22" s="16"/>
      <c r="N22" s="16"/>
      <c r="O22" s="17" t="s">
        <v>873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936</v>
      </c>
      <c r="K23" s="194"/>
      <c r="L23" s="195"/>
      <c r="M23" s="87"/>
      <c r="N23" s="15"/>
      <c r="O23" s="20" t="s">
        <v>874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937</v>
      </c>
      <c r="K24" s="164"/>
      <c r="L24" s="57"/>
      <c r="M24" s="49"/>
      <c r="N24" s="15"/>
      <c r="O24" s="20" t="s">
        <v>875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938</v>
      </c>
      <c r="K25" s="164"/>
      <c r="L25" s="57"/>
      <c r="M25" s="49"/>
      <c r="N25" s="49"/>
      <c r="O25" s="20" t="s">
        <v>876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38"/>
      <c r="Q27" s="238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7296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39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A4:A9"/>
    <mergeCell ref="B4:B5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B22:B23"/>
    <mergeCell ref="C23:E23"/>
    <mergeCell ref="F23:H23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0"/>
  <sheetViews>
    <sheetView topLeftCell="A4" zoomScaleNormal="100" workbookViewId="0">
      <selection activeCell="G21" sqref="G21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43259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43260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839</v>
      </c>
      <c r="C4" s="104">
        <v>43281</v>
      </c>
      <c r="D4" s="90" t="s">
        <v>59</v>
      </c>
      <c r="E4" s="144" t="s">
        <v>54</v>
      </c>
      <c r="F4" s="40" t="s">
        <v>96</v>
      </c>
      <c r="G4" s="40">
        <v>288</v>
      </c>
      <c r="H4" s="204" t="s">
        <v>90</v>
      </c>
      <c r="I4" s="155">
        <v>288</v>
      </c>
      <c r="J4" s="155" t="s">
        <v>84</v>
      </c>
      <c r="K4" s="155"/>
      <c r="L4" s="53" t="s">
        <v>957</v>
      </c>
      <c r="M4" s="16"/>
      <c r="N4" s="16"/>
      <c r="O4" s="17" t="s">
        <v>873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939</v>
      </c>
      <c r="C5" s="133">
        <v>43291</v>
      </c>
      <c r="D5" s="134" t="s">
        <v>93</v>
      </c>
      <c r="E5" s="129" t="s">
        <v>54</v>
      </c>
      <c r="F5" s="39" t="s">
        <v>940</v>
      </c>
      <c r="G5" s="39">
        <v>240</v>
      </c>
      <c r="H5" s="146" t="s">
        <v>90</v>
      </c>
      <c r="I5" s="164">
        <v>240</v>
      </c>
      <c r="J5" s="164" t="s">
        <v>84</v>
      </c>
      <c r="K5" s="164"/>
      <c r="L5" s="57" t="s">
        <v>942</v>
      </c>
      <c r="M5" s="49"/>
      <c r="N5" s="15"/>
      <c r="O5" s="20" t="s">
        <v>874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340" t="s">
        <v>941</v>
      </c>
      <c r="F6" s="341"/>
      <c r="G6" s="342"/>
      <c r="H6" s="146"/>
      <c r="I6" s="164"/>
      <c r="J6" s="164"/>
      <c r="K6" s="164"/>
      <c r="L6" s="57"/>
      <c r="M6" s="15"/>
      <c r="N6" s="15"/>
      <c r="O6" s="20"/>
      <c r="P6" s="21"/>
      <c r="Q6" s="22"/>
    </row>
    <row r="7" spans="1:17" ht="24.75" customHeight="1" x14ac:dyDescent="0.25">
      <c r="A7" s="288"/>
      <c r="B7" s="45" t="s">
        <v>943</v>
      </c>
      <c r="C7" s="133">
        <v>43281</v>
      </c>
      <c r="D7" s="134" t="s">
        <v>93</v>
      </c>
      <c r="E7" s="129" t="s">
        <v>54</v>
      </c>
      <c r="F7" s="39" t="s">
        <v>944</v>
      </c>
      <c r="G7" s="39">
        <v>7025</v>
      </c>
      <c r="H7" s="146" t="s">
        <v>945</v>
      </c>
      <c r="I7" s="164">
        <v>432</v>
      </c>
      <c r="J7" s="164" t="s">
        <v>77</v>
      </c>
      <c r="K7" s="164"/>
      <c r="L7" s="57" t="s">
        <v>948</v>
      </c>
      <c r="M7" s="15"/>
      <c r="N7" s="15"/>
      <c r="O7" s="20" t="s">
        <v>875</v>
      </c>
      <c r="P7" s="21">
        <v>3</v>
      </c>
      <c r="Q7" s="22" t="s">
        <v>21</v>
      </c>
    </row>
    <row r="8" spans="1:17" ht="24.75" customHeight="1" x14ac:dyDescent="0.25">
      <c r="A8" s="288"/>
      <c r="B8" s="45" t="s">
        <v>946</v>
      </c>
      <c r="C8" s="313" t="s">
        <v>35</v>
      </c>
      <c r="D8" s="314"/>
      <c r="E8" s="325" t="s">
        <v>947</v>
      </c>
      <c r="F8" s="343"/>
      <c r="G8" s="326"/>
      <c r="H8" s="146"/>
      <c r="I8" s="164">
        <v>432</v>
      </c>
      <c r="J8" s="164" t="s">
        <v>887</v>
      </c>
      <c r="K8" s="164"/>
      <c r="L8" s="57"/>
      <c r="M8" s="49"/>
      <c r="N8" s="49"/>
      <c r="O8" s="20" t="s">
        <v>876</v>
      </c>
      <c r="P8" s="21">
        <v>4</v>
      </c>
      <c r="Q8" s="22" t="s">
        <v>21</v>
      </c>
    </row>
    <row r="9" spans="1:17" ht="24.75" customHeight="1" x14ac:dyDescent="0.25">
      <c r="A9" s="288"/>
      <c r="B9" s="45"/>
      <c r="C9" s="133"/>
      <c r="D9" s="134"/>
      <c r="E9" s="129"/>
      <c r="F9" s="39"/>
      <c r="G9" s="39"/>
      <c r="H9" s="146"/>
      <c r="I9" s="84"/>
      <c r="J9" s="164"/>
      <c r="K9" s="164"/>
      <c r="L9" s="57"/>
      <c r="M9" s="49"/>
      <c r="N9" s="49"/>
      <c r="O9" s="20"/>
      <c r="P9" s="21"/>
      <c r="Q9" s="22"/>
    </row>
    <row r="10" spans="1:17" ht="24.7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37"/>
      <c r="H10" s="237"/>
      <c r="I10" s="237">
        <f>SUM(I4:I9)</f>
        <v>1392</v>
      </c>
      <c r="J10" s="237"/>
      <c r="K10" s="237"/>
      <c r="L10" s="240"/>
      <c r="M10" s="237"/>
      <c r="N10" s="237"/>
      <c r="O10" s="237"/>
      <c r="P10" s="238"/>
      <c r="Q10" s="147"/>
    </row>
    <row r="11" spans="1:17" ht="24.75" customHeight="1" x14ac:dyDescent="0.25">
      <c r="A11" s="288" t="s">
        <v>31</v>
      </c>
      <c r="B11" s="42" t="s">
        <v>849</v>
      </c>
      <c r="C11" s="104">
        <v>43274</v>
      </c>
      <c r="D11" s="90" t="s">
        <v>55</v>
      </c>
      <c r="E11" s="144" t="s">
        <v>54</v>
      </c>
      <c r="F11" s="40" t="s">
        <v>848</v>
      </c>
      <c r="G11" s="40">
        <v>564</v>
      </c>
      <c r="H11" s="204" t="s">
        <v>456</v>
      </c>
      <c r="I11" s="155">
        <f>564-216</f>
        <v>348</v>
      </c>
      <c r="J11" s="155" t="s">
        <v>949</v>
      </c>
      <c r="K11" s="155"/>
      <c r="L11" s="53" t="s">
        <v>67</v>
      </c>
      <c r="M11" s="16"/>
      <c r="N11" s="16"/>
      <c r="O11" s="17" t="s">
        <v>873</v>
      </c>
      <c r="P11" s="18">
        <v>1</v>
      </c>
      <c r="Q11" s="19" t="s">
        <v>19</v>
      </c>
    </row>
    <row r="12" spans="1:17" ht="24.75" customHeight="1" x14ac:dyDescent="0.25">
      <c r="A12" s="288"/>
      <c r="B12" s="45" t="s">
        <v>950</v>
      </c>
      <c r="C12" s="133">
        <v>43281</v>
      </c>
      <c r="D12" s="134" t="s">
        <v>59</v>
      </c>
      <c r="E12" s="129" t="s">
        <v>54</v>
      </c>
      <c r="F12" s="39" t="s">
        <v>848</v>
      </c>
      <c r="G12" s="39">
        <v>264</v>
      </c>
      <c r="H12" s="146" t="s">
        <v>456</v>
      </c>
      <c r="I12" s="164">
        <v>264</v>
      </c>
      <c r="J12" s="164" t="s">
        <v>84</v>
      </c>
      <c r="K12" s="164"/>
      <c r="L12" s="57" t="s">
        <v>889</v>
      </c>
      <c r="M12" s="15"/>
      <c r="N12" s="15"/>
      <c r="O12" s="20" t="s">
        <v>874</v>
      </c>
      <c r="P12" s="21">
        <v>2</v>
      </c>
      <c r="Q12" s="22" t="s">
        <v>20</v>
      </c>
    </row>
    <row r="13" spans="1:17" ht="24.75" customHeight="1" x14ac:dyDescent="0.25">
      <c r="A13" s="288"/>
      <c r="B13" s="45" t="s">
        <v>951</v>
      </c>
      <c r="C13" s="133">
        <v>43275</v>
      </c>
      <c r="D13" s="134" t="s">
        <v>93</v>
      </c>
      <c r="E13" s="129" t="s">
        <v>54</v>
      </c>
      <c r="F13" s="39" t="s">
        <v>952</v>
      </c>
      <c r="G13" s="39">
        <v>552</v>
      </c>
      <c r="H13" s="146" t="s">
        <v>456</v>
      </c>
      <c r="I13" s="164">
        <f>192*2</f>
        <v>384</v>
      </c>
      <c r="J13" s="164" t="s">
        <v>77</v>
      </c>
      <c r="K13" s="164"/>
      <c r="L13" s="57" t="s">
        <v>889</v>
      </c>
      <c r="M13" s="15"/>
      <c r="N13" s="15"/>
      <c r="O13" s="20" t="s">
        <v>875</v>
      </c>
      <c r="P13" s="21">
        <v>3</v>
      </c>
      <c r="Q13" s="22" t="s">
        <v>21</v>
      </c>
    </row>
    <row r="14" spans="1:17" ht="24.75" customHeight="1" x14ac:dyDescent="0.25">
      <c r="A14" s="288"/>
      <c r="B14" s="45" t="s">
        <v>953</v>
      </c>
      <c r="C14" s="313" t="s">
        <v>35</v>
      </c>
      <c r="D14" s="314"/>
      <c r="E14" s="129"/>
      <c r="F14" s="39"/>
      <c r="G14" s="39"/>
      <c r="H14" s="146"/>
      <c r="I14" s="84">
        <f>552-384</f>
        <v>168</v>
      </c>
      <c r="J14" s="164" t="s">
        <v>182</v>
      </c>
      <c r="K14" s="164"/>
      <c r="L14" s="57"/>
      <c r="M14" s="49"/>
      <c r="N14" s="49"/>
      <c r="O14" s="20"/>
      <c r="P14" s="21"/>
      <c r="Q14" s="22"/>
    </row>
    <row r="15" spans="1:17" ht="24.75" customHeight="1" x14ac:dyDescent="0.25">
      <c r="A15" s="288"/>
      <c r="B15" s="45" t="s">
        <v>954</v>
      </c>
      <c r="C15" s="133">
        <v>43275</v>
      </c>
      <c r="D15" s="134" t="s">
        <v>93</v>
      </c>
      <c r="E15" s="129" t="s">
        <v>54</v>
      </c>
      <c r="F15" s="39" t="s">
        <v>952</v>
      </c>
      <c r="G15" s="39">
        <v>360</v>
      </c>
      <c r="H15" s="146" t="s">
        <v>456</v>
      </c>
      <c r="I15" s="164">
        <v>192</v>
      </c>
      <c r="J15" s="164" t="s">
        <v>84</v>
      </c>
      <c r="K15" s="164"/>
      <c r="L15" s="57" t="s">
        <v>942</v>
      </c>
      <c r="M15" s="49"/>
      <c r="N15" s="49"/>
      <c r="O15" s="20" t="s">
        <v>876</v>
      </c>
      <c r="P15" s="21">
        <v>4</v>
      </c>
      <c r="Q15" s="22" t="s">
        <v>21</v>
      </c>
    </row>
    <row r="16" spans="1:17" ht="24.75" customHeight="1" x14ac:dyDescent="0.25">
      <c r="A16" s="288"/>
      <c r="B16" s="45" t="s">
        <v>955</v>
      </c>
      <c r="C16" s="313" t="s">
        <v>35</v>
      </c>
      <c r="D16" s="314"/>
      <c r="E16" s="129"/>
      <c r="F16" s="39"/>
      <c r="G16" s="39"/>
      <c r="H16" s="146"/>
      <c r="I16" s="164"/>
      <c r="J16" s="164"/>
      <c r="K16" s="164"/>
      <c r="L16" s="57"/>
      <c r="M16" s="49"/>
      <c r="N16" s="49"/>
      <c r="O16" s="100"/>
      <c r="P16" s="50"/>
      <c r="Q16" s="148"/>
    </row>
    <row r="17" spans="1:17" ht="24.75" customHeight="1" thickBot="1" x14ac:dyDescent="0.3">
      <c r="A17" s="289"/>
      <c r="B17" s="93" t="s">
        <v>64</v>
      </c>
      <c r="C17" s="290" t="s">
        <v>65</v>
      </c>
      <c r="D17" s="291"/>
      <c r="E17" s="291"/>
      <c r="F17" s="292"/>
      <c r="G17" s="237"/>
      <c r="H17" s="237"/>
      <c r="I17" s="237">
        <f>SUM(I11:I16)</f>
        <v>1356</v>
      </c>
      <c r="J17" s="237"/>
      <c r="K17" s="237"/>
      <c r="L17" s="240"/>
      <c r="M17" s="237"/>
      <c r="N17" s="237"/>
      <c r="O17" s="237"/>
      <c r="P17" s="237"/>
      <c r="Q17" s="151"/>
    </row>
    <row r="18" spans="1:17" ht="24.75" customHeight="1" x14ac:dyDescent="0.25">
      <c r="A18" s="287" t="s">
        <v>32</v>
      </c>
      <c r="B18" s="42" t="s">
        <v>647</v>
      </c>
      <c r="C18" s="104">
        <v>43285</v>
      </c>
      <c r="D18" s="90" t="s">
        <v>93</v>
      </c>
      <c r="E18" s="144" t="s">
        <v>54</v>
      </c>
      <c r="F18" s="40" t="s">
        <v>240</v>
      </c>
      <c r="G18" s="40">
        <v>4224</v>
      </c>
      <c r="H18" s="149" t="s">
        <v>241</v>
      </c>
      <c r="I18" s="155">
        <v>360</v>
      </c>
      <c r="J18" s="155" t="s">
        <v>83</v>
      </c>
      <c r="K18" s="155"/>
      <c r="L18" s="53" t="s">
        <v>330</v>
      </c>
      <c r="M18" s="16"/>
      <c r="N18" s="16"/>
      <c r="O18" s="17" t="s">
        <v>873</v>
      </c>
      <c r="P18" s="18">
        <v>1</v>
      </c>
      <c r="Q18" s="19" t="s">
        <v>19</v>
      </c>
    </row>
    <row r="19" spans="1:17" ht="24.75" customHeight="1" x14ac:dyDescent="0.25">
      <c r="A19" s="288"/>
      <c r="B19" s="127" t="s">
        <v>648</v>
      </c>
      <c r="C19" s="133"/>
      <c r="D19" s="134"/>
      <c r="E19" s="129"/>
      <c r="F19" s="38"/>
      <c r="G19" s="38"/>
      <c r="H19" s="154"/>
      <c r="I19" s="164">
        <v>360</v>
      </c>
      <c r="J19" s="164" t="s">
        <v>86</v>
      </c>
      <c r="K19" s="164"/>
      <c r="L19" s="57"/>
      <c r="M19" s="15"/>
      <c r="N19" s="15"/>
      <c r="O19" s="20" t="s">
        <v>874</v>
      </c>
      <c r="P19" s="21">
        <v>2</v>
      </c>
      <c r="Q19" s="22" t="s">
        <v>20</v>
      </c>
    </row>
    <row r="20" spans="1:17" ht="24.75" customHeight="1" x14ac:dyDescent="0.25">
      <c r="A20" s="288"/>
      <c r="B20" s="45"/>
      <c r="C20" s="133"/>
      <c r="D20" s="134"/>
      <c r="E20" s="129"/>
      <c r="F20" s="39"/>
      <c r="G20" s="39"/>
      <c r="H20" s="130"/>
      <c r="I20" s="128">
        <v>360</v>
      </c>
      <c r="J20" s="38" t="s">
        <v>956</v>
      </c>
      <c r="K20" s="38"/>
      <c r="L20" s="44"/>
      <c r="M20" s="15"/>
      <c r="N20" s="15"/>
      <c r="O20" s="20" t="s">
        <v>875</v>
      </c>
      <c r="P20" s="21">
        <v>3</v>
      </c>
      <c r="Q20" s="22" t="s">
        <v>21</v>
      </c>
    </row>
    <row r="21" spans="1:17" ht="24.75" customHeight="1" x14ac:dyDescent="0.25">
      <c r="A21" s="288"/>
      <c r="B21" s="45"/>
      <c r="C21" s="133"/>
      <c r="D21" s="134"/>
      <c r="E21" s="129"/>
      <c r="F21" s="39"/>
      <c r="G21" s="39"/>
      <c r="H21" s="130"/>
      <c r="I21" s="164">
        <v>180</v>
      </c>
      <c r="J21" s="164" t="s">
        <v>960</v>
      </c>
      <c r="K21" s="164"/>
      <c r="L21" s="57"/>
      <c r="M21" s="49"/>
      <c r="N21" s="49"/>
      <c r="O21" s="20" t="s">
        <v>876</v>
      </c>
      <c r="P21" s="21">
        <v>4</v>
      </c>
      <c r="Q21" s="22" t="s">
        <v>21</v>
      </c>
    </row>
    <row r="22" spans="1:17" ht="24.75" customHeight="1" x14ac:dyDescent="0.25">
      <c r="A22" s="288"/>
      <c r="B22" s="127"/>
      <c r="C22" s="133"/>
      <c r="D22" s="134"/>
      <c r="E22" s="129"/>
      <c r="F22" s="38"/>
      <c r="G22" s="38"/>
      <c r="H22" s="154"/>
      <c r="I22" s="164"/>
      <c r="J22" s="164"/>
      <c r="K22" s="164"/>
      <c r="L22" s="57"/>
      <c r="M22" s="49"/>
      <c r="N22" s="49"/>
      <c r="O22" s="20"/>
      <c r="P22" s="21"/>
      <c r="Q22" s="22"/>
    </row>
    <row r="23" spans="1:17" ht="24.7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237"/>
      <c r="H23" s="237"/>
      <c r="I23" s="237">
        <f>SUM(I18:I22)</f>
        <v>1260</v>
      </c>
      <c r="J23" s="237"/>
      <c r="K23" s="237"/>
      <c r="L23" s="240"/>
      <c r="M23" s="237"/>
      <c r="N23" s="237"/>
      <c r="O23" s="237"/>
      <c r="P23" s="237"/>
      <c r="Q23" s="147"/>
    </row>
    <row r="24" spans="1:17" ht="29.25" customHeight="1" thickBot="1" x14ac:dyDescent="0.3">
      <c r="A24" s="73"/>
      <c r="B24" s="64"/>
      <c r="C24" s="65"/>
      <c r="D24" s="66"/>
      <c r="E24" s="67"/>
      <c r="F24" s="68"/>
      <c r="G24" s="67"/>
      <c r="H24" s="67"/>
      <c r="I24" s="69">
        <f>SUM(I23,I17,I10)</f>
        <v>4008</v>
      </c>
      <c r="J24" s="70"/>
      <c r="K24" s="70"/>
      <c r="L24" s="65"/>
      <c r="M24" s="71"/>
      <c r="N24" s="69"/>
      <c r="O24" s="70"/>
      <c r="P24" s="70"/>
      <c r="Q24" s="72"/>
    </row>
    <row r="25" spans="1:17" ht="17.25" thickTop="1" x14ac:dyDescent="0.3">
      <c r="A25" s="23" t="s">
        <v>22</v>
      </c>
      <c r="B25" s="24"/>
      <c r="C25" s="25"/>
      <c r="D25" s="24"/>
      <c r="E25" s="24"/>
      <c r="F25" s="26"/>
      <c r="G25" s="27"/>
      <c r="H25" s="28" t="s">
        <v>23</v>
      </c>
      <c r="I25" s="29"/>
      <c r="J25" s="29"/>
      <c r="K25" s="29"/>
      <c r="L25" s="30"/>
      <c r="M25" s="29"/>
      <c r="N25" s="29"/>
      <c r="O25" s="29"/>
      <c r="P25" s="239" t="s">
        <v>24</v>
      </c>
      <c r="Q25" s="31"/>
    </row>
    <row r="26" spans="1:17" ht="16.5" x14ac:dyDescent="0.3">
      <c r="A26" s="1"/>
      <c r="B26" s="32">
        <v>1</v>
      </c>
      <c r="C26" s="33"/>
      <c r="D26" s="32"/>
      <c r="E26" s="32"/>
      <c r="F26" s="304" t="s">
        <v>25</v>
      </c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</row>
    <row r="27" spans="1:17" ht="16.5" x14ac:dyDescent="0.3">
      <c r="A27" s="297" t="s">
        <v>26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</row>
    <row r="28" spans="1:17" ht="16.5" x14ac:dyDescent="0.3">
      <c r="A28" s="1"/>
      <c r="B28" s="34">
        <v>2</v>
      </c>
      <c r="C28" s="35"/>
      <c r="D28" s="36"/>
      <c r="E28" s="36"/>
      <c r="F28" s="298" t="s">
        <v>27</v>
      </c>
      <c r="G28" s="298"/>
      <c r="H28" s="298"/>
      <c r="I28" s="298"/>
      <c r="J28" s="298"/>
      <c r="K28" s="298"/>
      <c r="L28" s="298"/>
      <c r="M28" s="298"/>
      <c r="N28" s="298"/>
      <c r="O28" s="298"/>
      <c r="P28" s="76" t="s">
        <v>28</v>
      </c>
      <c r="Q28" s="75"/>
    </row>
    <row r="29" spans="1:17" ht="16.5" x14ac:dyDescent="0.3">
      <c r="A29" s="1"/>
      <c r="B29" s="297" t="s">
        <v>29</v>
      </c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1"/>
      <c r="Q29" s="1"/>
    </row>
    <row r="30" spans="1:17" x14ac:dyDescent="0.25">
      <c r="O30" s="74"/>
    </row>
  </sheetData>
  <mergeCells count="20">
    <mergeCell ref="A1:Q1"/>
    <mergeCell ref="A2:B2"/>
    <mergeCell ref="C2:E2"/>
    <mergeCell ref="F2:G2"/>
    <mergeCell ref="O2:Q2"/>
    <mergeCell ref="F28:O28"/>
    <mergeCell ref="B29:O29"/>
    <mergeCell ref="C14:D14"/>
    <mergeCell ref="C16:D16"/>
    <mergeCell ref="E6:G6"/>
    <mergeCell ref="E8:G8"/>
    <mergeCell ref="C8:D8"/>
    <mergeCell ref="A27:Q27"/>
    <mergeCell ref="A4:A10"/>
    <mergeCell ref="C10:F10"/>
    <mergeCell ref="A11:A17"/>
    <mergeCell ref="C17:F17"/>
    <mergeCell ref="A18:A23"/>
    <mergeCell ref="C23:F23"/>
    <mergeCell ref="F26:Q2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7" zoomScaleNormal="100" workbookViewId="0">
      <selection activeCell="B24" sqref="B24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43260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36</v>
      </c>
      <c r="B4" s="42" t="s">
        <v>880</v>
      </c>
      <c r="C4" s="140">
        <v>43267</v>
      </c>
      <c r="D4" s="77" t="s">
        <v>59</v>
      </c>
      <c r="E4" s="41" t="s">
        <v>54</v>
      </c>
      <c r="F4" s="40" t="s">
        <v>778</v>
      </c>
      <c r="G4" s="40">
        <v>2436</v>
      </c>
      <c r="H4" s="41" t="s">
        <v>667</v>
      </c>
      <c r="I4" s="40">
        <v>432</v>
      </c>
      <c r="J4" s="40" t="s">
        <v>77</v>
      </c>
      <c r="K4" s="40"/>
      <c r="L4" s="54" t="s">
        <v>63</v>
      </c>
      <c r="M4" s="16"/>
      <c r="N4" s="16"/>
      <c r="O4" s="17" t="s">
        <v>961</v>
      </c>
      <c r="P4" s="18">
        <v>1</v>
      </c>
      <c r="Q4" s="19" t="s">
        <v>19</v>
      </c>
    </row>
    <row r="5" spans="1:17" ht="24.75" customHeight="1" x14ac:dyDescent="0.25">
      <c r="A5" s="288"/>
      <c r="B5" s="43" t="s">
        <v>780</v>
      </c>
      <c r="C5" s="58"/>
      <c r="D5" s="78"/>
      <c r="E5" s="60"/>
      <c r="F5" s="38"/>
      <c r="G5" s="38"/>
      <c r="H5" s="60"/>
      <c r="I5" s="38">
        <v>432</v>
      </c>
      <c r="J5" s="38" t="s">
        <v>82</v>
      </c>
      <c r="K5" s="38"/>
      <c r="L5" s="44"/>
      <c r="M5" s="15"/>
      <c r="N5" s="63"/>
      <c r="O5" s="20" t="s">
        <v>962</v>
      </c>
      <c r="P5" s="21">
        <v>2</v>
      </c>
      <c r="Q5" s="22" t="s">
        <v>20</v>
      </c>
    </row>
    <row r="6" spans="1:17" ht="24.75" customHeight="1" x14ac:dyDescent="0.25">
      <c r="A6" s="288"/>
      <c r="B6" s="43"/>
      <c r="C6" s="58"/>
      <c r="D6" s="78"/>
      <c r="E6" s="60"/>
      <c r="F6" s="38"/>
      <c r="G6" s="38"/>
      <c r="H6" s="60"/>
      <c r="I6" s="38">
        <v>432</v>
      </c>
      <c r="J6" s="38" t="s">
        <v>127</v>
      </c>
      <c r="K6" s="38"/>
      <c r="L6" s="44"/>
      <c r="M6" s="15"/>
      <c r="N6" s="63"/>
      <c r="O6" s="20" t="s">
        <v>963</v>
      </c>
      <c r="P6" s="21">
        <v>3</v>
      </c>
      <c r="Q6" s="22" t="s">
        <v>21</v>
      </c>
    </row>
    <row r="7" spans="1:17" ht="24.75" customHeight="1" x14ac:dyDescent="0.25">
      <c r="A7" s="288"/>
      <c r="B7" s="43"/>
      <c r="C7" s="58"/>
      <c r="D7" s="78"/>
      <c r="E7" s="60"/>
      <c r="F7" s="38"/>
      <c r="G7" s="38"/>
      <c r="H7" s="60"/>
      <c r="I7" s="38">
        <v>216</v>
      </c>
      <c r="J7" s="38" t="s">
        <v>1051</v>
      </c>
      <c r="K7" s="38"/>
      <c r="L7" s="44"/>
      <c r="M7" s="15"/>
      <c r="N7" s="63"/>
      <c r="O7" s="20" t="s">
        <v>964</v>
      </c>
      <c r="P7" s="21">
        <v>4</v>
      </c>
      <c r="Q7" s="22" t="s">
        <v>21</v>
      </c>
    </row>
    <row r="8" spans="1:17" ht="24.75" customHeight="1" x14ac:dyDescent="0.25">
      <c r="A8" s="288"/>
      <c r="B8" s="43"/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49"/>
      <c r="H9" s="249"/>
      <c r="I9" s="249">
        <f>SUM(I4:I8)</f>
        <v>1512</v>
      </c>
      <c r="J9" s="249"/>
      <c r="K9" s="249"/>
      <c r="L9" s="252"/>
      <c r="M9" s="249"/>
      <c r="N9" s="249"/>
      <c r="O9" s="249"/>
      <c r="P9" s="250"/>
      <c r="Q9" s="250"/>
    </row>
    <row r="10" spans="1:17" ht="24.75" customHeight="1" x14ac:dyDescent="0.25">
      <c r="A10" s="287" t="s">
        <v>39</v>
      </c>
      <c r="B10" s="42" t="s">
        <v>136</v>
      </c>
      <c r="C10" s="140">
        <v>43264</v>
      </c>
      <c r="D10" s="77" t="s">
        <v>59</v>
      </c>
      <c r="E10" s="41" t="s">
        <v>54</v>
      </c>
      <c r="F10" s="40" t="s">
        <v>137</v>
      </c>
      <c r="G10" s="40">
        <v>16104</v>
      </c>
      <c r="H10" s="41" t="s">
        <v>89</v>
      </c>
      <c r="I10" s="40">
        <v>432</v>
      </c>
      <c r="J10" s="40" t="s">
        <v>965</v>
      </c>
      <c r="K10" s="40"/>
      <c r="L10" s="54" t="s">
        <v>63</v>
      </c>
      <c r="M10" s="16"/>
      <c r="N10" s="16"/>
      <c r="O10" s="17" t="s">
        <v>961</v>
      </c>
      <c r="P10" s="18">
        <v>1</v>
      </c>
      <c r="Q10" s="19" t="s">
        <v>19</v>
      </c>
    </row>
    <row r="11" spans="1:17" ht="24.75" customHeight="1" x14ac:dyDescent="0.25">
      <c r="A11" s="288"/>
      <c r="B11" s="111" t="s">
        <v>138</v>
      </c>
      <c r="C11" s="58"/>
      <c r="D11" s="78"/>
      <c r="E11" s="48"/>
      <c r="F11" s="164"/>
      <c r="G11" s="164"/>
      <c r="H11" s="48"/>
      <c r="I11" s="164">
        <f>216+120</f>
        <v>336</v>
      </c>
      <c r="J11" s="164" t="s">
        <v>966</v>
      </c>
      <c r="K11" s="164"/>
      <c r="L11" s="57"/>
      <c r="M11" s="49"/>
      <c r="N11" s="63"/>
      <c r="O11" s="20" t="s">
        <v>962</v>
      </c>
      <c r="P11" s="21">
        <v>2</v>
      </c>
      <c r="Q11" s="22" t="s">
        <v>20</v>
      </c>
    </row>
    <row r="12" spans="1:17" ht="24.75" customHeight="1" x14ac:dyDescent="0.25">
      <c r="A12" s="288"/>
      <c r="B12" s="111" t="s">
        <v>967</v>
      </c>
      <c r="C12" s="58">
        <v>43269</v>
      </c>
      <c r="D12" s="78" t="s">
        <v>59</v>
      </c>
      <c r="E12" s="48" t="s">
        <v>54</v>
      </c>
      <c r="F12" s="164" t="s">
        <v>968</v>
      </c>
      <c r="G12" s="164">
        <v>180</v>
      </c>
      <c r="H12" s="48" t="s">
        <v>89</v>
      </c>
      <c r="I12" s="164">
        <v>180</v>
      </c>
      <c r="J12" s="164" t="s">
        <v>84</v>
      </c>
      <c r="K12" s="164"/>
      <c r="L12" s="57" t="s">
        <v>971</v>
      </c>
      <c r="M12" s="49"/>
      <c r="N12" s="63"/>
      <c r="O12" s="20" t="s">
        <v>963</v>
      </c>
      <c r="P12" s="21">
        <v>3</v>
      </c>
      <c r="Q12" s="22" t="s">
        <v>21</v>
      </c>
    </row>
    <row r="13" spans="1:17" ht="24.75" customHeight="1" x14ac:dyDescent="0.25">
      <c r="A13" s="288"/>
      <c r="B13" s="45" t="s">
        <v>969</v>
      </c>
      <c r="C13" s="58">
        <v>43269</v>
      </c>
      <c r="D13" s="78" t="s">
        <v>59</v>
      </c>
      <c r="E13" s="129" t="s">
        <v>54</v>
      </c>
      <c r="F13" s="164" t="s">
        <v>970</v>
      </c>
      <c r="G13" s="164">
        <v>1692</v>
      </c>
      <c r="H13" s="48" t="s">
        <v>89</v>
      </c>
      <c r="I13" s="164">
        <v>432</v>
      </c>
      <c r="J13" s="164" t="s">
        <v>77</v>
      </c>
      <c r="K13" s="164"/>
      <c r="L13" s="57" t="s">
        <v>972</v>
      </c>
      <c r="M13" s="49"/>
      <c r="N13" s="63"/>
      <c r="O13" s="20"/>
      <c r="P13" s="21"/>
      <c r="Q13" s="22"/>
    </row>
    <row r="14" spans="1:17" ht="24.75" customHeight="1" x14ac:dyDescent="0.25">
      <c r="A14" s="288"/>
      <c r="B14" s="45" t="s">
        <v>73</v>
      </c>
      <c r="C14" s="58"/>
      <c r="D14" s="78"/>
      <c r="E14" s="129"/>
      <c r="F14" s="164"/>
      <c r="G14" s="164"/>
      <c r="H14" s="48"/>
      <c r="I14" s="164">
        <v>216</v>
      </c>
      <c r="J14" s="164" t="s">
        <v>182</v>
      </c>
      <c r="K14" s="164"/>
      <c r="L14" s="57"/>
      <c r="M14" s="49"/>
      <c r="N14" s="15"/>
      <c r="O14" s="20" t="s">
        <v>964</v>
      </c>
      <c r="P14" s="21">
        <v>4</v>
      </c>
      <c r="Q14" s="22" t="s">
        <v>21</v>
      </c>
    </row>
    <row r="15" spans="1:17" ht="24.7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49"/>
      <c r="H15" s="249"/>
      <c r="I15" s="249">
        <f>SUM(I10:I14)</f>
        <v>1596</v>
      </c>
      <c r="J15" s="249"/>
      <c r="K15" s="249"/>
      <c r="L15" s="252"/>
      <c r="M15" s="249"/>
      <c r="N15" s="249"/>
      <c r="O15" s="249"/>
      <c r="P15" s="250"/>
      <c r="Q15" s="250"/>
    </row>
    <row r="16" spans="1:17" ht="24.75" customHeight="1" x14ac:dyDescent="0.25">
      <c r="A16" s="287" t="s">
        <v>37</v>
      </c>
      <c r="B16" s="42" t="s">
        <v>973</v>
      </c>
      <c r="C16" s="244">
        <v>43269</v>
      </c>
      <c r="D16" s="52" t="s">
        <v>59</v>
      </c>
      <c r="E16" s="41" t="s">
        <v>54</v>
      </c>
      <c r="F16" s="40" t="s">
        <v>116</v>
      </c>
      <c r="G16" s="155">
        <v>996</v>
      </c>
      <c r="H16" s="81" t="s">
        <v>117</v>
      </c>
      <c r="I16" s="155">
        <v>432</v>
      </c>
      <c r="J16" s="155" t="s">
        <v>77</v>
      </c>
      <c r="K16" s="155"/>
      <c r="L16" s="53" t="s">
        <v>67</v>
      </c>
      <c r="M16" s="16"/>
      <c r="N16" s="16"/>
      <c r="O16" s="17" t="s">
        <v>961</v>
      </c>
      <c r="P16" s="18">
        <v>1</v>
      </c>
      <c r="Q16" s="19" t="s">
        <v>19</v>
      </c>
    </row>
    <row r="17" spans="1:17" ht="24.75" customHeight="1" x14ac:dyDescent="0.25">
      <c r="A17" s="288"/>
      <c r="B17" s="45"/>
      <c r="C17" s="46"/>
      <c r="D17" s="47"/>
      <c r="E17" s="60"/>
      <c r="F17" s="38"/>
      <c r="G17" s="164"/>
      <c r="H17" s="48"/>
      <c r="I17" s="164">
        <v>432</v>
      </c>
      <c r="J17" s="164" t="s">
        <v>82</v>
      </c>
      <c r="K17" s="164"/>
      <c r="L17" s="57"/>
      <c r="M17" s="63"/>
      <c r="N17" s="63"/>
      <c r="O17" s="20" t="s">
        <v>962</v>
      </c>
      <c r="P17" s="21">
        <v>2</v>
      </c>
      <c r="Q17" s="22" t="s">
        <v>20</v>
      </c>
    </row>
    <row r="18" spans="1:17" ht="24.7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132</v>
      </c>
      <c r="J18" s="164" t="s">
        <v>78</v>
      </c>
      <c r="K18" s="164"/>
      <c r="L18" s="57"/>
      <c r="M18" s="15"/>
      <c r="N18" s="15"/>
      <c r="O18" s="20" t="s">
        <v>963</v>
      </c>
      <c r="P18" s="21">
        <v>3</v>
      </c>
      <c r="Q18" s="22" t="s">
        <v>21</v>
      </c>
    </row>
    <row r="19" spans="1:17" ht="24.75" customHeight="1" x14ac:dyDescent="0.25">
      <c r="A19" s="288"/>
      <c r="B19" s="45" t="s">
        <v>974</v>
      </c>
      <c r="C19" s="46">
        <v>43273</v>
      </c>
      <c r="D19" s="47" t="s">
        <v>59</v>
      </c>
      <c r="E19" s="60" t="s">
        <v>54</v>
      </c>
      <c r="F19" s="38" t="s">
        <v>116</v>
      </c>
      <c r="G19" s="164">
        <v>2700</v>
      </c>
      <c r="H19" s="48" t="s">
        <v>117</v>
      </c>
      <c r="I19" s="164">
        <v>432</v>
      </c>
      <c r="J19" s="164" t="s">
        <v>77</v>
      </c>
      <c r="K19" s="164"/>
      <c r="L19" s="57" t="s">
        <v>975</v>
      </c>
      <c r="M19" s="15"/>
      <c r="N19" s="15"/>
      <c r="O19" s="20"/>
      <c r="P19" s="21"/>
      <c r="Q19" s="22"/>
    </row>
    <row r="20" spans="1:17" ht="24.75" customHeight="1" x14ac:dyDescent="0.25">
      <c r="A20" s="288"/>
      <c r="B20" s="45" t="s">
        <v>199</v>
      </c>
      <c r="C20" s="46"/>
      <c r="D20" s="47"/>
      <c r="E20" s="60"/>
      <c r="F20" s="38"/>
      <c r="G20" s="164"/>
      <c r="H20" s="48"/>
      <c r="I20" s="164">
        <v>216</v>
      </c>
      <c r="J20" s="164" t="s">
        <v>182</v>
      </c>
      <c r="K20" s="164"/>
      <c r="L20" s="57"/>
      <c r="M20" s="15"/>
      <c r="N20" s="15"/>
      <c r="O20" s="20" t="s">
        <v>964</v>
      </c>
      <c r="P20" s="21">
        <v>4</v>
      </c>
      <c r="Q20" s="22" t="s">
        <v>21</v>
      </c>
    </row>
    <row r="21" spans="1:17" ht="24.7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49"/>
      <c r="H21" s="249"/>
      <c r="I21" s="249">
        <f>SUM(I16:I20)</f>
        <v>1644</v>
      </c>
      <c r="J21" s="249"/>
      <c r="K21" s="249"/>
      <c r="L21" s="252"/>
      <c r="M21" s="249"/>
      <c r="N21" s="249"/>
      <c r="O21" s="249"/>
      <c r="P21" s="250"/>
      <c r="Q21" s="250"/>
    </row>
    <row r="22" spans="1:17" ht="24.75" customHeight="1" x14ac:dyDescent="0.25">
      <c r="A22" s="287" t="s">
        <v>38</v>
      </c>
      <c r="B22" s="42" t="s">
        <v>976</v>
      </c>
      <c r="C22" s="244">
        <v>43266</v>
      </c>
      <c r="D22" s="52" t="s">
        <v>977</v>
      </c>
      <c r="E22" s="41" t="s">
        <v>755</v>
      </c>
      <c r="F22" s="40" t="s">
        <v>978</v>
      </c>
      <c r="G22" s="155">
        <v>816</v>
      </c>
      <c r="H22" s="81" t="s">
        <v>979</v>
      </c>
      <c r="I22" s="155">
        <v>432</v>
      </c>
      <c r="J22" s="155" t="s">
        <v>77</v>
      </c>
      <c r="K22" s="155"/>
      <c r="L22" s="53" t="s">
        <v>80</v>
      </c>
      <c r="M22" s="16"/>
      <c r="N22" s="16"/>
      <c r="O22" s="17" t="s">
        <v>961</v>
      </c>
      <c r="P22" s="18">
        <v>1</v>
      </c>
      <c r="Q22" s="19" t="s">
        <v>19</v>
      </c>
    </row>
    <row r="23" spans="1:17" ht="24.75" customHeight="1" x14ac:dyDescent="0.25">
      <c r="A23" s="288"/>
      <c r="B23" s="111"/>
      <c r="C23" s="58"/>
      <c r="D23" s="78"/>
      <c r="E23" s="48"/>
      <c r="F23" s="164"/>
      <c r="G23" s="164"/>
      <c r="H23" s="48"/>
      <c r="I23" s="164">
        <f>216+168</f>
        <v>384</v>
      </c>
      <c r="J23" s="164" t="s">
        <v>82</v>
      </c>
      <c r="K23" s="164"/>
      <c r="L23" s="57"/>
      <c r="M23" s="15"/>
      <c r="N23" s="15"/>
      <c r="O23" s="20" t="s">
        <v>962</v>
      </c>
      <c r="P23" s="21">
        <v>2</v>
      </c>
      <c r="Q23" s="22" t="s">
        <v>20</v>
      </c>
    </row>
    <row r="24" spans="1:17" ht="24.75" customHeight="1" x14ac:dyDescent="0.25">
      <c r="A24" s="288"/>
      <c r="B24" s="111" t="s">
        <v>980</v>
      </c>
      <c r="C24" s="58">
        <v>43266</v>
      </c>
      <c r="D24" s="78" t="s">
        <v>59</v>
      </c>
      <c r="E24" s="48" t="s">
        <v>54</v>
      </c>
      <c r="F24" s="164" t="s">
        <v>92</v>
      </c>
      <c r="G24" s="164">
        <v>264</v>
      </c>
      <c r="H24" s="48" t="s">
        <v>88</v>
      </c>
      <c r="I24" s="84">
        <v>264</v>
      </c>
      <c r="J24" s="164" t="s">
        <v>84</v>
      </c>
      <c r="K24" s="164"/>
      <c r="L24" s="57" t="s">
        <v>983</v>
      </c>
      <c r="M24" s="49"/>
      <c r="N24" s="15"/>
      <c r="O24" s="20" t="s">
        <v>963</v>
      </c>
      <c r="P24" s="21">
        <v>3</v>
      </c>
      <c r="Q24" s="22" t="s">
        <v>21</v>
      </c>
    </row>
    <row r="25" spans="1:17" ht="24.75" customHeight="1" x14ac:dyDescent="0.25">
      <c r="A25" s="288"/>
      <c r="B25" s="111" t="s">
        <v>981</v>
      </c>
      <c r="C25" s="58">
        <v>43266</v>
      </c>
      <c r="D25" s="78" t="s">
        <v>59</v>
      </c>
      <c r="E25" s="48" t="s">
        <v>54</v>
      </c>
      <c r="F25" s="164" t="s">
        <v>176</v>
      </c>
      <c r="G25" s="164">
        <v>360</v>
      </c>
      <c r="H25" s="48" t="s">
        <v>88</v>
      </c>
      <c r="I25" s="84">
        <v>360</v>
      </c>
      <c r="J25" s="164" t="s">
        <v>77</v>
      </c>
      <c r="K25" s="164"/>
      <c r="L25" s="57" t="s">
        <v>80</v>
      </c>
      <c r="M25" s="15"/>
      <c r="N25" s="15"/>
      <c r="O25" s="20" t="s">
        <v>964</v>
      </c>
      <c r="P25" s="21">
        <v>4</v>
      </c>
      <c r="Q25" s="22" t="s">
        <v>21</v>
      </c>
    </row>
    <row r="26" spans="1:17" ht="24.75" customHeight="1" x14ac:dyDescent="0.25">
      <c r="A26" s="288"/>
      <c r="B26" s="111"/>
      <c r="C26" s="58"/>
      <c r="D26" s="78"/>
      <c r="E26" s="48"/>
      <c r="F26" s="164"/>
      <c r="G26" s="164"/>
      <c r="H26" s="48"/>
      <c r="I26" s="164"/>
      <c r="J26" s="164"/>
      <c r="K26" s="164"/>
      <c r="L26" s="57"/>
      <c r="M26" s="15"/>
      <c r="N26" s="15"/>
      <c r="O26" s="20"/>
      <c r="P26" s="21"/>
      <c r="Q26" s="22"/>
    </row>
    <row r="27" spans="1:17" ht="24.75" customHeight="1" thickBot="1" x14ac:dyDescent="0.3">
      <c r="A27" s="289"/>
      <c r="B27" s="93" t="s">
        <v>64</v>
      </c>
      <c r="C27" s="301" t="s">
        <v>98</v>
      </c>
      <c r="D27" s="302"/>
      <c r="E27" s="302"/>
      <c r="F27" s="303"/>
      <c r="G27" s="249"/>
      <c r="H27" s="249"/>
      <c r="I27" s="249">
        <f>SUM(I22:I26)</f>
        <v>1440</v>
      </c>
      <c r="J27" s="249"/>
      <c r="K27" s="249"/>
      <c r="L27" s="252"/>
      <c r="M27" s="249"/>
      <c r="N27" s="249"/>
      <c r="O27" s="249"/>
      <c r="P27" s="250"/>
      <c r="Q27" s="250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6192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5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C27:F27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7"/>
  <sheetViews>
    <sheetView topLeftCell="A4" zoomScaleNormal="100" workbookViewId="0">
      <selection activeCell="B4" sqref="B4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43260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985</v>
      </c>
      <c r="C4" s="140">
        <v>43274</v>
      </c>
      <c r="D4" s="77" t="s">
        <v>93</v>
      </c>
      <c r="E4" s="81" t="s">
        <v>34</v>
      </c>
      <c r="F4" s="40" t="s">
        <v>108</v>
      </c>
      <c r="G4" s="155">
        <v>1920</v>
      </c>
      <c r="H4" s="81" t="s">
        <v>51</v>
      </c>
      <c r="I4" s="155">
        <v>432</v>
      </c>
      <c r="J4" s="81" t="s">
        <v>77</v>
      </c>
      <c r="K4" s="155"/>
      <c r="L4" s="247" t="s">
        <v>61</v>
      </c>
      <c r="M4" s="16"/>
      <c r="N4" s="16"/>
      <c r="O4" s="17" t="s">
        <v>961</v>
      </c>
      <c r="P4" s="18">
        <v>1</v>
      </c>
      <c r="Q4" s="19" t="s">
        <v>19</v>
      </c>
    </row>
    <row r="5" spans="1:17" ht="21.75" customHeight="1" x14ac:dyDescent="0.25">
      <c r="A5" s="288"/>
      <c r="B5" s="45" t="s">
        <v>106</v>
      </c>
      <c r="C5" s="46"/>
      <c r="D5" s="47"/>
      <c r="E5" s="48"/>
      <c r="F5" s="164"/>
      <c r="G5" s="164"/>
      <c r="H5" s="48"/>
      <c r="I5" s="164">
        <v>432</v>
      </c>
      <c r="J5" s="48" t="s">
        <v>82</v>
      </c>
      <c r="K5" s="164"/>
      <c r="L5" s="51"/>
      <c r="M5" s="49"/>
      <c r="N5" s="15"/>
      <c r="O5" s="20" t="s">
        <v>962</v>
      </c>
      <c r="P5" s="21">
        <v>2</v>
      </c>
      <c r="Q5" s="22" t="s">
        <v>20</v>
      </c>
    </row>
    <row r="6" spans="1:17" ht="21.75" customHeight="1" x14ac:dyDescent="0.25">
      <c r="A6" s="288"/>
      <c r="B6" s="43"/>
      <c r="C6" s="141"/>
      <c r="D6" s="78"/>
      <c r="E6" s="60"/>
      <c r="F6" s="38"/>
      <c r="G6" s="38"/>
      <c r="H6" s="60"/>
      <c r="I6" s="128">
        <v>432</v>
      </c>
      <c r="J6" s="60" t="s">
        <v>127</v>
      </c>
      <c r="K6" s="38"/>
      <c r="L6" s="91"/>
      <c r="M6" s="49"/>
      <c r="N6" s="15"/>
      <c r="O6" s="20" t="s">
        <v>963</v>
      </c>
      <c r="P6" s="21">
        <v>3</v>
      </c>
      <c r="Q6" s="22" t="s">
        <v>21</v>
      </c>
    </row>
    <row r="7" spans="1:17" ht="21.75" customHeight="1" x14ac:dyDescent="0.25">
      <c r="A7" s="288"/>
      <c r="B7" s="43"/>
      <c r="C7" s="141"/>
      <c r="D7" s="78"/>
      <c r="E7" s="60"/>
      <c r="F7" s="38"/>
      <c r="G7" s="38"/>
      <c r="H7" s="60"/>
      <c r="I7" s="38">
        <v>432</v>
      </c>
      <c r="J7" s="60" t="s">
        <v>1053</v>
      </c>
      <c r="K7" s="38"/>
      <c r="L7" s="91"/>
      <c r="M7" s="49"/>
      <c r="N7" s="15"/>
      <c r="O7" s="20" t="s">
        <v>964</v>
      </c>
      <c r="P7" s="21">
        <v>4</v>
      </c>
      <c r="Q7" s="22" t="s">
        <v>21</v>
      </c>
    </row>
    <row r="8" spans="1:17" ht="21.75" customHeight="1" x14ac:dyDescent="0.25">
      <c r="A8" s="288"/>
      <c r="B8" s="45"/>
      <c r="C8" s="141"/>
      <c r="D8" s="78"/>
      <c r="E8" s="48"/>
      <c r="F8" s="39"/>
      <c r="G8" s="164"/>
      <c r="H8" s="48"/>
      <c r="I8" s="164"/>
      <c r="J8" s="48"/>
      <c r="K8" s="164"/>
      <c r="L8" s="228"/>
      <c r="M8" s="49"/>
      <c r="N8" s="15"/>
      <c r="O8" s="20"/>
      <c r="P8" s="21"/>
      <c r="Q8" s="22"/>
    </row>
    <row r="9" spans="1:17" ht="21.75" customHeight="1" thickBot="1" x14ac:dyDescent="0.3">
      <c r="A9" s="289"/>
      <c r="B9" s="93"/>
      <c r="C9" s="249"/>
      <c r="D9" s="249"/>
      <c r="E9" s="249"/>
      <c r="F9" s="249"/>
      <c r="G9" s="249"/>
      <c r="H9" s="249"/>
      <c r="I9" s="249">
        <f>SUM(I4:I8)</f>
        <v>1728</v>
      </c>
      <c r="J9" s="249"/>
      <c r="K9" s="249"/>
      <c r="L9" s="252"/>
      <c r="M9" s="249"/>
      <c r="N9" s="249"/>
      <c r="O9" s="114"/>
      <c r="P9" s="250"/>
      <c r="Q9" s="152"/>
    </row>
    <row r="10" spans="1:17" ht="21.75" customHeight="1" x14ac:dyDescent="0.25">
      <c r="A10" s="287" t="s">
        <v>41</v>
      </c>
      <c r="B10" s="42" t="s">
        <v>854</v>
      </c>
      <c r="C10" s="140">
        <v>43265</v>
      </c>
      <c r="D10" s="90" t="s">
        <v>55</v>
      </c>
      <c r="E10" s="62" t="s">
        <v>54</v>
      </c>
      <c r="F10" s="40" t="s">
        <v>855</v>
      </c>
      <c r="G10" s="248">
        <v>1320</v>
      </c>
      <c r="H10" s="41" t="s">
        <v>456</v>
      </c>
      <c r="I10" s="40">
        <v>432</v>
      </c>
      <c r="J10" s="40" t="s">
        <v>82</v>
      </c>
      <c r="K10" s="40"/>
      <c r="L10" s="90" t="s">
        <v>79</v>
      </c>
      <c r="M10" s="16"/>
      <c r="N10" s="16"/>
      <c r="O10" s="17" t="s">
        <v>961</v>
      </c>
      <c r="P10" s="18">
        <v>1</v>
      </c>
      <c r="Q10" s="19" t="s">
        <v>19</v>
      </c>
    </row>
    <row r="11" spans="1:17" ht="21.75" customHeight="1" x14ac:dyDescent="0.25">
      <c r="A11" s="288"/>
      <c r="B11" s="45" t="s">
        <v>105</v>
      </c>
      <c r="C11" s="58"/>
      <c r="D11" s="141"/>
      <c r="E11" s="79"/>
      <c r="F11" s="38"/>
      <c r="G11" s="164"/>
      <c r="H11" s="48"/>
      <c r="I11" s="164">
        <f>216+240</f>
        <v>456</v>
      </c>
      <c r="J11" s="48" t="s">
        <v>986</v>
      </c>
      <c r="K11" s="164"/>
      <c r="L11" s="57"/>
      <c r="M11" s="63"/>
      <c r="N11" s="63"/>
      <c r="O11" s="20" t="s">
        <v>962</v>
      </c>
      <c r="P11" s="21">
        <v>2</v>
      </c>
      <c r="Q11" s="22" t="s">
        <v>20</v>
      </c>
    </row>
    <row r="12" spans="1:17" ht="21.75" customHeight="1" x14ac:dyDescent="0.25">
      <c r="A12" s="288"/>
      <c r="B12" s="43" t="s">
        <v>1052</v>
      </c>
      <c r="C12" s="141">
        <v>43266</v>
      </c>
      <c r="D12" s="141" t="s">
        <v>55</v>
      </c>
      <c r="E12" s="79" t="s">
        <v>54</v>
      </c>
      <c r="F12" s="38" t="s">
        <v>1048</v>
      </c>
      <c r="G12" s="38">
        <v>912</v>
      </c>
      <c r="H12" s="60" t="s">
        <v>1061</v>
      </c>
      <c r="I12" s="164">
        <v>216</v>
      </c>
      <c r="J12" s="48" t="s">
        <v>84</v>
      </c>
      <c r="K12" s="164"/>
      <c r="L12" s="88" t="s">
        <v>1050</v>
      </c>
      <c r="M12" s="49"/>
      <c r="N12" s="49"/>
      <c r="O12" s="20" t="s">
        <v>963</v>
      </c>
      <c r="P12" s="21">
        <v>3</v>
      </c>
      <c r="Q12" s="22" t="s">
        <v>21</v>
      </c>
    </row>
    <row r="13" spans="1:17" ht="21.75" customHeight="1" x14ac:dyDescent="0.25">
      <c r="A13" s="288"/>
      <c r="B13" s="45" t="s">
        <v>1049</v>
      </c>
      <c r="C13" s="58"/>
      <c r="D13" s="141"/>
      <c r="E13" s="79"/>
      <c r="F13" s="38"/>
      <c r="G13" s="164"/>
      <c r="H13" s="48"/>
      <c r="I13" s="164">
        <v>216</v>
      </c>
      <c r="J13" s="48" t="s">
        <v>1054</v>
      </c>
      <c r="K13" s="164"/>
      <c r="L13" s="57"/>
      <c r="M13" s="49"/>
      <c r="N13" s="49"/>
      <c r="O13" s="20" t="s">
        <v>964</v>
      </c>
      <c r="P13" s="21">
        <v>4</v>
      </c>
      <c r="Q13" s="22" t="s">
        <v>21</v>
      </c>
    </row>
    <row r="14" spans="1:17" ht="21.75" customHeight="1" x14ac:dyDescent="0.25">
      <c r="A14" s="288"/>
      <c r="B14" s="43"/>
      <c r="C14" s="141"/>
      <c r="D14" s="141"/>
      <c r="E14" s="79"/>
      <c r="F14" s="38"/>
      <c r="G14" s="38"/>
      <c r="H14" s="60"/>
      <c r="I14" s="164"/>
      <c r="J14" s="48"/>
      <c r="K14" s="164"/>
      <c r="L14" s="88"/>
      <c r="M14" s="49"/>
      <c r="N14" s="49"/>
      <c r="O14" s="20"/>
      <c r="P14" s="21"/>
      <c r="Q14" s="22"/>
    </row>
    <row r="15" spans="1:17" ht="21.75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249"/>
      <c r="H15" s="249"/>
      <c r="I15" s="249">
        <f>SUM(I10:I14)</f>
        <v>1320</v>
      </c>
      <c r="J15" s="249"/>
      <c r="K15" s="249"/>
      <c r="L15" s="252"/>
      <c r="M15" s="249"/>
      <c r="N15" s="249"/>
      <c r="O15" s="114"/>
      <c r="P15" s="250"/>
      <c r="Q15" s="152"/>
    </row>
    <row r="16" spans="1:17" ht="21.75" customHeight="1" x14ac:dyDescent="0.25">
      <c r="A16" s="287" t="s">
        <v>42</v>
      </c>
      <c r="B16" s="42" t="s">
        <v>901</v>
      </c>
      <c r="C16" s="140">
        <v>43273</v>
      </c>
      <c r="D16" s="90" t="s">
        <v>59</v>
      </c>
      <c r="E16" s="62" t="s">
        <v>393</v>
      </c>
      <c r="F16" s="40" t="s">
        <v>899</v>
      </c>
      <c r="G16" s="248">
        <v>720</v>
      </c>
      <c r="H16" s="41" t="s">
        <v>900</v>
      </c>
      <c r="I16" s="40">
        <v>432</v>
      </c>
      <c r="J16" s="40" t="s">
        <v>77</v>
      </c>
      <c r="K16" s="40"/>
      <c r="L16" s="90" t="s">
        <v>61</v>
      </c>
      <c r="M16" s="16"/>
      <c r="N16" s="16"/>
      <c r="O16" s="17" t="s">
        <v>961</v>
      </c>
      <c r="P16" s="18">
        <v>1</v>
      </c>
      <c r="Q16" s="19" t="s">
        <v>19</v>
      </c>
    </row>
    <row r="17" spans="1:17" ht="21.75" customHeight="1" x14ac:dyDescent="0.25">
      <c r="A17" s="288"/>
      <c r="B17" s="45" t="s">
        <v>383</v>
      </c>
      <c r="C17" s="305" t="s">
        <v>35</v>
      </c>
      <c r="D17" s="306"/>
      <c r="E17" s="91"/>
      <c r="F17" s="58"/>
      <c r="G17" s="38"/>
      <c r="H17" s="48"/>
      <c r="I17" s="164">
        <v>288</v>
      </c>
      <c r="J17" s="164" t="s">
        <v>182</v>
      </c>
      <c r="K17" s="164"/>
      <c r="L17" s="51"/>
      <c r="M17" s="15"/>
      <c r="N17" s="15"/>
      <c r="O17" s="20" t="s">
        <v>962</v>
      </c>
      <c r="P17" s="21">
        <v>2</v>
      </c>
      <c r="Q17" s="22" t="s">
        <v>20</v>
      </c>
    </row>
    <row r="18" spans="1:17" ht="21.75" customHeight="1" x14ac:dyDescent="0.25">
      <c r="A18" s="288"/>
      <c r="B18" s="45" t="s">
        <v>1035</v>
      </c>
      <c r="C18" s="141">
        <v>43283</v>
      </c>
      <c r="D18" s="91" t="s">
        <v>59</v>
      </c>
      <c r="E18" s="137" t="s">
        <v>393</v>
      </c>
      <c r="F18" s="38" t="s">
        <v>899</v>
      </c>
      <c r="G18" s="89">
        <v>216</v>
      </c>
      <c r="H18" s="48" t="s">
        <v>900</v>
      </c>
      <c r="I18" s="164">
        <v>216</v>
      </c>
      <c r="J18" s="164" t="s">
        <v>84</v>
      </c>
      <c r="K18" s="164"/>
      <c r="L18" s="51" t="s">
        <v>81</v>
      </c>
      <c r="M18" s="15"/>
      <c r="N18" s="15"/>
      <c r="O18" s="20" t="s">
        <v>963</v>
      </c>
      <c r="P18" s="21">
        <v>3</v>
      </c>
      <c r="Q18" s="22" t="s">
        <v>21</v>
      </c>
    </row>
    <row r="19" spans="1:17" ht="21.75" customHeight="1" x14ac:dyDescent="0.25">
      <c r="A19" s="288"/>
      <c r="B19" s="45" t="s">
        <v>1036</v>
      </c>
      <c r="C19" s="141">
        <v>43283</v>
      </c>
      <c r="D19" s="91" t="s">
        <v>59</v>
      </c>
      <c r="E19" s="58" t="s">
        <v>393</v>
      </c>
      <c r="F19" s="39" t="s">
        <v>1037</v>
      </c>
      <c r="G19" s="89">
        <v>348</v>
      </c>
      <c r="H19" s="79" t="s">
        <v>900</v>
      </c>
      <c r="I19" s="164">
        <v>348</v>
      </c>
      <c r="J19" s="164" t="s">
        <v>77</v>
      </c>
      <c r="K19" s="164"/>
      <c r="L19" s="44" t="s">
        <v>1039</v>
      </c>
      <c r="M19" s="49"/>
      <c r="N19" s="49"/>
      <c r="O19" s="20"/>
      <c r="P19" s="21"/>
      <c r="Q19" s="22"/>
    </row>
    <row r="20" spans="1:17" ht="21.75" customHeight="1" x14ac:dyDescent="0.25">
      <c r="A20" s="288"/>
      <c r="B20" s="43" t="s">
        <v>1038</v>
      </c>
      <c r="C20" s="141">
        <v>43296</v>
      </c>
      <c r="D20" s="91" t="s">
        <v>988</v>
      </c>
      <c r="E20" s="58" t="s">
        <v>393</v>
      </c>
      <c r="F20" s="38" t="s">
        <v>508</v>
      </c>
      <c r="G20" s="105">
        <v>804</v>
      </c>
      <c r="H20" s="60" t="s">
        <v>395</v>
      </c>
      <c r="I20" s="38">
        <v>192</v>
      </c>
      <c r="J20" s="38" t="s">
        <v>84</v>
      </c>
      <c r="K20" s="38"/>
      <c r="L20" s="91" t="s">
        <v>1039</v>
      </c>
      <c r="M20" s="49"/>
      <c r="N20" s="49"/>
      <c r="O20" s="20" t="s">
        <v>964</v>
      </c>
      <c r="P20" s="21">
        <v>4</v>
      </c>
      <c r="Q20" s="22" t="s">
        <v>21</v>
      </c>
    </row>
    <row r="21" spans="1:17" ht="21.75" customHeight="1" x14ac:dyDescent="0.25">
      <c r="A21" s="288"/>
      <c r="B21" s="45" t="s">
        <v>1040</v>
      </c>
      <c r="C21" s="305" t="s">
        <v>35</v>
      </c>
      <c r="D21" s="306"/>
      <c r="E21" s="58"/>
      <c r="F21" s="38"/>
      <c r="G21" s="89"/>
      <c r="H21" s="48"/>
      <c r="I21" s="164"/>
      <c r="J21" s="164"/>
      <c r="K21" s="164"/>
      <c r="L21" s="51"/>
      <c r="M21" s="49"/>
      <c r="N21" s="49"/>
      <c r="O21" s="124"/>
      <c r="P21" s="50"/>
      <c r="Q21" s="153"/>
    </row>
    <row r="22" spans="1:17" ht="21.75" customHeight="1" thickBot="1" x14ac:dyDescent="0.3">
      <c r="A22" s="289"/>
      <c r="B22" s="93" t="s">
        <v>64</v>
      </c>
      <c r="C22" s="290" t="s">
        <v>98</v>
      </c>
      <c r="D22" s="291"/>
      <c r="E22" s="291"/>
      <c r="F22" s="292"/>
      <c r="G22" s="249"/>
      <c r="H22" s="249"/>
      <c r="I22" s="249">
        <f>SUM(I16:I20)</f>
        <v>1476</v>
      </c>
      <c r="J22" s="249"/>
      <c r="K22" s="249"/>
      <c r="L22" s="252"/>
      <c r="M22" s="249"/>
      <c r="N22" s="249"/>
      <c r="O22" s="114"/>
      <c r="P22" s="250"/>
      <c r="Q22" s="152"/>
    </row>
    <row r="23" spans="1:17" ht="21.75" customHeight="1" x14ac:dyDescent="0.25">
      <c r="A23" s="287" t="s">
        <v>43</v>
      </c>
      <c r="B23" s="42" t="s">
        <v>905</v>
      </c>
      <c r="C23" s="140">
        <v>43276</v>
      </c>
      <c r="D23" s="90" t="s">
        <v>93</v>
      </c>
      <c r="E23" s="41" t="s">
        <v>34</v>
      </c>
      <c r="F23" s="40" t="s">
        <v>276</v>
      </c>
      <c r="G23" s="155">
        <v>1008</v>
      </c>
      <c r="H23" s="81" t="s">
        <v>277</v>
      </c>
      <c r="I23" s="155">
        <f>216+144</f>
        <v>360</v>
      </c>
      <c r="J23" s="81" t="s">
        <v>525</v>
      </c>
      <c r="K23" s="155"/>
      <c r="L23" s="53" t="s">
        <v>61</v>
      </c>
      <c r="M23" s="16"/>
      <c r="N23" s="16"/>
      <c r="O23" s="17" t="s">
        <v>961</v>
      </c>
      <c r="P23" s="18">
        <v>1</v>
      </c>
      <c r="Q23" s="19" t="s">
        <v>19</v>
      </c>
    </row>
    <row r="24" spans="1:17" ht="21.75" customHeight="1" x14ac:dyDescent="0.25">
      <c r="A24" s="288"/>
      <c r="B24" s="45" t="s">
        <v>209</v>
      </c>
      <c r="C24" s="305" t="s">
        <v>35</v>
      </c>
      <c r="D24" s="306"/>
      <c r="E24" s="60"/>
      <c r="F24" s="38"/>
      <c r="G24" s="164"/>
      <c r="H24" s="48"/>
      <c r="I24" s="164"/>
      <c r="J24" s="48"/>
      <c r="K24" s="164"/>
      <c r="L24" s="57"/>
      <c r="M24" s="15"/>
      <c r="N24" s="15"/>
      <c r="O24" s="20"/>
      <c r="P24" s="21"/>
      <c r="Q24" s="22"/>
    </row>
    <row r="25" spans="1:17" ht="21.75" customHeight="1" x14ac:dyDescent="0.25">
      <c r="A25" s="288"/>
      <c r="B25" s="43" t="s">
        <v>1041</v>
      </c>
      <c r="C25" s="141">
        <v>43276</v>
      </c>
      <c r="D25" s="91" t="s">
        <v>1019</v>
      </c>
      <c r="E25" s="253" t="s">
        <v>1047</v>
      </c>
      <c r="F25" s="38" t="s">
        <v>1042</v>
      </c>
      <c r="G25" s="105">
        <v>492</v>
      </c>
      <c r="H25" s="60" t="s">
        <v>1043</v>
      </c>
      <c r="I25" s="38">
        <v>492</v>
      </c>
      <c r="J25" s="38" t="s">
        <v>77</v>
      </c>
      <c r="K25" s="38"/>
      <c r="L25" s="44" t="s">
        <v>61</v>
      </c>
      <c r="M25" s="49"/>
      <c r="N25" s="49"/>
      <c r="O25" s="20" t="s">
        <v>962</v>
      </c>
      <c r="P25" s="21">
        <v>2</v>
      </c>
      <c r="Q25" s="22" t="s">
        <v>20</v>
      </c>
    </row>
    <row r="26" spans="1:17" ht="21.75" customHeight="1" x14ac:dyDescent="0.25">
      <c r="A26" s="288"/>
      <c r="B26" s="45"/>
      <c r="C26" s="305" t="s">
        <v>1021</v>
      </c>
      <c r="D26" s="306"/>
      <c r="E26" s="48"/>
      <c r="F26" s="39"/>
      <c r="G26" s="39"/>
      <c r="H26" s="79"/>
      <c r="I26" s="38"/>
      <c r="J26" s="60"/>
      <c r="K26" s="38"/>
      <c r="L26" s="44"/>
      <c r="M26" s="49"/>
      <c r="N26" s="49"/>
      <c r="O26" s="20"/>
      <c r="P26" s="21"/>
      <c r="Q26" s="22"/>
    </row>
    <row r="27" spans="1:17" ht="21.75" customHeight="1" x14ac:dyDescent="0.25">
      <c r="A27" s="288"/>
      <c r="B27" s="43" t="s">
        <v>1044</v>
      </c>
      <c r="C27" s="141">
        <v>43303</v>
      </c>
      <c r="D27" s="91" t="s">
        <v>1045</v>
      </c>
      <c r="E27" s="253" t="s">
        <v>1047</v>
      </c>
      <c r="F27" s="38" t="s">
        <v>1042</v>
      </c>
      <c r="G27" s="105">
        <v>636</v>
      </c>
      <c r="H27" s="60" t="s">
        <v>1043</v>
      </c>
      <c r="I27" s="38">
        <v>432</v>
      </c>
      <c r="J27" s="38" t="s">
        <v>77</v>
      </c>
      <c r="K27" s="164"/>
      <c r="L27" s="44" t="s">
        <v>81</v>
      </c>
      <c r="M27" s="49"/>
      <c r="N27" s="49"/>
      <c r="O27" s="20" t="s">
        <v>963</v>
      </c>
      <c r="P27" s="21">
        <v>3</v>
      </c>
      <c r="Q27" s="22" t="s">
        <v>21</v>
      </c>
    </row>
    <row r="28" spans="1:17" ht="21.75" customHeight="1" x14ac:dyDescent="0.25">
      <c r="A28" s="288"/>
      <c r="B28" s="45" t="s">
        <v>1046</v>
      </c>
      <c r="C28" s="305" t="s">
        <v>1021</v>
      </c>
      <c r="D28" s="306"/>
      <c r="E28" s="48"/>
      <c r="F28" s="39"/>
      <c r="G28" s="39"/>
      <c r="H28" s="79"/>
      <c r="I28" s="164">
        <v>204</v>
      </c>
      <c r="J28" s="48" t="s">
        <v>182</v>
      </c>
      <c r="K28" s="164"/>
      <c r="L28" s="57"/>
      <c r="M28" s="49"/>
      <c r="N28" s="49"/>
      <c r="O28" s="20"/>
      <c r="P28" s="21"/>
      <c r="Q28" s="22"/>
    </row>
    <row r="29" spans="1:17" ht="21.75" customHeight="1" x14ac:dyDescent="0.25">
      <c r="A29" s="288"/>
      <c r="B29" s="45" t="s">
        <v>1055</v>
      </c>
      <c r="C29" s="141">
        <v>43303</v>
      </c>
      <c r="D29" s="91" t="s">
        <v>988</v>
      </c>
      <c r="E29" s="48" t="s">
        <v>34</v>
      </c>
      <c r="F29" s="39" t="s">
        <v>276</v>
      </c>
      <c r="G29" s="39">
        <v>600</v>
      </c>
      <c r="H29" s="79" t="s">
        <v>277</v>
      </c>
      <c r="I29" s="164">
        <v>216</v>
      </c>
      <c r="J29" s="48" t="s">
        <v>1056</v>
      </c>
      <c r="K29" s="164"/>
      <c r="L29" s="57" t="s">
        <v>1057</v>
      </c>
      <c r="M29" s="49"/>
      <c r="N29" s="49"/>
      <c r="O29" s="20" t="s">
        <v>964</v>
      </c>
      <c r="P29" s="21">
        <v>4</v>
      </c>
      <c r="Q29" s="22" t="s">
        <v>21</v>
      </c>
    </row>
    <row r="30" spans="1:17" ht="21.75" customHeight="1" x14ac:dyDescent="0.25">
      <c r="A30" s="288"/>
      <c r="B30" s="45" t="s">
        <v>383</v>
      </c>
      <c r="C30" s="305" t="s">
        <v>1021</v>
      </c>
      <c r="D30" s="306"/>
      <c r="E30" s="48"/>
      <c r="F30" s="39"/>
      <c r="G30" s="39"/>
      <c r="H30" s="79"/>
      <c r="I30" s="164"/>
      <c r="J30" s="48"/>
      <c r="K30" s="164"/>
      <c r="L30" s="57"/>
      <c r="M30" s="49"/>
      <c r="N30" s="49"/>
      <c r="O30" s="124"/>
      <c r="P30" s="50"/>
      <c r="Q30" s="153"/>
    </row>
    <row r="31" spans="1:17" ht="24" customHeight="1" thickBot="1" x14ac:dyDescent="0.3">
      <c r="A31" s="289"/>
      <c r="B31" s="93" t="s">
        <v>64</v>
      </c>
      <c r="C31" s="290" t="s">
        <v>98</v>
      </c>
      <c r="D31" s="291"/>
      <c r="E31" s="291"/>
      <c r="F31" s="292"/>
      <c r="G31" s="249"/>
      <c r="H31" s="249"/>
      <c r="I31" s="249">
        <f>SUM(I23:I30)</f>
        <v>1704</v>
      </c>
      <c r="J31" s="249"/>
      <c r="K31" s="249"/>
      <c r="L31" s="252"/>
      <c r="M31" s="249"/>
      <c r="N31" s="249"/>
      <c r="O31" s="114"/>
      <c r="P31" s="250"/>
      <c r="Q31" s="152"/>
    </row>
    <row r="32" spans="1:17" ht="25.5" customHeight="1" thickBot="1" x14ac:dyDescent="0.3">
      <c r="A32" s="37"/>
      <c r="B32" s="64"/>
      <c r="C32" s="65"/>
      <c r="D32" s="66"/>
      <c r="E32" s="67"/>
      <c r="F32" s="68"/>
      <c r="G32" s="67"/>
      <c r="H32" s="67"/>
      <c r="I32" s="69">
        <f>SUM(I31,I22,I15,I9)</f>
        <v>6228</v>
      </c>
      <c r="J32" s="70"/>
      <c r="K32" s="70"/>
      <c r="L32" s="65"/>
      <c r="M32" s="71"/>
      <c r="N32" s="69"/>
      <c r="O32" s="70"/>
      <c r="P32" s="70"/>
      <c r="Q32" s="72"/>
    </row>
    <row r="33" spans="1:17" ht="17.25" customHeight="1" thickTop="1" x14ac:dyDescent="0.3">
      <c r="A33" s="23" t="s">
        <v>22</v>
      </c>
      <c r="B33" s="24"/>
      <c r="C33" s="25"/>
      <c r="D33" s="24"/>
      <c r="E33" s="24"/>
      <c r="F33" s="26"/>
      <c r="G33" s="27"/>
      <c r="H33" s="28" t="s">
        <v>23</v>
      </c>
      <c r="I33" s="29"/>
      <c r="J33" s="29"/>
      <c r="K33" s="29"/>
      <c r="L33" s="30"/>
      <c r="M33" s="29"/>
      <c r="N33" s="29"/>
      <c r="O33" s="29"/>
      <c r="P33" s="251" t="s">
        <v>24</v>
      </c>
      <c r="Q33" s="31"/>
    </row>
    <row r="34" spans="1:17" ht="16.5" x14ac:dyDescent="0.3">
      <c r="A34" s="1"/>
      <c r="B34" s="32">
        <v>1</v>
      </c>
      <c r="C34" s="33"/>
      <c r="D34" s="32"/>
      <c r="E34" s="32"/>
      <c r="F34" s="304" t="s">
        <v>25</v>
      </c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</row>
    <row r="35" spans="1:17" ht="16.5" x14ac:dyDescent="0.3">
      <c r="A35" s="1"/>
      <c r="B35" s="297" t="s">
        <v>26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</row>
    <row r="36" spans="1:17" ht="16.5" x14ac:dyDescent="0.3">
      <c r="A36" s="1"/>
      <c r="B36" s="34">
        <v>2</v>
      </c>
      <c r="C36" s="35"/>
      <c r="D36" s="36"/>
      <c r="E36" s="36"/>
      <c r="F36" s="298" t="s">
        <v>27</v>
      </c>
      <c r="G36" s="298"/>
      <c r="H36" s="298"/>
      <c r="I36" s="298"/>
      <c r="J36" s="298"/>
      <c r="K36" s="298"/>
      <c r="L36" s="298"/>
      <c r="M36" s="298"/>
      <c r="N36" s="298"/>
      <c r="O36" s="298"/>
      <c r="P36" s="299" t="s">
        <v>28</v>
      </c>
      <c r="Q36" s="300"/>
    </row>
    <row r="37" spans="1:17" ht="16.5" x14ac:dyDescent="0.3">
      <c r="A37" s="1"/>
      <c r="B37" s="297" t="s">
        <v>29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1"/>
      <c r="Q37" s="1"/>
    </row>
  </sheetData>
  <mergeCells count="23">
    <mergeCell ref="A4:A9"/>
    <mergeCell ref="A1:Q1"/>
    <mergeCell ref="A2:B2"/>
    <mergeCell ref="C2:E2"/>
    <mergeCell ref="F2:G2"/>
    <mergeCell ref="O2:Q2"/>
    <mergeCell ref="A10:A15"/>
    <mergeCell ref="C15:F15"/>
    <mergeCell ref="A16:A22"/>
    <mergeCell ref="C22:F22"/>
    <mergeCell ref="A23:A31"/>
    <mergeCell ref="C24:D24"/>
    <mergeCell ref="C31:F31"/>
    <mergeCell ref="C17:D17"/>
    <mergeCell ref="C28:D28"/>
    <mergeCell ref="C26:D26"/>
    <mergeCell ref="C30:D30"/>
    <mergeCell ref="C21:D21"/>
    <mergeCell ref="F34:Q34"/>
    <mergeCell ref="B35:Q35"/>
    <mergeCell ref="F36:O36"/>
    <mergeCell ref="P36:Q36"/>
    <mergeCell ref="B37:O37"/>
  </mergeCells>
  <phoneticPr fontId="40" type="noConversion"/>
  <pageMargins left="0" right="0" top="0" bottom="0" header="0" footer="0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6"/>
  <sheetViews>
    <sheetView topLeftCell="A5" zoomScale="109" zoomScaleNormal="109" workbookViewId="0">
      <selection activeCell="B10" sqref="B10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43260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43262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1" customHeight="1" x14ac:dyDescent="0.25">
      <c r="A4" s="307" t="s">
        <v>44</v>
      </c>
      <c r="B4" s="42" t="s">
        <v>867</v>
      </c>
      <c r="C4" s="121">
        <v>43294</v>
      </c>
      <c r="D4" s="109" t="s">
        <v>93</v>
      </c>
      <c r="E4" s="122" t="s">
        <v>54</v>
      </c>
      <c r="F4" s="108" t="s">
        <v>868</v>
      </c>
      <c r="G4" s="40">
        <v>2316</v>
      </c>
      <c r="H4" s="41" t="s">
        <v>139</v>
      </c>
      <c r="I4" s="155">
        <v>384</v>
      </c>
      <c r="J4" s="155" t="s">
        <v>283</v>
      </c>
      <c r="K4" s="155"/>
      <c r="L4" s="123" t="s">
        <v>80</v>
      </c>
      <c r="M4" s="16"/>
      <c r="N4" s="16"/>
      <c r="O4" s="17" t="s">
        <v>961</v>
      </c>
      <c r="P4" s="18">
        <v>1</v>
      </c>
      <c r="Q4" s="19" t="s">
        <v>19</v>
      </c>
    </row>
    <row r="5" spans="1:28" ht="21" customHeight="1" x14ac:dyDescent="0.25">
      <c r="A5" s="308"/>
      <c r="B5" s="45" t="s">
        <v>498</v>
      </c>
      <c r="C5" s="117"/>
      <c r="D5" s="113"/>
      <c r="E5" s="102"/>
      <c r="F5" s="101"/>
      <c r="G5" s="39"/>
      <c r="H5" s="79"/>
      <c r="I5" s="164">
        <v>204</v>
      </c>
      <c r="J5" s="164" t="s">
        <v>358</v>
      </c>
      <c r="K5" s="164"/>
      <c r="L5" s="51"/>
      <c r="M5" s="87"/>
      <c r="N5" s="87"/>
      <c r="O5" s="20" t="s">
        <v>962</v>
      </c>
      <c r="P5" s="21">
        <v>2</v>
      </c>
      <c r="Q5" s="22" t="s">
        <v>20</v>
      </c>
    </row>
    <row r="6" spans="1:28" ht="21" customHeight="1" x14ac:dyDescent="0.25">
      <c r="A6" s="308"/>
      <c r="B6" s="45" t="s">
        <v>991</v>
      </c>
      <c r="C6" s="117">
        <v>43269</v>
      </c>
      <c r="D6" s="113" t="s">
        <v>59</v>
      </c>
      <c r="E6" s="102" t="s">
        <v>54</v>
      </c>
      <c r="F6" s="101" t="s">
        <v>989</v>
      </c>
      <c r="G6" s="39">
        <v>924</v>
      </c>
      <c r="H6" s="79" t="s">
        <v>990</v>
      </c>
      <c r="I6" s="164">
        <v>432</v>
      </c>
      <c r="J6" s="164" t="s">
        <v>77</v>
      </c>
      <c r="K6" s="164"/>
      <c r="L6" s="51" t="s">
        <v>984</v>
      </c>
      <c r="M6" s="49"/>
      <c r="N6" s="49"/>
      <c r="O6" s="20" t="s">
        <v>963</v>
      </c>
      <c r="P6" s="21">
        <v>3</v>
      </c>
      <c r="Q6" s="22" t="s">
        <v>21</v>
      </c>
    </row>
    <row r="7" spans="1:28" ht="21" customHeight="1" x14ac:dyDescent="0.25">
      <c r="A7" s="308"/>
      <c r="B7" s="45" t="s">
        <v>97</v>
      </c>
      <c r="C7" s="117"/>
      <c r="D7" s="113"/>
      <c r="E7" s="102"/>
      <c r="F7" s="101"/>
      <c r="G7" s="39"/>
      <c r="H7" s="79"/>
      <c r="I7" s="164">
        <f>276+216</f>
        <v>492</v>
      </c>
      <c r="J7" s="164" t="s">
        <v>82</v>
      </c>
      <c r="K7" s="164"/>
      <c r="L7" s="51"/>
      <c r="M7" s="49"/>
      <c r="N7" s="49"/>
      <c r="O7" s="20" t="s">
        <v>964</v>
      </c>
      <c r="P7" s="21">
        <v>4</v>
      </c>
      <c r="Q7" s="22" t="s">
        <v>21</v>
      </c>
    </row>
    <row r="8" spans="1:28" ht="21" customHeight="1" x14ac:dyDescent="0.25">
      <c r="A8" s="308"/>
      <c r="B8" s="45"/>
      <c r="C8" s="117"/>
      <c r="D8" s="113"/>
      <c r="E8" s="102"/>
      <c r="F8" s="101"/>
      <c r="G8" s="39"/>
      <c r="H8" s="79"/>
      <c r="I8" s="164"/>
      <c r="J8" s="164"/>
      <c r="K8" s="164"/>
      <c r="L8" s="51"/>
      <c r="M8" s="49"/>
      <c r="N8" s="49"/>
      <c r="O8" s="20"/>
      <c r="P8" s="21"/>
      <c r="Q8" s="22"/>
    </row>
    <row r="9" spans="1:28" ht="21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249"/>
      <c r="H9" s="249"/>
      <c r="I9" s="249">
        <f>SUM(I4:I8)</f>
        <v>1512</v>
      </c>
      <c r="J9" s="249"/>
      <c r="K9" s="249"/>
      <c r="L9" s="252"/>
      <c r="M9" s="249"/>
      <c r="N9" s="249"/>
      <c r="O9" s="114"/>
      <c r="P9" s="250"/>
      <c r="Q9" s="250"/>
    </row>
    <row r="10" spans="1:28" ht="21" customHeight="1" x14ac:dyDescent="0.25">
      <c r="A10" s="287" t="s">
        <v>45</v>
      </c>
      <c r="B10" s="42" t="s">
        <v>992</v>
      </c>
      <c r="C10" s="121">
        <v>43271</v>
      </c>
      <c r="D10" s="109" t="s">
        <v>59</v>
      </c>
      <c r="E10" s="122" t="s">
        <v>54</v>
      </c>
      <c r="F10" s="108" t="s">
        <v>911</v>
      </c>
      <c r="G10" s="40">
        <v>708</v>
      </c>
      <c r="H10" s="41" t="s">
        <v>58</v>
      </c>
      <c r="I10" s="155">
        <v>432</v>
      </c>
      <c r="J10" s="155" t="s">
        <v>77</v>
      </c>
      <c r="K10" s="155"/>
      <c r="L10" s="123" t="s">
        <v>67</v>
      </c>
      <c r="M10" s="95"/>
      <c r="N10" s="16"/>
      <c r="O10" s="17" t="s">
        <v>961</v>
      </c>
      <c r="P10" s="18">
        <v>1</v>
      </c>
      <c r="Q10" s="19" t="s">
        <v>19</v>
      </c>
    </row>
    <row r="11" spans="1:28" ht="21" customHeight="1" x14ac:dyDescent="0.25">
      <c r="A11" s="288"/>
      <c r="B11" s="45"/>
      <c r="C11" s="112"/>
      <c r="D11" s="110"/>
      <c r="E11" s="102"/>
      <c r="F11" s="101"/>
      <c r="G11" s="39"/>
      <c r="H11" s="79"/>
      <c r="I11" s="164">
        <v>276</v>
      </c>
      <c r="J11" s="164" t="s">
        <v>182</v>
      </c>
      <c r="K11" s="164"/>
      <c r="L11" s="51"/>
      <c r="M11" s="15"/>
      <c r="N11" s="63"/>
      <c r="O11" s="20" t="s">
        <v>962</v>
      </c>
      <c r="P11" s="21">
        <v>2</v>
      </c>
      <c r="Q11" s="22" t="s">
        <v>20</v>
      </c>
    </row>
    <row r="12" spans="1:28" ht="21" customHeight="1" x14ac:dyDescent="0.25">
      <c r="A12" s="288"/>
      <c r="B12" s="45" t="s">
        <v>993</v>
      </c>
      <c r="C12" s="112">
        <v>43271</v>
      </c>
      <c r="D12" s="110" t="s">
        <v>59</v>
      </c>
      <c r="E12" s="102" t="s">
        <v>54</v>
      </c>
      <c r="F12" s="101" t="s">
        <v>994</v>
      </c>
      <c r="G12" s="39">
        <v>144</v>
      </c>
      <c r="H12" s="79" t="s">
        <v>58</v>
      </c>
      <c r="I12" s="164">
        <v>144</v>
      </c>
      <c r="J12" s="164" t="s">
        <v>84</v>
      </c>
      <c r="K12" s="164"/>
      <c r="L12" s="51" t="s">
        <v>79</v>
      </c>
      <c r="M12" s="83"/>
      <c r="N12" s="83"/>
      <c r="O12" s="20"/>
      <c r="P12" s="21"/>
      <c r="Q12" s="22"/>
    </row>
    <row r="13" spans="1:28" ht="21" customHeight="1" x14ac:dyDescent="0.25">
      <c r="A13" s="288"/>
      <c r="B13" s="45" t="s">
        <v>995</v>
      </c>
      <c r="C13" s="112">
        <v>43271</v>
      </c>
      <c r="D13" s="110" t="s">
        <v>59</v>
      </c>
      <c r="E13" s="102" t="s">
        <v>54</v>
      </c>
      <c r="F13" s="101" t="s">
        <v>996</v>
      </c>
      <c r="G13" s="39">
        <v>540</v>
      </c>
      <c r="H13" s="79" t="s">
        <v>58</v>
      </c>
      <c r="I13" s="164">
        <v>432</v>
      </c>
      <c r="J13" s="164" t="s">
        <v>77</v>
      </c>
      <c r="K13" s="164"/>
      <c r="L13" s="51" t="s">
        <v>67</v>
      </c>
      <c r="M13" s="15"/>
      <c r="N13" s="15"/>
      <c r="O13" s="20" t="s">
        <v>963</v>
      </c>
      <c r="P13" s="21">
        <v>3</v>
      </c>
      <c r="Q13" s="22" t="s">
        <v>21</v>
      </c>
    </row>
    <row r="14" spans="1:28" ht="21" customHeight="1" x14ac:dyDescent="0.25">
      <c r="A14" s="288"/>
      <c r="B14" s="45"/>
      <c r="C14" s="112"/>
      <c r="D14" s="110"/>
      <c r="E14" s="102"/>
      <c r="F14" s="101"/>
      <c r="G14" s="39"/>
      <c r="H14" s="79"/>
      <c r="I14" s="164">
        <v>108</v>
      </c>
      <c r="J14" s="164" t="s">
        <v>182</v>
      </c>
      <c r="K14" s="164"/>
      <c r="L14" s="51"/>
      <c r="M14" s="15"/>
      <c r="N14" s="15"/>
      <c r="O14" s="20"/>
      <c r="P14" s="21"/>
      <c r="Q14" s="22"/>
    </row>
    <row r="15" spans="1:28" ht="21" customHeight="1" x14ac:dyDescent="0.25">
      <c r="A15" s="288"/>
      <c r="B15" s="45"/>
      <c r="C15" s="112"/>
      <c r="D15" s="110"/>
      <c r="E15" s="102"/>
      <c r="F15" s="101"/>
      <c r="G15" s="39"/>
      <c r="H15" s="79"/>
      <c r="I15" s="164"/>
      <c r="J15" s="164"/>
      <c r="K15" s="164"/>
      <c r="L15" s="51"/>
      <c r="M15" s="49"/>
      <c r="N15" s="49"/>
      <c r="O15" s="20" t="s">
        <v>964</v>
      </c>
      <c r="P15" s="21">
        <v>4</v>
      </c>
      <c r="Q15" s="22" t="s">
        <v>21</v>
      </c>
    </row>
    <row r="16" spans="1:28" ht="21" customHeight="1" x14ac:dyDescent="0.25">
      <c r="A16" s="288"/>
      <c r="B16" s="45"/>
      <c r="C16" s="112"/>
      <c r="D16" s="110"/>
      <c r="E16" s="221"/>
      <c r="F16" s="222"/>
      <c r="G16" s="164"/>
      <c r="H16" s="48"/>
      <c r="I16" s="164"/>
      <c r="J16" s="164"/>
      <c r="K16" s="164"/>
      <c r="L16" s="51"/>
      <c r="M16" s="49"/>
      <c r="N16" s="49"/>
      <c r="O16" s="20"/>
      <c r="P16" s="21"/>
      <c r="Q16" s="22"/>
    </row>
    <row r="17" spans="1:17" ht="21" customHeight="1" thickBot="1" x14ac:dyDescent="0.3">
      <c r="A17" s="289"/>
      <c r="B17" s="93"/>
      <c r="C17" s="249"/>
      <c r="D17" s="249"/>
      <c r="E17" s="249"/>
      <c r="F17" s="249"/>
      <c r="G17" s="249"/>
      <c r="H17" s="249"/>
      <c r="I17" s="249">
        <f>SUM(I10:I16)</f>
        <v>1392</v>
      </c>
      <c r="J17" s="249"/>
      <c r="K17" s="249"/>
      <c r="L17" s="252"/>
      <c r="M17" s="249"/>
      <c r="N17" s="249"/>
      <c r="O17" s="114"/>
      <c r="P17" s="249"/>
      <c r="Q17" s="249"/>
    </row>
    <row r="18" spans="1:17" ht="21" customHeight="1" x14ac:dyDescent="0.25">
      <c r="A18" s="287" t="s">
        <v>46</v>
      </c>
      <c r="B18" s="42" t="s">
        <v>921</v>
      </c>
      <c r="C18" s="140">
        <v>43250</v>
      </c>
      <c r="D18" s="77" t="s">
        <v>59</v>
      </c>
      <c r="E18" s="41" t="s">
        <v>143</v>
      </c>
      <c r="F18" s="40" t="s">
        <v>920</v>
      </c>
      <c r="G18" s="40">
        <v>828</v>
      </c>
      <c r="H18" s="41" t="s">
        <v>918</v>
      </c>
      <c r="I18" s="155">
        <v>432</v>
      </c>
      <c r="J18" s="155" t="s">
        <v>77</v>
      </c>
      <c r="K18" s="155"/>
      <c r="L18" s="97" t="s">
        <v>80</v>
      </c>
      <c r="M18" s="95"/>
      <c r="N18" s="95"/>
      <c r="O18" s="17" t="s">
        <v>961</v>
      </c>
      <c r="P18" s="18">
        <v>1</v>
      </c>
      <c r="Q18" s="19" t="s">
        <v>19</v>
      </c>
    </row>
    <row r="19" spans="1:17" ht="21" customHeight="1" x14ac:dyDescent="0.25">
      <c r="A19" s="288"/>
      <c r="B19" s="45" t="s">
        <v>97</v>
      </c>
      <c r="C19" s="131"/>
      <c r="D19" s="78"/>
      <c r="E19" s="60"/>
      <c r="F19" s="38"/>
      <c r="G19" s="38"/>
      <c r="H19" s="48"/>
      <c r="I19" s="164">
        <f>216+180</f>
        <v>396</v>
      </c>
      <c r="J19" s="164" t="s">
        <v>82</v>
      </c>
      <c r="K19" s="164"/>
      <c r="L19" s="119"/>
      <c r="M19" s="49"/>
      <c r="N19" s="15"/>
      <c r="O19" s="20" t="s">
        <v>962</v>
      </c>
      <c r="P19" s="21">
        <v>2</v>
      </c>
      <c r="Q19" s="22" t="s">
        <v>20</v>
      </c>
    </row>
    <row r="20" spans="1:17" ht="21" customHeight="1" x14ac:dyDescent="0.25">
      <c r="A20" s="288"/>
      <c r="B20" s="43" t="s">
        <v>997</v>
      </c>
      <c r="C20" s="141">
        <v>43281</v>
      </c>
      <c r="D20" s="78" t="s">
        <v>59</v>
      </c>
      <c r="E20" s="60" t="s">
        <v>143</v>
      </c>
      <c r="F20" s="38" t="s">
        <v>920</v>
      </c>
      <c r="G20" s="38">
        <v>216</v>
      </c>
      <c r="H20" s="60" t="s">
        <v>918</v>
      </c>
      <c r="I20" s="38">
        <v>216</v>
      </c>
      <c r="J20" s="38" t="s">
        <v>84</v>
      </c>
      <c r="K20" s="38"/>
      <c r="L20" s="99" t="s">
        <v>80</v>
      </c>
      <c r="M20" s="49"/>
      <c r="N20" s="15"/>
      <c r="O20" s="20" t="s">
        <v>963</v>
      </c>
      <c r="P20" s="21">
        <v>3</v>
      </c>
      <c r="Q20" s="22" t="s">
        <v>21</v>
      </c>
    </row>
    <row r="21" spans="1:17" ht="21" customHeight="1" x14ac:dyDescent="0.25">
      <c r="A21" s="288"/>
      <c r="B21" s="43" t="s">
        <v>998</v>
      </c>
      <c r="C21" s="131">
        <v>43309</v>
      </c>
      <c r="D21" s="78" t="s">
        <v>55</v>
      </c>
      <c r="E21" s="60" t="s">
        <v>143</v>
      </c>
      <c r="F21" s="38" t="s">
        <v>999</v>
      </c>
      <c r="G21" s="38">
        <v>1104</v>
      </c>
      <c r="H21" s="60" t="s">
        <v>918</v>
      </c>
      <c r="I21" s="164">
        <v>432</v>
      </c>
      <c r="J21" s="164" t="s">
        <v>77</v>
      </c>
      <c r="K21" s="164"/>
      <c r="L21" s="119" t="s">
        <v>80</v>
      </c>
      <c r="M21" s="49"/>
      <c r="N21" s="49"/>
      <c r="O21" s="20" t="s">
        <v>964</v>
      </c>
      <c r="P21" s="21">
        <v>4</v>
      </c>
      <c r="Q21" s="22" t="s">
        <v>21</v>
      </c>
    </row>
    <row r="22" spans="1:17" ht="21" customHeight="1" x14ac:dyDescent="0.25">
      <c r="A22" s="288"/>
      <c r="B22" s="43" t="s">
        <v>74</v>
      </c>
      <c r="C22" s="344" t="s">
        <v>35</v>
      </c>
      <c r="D22" s="345"/>
      <c r="E22" s="60"/>
      <c r="F22" s="38"/>
      <c r="G22" s="38"/>
      <c r="H22" s="60"/>
      <c r="I22" s="164"/>
      <c r="J22" s="164"/>
      <c r="K22" s="164"/>
      <c r="L22" s="99"/>
      <c r="M22" s="49"/>
      <c r="N22" s="59"/>
      <c r="O22" s="20"/>
      <c r="P22" s="21"/>
      <c r="Q22" s="22"/>
    </row>
    <row r="23" spans="1:17" ht="21" customHeight="1" x14ac:dyDescent="0.25">
      <c r="A23" s="288"/>
      <c r="B23" s="45"/>
      <c r="C23" s="242"/>
      <c r="D23" s="78"/>
      <c r="E23" s="60"/>
      <c r="F23" s="38"/>
      <c r="G23" s="164"/>
      <c r="H23" s="48"/>
      <c r="I23" s="164"/>
      <c r="J23" s="164"/>
      <c r="K23" s="164"/>
      <c r="L23" s="119"/>
      <c r="M23" s="49"/>
      <c r="N23" s="59"/>
      <c r="O23" s="124"/>
      <c r="P23" s="50"/>
      <c r="Q23" s="22"/>
    </row>
    <row r="24" spans="1:17" ht="21" customHeight="1" thickBot="1" x14ac:dyDescent="0.3">
      <c r="A24" s="289"/>
      <c r="B24" s="93" t="s">
        <v>64</v>
      </c>
      <c r="C24" s="290" t="s">
        <v>65</v>
      </c>
      <c r="D24" s="291"/>
      <c r="E24" s="291"/>
      <c r="F24" s="292"/>
      <c r="G24" s="249"/>
      <c r="H24" s="249"/>
      <c r="I24" s="249">
        <f>SUM(I18:I23)</f>
        <v>1476</v>
      </c>
      <c r="J24" s="249"/>
      <c r="K24" s="249"/>
      <c r="L24" s="80"/>
      <c r="M24" s="249"/>
      <c r="N24" s="249"/>
      <c r="O24" s="114"/>
      <c r="P24" s="249"/>
      <c r="Q24" s="250"/>
    </row>
    <row r="25" spans="1:17" ht="21" customHeight="1" x14ac:dyDescent="0.25">
      <c r="A25" s="310" t="s">
        <v>47</v>
      </c>
      <c r="B25" s="42" t="s">
        <v>925</v>
      </c>
      <c r="C25" s="62">
        <v>43299</v>
      </c>
      <c r="D25" s="77" t="s">
        <v>59</v>
      </c>
      <c r="E25" s="41" t="s">
        <v>69</v>
      </c>
      <c r="F25" s="108" t="s">
        <v>615</v>
      </c>
      <c r="G25" s="155">
        <v>636</v>
      </c>
      <c r="H25" s="81" t="s">
        <v>66</v>
      </c>
      <c r="I25" s="40">
        <f>636-216</f>
        <v>420</v>
      </c>
      <c r="J25" s="40" t="s">
        <v>1000</v>
      </c>
      <c r="K25" s="40"/>
      <c r="L25" s="97" t="s">
        <v>158</v>
      </c>
      <c r="M25" s="16"/>
      <c r="N25" s="16"/>
      <c r="O25" s="17" t="s">
        <v>961</v>
      </c>
      <c r="P25" s="18">
        <v>1</v>
      </c>
      <c r="Q25" s="19" t="s">
        <v>19</v>
      </c>
    </row>
    <row r="26" spans="1:17" ht="21" customHeight="1" x14ac:dyDescent="0.25">
      <c r="A26" s="311"/>
      <c r="B26" s="45" t="s">
        <v>1001</v>
      </c>
      <c r="C26" s="46">
        <v>43271</v>
      </c>
      <c r="D26" s="47" t="s">
        <v>59</v>
      </c>
      <c r="E26" s="48" t="s">
        <v>69</v>
      </c>
      <c r="F26" s="222" t="s">
        <v>1002</v>
      </c>
      <c r="G26" s="164">
        <v>1164</v>
      </c>
      <c r="H26" s="48" t="s">
        <v>66</v>
      </c>
      <c r="I26" s="164">
        <v>432</v>
      </c>
      <c r="J26" s="164" t="s">
        <v>77</v>
      </c>
      <c r="K26" s="164"/>
      <c r="L26" s="212" t="s">
        <v>1003</v>
      </c>
      <c r="M26" s="87"/>
      <c r="N26" s="87"/>
      <c r="O26" s="20" t="s">
        <v>962</v>
      </c>
      <c r="P26" s="21">
        <v>2</v>
      </c>
      <c r="Q26" s="22" t="s">
        <v>20</v>
      </c>
    </row>
    <row r="27" spans="1:17" ht="21" customHeight="1" x14ac:dyDescent="0.25">
      <c r="A27" s="311"/>
      <c r="B27" s="45" t="s">
        <v>209</v>
      </c>
      <c r="C27" s="131"/>
      <c r="D27" s="82"/>
      <c r="E27" s="79"/>
      <c r="F27" s="101"/>
      <c r="G27" s="164"/>
      <c r="H27" s="48"/>
      <c r="I27" s="38">
        <v>432</v>
      </c>
      <c r="J27" s="38" t="s">
        <v>82</v>
      </c>
      <c r="K27" s="38"/>
      <c r="L27" s="99"/>
      <c r="M27" s="15"/>
      <c r="N27" s="15"/>
      <c r="O27" s="20" t="s">
        <v>963</v>
      </c>
      <c r="P27" s="21">
        <v>3</v>
      </c>
      <c r="Q27" s="22" t="s">
        <v>21</v>
      </c>
    </row>
    <row r="28" spans="1:17" ht="21" customHeight="1" x14ac:dyDescent="0.25">
      <c r="A28" s="311"/>
      <c r="B28" s="43"/>
      <c r="C28" s="58"/>
      <c r="D28" s="78"/>
      <c r="E28" s="60"/>
      <c r="F28" s="118"/>
      <c r="G28" s="38"/>
      <c r="H28" s="60"/>
      <c r="I28" s="38">
        <v>300</v>
      </c>
      <c r="J28" s="38" t="s">
        <v>78</v>
      </c>
      <c r="K28" s="38"/>
      <c r="L28" s="99"/>
      <c r="M28" s="15"/>
      <c r="N28" s="15"/>
      <c r="O28" s="20" t="s">
        <v>964</v>
      </c>
      <c r="P28" s="21">
        <v>4</v>
      </c>
      <c r="Q28" s="22" t="s">
        <v>21</v>
      </c>
    </row>
    <row r="29" spans="1:17" ht="21" customHeight="1" x14ac:dyDescent="0.25">
      <c r="A29" s="311"/>
      <c r="B29" s="45"/>
      <c r="C29" s="86"/>
      <c r="D29" s="82"/>
      <c r="E29" s="79"/>
      <c r="F29" s="101"/>
      <c r="G29" s="164"/>
      <c r="H29" s="48"/>
      <c r="I29" s="38"/>
      <c r="J29" s="38"/>
      <c r="K29" s="38"/>
      <c r="L29" s="99"/>
      <c r="M29" s="15"/>
      <c r="N29" s="49"/>
      <c r="O29" s="20"/>
      <c r="P29" s="21"/>
      <c r="Q29" s="22"/>
    </row>
    <row r="30" spans="1:17" ht="21" customHeight="1" thickBot="1" x14ac:dyDescent="0.3">
      <c r="A30" s="312"/>
      <c r="B30" s="93"/>
      <c r="C30" s="249"/>
      <c r="D30" s="249"/>
      <c r="E30" s="249"/>
      <c r="F30" s="249"/>
      <c r="G30" s="249"/>
      <c r="H30" s="249"/>
      <c r="I30" s="250">
        <f>SUM(I25:I29)</f>
        <v>1584</v>
      </c>
      <c r="J30" s="250"/>
      <c r="K30" s="250"/>
      <c r="L30" s="162"/>
      <c r="M30" s="250"/>
      <c r="N30" s="250"/>
      <c r="O30" s="250"/>
      <c r="P30" s="250"/>
      <c r="Q30" s="250"/>
    </row>
    <row r="31" spans="1:17" ht="29.25" customHeight="1" thickBot="1" x14ac:dyDescent="0.3">
      <c r="A31" s="73"/>
      <c r="B31" s="64"/>
      <c r="C31" s="65"/>
      <c r="D31" s="66"/>
      <c r="E31" s="67"/>
      <c r="F31" s="66"/>
      <c r="G31" s="67"/>
      <c r="H31" s="67"/>
      <c r="I31" s="69">
        <f>SUM(I30,I24,I17,I9)</f>
        <v>5964</v>
      </c>
      <c r="J31" s="70"/>
      <c r="K31" s="70"/>
      <c r="L31" s="65"/>
      <c r="M31" s="71"/>
      <c r="N31" s="69"/>
      <c r="O31" s="70"/>
      <c r="P31" s="70"/>
      <c r="Q31" s="72"/>
    </row>
    <row r="32" spans="1:17" ht="17.25" thickTop="1" x14ac:dyDescent="0.3">
      <c r="A32" s="23" t="s">
        <v>22</v>
      </c>
      <c r="B32" s="24"/>
      <c r="C32" s="25"/>
      <c r="D32" s="24"/>
      <c r="E32" s="24"/>
      <c r="F32" s="26"/>
      <c r="G32" s="27"/>
      <c r="H32" s="28" t="s">
        <v>23</v>
      </c>
      <c r="I32" s="29"/>
      <c r="J32" s="29"/>
      <c r="K32" s="29"/>
      <c r="L32" s="30"/>
      <c r="M32" s="29"/>
      <c r="N32" s="29"/>
      <c r="O32" s="29"/>
      <c r="P32" s="251" t="s">
        <v>24</v>
      </c>
      <c r="Q32" s="31"/>
    </row>
    <row r="33" spans="1:17" ht="16.5" x14ac:dyDescent="0.3">
      <c r="A33" s="1"/>
      <c r="B33" s="32">
        <v>1</v>
      </c>
      <c r="C33" s="33"/>
      <c r="D33" s="32"/>
      <c r="E33" s="32"/>
      <c r="F33" s="304" t="s">
        <v>25</v>
      </c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</row>
    <row r="34" spans="1:17" ht="16.5" x14ac:dyDescent="0.3">
      <c r="A34" s="1"/>
      <c r="B34" s="297" t="s">
        <v>26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1:17" ht="16.5" x14ac:dyDescent="0.3">
      <c r="A35" s="1"/>
      <c r="B35" s="34">
        <v>2</v>
      </c>
      <c r="C35" s="35"/>
      <c r="D35" s="36"/>
      <c r="E35" s="36"/>
      <c r="F35" s="298" t="s">
        <v>27</v>
      </c>
      <c r="G35" s="298"/>
      <c r="H35" s="298"/>
      <c r="I35" s="298"/>
      <c r="J35" s="298"/>
      <c r="K35" s="298"/>
      <c r="L35" s="298"/>
      <c r="M35" s="298"/>
      <c r="N35" s="298"/>
      <c r="O35" s="298"/>
      <c r="P35" s="299" t="s">
        <v>28</v>
      </c>
      <c r="Q35" s="300"/>
    </row>
    <row r="36" spans="1:17" ht="16.5" x14ac:dyDescent="0.3">
      <c r="A36" s="1"/>
      <c r="B36" s="297" t="s">
        <v>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1"/>
      <c r="Q36" s="1"/>
    </row>
  </sheetData>
  <mergeCells count="17">
    <mergeCell ref="A4:A9"/>
    <mergeCell ref="C9:F9"/>
    <mergeCell ref="A1:Q1"/>
    <mergeCell ref="A2:B2"/>
    <mergeCell ref="C2:E2"/>
    <mergeCell ref="F2:G2"/>
    <mergeCell ref="O2:Q2"/>
    <mergeCell ref="C22:D22"/>
    <mergeCell ref="A10:A17"/>
    <mergeCell ref="A18:A24"/>
    <mergeCell ref="C24:F24"/>
    <mergeCell ref="A25:A30"/>
    <mergeCell ref="F33:Q33"/>
    <mergeCell ref="B34:Q34"/>
    <mergeCell ref="F35:O35"/>
    <mergeCell ref="P35:Q35"/>
    <mergeCell ref="B36:O3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6" zoomScale="115" zoomScaleNormal="115" workbookViewId="0">
      <selection activeCell="G26" sqref="G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43260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43262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86</v>
      </c>
      <c r="K4" s="155"/>
      <c r="L4" s="54" t="s">
        <v>72</v>
      </c>
      <c r="M4" s="16"/>
      <c r="N4" s="16"/>
      <c r="O4" s="17" t="s">
        <v>961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1004</v>
      </c>
      <c r="K5" s="164"/>
      <c r="L5" s="57"/>
      <c r="M5" s="98"/>
      <c r="N5" s="63"/>
      <c r="O5" s="20" t="s">
        <v>962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228</v>
      </c>
      <c r="J6" s="164" t="s">
        <v>1058</v>
      </c>
      <c r="K6" s="164"/>
      <c r="L6" s="57"/>
      <c r="M6" s="98"/>
      <c r="N6" s="63"/>
      <c r="O6" s="20" t="s">
        <v>963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228</v>
      </c>
      <c r="J7" s="164" t="s">
        <v>1059</v>
      </c>
      <c r="K7" s="164"/>
      <c r="L7" s="57"/>
      <c r="M7" s="63"/>
      <c r="N7" s="63"/>
      <c r="O7" s="20" t="s">
        <v>964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49"/>
      <c r="H9" s="249"/>
      <c r="I9" s="249">
        <f>SUM(I4:I8)</f>
        <v>1368</v>
      </c>
      <c r="J9" s="249"/>
      <c r="K9" s="249"/>
      <c r="L9" s="252"/>
      <c r="M9" s="249"/>
      <c r="N9" s="249"/>
      <c r="O9" s="249"/>
      <c r="P9" s="250"/>
      <c r="Q9" s="250"/>
    </row>
    <row r="10" spans="1:17" ht="23.25" customHeight="1" x14ac:dyDescent="0.25">
      <c r="A10" s="287" t="s">
        <v>49</v>
      </c>
      <c r="B10" s="92" t="s">
        <v>420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1005</v>
      </c>
      <c r="K10" s="155"/>
      <c r="L10" s="54" t="s">
        <v>67</v>
      </c>
      <c r="M10" s="16"/>
      <c r="N10" s="16"/>
      <c r="O10" s="17" t="s">
        <v>961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1006</v>
      </c>
      <c r="K11" s="164"/>
      <c r="L11" s="88"/>
      <c r="M11" s="63"/>
      <c r="N11" s="63"/>
      <c r="O11" s="20" t="s">
        <v>962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1007</v>
      </c>
      <c r="K12" s="164"/>
      <c r="L12" s="88"/>
      <c r="M12" s="63"/>
      <c r="N12" s="63"/>
      <c r="O12" s="20" t="s">
        <v>963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456</v>
      </c>
      <c r="J13" s="164" t="s">
        <v>1008</v>
      </c>
      <c r="K13" s="164"/>
      <c r="L13" s="88"/>
      <c r="M13" s="15"/>
      <c r="N13" s="15"/>
      <c r="O13" s="20" t="s">
        <v>964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1824</v>
      </c>
      <c r="J15" s="115"/>
      <c r="K15" s="115"/>
      <c r="L15" s="96"/>
      <c r="M15" s="114"/>
      <c r="N15" s="114"/>
      <c r="O15" s="114"/>
      <c r="P15" s="250"/>
      <c r="Q15" s="250"/>
    </row>
    <row r="16" spans="1:17" ht="23.25" customHeight="1" x14ac:dyDescent="0.25">
      <c r="A16" s="287" t="s">
        <v>50</v>
      </c>
      <c r="B16" s="92" t="s">
        <v>314</v>
      </c>
      <c r="C16" s="24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1009</v>
      </c>
      <c r="K16" s="164"/>
      <c r="L16" s="57" t="s">
        <v>67</v>
      </c>
      <c r="M16" s="16"/>
      <c r="N16" s="16"/>
      <c r="O16" s="17" t="s">
        <v>961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1010</v>
      </c>
      <c r="K17" s="164"/>
      <c r="L17" s="57"/>
      <c r="M17" s="15"/>
      <c r="N17" s="15"/>
      <c r="O17" s="20"/>
      <c r="P17" s="21"/>
      <c r="Q17" s="22"/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1011</v>
      </c>
      <c r="K18" s="164"/>
      <c r="L18" s="57"/>
      <c r="M18" s="15"/>
      <c r="N18" s="15"/>
      <c r="O18" s="20" t="s">
        <v>962</v>
      </c>
      <c r="P18" s="21">
        <v>2</v>
      </c>
      <c r="Q18" s="22" t="s">
        <v>20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4" t="s">
        <v>1012</v>
      </c>
      <c r="K19" s="164"/>
      <c r="L19" s="57"/>
      <c r="M19" s="49"/>
      <c r="N19" s="49"/>
      <c r="O19" s="20" t="s">
        <v>963</v>
      </c>
      <c r="P19" s="21">
        <v>3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>
        <v>456</v>
      </c>
      <c r="J20" s="164" t="s">
        <v>1060</v>
      </c>
      <c r="K20" s="164"/>
      <c r="L20" s="57"/>
      <c r="M20" s="49"/>
      <c r="N20" s="49"/>
      <c r="O20" s="20" t="s">
        <v>964</v>
      </c>
      <c r="P20" s="21">
        <v>4</v>
      </c>
      <c r="Q20" s="22" t="s">
        <v>21</v>
      </c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49">
        <f>SUM(I16:I20)</f>
        <v>2280</v>
      </c>
      <c r="J21" s="249"/>
      <c r="K21" s="249"/>
      <c r="L21" s="252"/>
      <c r="M21" s="249"/>
      <c r="N21" s="249"/>
      <c r="O21" s="249"/>
      <c r="P21" s="250"/>
      <c r="Q21" s="250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1013</v>
      </c>
      <c r="K22" s="178"/>
      <c r="L22" s="180" t="s">
        <v>67</v>
      </c>
      <c r="M22" s="16"/>
      <c r="N22" s="16"/>
      <c r="O22" s="17" t="s">
        <v>961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1014</v>
      </c>
      <c r="K23" s="194"/>
      <c r="L23" s="195"/>
      <c r="M23" s="87"/>
      <c r="N23" s="15"/>
      <c r="O23" s="20" t="s">
        <v>962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1015</v>
      </c>
      <c r="K24" s="164"/>
      <c r="L24" s="57"/>
      <c r="M24" s="49"/>
      <c r="N24" s="15"/>
      <c r="O24" s="20" t="s">
        <v>963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1062</v>
      </c>
      <c r="K25" s="164"/>
      <c r="L25" s="57"/>
      <c r="M25" s="49"/>
      <c r="N25" s="49"/>
      <c r="O25" s="20" t="s">
        <v>964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50"/>
      <c r="Q27" s="250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7296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51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A4:A9"/>
    <mergeCell ref="B4:B5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B22:B23"/>
    <mergeCell ref="C23:E23"/>
    <mergeCell ref="F23:H23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2"/>
  <sheetViews>
    <sheetView topLeftCell="A13" zoomScaleNormal="100" workbookViewId="0">
      <selection activeCell="O20" sqref="O20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43260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43262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5" t="s">
        <v>943</v>
      </c>
      <c r="C4" s="133">
        <v>43281</v>
      </c>
      <c r="D4" s="134" t="s">
        <v>93</v>
      </c>
      <c r="E4" s="129" t="s">
        <v>54</v>
      </c>
      <c r="F4" s="39" t="s">
        <v>944</v>
      </c>
      <c r="G4" s="39">
        <v>7025</v>
      </c>
      <c r="H4" s="146" t="s">
        <v>945</v>
      </c>
      <c r="I4" s="164">
        <v>432</v>
      </c>
      <c r="J4" s="164" t="s">
        <v>127</v>
      </c>
      <c r="K4" s="164"/>
      <c r="L4" s="57" t="s">
        <v>79</v>
      </c>
      <c r="M4" s="16"/>
      <c r="N4" s="16"/>
      <c r="O4" s="17" t="s">
        <v>961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946</v>
      </c>
      <c r="C5" s="313" t="s">
        <v>35</v>
      </c>
      <c r="D5" s="314"/>
      <c r="E5" s="325" t="s">
        <v>947</v>
      </c>
      <c r="F5" s="343"/>
      <c r="G5" s="326"/>
      <c r="H5" s="146"/>
      <c r="I5" s="164">
        <v>432</v>
      </c>
      <c r="J5" s="164" t="s">
        <v>132</v>
      </c>
      <c r="K5" s="164"/>
      <c r="L5" s="57"/>
      <c r="M5" s="49"/>
      <c r="N5" s="15"/>
      <c r="O5" s="20" t="s">
        <v>962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129"/>
      <c r="F6" s="39"/>
      <c r="G6" s="39"/>
      <c r="H6" s="146"/>
      <c r="I6" s="164">
        <v>432</v>
      </c>
      <c r="J6" s="164" t="s">
        <v>1016</v>
      </c>
      <c r="K6" s="164"/>
      <c r="L6" s="57"/>
      <c r="M6" s="15"/>
      <c r="N6" s="15"/>
      <c r="O6" s="20" t="s">
        <v>963</v>
      </c>
      <c r="P6" s="21">
        <v>3</v>
      </c>
      <c r="Q6" s="22" t="s">
        <v>21</v>
      </c>
    </row>
    <row r="7" spans="1:17" ht="24.75" customHeight="1" x14ac:dyDescent="0.25">
      <c r="A7" s="288"/>
      <c r="B7" s="45"/>
      <c r="C7" s="133"/>
      <c r="D7" s="134"/>
      <c r="E7" s="129"/>
      <c r="F7" s="39"/>
      <c r="G7" s="39"/>
      <c r="H7" s="146"/>
      <c r="I7" s="164">
        <v>216</v>
      </c>
      <c r="J7" s="164" t="s">
        <v>1017</v>
      </c>
      <c r="K7" s="164"/>
      <c r="L7" s="57"/>
      <c r="M7" s="15"/>
      <c r="N7" s="15"/>
      <c r="O7" s="20" t="s">
        <v>964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133"/>
      <c r="D8" s="134"/>
      <c r="E8" s="129"/>
      <c r="F8" s="39"/>
      <c r="G8" s="39"/>
      <c r="H8" s="146"/>
      <c r="I8" s="164"/>
      <c r="J8" s="164"/>
      <c r="K8" s="164"/>
      <c r="L8" s="57"/>
      <c r="M8" s="49"/>
      <c r="N8" s="49"/>
      <c r="O8" s="20"/>
      <c r="P8" s="21"/>
      <c r="Q8" s="22"/>
    </row>
    <row r="9" spans="1:17" ht="24.75" customHeight="1" x14ac:dyDescent="0.25">
      <c r="A9" s="288"/>
      <c r="B9" s="45"/>
      <c r="C9" s="133"/>
      <c r="D9" s="134"/>
      <c r="E9" s="129"/>
      <c r="F9" s="39"/>
      <c r="G9" s="39"/>
      <c r="H9" s="146"/>
      <c r="I9" s="84"/>
      <c r="J9" s="164"/>
      <c r="K9" s="164"/>
      <c r="L9" s="57"/>
      <c r="M9" s="49"/>
      <c r="N9" s="49"/>
      <c r="O9" s="20"/>
      <c r="P9" s="21"/>
      <c r="Q9" s="22"/>
    </row>
    <row r="10" spans="1:17" ht="24.7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49"/>
      <c r="H10" s="249"/>
      <c r="I10" s="249">
        <f>SUM(I4:I9)</f>
        <v>1512</v>
      </c>
      <c r="J10" s="249"/>
      <c r="K10" s="249"/>
      <c r="L10" s="252"/>
      <c r="M10" s="249"/>
      <c r="N10" s="249"/>
      <c r="O10" s="249"/>
      <c r="P10" s="250"/>
      <c r="Q10" s="147"/>
    </row>
    <row r="11" spans="1:17" ht="24.75" customHeight="1" x14ac:dyDescent="0.25">
      <c r="A11" s="288" t="s">
        <v>31</v>
      </c>
      <c r="B11" s="42" t="s">
        <v>954</v>
      </c>
      <c r="C11" s="104">
        <v>43275</v>
      </c>
      <c r="D11" s="90" t="s">
        <v>93</v>
      </c>
      <c r="E11" s="144" t="s">
        <v>54</v>
      </c>
      <c r="F11" s="40" t="s">
        <v>952</v>
      </c>
      <c r="G11" s="40">
        <v>360</v>
      </c>
      <c r="H11" s="149" t="s">
        <v>456</v>
      </c>
      <c r="I11" s="155">
        <v>168</v>
      </c>
      <c r="J11" s="155" t="s">
        <v>94</v>
      </c>
      <c r="K11" s="155"/>
      <c r="L11" s="53" t="s">
        <v>79</v>
      </c>
      <c r="M11" s="16"/>
      <c r="N11" s="16"/>
      <c r="O11" s="17" t="s">
        <v>961</v>
      </c>
      <c r="P11" s="18">
        <v>1</v>
      </c>
      <c r="Q11" s="19" t="s">
        <v>19</v>
      </c>
    </row>
    <row r="12" spans="1:17" ht="24.75" customHeight="1" x14ac:dyDescent="0.25">
      <c r="A12" s="288"/>
      <c r="B12" s="45" t="s">
        <v>654</v>
      </c>
      <c r="C12" s="313" t="s">
        <v>35</v>
      </c>
      <c r="D12" s="314"/>
      <c r="E12" s="129"/>
      <c r="F12" s="39"/>
      <c r="G12" s="39"/>
      <c r="H12" s="146"/>
      <c r="I12" s="164"/>
      <c r="J12" s="164"/>
      <c r="K12" s="164"/>
      <c r="L12" s="57"/>
      <c r="M12" s="15"/>
      <c r="N12" s="15"/>
      <c r="O12" s="20"/>
      <c r="P12" s="21"/>
      <c r="Q12" s="22"/>
    </row>
    <row r="13" spans="1:17" ht="24.75" customHeight="1" x14ac:dyDescent="0.25">
      <c r="A13" s="288"/>
      <c r="B13" s="45" t="s">
        <v>1018</v>
      </c>
      <c r="C13" s="133">
        <v>43276</v>
      </c>
      <c r="D13" s="134" t="s">
        <v>1019</v>
      </c>
      <c r="E13" s="129" t="s">
        <v>755</v>
      </c>
      <c r="F13" s="39" t="s">
        <v>1020</v>
      </c>
      <c r="G13" s="39">
        <v>948</v>
      </c>
      <c r="H13" s="146" t="s">
        <v>758</v>
      </c>
      <c r="I13" s="164">
        <f>192*2</f>
        <v>384</v>
      </c>
      <c r="J13" s="164" t="s">
        <v>1022</v>
      </c>
      <c r="K13" s="164"/>
      <c r="L13" s="57" t="s">
        <v>987</v>
      </c>
      <c r="M13" s="15"/>
      <c r="N13" s="15"/>
      <c r="O13" s="20" t="s">
        <v>962</v>
      </c>
      <c r="P13" s="21">
        <v>2</v>
      </c>
      <c r="Q13" s="22" t="s">
        <v>20</v>
      </c>
    </row>
    <row r="14" spans="1:17" ht="24.75" customHeight="1" x14ac:dyDescent="0.25">
      <c r="A14" s="288"/>
      <c r="B14" s="45" t="s">
        <v>697</v>
      </c>
      <c r="C14" s="305" t="s">
        <v>1021</v>
      </c>
      <c r="D14" s="306"/>
      <c r="E14" s="129"/>
      <c r="F14" s="39"/>
      <c r="G14" s="39"/>
      <c r="H14" s="130"/>
      <c r="I14" s="84">
        <f>192*2</f>
        <v>384</v>
      </c>
      <c r="J14" s="164" t="s">
        <v>1023</v>
      </c>
      <c r="K14" s="164"/>
      <c r="L14" s="57"/>
      <c r="M14" s="49"/>
      <c r="N14" s="49"/>
      <c r="O14" s="20"/>
      <c r="P14" s="21"/>
      <c r="Q14" s="22"/>
    </row>
    <row r="15" spans="1:17" ht="24.75" customHeight="1" x14ac:dyDescent="0.25">
      <c r="A15" s="288"/>
      <c r="B15" s="45"/>
      <c r="C15" s="133"/>
      <c r="D15" s="134"/>
      <c r="E15" s="129"/>
      <c r="F15" s="39"/>
      <c r="G15" s="39"/>
      <c r="H15" s="146"/>
      <c r="I15" s="164">
        <v>180</v>
      </c>
      <c r="J15" s="164" t="s">
        <v>78</v>
      </c>
      <c r="K15" s="164"/>
      <c r="L15" s="57"/>
      <c r="M15" s="49"/>
      <c r="N15" s="49"/>
      <c r="O15" s="20" t="s">
        <v>963</v>
      </c>
      <c r="P15" s="21">
        <v>3</v>
      </c>
      <c r="Q15" s="22" t="s">
        <v>21</v>
      </c>
    </row>
    <row r="16" spans="1:17" ht="24.75" customHeight="1" x14ac:dyDescent="0.25">
      <c r="A16" s="288"/>
      <c r="B16" s="45" t="s">
        <v>1024</v>
      </c>
      <c r="C16" s="133">
        <v>43291</v>
      </c>
      <c r="D16" s="134" t="s">
        <v>93</v>
      </c>
      <c r="E16" s="129" t="s">
        <v>54</v>
      </c>
      <c r="F16" s="39" t="s">
        <v>952</v>
      </c>
      <c r="G16" s="39">
        <v>180</v>
      </c>
      <c r="H16" s="146" t="s">
        <v>456</v>
      </c>
      <c r="I16" s="164">
        <v>180</v>
      </c>
      <c r="J16" s="164" t="s">
        <v>84</v>
      </c>
      <c r="K16" s="164"/>
      <c r="L16" s="57" t="s">
        <v>1028</v>
      </c>
      <c r="M16" s="49"/>
      <c r="N16" s="49"/>
      <c r="O16" s="20"/>
      <c r="P16" s="21"/>
      <c r="Q16" s="22"/>
    </row>
    <row r="17" spans="1:17" ht="24.75" customHeight="1" x14ac:dyDescent="0.25">
      <c r="A17" s="288"/>
      <c r="B17" s="45" t="s">
        <v>1025</v>
      </c>
      <c r="C17" s="133">
        <v>43271</v>
      </c>
      <c r="D17" s="134" t="s">
        <v>59</v>
      </c>
      <c r="E17" s="129" t="s">
        <v>54</v>
      </c>
      <c r="F17" s="39" t="s">
        <v>1026</v>
      </c>
      <c r="G17" s="39">
        <v>144</v>
      </c>
      <c r="H17" s="146" t="s">
        <v>456</v>
      </c>
      <c r="I17" s="164">
        <v>144</v>
      </c>
      <c r="J17" s="164" t="s">
        <v>84</v>
      </c>
      <c r="K17" s="164"/>
      <c r="L17" s="57" t="s">
        <v>1029</v>
      </c>
      <c r="M17" s="49"/>
      <c r="N17" s="49"/>
      <c r="O17" s="20" t="s">
        <v>964</v>
      </c>
      <c r="P17" s="21">
        <v>4</v>
      </c>
      <c r="Q17" s="22" t="s">
        <v>21</v>
      </c>
    </row>
    <row r="18" spans="1:17" ht="24.75" customHeight="1" x14ac:dyDescent="0.25">
      <c r="A18" s="288"/>
      <c r="B18" s="45"/>
      <c r="C18" s="133"/>
      <c r="D18" s="134"/>
      <c r="E18" s="129"/>
      <c r="F18" s="39"/>
      <c r="G18" s="39"/>
      <c r="H18" s="146"/>
      <c r="I18" s="164"/>
      <c r="J18" s="164"/>
      <c r="K18" s="164"/>
      <c r="L18" s="57"/>
      <c r="M18" s="49"/>
      <c r="N18" s="49"/>
      <c r="O18" s="100"/>
      <c r="P18" s="50"/>
      <c r="Q18" s="148"/>
    </row>
    <row r="19" spans="1:17" ht="24.75" customHeight="1" thickBot="1" x14ac:dyDescent="0.3">
      <c r="A19" s="289"/>
      <c r="B19" s="93" t="s">
        <v>64</v>
      </c>
      <c r="C19" s="290" t="s">
        <v>65</v>
      </c>
      <c r="D19" s="291"/>
      <c r="E19" s="291"/>
      <c r="F19" s="292"/>
      <c r="G19" s="249"/>
      <c r="H19" s="249"/>
      <c r="I19" s="249">
        <f>SUM(I11:I18)</f>
        <v>1440</v>
      </c>
      <c r="J19" s="249"/>
      <c r="K19" s="249"/>
      <c r="L19" s="252"/>
      <c r="M19" s="249"/>
      <c r="N19" s="249"/>
      <c r="O19" s="249"/>
      <c r="P19" s="249"/>
      <c r="Q19" s="151"/>
    </row>
    <row r="20" spans="1:17" ht="24.75" customHeight="1" x14ac:dyDescent="0.25">
      <c r="A20" s="287" t="s">
        <v>32</v>
      </c>
      <c r="B20" s="42" t="s">
        <v>647</v>
      </c>
      <c r="C20" s="104">
        <v>43285</v>
      </c>
      <c r="D20" s="90" t="s">
        <v>93</v>
      </c>
      <c r="E20" s="144" t="s">
        <v>54</v>
      </c>
      <c r="F20" s="40" t="s">
        <v>240</v>
      </c>
      <c r="G20" s="40">
        <v>4224</v>
      </c>
      <c r="H20" s="149" t="s">
        <v>241</v>
      </c>
      <c r="I20" s="155">
        <v>360</v>
      </c>
      <c r="J20" s="155" t="s">
        <v>1030</v>
      </c>
      <c r="K20" s="155"/>
      <c r="L20" s="53" t="s">
        <v>330</v>
      </c>
      <c r="M20" s="16"/>
      <c r="N20" s="16"/>
      <c r="O20" s="17" t="s">
        <v>961</v>
      </c>
      <c r="P20" s="18">
        <v>1</v>
      </c>
      <c r="Q20" s="19" t="s">
        <v>19</v>
      </c>
    </row>
    <row r="21" spans="1:17" ht="24.75" customHeight="1" x14ac:dyDescent="0.25">
      <c r="A21" s="288"/>
      <c r="B21" s="127" t="s">
        <v>648</v>
      </c>
      <c r="C21" s="133"/>
      <c r="D21" s="134"/>
      <c r="E21" s="129"/>
      <c r="F21" s="38"/>
      <c r="G21" s="38"/>
      <c r="H21" s="154"/>
      <c r="I21" s="164">
        <f>180+84</f>
        <v>264</v>
      </c>
      <c r="J21" s="164" t="s">
        <v>1031</v>
      </c>
      <c r="K21" s="164"/>
      <c r="L21" s="57"/>
      <c r="M21" s="15"/>
      <c r="N21" s="15"/>
      <c r="O21" s="20" t="s">
        <v>962</v>
      </c>
      <c r="P21" s="21">
        <v>2</v>
      </c>
      <c r="Q21" s="22" t="s">
        <v>20</v>
      </c>
    </row>
    <row r="22" spans="1:17" ht="24.75" customHeight="1" x14ac:dyDescent="0.25">
      <c r="A22" s="288"/>
      <c r="B22" s="45" t="s">
        <v>1032</v>
      </c>
      <c r="C22" s="133">
        <v>43300</v>
      </c>
      <c r="D22" s="134" t="s">
        <v>55</v>
      </c>
      <c r="E22" s="129" t="s">
        <v>54</v>
      </c>
      <c r="F22" s="39" t="s">
        <v>240</v>
      </c>
      <c r="G22" s="39">
        <v>432</v>
      </c>
      <c r="H22" s="130" t="s">
        <v>241</v>
      </c>
      <c r="I22" s="128">
        <v>432</v>
      </c>
      <c r="J22" s="38" t="s">
        <v>77</v>
      </c>
      <c r="K22" s="38"/>
      <c r="L22" s="44" t="s">
        <v>1034</v>
      </c>
      <c r="M22" s="15"/>
      <c r="N22" s="15"/>
      <c r="O22" s="20" t="s">
        <v>963</v>
      </c>
      <c r="P22" s="21">
        <v>3</v>
      </c>
      <c r="Q22" s="22" t="s">
        <v>21</v>
      </c>
    </row>
    <row r="23" spans="1:17" ht="24.75" customHeight="1" x14ac:dyDescent="0.25">
      <c r="A23" s="288"/>
      <c r="B23" s="45" t="s">
        <v>1033</v>
      </c>
      <c r="C23" s="133">
        <v>43313</v>
      </c>
      <c r="D23" s="134" t="s">
        <v>988</v>
      </c>
      <c r="E23" s="129" t="s">
        <v>54</v>
      </c>
      <c r="F23" s="39" t="s">
        <v>240</v>
      </c>
      <c r="G23" s="39">
        <v>684</v>
      </c>
      <c r="H23" s="130" t="s">
        <v>241</v>
      </c>
      <c r="I23" s="164">
        <f>168*2</f>
        <v>336</v>
      </c>
      <c r="J23" s="164" t="s">
        <v>77</v>
      </c>
      <c r="K23" s="164"/>
      <c r="L23" s="57" t="s">
        <v>330</v>
      </c>
      <c r="M23" s="49"/>
      <c r="N23" s="49"/>
      <c r="O23" s="20" t="s">
        <v>964</v>
      </c>
      <c r="P23" s="21">
        <v>4</v>
      </c>
      <c r="Q23" s="22" t="s">
        <v>21</v>
      </c>
    </row>
    <row r="24" spans="1:17" ht="24.75" customHeight="1" x14ac:dyDescent="0.25">
      <c r="A24" s="288"/>
      <c r="B24" s="127"/>
      <c r="C24" s="133"/>
      <c r="D24" s="134"/>
      <c r="E24" s="129"/>
      <c r="F24" s="38"/>
      <c r="G24" s="38"/>
      <c r="H24" s="154"/>
      <c r="I24" s="164"/>
      <c r="J24" s="164"/>
      <c r="K24" s="164"/>
      <c r="L24" s="57"/>
      <c r="M24" s="49"/>
      <c r="N24" s="49"/>
      <c r="O24" s="20"/>
      <c r="P24" s="21"/>
      <c r="Q24" s="22"/>
    </row>
    <row r="25" spans="1:17" ht="24.75" customHeight="1" thickBot="1" x14ac:dyDescent="0.3">
      <c r="A25" s="289"/>
      <c r="B25" s="93" t="s">
        <v>64</v>
      </c>
      <c r="C25" s="290" t="s">
        <v>65</v>
      </c>
      <c r="D25" s="291"/>
      <c r="E25" s="291"/>
      <c r="F25" s="292"/>
      <c r="G25" s="249"/>
      <c r="H25" s="249"/>
      <c r="I25" s="249">
        <f>SUM(I20:I24)</f>
        <v>1392</v>
      </c>
      <c r="J25" s="249"/>
      <c r="K25" s="249"/>
      <c r="L25" s="252"/>
      <c r="M25" s="249"/>
      <c r="N25" s="249"/>
      <c r="O25" s="249"/>
      <c r="P25" s="249"/>
      <c r="Q25" s="147"/>
    </row>
    <row r="26" spans="1:17" ht="29.25" customHeight="1" thickBot="1" x14ac:dyDescent="0.3">
      <c r="A26" s="73"/>
      <c r="B26" s="64"/>
      <c r="C26" s="65"/>
      <c r="D26" s="66"/>
      <c r="E26" s="67"/>
      <c r="F26" s="68"/>
      <c r="G26" s="67"/>
      <c r="H26" s="67"/>
      <c r="I26" s="69">
        <f>SUM(I25,I19,I10)</f>
        <v>4344</v>
      </c>
      <c r="J26" s="70"/>
      <c r="K26" s="70"/>
      <c r="L26" s="65"/>
      <c r="M26" s="71"/>
      <c r="N26" s="69"/>
      <c r="O26" s="70"/>
      <c r="P26" s="70"/>
      <c r="Q26" s="72"/>
    </row>
    <row r="27" spans="1:17" ht="17.25" thickTop="1" x14ac:dyDescent="0.3">
      <c r="A27" s="23" t="s">
        <v>22</v>
      </c>
      <c r="B27" s="24"/>
      <c r="C27" s="25"/>
      <c r="D27" s="24"/>
      <c r="E27" s="24"/>
      <c r="F27" s="26"/>
      <c r="G27" s="27"/>
      <c r="H27" s="28" t="s">
        <v>23</v>
      </c>
      <c r="I27" s="29"/>
      <c r="J27" s="29"/>
      <c r="K27" s="29"/>
      <c r="L27" s="30"/>
      <c r="M27" s="29"/>
      <c r="N27" s="29"/>
      <c r="O27" s="29"/>
      <c r="P27" s="251" t="s">
        <v>24</v>
      </c>
      <c r="Q27" s="31"/>
    </row>
    <row r="28" spans="1:17" ht="16.5" x14ac:dyDescent="0.3">
      <c r="A28" s="1"/>
      <c r="B28" s="32">
        <v>1</v>
      </c>
      <c r="C28" s="33"/>
      <c r="D28" s="32"/>
      <c r="E28" s="32"/>
      <c r="F28" s="304" t="s">
        <v>25</v>
      </c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</row>
    <row r="29" spans="1:17" ht="16.5" x14ac:dyDescent="0.3">
      <c r="A29" s="297" t="s">
        <v>26</v>
      </c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</row>
    <row r="30" spans="1:17" ht="16.5" x14ac:dyDescent="0.3">
      <c r="A30" s="1"/>
      <c r="B30" s="34">
        <v>2</v>
      </c>
      <c r="C30" s="35"/>
      <c r="D30" s="36"/>
      <c r="E30" s="36"/>
      <c r="F30" s="298" t="s">
        <v>27</v>
      </c>
      <c r="G30" s="298"/>
      <c r="H30" s="298"/>
      <c r="I30" s="298"/>
      <c r="J30" s="298"/>
      <c r="K30" s="298"/>
      <c r="L30" s="298"/>
      <c r="M30" s="298"/>
      <c r="N30" s="298"/>
      <c r="O30" s="298"/>
      <c r="P30" s="76" t="s">
        <v>28</v>
      </c>
      <c r="Q30" s="75"/>
    </row>
    <row r="31" spans="1:17" ht="16.5" x14ac:dyDescent="0.3">
      <c r="A31" s="1"/>
      <c r="B31" s="297" t="s">
        <v>29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1"/>
      <c r="Q31" s="1"/>
    </row>
    <row r="32" spans="1:17" x14ac:dyDescent="0.25">
      <c r="O32" s="74"/>
    </row>
  </sheetData>
  <mergeCells count="19">
    <mergeCell ref="A1:Q1"/>
    <mergeCell ref="A2:B2"/>
    <mergeCell ref="C2:E2"/>
    <mergeCell ref="F2:G2"/>
    <mergeCell ref="O2:Q2"/>
    <mergeCell ref="F28:Q28"/>
    <mergeCell ref="A29:Q29"/>
    <mergeCell ref="F30:O30"/>
    <mergeCell ref="B31:O31"/>
    <mergeCell ref="C5:D5"/>
    <mergeCell ref="E5:G5"/>
    <mergeCell ref="C12:D12"/>
    <mergeCell ref="A11:A19"/>
    <mergeCell ref="C14:D14"/>
    <mergeCell ref="C19:F19"/>
    <mergeCell ref="A20:A25"/>
    <mergeCell ref="C25:F25"/>
    <mergeCell ref="A4:A10"/>
    <mergeCell ref="C10:F10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3" zoomScaleNormal="100" workbookViewId="0">
      <selection activeCell="B7" sqref="B7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36</v>
      </c>
      <c r="B4" s="42" t="s">
        <v>880</v>
      </c>
      <c r="C4" s="140">
        <v>43267</v>
      </c>
      <c r="D4" s="77" t="s">
        <v>59</v>
      </c>
      <c r="E4" s="41" t="s">
        <v>54</v>
      </c>
      <c r="F4" s="40" t="s">
        <v>778</v>
      </c>
      <c r="G4" s="40">
        <v>2436</v>
      </c>
      <c r="H4" s="41" t="s">
        <v>667</v>
      </c>
      <c r="I4" s="40">
        <v>432</v>
      </c>
      <c r="J4" s="40" t="s">
        <v>1067</v>
      </c>
      <c r="K4" s="40"/>
      <c r="L4" s="54" t="s">
        <v>63</v>
      </c>
      <c r="M4" s="16"/>
      <c r="N4" s="16"/>
      <c r="O4" s="17" t="s">
        <v>1063</v>
      </c>
      <c r="P4" s="18">
        <v>1</v>
      </c>
      <c r="Q4" s="19" t="s">
        <v>19</v>
      </c>
    </row>
    <row r="5" spans="1:17" ht="24.75" customHeight="1" x14ac:dyDescent="0.25">
      <c r="A5" s="288"/>
      <c r="B5" s="43" t="s">
        <v>780</v>
      </c>
      <c r="C5" s="58"/>
      <c r="D5" s="78"/>
      <c r="E5" s="60"/>
      <c r="F5" s="38"/>
      <c r="G5" s="38"/>
      <c r="H5" s="60"/>
      <c r="I5" s="38">
        <f>2436-216*9</f>
        <v>492</v>
      </c>
      <c r="J5" s="38" t="s">
        <v>283</v>
      </c>
      <c r="K5" s="38"/>
      <c r="L5" s="44"/>
      <c r="M5" s="15"/>
      <c r="N5" s="63"/>
      <c r="O5" s="20" t="s">
        <v>1064</v>
      </c>
      <c r="P5" s="21">
        <v>2</v>
      </c>
      <c r="Q5" s="22" t="s">
        <v>20</v>
      </c>
    </row>
    <row r="6" spans="1:17" ht="24.75" customHeight="1" x14ac:dyDescent="0.25">
      <c r="A6" s="288"/>
      <c r="B6" s="43" t="s">
        <v>1068</v>
      </c>
      <c r="C6" s="58">
        <v>43269</v>
      </c>
      <c r="D6" s="78" t="s">
        <v>59</v>
      </c>
      <c r="E6" s="60" t="s">
        <v>54</v>
      </c>
      <c r="F6" s="38" t="s">
        <v>666</v>
      </c>
      <c r="G6" s="38">
        <v>360</v>
      </c>
      <c r="H6" s="60" t="s">
        <v>667</v>
      </c>
      <c r="I6" s="38">
        <v>360</v>
      </c>
      <c r="J6" s="38" t="s">
        <v>168</v>
      </c>
      <c r="K6" s="38"/>
      <c r="L6" s="44" t="s">
        <v>1070</v>
      </c>
      <c r="M6" s="15"/>
      <c r="N6" s="63"/>
      <c r="O6" s="20" t="s">
        <v>1065</v>
      </c>
      <c r="P6" s="21">
        <v>3</v>
      </c>
      <c r="Q6" s="22" t="s">
        <v>21</v>
      </c>
    </row>
    <row r="7" spans="1:17" ht="24.75" customHeight="1" x14ac:dyDescent="0.25">
      <c r="A7" s="288"/>
      <c r="B7" s="43" t="s">
        <v>1069</v>
      </c>
      <c r="C7" s="58">
        <v>43271</v>
      </c>
      <c r="D7" s="78" t="s">
        <v>59</v>
      </c>
      <c r="E7" s="60" t="s">
        <v>54</v>
      </c>
      <c r="F7" s="38" t="s">
        <v>666</v>
      </c>
      <c r="G7" s="38">
        <v>456</v>
      </c>
      <c r="H7" s="60" t="s">
        <v>667</v>
      </c>
      <c r="I7" s="38">
        <v>456</v>
      </c>
      <c r="J7" s="38" t="s">
        <v>77</v>
      </c>
      <c r="K7" s="38"/>
      <c r="L7" s="44" t="s">
        <v>1072</v>
      </c>
      <c r="M7" s="15"/>
      <c r="N7" s="63"/>
      <c r="O7" s="20" t="s">
        <v>1066</v>
      </c>
      <c r="P7" s="21">
        <v>4</v>
      </c>
      <c r="Q7" s="22" t="s">
        <v>21</v>
      </c>
    </row>
    <row r="8" spans="1:17" ht="24.75" customHeight="1" x14ac:dyDescent="0.25">
      <c r="A8" s="288"/>
      <c r="B8" s="43" t="s">
        <v>1071</v>
      </c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54"/>
      <c r="H9" s="254"/>
      <c r="I9" s="254">
        <f>SUM(I4:I8)</f>
        <v>1740</v>
      </c>
      <c r="J9" s="254"/>
      <c r="K9" s="254"/>
      <c r="L9" s="257"/>
      <c r="M9" s="254"/>
      <c r="N9" s="254"/>
      <c r="O9" s="254"/>
      <c r="P9" s="255"/>
      <c r="Q9" s="255"/>
    </row>
    <row r="10" spans="1:17" ht="24.75" customHeight="1" x14ac:dyDescent="0.25">
      <c r="A10" s="287" t="s">
        <v>39</v>
      </c>
      <c r="B10" s="42" t="s">
        <v>969</v>
      </c>
      <c r="C10" s="62">
        <v>43269</v>
      </c>
      <c r="D10" s="77" t="s">
        <v>59</v>
      </c>
      <c r="E10" s="144" t="s">
        <v>54</v>
      </c>
      <c r="F10" s="155" t="s">
        <v>970</v>
      </c>
      <c r="G10" s="155">
        <v>1692</v>
      </c>
      <c r="H10" s="81" t="s">
        <v>89</v>
      </c>
      <c r="I10" s="155">
        <v>432</v>
      </c>
      <c r="J10" s="155" t="s">
        <v>1073</v>
      </c>
      <c r="K10" s="155"/>
      <c r="L10" s="53" t="s">
        <v>972</v>
      </c>
      <c r="M10" s="16"/>
      <c r="N10" s="16"/>
      <c r="O10" s="17" t="s">
        <v>1063</v>
      </c>
      <c r="P10" s="18">
        <v>1</v>
      </c>
      <c r="Q10" s="19" t="s">
        <v>19</v>
      </c>
    </row>
    <row r="11" spans="1:17" ht="24.75" customHeight="1" x14ac:dyDescent="0.25">
      <c r="A11" s="288"/>
      <c r="B11" s="45" t="s">
        <v>73</v>
      </c>
      <c r="C11" s="58"/>
      <c r="D11" s="78"/>
      <c r="E11" s="129"/>
      <c r="F11" s="164"/>
      <c r="G11" s="164"/>
      <c r="H11" s="48"/>
      <c r="I11" s="164">
        <v>432</v>
      </c>
      <c r="J11" s="164" t="s">
        <v>1074</v>
      </c>
      <c r="K11" s="164"/>
      <c r="L11" s="57"/>
      <c r="M11" s="49"/>
      <c r="N11" s="63"/>
      <c r="O11" s="20" t="s">
        <v>1064</v>
      </c>
      <c r="P11" s="21">
        <v>2</v>
      </c>
      <c r="Q11" s="22" t="s">
        <v>20</v>
      </c>
    </row>
    <row r="12" spans="1:17" ht="24.75" customHeight="1" x14ac:dyDescent="0.25">
      <c r="A12" s="288"/>
      <c r="B12" s="111"/>
      <c r="C12" s="58"/>
      <c r="D12" s="78"/>
      <c r="E12" s="48"/>
      <c r="F12" s="164"/>
      <c r="G12" s="164"/>
      <c r="H12" s="48"/>
      <c r="I12" s="164">
        <f>1692-216*7</f>
        <v>180</v>
      </c>
      <c r="J12" s="164" t="s">
        <v>257</v>
      </c>
      <c r="K12" s="164"/>
      <c r="L12" s="57"/>
      <c r="M12" s="49"/>
      <c r="N12" s="63"/>
      <c r="O12" s="20" t="s">
        <v>1065</v>
      </c>
      <c r="P12" s="21">
        <v>3</v>
      </c>
      <c r="Q12" s="22" t="s">
        <v>21</v>
      </c>
    </row>
    <row r="13" spans="1:17" ht="24.75" customHeight="1" x14ac:dyDescent="0.25">
      <c r="A13" s="288"/>
      <c r="B13" s="45" t="s">
        <v>1075</v>
      </c>
      <c r="C13" s="58">
        <v>43269</v>
      </c>
      <c r="D13" s="78" t="s">
        <v>59</v>
      </c>
      <c r="E13" s="129" t="s">
        <v>54</v>
      </c>
      <c r="F13" s="164" t="s">
        <v>137</v>
      </c>
      <c r="G13" s="164">
        <v>522</v>
      </c>
      <c r="H13" s="48" t="s">
        <v>89</v>
      </c>
      <c r="I13" s="164">
        <v>522</v>
      </c>
      <c r="J13" s="164" t="s">
        <v>1076</v>
      </c>
      <c r="K13" s="164"/>
      <c r="L13" s="57" t="s">
        <v>1077</v>
      </c>
      <c r="M13" s="49"/>
      <c r="N13" s="63"/>
      <c r="O13" s="20" t="s">
        <v>1066</v>
      </c>
      <c r="P13" s="21">
        <v>4</v>
      </c>
      <c r="Q13" s="22" t="s">
        <v>21</v>
      </c>
    </row>
    <row r="14" spans="1:17" ht="24.75" customHeight="1" x14ac:dyDescent="0.25">
      <c r="A14" s="288"/>
      <c r="B14" s="45"/>
      <c r="C14" s="58"/>
      <c r="D14" s="78"/>
      <c r="E14" s="129"/>
      <c r="F14" s="164"/>
      <c r="G14" s="164"/>
      <c r="H14" s="48"/>
      <c r="I14" s="164"/>
      <c r="J14" s="164"/>
      <c r="K14" s="164"/>
      <c r="L14" s="57"/>
      <c r="M14" s="49"/>
      <c r="N14" s="63"/>
      <c r="O14" s="20"/>
      <c r="P14" s="21"/>
      <c r="Q14" s="22"/>
    </row>
    <row r="15" spans="1:17" ht="24.7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54"/>
      <c r="H15" s="254"/>
      <c r="I15" s="254">
        <f>SUM(I10:I14)</f>
        <v>1566</v>
      </c>
      <c r="J15" s="254"/>
      <c r="K15" s="254"/>
      <c r="L15" s="257"/>
      <c r="M15" s="254"/>
      <c r="N15" s="254"/>
      <c r="O15" s="254"/>
      <c r="P15" s="255"/>
      <c r="Q15" s="255"/>
    </row>
    <row r="16" spans="1:17" ht="24.75" customHeight="1" x14ac:dyDescent="0.25">
      <c r="A16" s="287" t="s">
        <v>37</v>
      </c>
      <c r="B16" s="42" t="s">
        <v>974</v>
      </c>
      <c r="C16" s="116">
        <v>43273</v>
      </c>
      <c r="D16" s="52" t="s">
        <v>59</v>
      </c>
      <c r="E16" s="41" t="s">
        <v>54</v>
      </c>
      <c r="F16" s="40" t="s">
        <v>116</v>
      </c>
      <c r="G16" s="155">
        <v>2700</v>
      </c>
      <c r="H16" s="81" t="s">
        <v>117</v>
      </c>
      <c r="I16" s="155">
        <v>432</v>
      </c>
      <c r="J16" s="155" t="s">
        <v>68</v>
      </c>
      <c r="K16" s="155"/>
      <c r="L16" s="53" t="s">
        <v>975</v>
      </c>
      <c r="M16" s="16"/>
      <c r="N16" s="16"/>
      <c r="O16" s="17" t="s">
        <v>1063</v>
      </c>
      <c r="P16" s="18">
        <v>1</v>
      </c>
      <c r="Q16" s="19" t="s">
        <v>19</v>
      </c>
    </row>
    <row r="17" spans="1:17" ht="24.75" customHeight="1" x14ac:dyDescent="0.25">
      <c r="A17" s="288"/>
      <c r="B17" s="45" t="s">
        <v>199</v>
      </c>
      <c r="C17" s="46"/>
      <c r="D17" s="47"/>
      <c r="E17" s="60"/>
      <c r="F17" s="38"/>
      <c r="G17" s="164"/>
      <c r="H17" s="48"/>
      <c r="I17" s="164">
        <v>432</v>
      </c>
      <c r="J17" s="164" t="s">
        <v>292</v>
      </c>
      <c r="K17" s="164"/>
      <c r="L17" s="57"/>
      <c r="M17" s="63"/>
      <c r="N17" s="63"/>
      <c r="O17" s="20" t="s">
        <v>1064</v>
      </c>
      <c r="P17" s="21">
        <v>2</v>
      </c>
      <c r="Q17" s="22" t="s">
        <v>20</v>
      </c>
    </row>
    <row r="18" spans="1:17" ht="24.75" customHeight="1" x14ac:dyDescent="0.25">
      <c r="A18" s="288"/>
      <c r="B18" s="45"/>
      <c r="C18" s="46"/>
      <c r="D18" s="47"/>
      <c r="E18" s="60"/>
      <c r="F18" s="38"/>
      <c r="G18" s="164"/>
      <c r="H18" s="48"/>
      <c r="I18" s="164">
        <v>432</v>
      </c>
      <c r="J18" s="164" t="s">
        <v>229</v>
      </c>
      <c r="K18" s="164"/>
      <c r="L18" s="57"/>
      <c r="M18" s="15"/>
      <c r="N18" s="15"/>
      <c r="O18" s="20" t="s">
        <v>1065</v>
      </c>
      <c r="P18" s="21">
        <v>3</v>
      </c>
      <c r="Q18" s="22" t="s">
        <v>21</v>
      </c>
    </row>
    <row r="19" spans="1:17" ht="24.75" customHeight="1" x14ac:dyDescent="0.25">
      <c r="A19" s="288"/>
      <c r="B19" s="45"/>
      <c r="C19" s="46"/>
      <c r="D19" s="47"/>
      <c r="E19" s="60"/>
      <c r="F19" s="38"/>
      <c r="G19" s="164"/>
      <c r="H19" s="48"/>
      <c r="I19" s="164">
        <v>432</v>
      </c>
      <c r="J19" s="164" t="s">
        <v>1079</v>
      </c>
      <c r="K19" s="164"/>
      <c r="L19" s="57"/>
      <c r="M19" s="15"/>
      <c r="N19" s="15"/>
      <c r="O19" s="20" t="s">
        <v>1066</v>
      </c>
      <c r="P19" s="21">
        <v>4</v>
      </c>
      <c r="Q19" s="22" t="s">
        <v>21</v>
      </c>
    </row>
    <row r="20" spans="1:17" ht="24.75" customHeight="1" x14ac:dyDescent="0.25">
      <c r="A20" s="288"/>
      <c r="B20" s="45"/>
      <c r="C20" s="46"/>
      <c r="D20" s="47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/>
      <c r="P20" s="21"/>
      <c r="Q20" s="22"/>
    </row>
    <row r="21" spans="1:17" ht="24.7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54"/>
      <c r="H21" s="254"/>
      <c r="I21" s="254">
        <f>SUM(I16:I20)</f>
        <v>1728</v>
      </c>
      <c r="J21" s="254"/>
      <c r="K21" s="254"/>
      <c r="L21" s="257"/>
      <c r="M21" s="254"/>
      <c r="N21" s="254"/>
      <c r="O21" s="254"/>
      <c r="P21" s="255"/>
      <c r="Q21" s="255"/>
    </row>
    <row r="22" spans="1:17" ht="24.75" customHeight="1" x14ac:dyDescent="0.25">
      <c r="A22" s="287" t="s">
        <v>38</v>
      </c>
      <c r="B22" s="42" t="s">
        <v>982</v>
      </c>
      <c r="C22" s="244">
        <v>43269</v>
      </c>
      <c r="D22" s="52" t="s">
        <v>59</v>
      </c>
      <c r="E22" s="41" t="s">
        <v>54</v>
      </c>
      <c r="F22" s="40" t="s">
        <v>582</v>
      </c>
      <c r="G22" s="155">
        <v>672</v>
      </c>
      <c r="H22" s="81" t="s">
        <v>492</v>
      </c>
      <c r="I22" s="155">
        <v>432</v>
      </c>
      <c r="J22" s="155" t="s">
        <v>77</v>
      </c>
      <c r="K22" s="155"/>
      <c r="L22" s="53" t="s">
        <v>80</v>
      </c>
      <c r="M22" s="16"/>
      <c r="N22" s="16"/>
      <c r="O22" s="17" t="s">
        <v>1063</v>
      </c>
      <c r="P22" s="18">
        <v>1</v>
      </c>
      <c r="Q22" s="19" t="s">
        <v>19</v>
      </c>
    </row>
    <row r="23" spans="1:17" ht="24.75" customHeight="1" x14ac:dyDescent="0.25">
      <c r="A23" s="288"/>
      <c r="B23" s="111" t="s">
        <v>383</v>
      </c>
      <c r="C23" s="58"/>
      <c r="D23" s="78"/>
      <c r="E23" s="48"/>
      <c r="F23" s="164"/>
      <c r="G23" s="164"/>
      <c r="H23" s="48"/>
      <c r="I23" s="164">
        <f>672-216*2</f>
        <v>240</v>
      </c>
      <c r="J23" s="164" t="s">
        <v>182</v>
      </c>
      <c r="K23" s="164"/>
      <c r="L23" s="57"/>
      <c r="M23" s="15"/>
      <c r="N23" s="15"/>
      <c r="O23" s="20" t="s">
        <v>1064</v>
      </c>
      <c r="P23" s="21">
        <v>2</v>
      </c>
      <c r="Q23" s="22" t="s">
        <v>20</v>
      </c>
    </row>
    <row r="24" spans="1:17" ht="24.75" customHeight="1" x14ac:dyDescent="0.25">
      <c r="A24" s="288"/>
      <c r="B24" s="111" t="s">
        <v>1080</v>
      </c>
      <c r="C24" s="58">
        <v>43269</v>
      </c>
      <c r="D24" s="78" t="s">
        <v>59</v>
      </c>
      <c r="E24" s="48" t="s">
        <v>54</v>
      </c>
      <c r="F24" s="164" t="s">
        <v>1144</v>
      </c>
      <c r="G24" s="164">
        <v>624</v>
      </c>
      <c r="H24" s="48" t="s">
        <v>88</v>
      </c>
      <c r="I24" s="84">
        <v>432</v>
      </c>
      <c r="J24" s="164" t="s">
        <v>168</v>
      </c>
      <c r="K24" s="164"/>
      <c r="L24" s="57" t="s">
        <v>1081</v>
      </c>
      <c r="M24" s="49"/>
      <c r="N24" s="15"/>
      <c r="O24" s="20" t="s">
        <v>1065</v>
      </c>
      <c r="P24" s="21">
        <v>3</v>
      </c>
      <c r="Q24" s="22" t="s">
        <v>21</v>
      </c>
    </row>
    <row r="25" spans="1:17" ht="24.75" customHeight="1" x14ac:dyDescent="0.25">
      <c r="A25" s="288"/>
      <c r="B25" s="111" t="s">
        <v>181</v>
      </c>
      <c r="C25" s="58"/>
      <c r="D25" s="78"/>
      <c r="E25" s="48"/>
      <c r="F25" s="164"/>
      <c r="G25" s="164"/>
      <c r="H25" s="48"/>
      <c r="I25" s="84">
        <f>624-432</f>
        <v>192</v>
      </c>
      <c r="J25" s="164" t="s">
        <v>182</v>
      </c>
      <c r="K25" s="164"/>
      <c r="L25" s="57"/>
      <c r="M25" s="15"/>
      <c r="N25" s="15"/>
      <c r="O25" s="20"/>
      <c r="P25" s="21"/>
      <c r="Q25" s="22"/>
    </row>
    <row r="26" spans="1:17" ht="24.75" customHeight="1" x14ac:dyDescent="0.25">
      <c r="A26" s="288"/>
      <c r="B26" s="111" t="s">
        <v>1082</v>
      </c>
      <c r="C26" s="58">
        <v>43269</v>
      </c>
      <c r="D26" s="78" t="s">
        <v>59</v>
      </c>
      <c r="E26" s="48" t="s">
        <v>54</v>
      </c>
      <c r="F26" s="164" t="s">
        <v>1083</v>
      </c>
      <c r="G26" s="164">
        <v>516</v>
      </c>
      <c r="H26" s="48" t="s">
        <v>1084</v>
      </c>
      <c r="I26" s="164">
        <v>516</v>
      </c>
      <c r="J26" s="164" t="s">
        <v>77</v>
      </c>
      <c r="K26" s="164"/>
      <c r="L26" s="57" t="s">
        <v>1081</v>
      </c>
      <c r="M26" s="15"/>
      <c r="N26" s="15"/>
      <c r="O26" s="20" t="s">
        <v>1066</v>
      </c>
      <c r="P26" s="21">
        <v>4</v>
      </c>
      <c r="Q26" s="22" t="s">
        <v>21</v>
      </c>
    </row>
    <row r="27" spans="1:17" ht="24.75" customHeight="1" x14ac:dyDescent="0.25">
      <c r="A27" s="288"/>
      <c r="B27" s="111" t="s">
        <v>804</v>
      </c>
      <c r="C27" s="58"/>
      <c r="D27" s="78"/>
      <c r="E27" s="48"/>
      <c r="F27" s="164"/>
      <c r="G27" s="164"/>
      <c r="H27" s="48"/>
      <c r="I27" s="164"/>
      <c r="J27" s="164"/>
      <c r="K27" s="164"/>
      <c r="L27" s="57"/>
      <c r="M27" s="49"/>
      <c r="N27" s="49"/>
      <c r="O27" s="100"/>
      <c r="P27" s="50"/>
      <c r="Q27" s="22"/>
    </row>
    <row r="28" spans="1:17" ht="24.75" customHeight="1" thickBot="1" x14ac:dyDescent="0.3">
      <c r="A28" s="289"/>
      <c r="B28" s="93" t="s">
        <v>64</v>
      </c>
      <c r="C28" s="301" t="s">
        <v>98</v>
      </c>
      <c r="D28" s="302"/>
      <c r="E28" s="302"/>
      <c r="F28" s="303"/>
      <c r="G28" s="254"/>
      <c r="H28" s="254"/>
      <c r="I28" s="254">
        <f>SUM(I22:I26)</f>
        <v>1812</v>
      </c>
      <c r="J28" s="254"/>
      <c r="K28" s="254"/>
      <c r="L28" s="257"/>
      <c r="M28" s="254"/>
      <c r="N28" s="254"/>
      <c r="O28" s="254"/>
      <c r="P28" s="255"/>
      <c r="Q28" s="255"/>
    </row>
    <row r="29" spans="1:17" ht="29.2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SUM(I28,I21,I15,I9)</f>
        <v>6846</v>
      </c>
      <c r="J29" s="70"/>
      <c r="K29" s="70"/>
      <c r="L29" s="65"/>
      <c r="M29" s="71"/>
      <c r="N29" s="69"/>
      <c r="O29" s="70"/>
      <c r="P29" s="70"/>
      <c r="Q29" s="72"/>
    </row>
    <row r="30" spans="1:17" ht="17.25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56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18">
    <mergeCell ref="A4:A9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8"/>
    <mergeCell ref="C28:F28"/>
    <mergeCell ref="F31:Q31"/>
    <mergeCell ref="B32:Q32"/>
    <mergeCell ref="F33:O33"/>
    <mergeCell ref="P33:Q33"/>
    <mergeCell ref="B34:O34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zoomScaleNormal="100" workbookViewId="0">
      <selection activeCell="G7" sqref="G7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985</v>
      </c>
      <c r="C4" s="140">
        <v>43274</v>
      </c>
      <c r="D4" s="77" t="s">
        <v>93</v>
      </c>
      <c r="E4" s="81" t="s">
        <v>34</v>
      </c>
      <c r="F4" s="40" t="s">
        <v>108</v>
      </c>
      <c r="G4" s="155">
        <v>1920</v>
      </c>
      <c r="H4" s="81" t="s">
        <v>51</v>
      </c>
      <c r="I4" s="155">
        <f>1920-216*8</f>
        <v>192</v>
      </c>
      <c r="J4" s="81" t="s">
        <v>243</v>
      </c>
      <c r="K4" s="155"/>
      <c r="L4" s="247" t="s">
        <v>61</v>
      </c>
      <c r="M4" s="16"/>
      <c r="N4" s="16"/>
      <c r="O4" s="17" t="s">
        <v>1063</v>
      </c>
      <c r="P4" s="18">
        <v>1</v>
      </c>
      <c r="Q4" s="19" t="s">
        <v>19</v>
      </c>
    </row>
    <row r="5" spans="1:17" ht="21.75" customHeight="1" x14ac:dyDescent="0.25">
      <c r="A5" s="288"/>
      <c r="B5" s="45" t="s">
        <v>1085</v>
      </c>
      <c r="C5" s="46">
        <v>43274</v>
      </c>
      <c r="D5" s="47" t="s">
        <v>93</v>
      </c>
      <c r="E5" s="48" t="s">
        <v>34</v>
      </c>
      <c r="F5" s="164" t="s">
        <v>108</v>
      </c>
      <c r="G5" s="164">
        <v>384</v>
      </c>
      <c r="H5" s="48" t="s">
        <v>51</v>
      </c>
      <c r="I5" s="164">
        <v>384</v>
      </c>
      <c r="J5" s="48" t="s">
        <v>168</v>
      </c>
      <c r="K5" s="164"/>
      <c r="L5" s="51" t="s">
        <v>1088</v>
      </c>
      <c r="M5" s="49"/>
      <c r="N5" s="15"/>
      <c r="O5" s="20" t="s">
        <v>1064</v>
      </c>
      <c r="P5" s="21">
        <v>2</v>
      </c>
      <c r="Q5" s="22" t="s">
        <v>20</v>
      </c>
    </row>
    <row r="6" spans="1:17" ht="21.75" customHeight="1" x14ac:dyDescent="0.25">
      <c r="A6" s="288"/>
      <c r="B6" s="43" t="s">
        <v>1086</v>
      </c>
      <c r="C6" s="141">
        <v>43283</v>
      </c>
      <c r="D6" s="78" t="s">
        <v>93</v>
      </c>
      <c r="E6" s="60" t="s">
        <v>34</v>
      </c>
      <c r="F6" s="38" t="s">
        <v>108</v>
      </c>
      <c r="G6" s="38">
        <v>4656</v>
      </c>
      <c r="H6" s="60" t="s">
        <v>51</v>
      </c>
      <c r="I6" s="128">
        <v>432</v>
      </c>
      <c r="J6" s="60" t="s">
        <v>168</v>
      </c>
      <c r="K6" s="38"/>
      <c r="L6" s="91" t="s">
        <v>1088</v>
      </c>
      <c r="M6" s="49"/>
      <c r="N6" s="15"/>
      <c r="O6" s="20" t="s">
        <v>1065</v>
      </c>
      <c r="P6" s="21">
        <v>3</v>
      </c>
      <c r="Q6" s="22" t="s">
        <v>21</v>
      </c>
    </row>
    <row r="7" spans="1:17" ht="21.75" customHeight="1" x14ac:dyDescent="0.25">
      <c r="A7" s="288"/>
      <c r="B7" s="43" t="s">
        <v>1087</v>
      </c>
      <c r="C7" s="141"/>
      <c r="D7" s="78"/>
      <c r="E7" s="60"/>
      <c r="F7" s="38"/>
      <c r="G7" s="38"/>
      <c r="H7" s="60"/>
      <c r="I7" s="38">
        <v>432</v>
      </c>
      <c r="J7" s="60" t="s">
        <v>82</v>
      </c>
      <c r="K7" s="38"/>
      <c r="L7" s="91" t="s">
        <v>61</v>
      </c>
      <c r="M7" s="49"/>
      <c r="N7" s="15"/>
      <c r="O7" s="20" t="s">
        <v>1066</v>
      </c>
      <c r="P7" s="21">
        <v>4</v>
      </c>
      <c r="Q7" s="22" t="s">
        <v>21</v>
      </c>
    </row>
    <row r="8" spans="1:17" ht="21.75" customHeight="1" x14ac:dyDescent="0.25">
      <c r="A8" s="288"/>
      <c r="B8" s="45"/>
      <c r="C8" s="141"/>
      <c r="D8" s="78"/>
      <c r="E8" s="48"/>
      <c r="F8" s="39"/>
      <c r="G8" s="164"/>
      <c r="H8" s="48"/>
      <c r="I8" s="164"/>
      <c r="J8" s="48"/>
      <c r="K8" s="164"/>
      <c r="L8" s="228"/>
      <c r="M8" s="49"/>
      <c r="N8" s="15"/>
      <c r="O8" s="20"/>
      <c r="P8" s="21"/>
      <c r="Q8" s="22"/>
    </row>
    <row r="9" spans="1:17" ht="21.75" customHeight="1" thickBot="1" x14ac:dyDescent="0.3">
      <c r="A9" s="289"/>
      <c r="B9" s="93"/>
      <c r="C9" s="254"/>
      <c r="D9" s="254"/>
      <c r="E9" s="254"/>
      <c r="F9" s="254"/>
      <c r="G9" s="254"/>
      <c r="H9" s="254"/>
      <c r="I9" s="254">
        <f>SUM(I4:I8)</f>
        <v>1440</v>
      </c>
      <c r="J9" s="254"/>
      <c r="K9" s="254"/>
      <c r="L9" s="257"/>
      <c r="M9" s="254"/>
      <c r="N9" s="254"/>
      <c r="O9" s="114"/>
      <c r="P9" s="255"/>
      <c r="Q9" s="152"/>
    </row>
    <row r="10" spans="1:17" ht="21.75" customHeight="1" x14ac:dyDescent="0.25">
      <c r="A10" s="287" t="s">
        <v>41</v>
      </c>
      <c r="B10" s="42" t="s">
        <v>1052</v>
      </c>
      <c r="C10" s="140">
        <v>43266</v>
      </c>
      <c r="D10" s="140" t="s">
        <v>55</v>
      </c>
      <c r="E10" s="41" t="s">
        <v>54</v>
      </c>
      <c r="F10" s="40" t="s">
        <v>1048</v>
      </c>
      <c r="G10" s="40">
        <v>912</v>
      </c>
      <c r="H10" s="41" t="s">
        <v>1061</v>
      </c>
      <c r="I10" s="155">
        <f>912-216*2</f>
        <v>480</v>
      </c>
      <c r="J10" s="81" t="s">
        <v>82</v>
      </c>
      <c r="K10" s="155"/>
      <c r="L10" s="54" t="s">
        <v>1050</v>
      </c>
      <c r="M10" s="16"/>
      <c r="N10" s="16"/>
      <c r="O10" s="17" t="s">
        <v>1063</v>
      </c>
      <c r="P10" s="18">
        <v>1</v>
      </c>
      <c r="Q10" s="19" t="s">
        <v>19</v>
      </c>
    </row>
    <row r="11" spans="1:17" ht="21.75" customHeight="1" x14ac:dyDescent="0.25">
      <c r="A11" s="288"/>
      <c r="B11" s="45" t="s">
        <v>1089</v>
      </c>
      <c r="C11" s="58">
        <v>43281</v>
      </c>
      <c r="D11" s="141" t="s">
        <v>59</v>
      </c>
      <c r="E11" s="79" t="s">
        <v>54</v>
      </c>
      <c r="F11" s="38" t="s">
        <v>101</v>
      </c>
      <c r="G11" s="164">
        <v>216</v>
      </c>
      <c r="H11" s="48" t="s">
        <v>100</v>
      </c>
      <c r="I11" s="164">
        <v>216</v>
      </c>
      <c r="J11" s="48" t="s">
        <v>84</v>
      </c>
      <c r="K11" s="164"/>
      <c r="L11" s="57" t="s">
        <v>1091</v>
      </c>
      <c r="M11" s="63"/>
      <c r="N11" s="63"/>
      <c r="O11" s="20" t="s">
        <v>1064</v>
      </c>
      <c r="P11" s="21">
        <v>2</v>
      </c>
      <c r="Q11" s="22" t="s">
        <v>20</v>
      </c>
    </row>
    <row r="12" spans="1:17" ht="21.75" customHeight="1" x14ac:dyDescent="0.25">
      <c r="A12" s="288"/>
      <c r="B12" s="43" t="s">
        <v>1090</v>
      </c>
      <c r="C12" s="141">
        <v>43282</v>
      </c>
      <c r="D12" s="141" t="s">
        <v>55</v>
      </c>
      <c r="E12" s="79" t="s">
        <v>54</v>
      </c>
      <c r="F12" s="38" t="s">
        <v>101</v>
      </c>
      <c r="G12" s="38">
        <v>528</v>
      </c>
      <c r="H12" s="60" t="s">
        <v>100</v>
      </c>
      <c r="I12" s="164">
        <v>528</v>
      </c>
      <c r="J12" s="48" t="s">
        <v>1076</v>
      </c>
      <c r="K12" s="164"/>
      <c r="L12" s="88" t="s">
        <v>1091</v>
      </c>
      <c r="M12" s="49"/>
      <c r="N12" s="49"/>
      <c r="O12" s="20" t="s">
        <v>1065</v>
      </c>
      <c r="P12" s="21">
        <v>3</v>
      </c>
      <c r="Q12" s="22" t="s">
        <v>21</v>
      </c>
    </row>
    <row r="13" spans="1:17" ht="21.75" customHeight="1" x14ac:dyDescent="0.25">
      <c r="A13" s="288"/>
      <c r="B13" s="45" t="s">
        <v>1092</v>
      </c>
      <c r="C13" s="58">
        <v>43283</v>
      </c>
      <c r="D13" s="141" t="s">
        <v>59</v>
      </c>
      <c r="E13" s="79" t="s">
        <v>54</v>
      </c>
      <c r="F13" s="38" t="s">
        <v>101</v>
      </c>
      <c r="G13" s="164">
        <v>324</v>
      </c>
      <c r="H13" s="48" t="s">
        <v>100</v>
      </c>
      <c r="I13" s="164">
        <v>216</v>
      </c>
      <c r="J13" s="48" t="s">
        <v>84</v>
      </c>
      <c r="K13" s="164"/>
      <c r="L13" s="57" t="s">
        <v>1091</v>
      </c>
      <c r="M13" s="49"/>
      <c r="N13" s="49"/>
      <c r="O13" s="20" t="s">
        <v>1066</v>
      </c>
      <c r="P13" s="21">
        <v>4</v>
      </c>
      <c r="Q13" s="22" t="s">
        <v>21</v>
      </c>
    </row>
    <row r="14" spans="1:17" ht="21.75" customHeight="1" x14ac:dyDescent="0.25">
      <c r="A14" s="288"/>
      <c r="B14" s="43" t="s">
        <v>1138</v>
      </c>
      <c r="C14" s="141"/>
      <c r="D14" s="141"/>
      <c r="E14" s="79"/>
      <c r="F14" s="38"/>
      <c r="G14" s="38"/>
      <c r="H14" s="60"/>
      <c r="I14" s="164"/>
      <c r="J14" s="48"/>
      <c r="K14" s="164"/>
      <c r="L14" s="88"/>
      <c r="M14" s="49"/>
      <c r="N14" s="49"/>
      <c r="O14" s="20"/>
      <c r="P14" s="21"/>
      <c r="Q14" s="22"/>
    </row>
    <row r="15" spans="1:17" ht="21.75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254"/>
      <c r="H15" s="254"/>
      <c r="I15" s="254">
        <f>SUM(I10:I14)</f>
        <v>1440</v>
      </c>
      <c r="J15" s="254"/>
      <c r="K15" s="254"/>
      <c r="L15" s="257"/>
      <c r="M15" s="254"/>
      <c r="N15" s="254"/>
      <c r="O15" s="114"/>
      <c r="P15" s="255"/>
      <c r="Q15" s="152"/>
    </row>
    <row r="16" spans="1:17" ht="21.75" customHeight="1" x14ac:dyDescent="0.25">
      <c r="A16" s="287" t="s">
        <v>42</v>
      </c>
      <c r="B16" s="42" t="s">
        <v>1038</v>
      </c>
      <c r="C16" s="140">
        <v>43296</v>
      </c>
      <c r="D16" s="90" t="s">
        <v>988</v>
      </c>
      <c r="E16" s="62" t="s">
        <v>393</v>
      </c>
      <c r="F16" s="40" t="s">
        <v>508</v>
      </c>
      <c r="G16" s="248">
        <v>804</v>
      </c>
      <c r="H16" s="41" t="s">
        <v>395</v>
      </c>
      <c r="I16" s="40">
        <f>192*2</f>
        <v>384</v>
      </c>
      <c r="J16" s="40" t="s">
        <v>1093</v>
      </c>
      <c r="K16" s="40"/>
      <c r="L16" s="90" t="s">
        <v>1039</v>
      </c>
      <c r="M16" s="16"/>
      <c r="N16" s="16"/>
      <c r="O16" s="17" t="s">
        <v>1063</v>
      </c>
      <c r="P16" s="18">
        <v>1</v>
      </c>
      <c r="Q16" s="19" t="s">
        <v>19</v>
      </c>
    </row>
    <row r="17" spans="1:17" ht="21.75" customHeight="1" x14ac:dyDescent="0.25">
      <c r="A17" s="288"/>
      <c r="B17" s="45" t="s">
        <v>1040</v>
      </c>
      <c r="C17" s="305" t="s">
        <v>35</v>
      </c>
      <c r="D17" s="306"/>
      <c r="E17" s="58"/>
      <c r="F17" s="38"/>
      <c r="G17" s="89"/>
      <c r="H17" s="48"/>
      <c r="I17" s="164">
        <f>804-192*3</f>
        <v>228</v>
      </c>
      <c r="J17" s="164" t="s">
        <v>246</v>
      </c>
      <c r="K17" s="164"/>
      <c r="L17" s="51"/>
      <c r="M17" s="15"/>
      <c r="N17" s="15"/>
      <c r="O17" s="20" t="s">
        <v>1064</v>
      </c>
      <c r="P17" s="21">
        <v>2</v>
      </c>
      <c r="Q17" s="22" t="s">
        <v>20</v>
      </c>
    </row>
    <row r="18" spans="1:17" ht="21.75" customHeight="1" x14ac:dyDescent="0.25">
      <c r="A18" s="288"/>
      <c r="B18" s="45" t="s">
        <v>1094</v>
      </c>
      <c r="C18" s="141">
        <v>43296</v>
      </c>
      <c r="D18" s="91" t="s">
        <v>988</v>
      </c>
      <c r="E18" s="137" t="s">
        <v>393</v>
      </c>
      <c r="F18" s="38" t="s">
        <v>508</v>
      </c>
      <c r="G18" s="89">
        <v>852</v>
      </c>
      <c r="H18" s="48" t="s">
        <v>395</v>
      </c>
      <c r="I18" s="164">
        <f>192*2</f>
        <v>384</v>
      </c>
      <c r="J18" s="164" t="s">
        <v>168</v>
      </c>
      <c r="K18" s="164"/>
      <c r="L18" s="51" t="s">
        <v>1095</v>
      </c>
      <c r="M18" s="15"/>
      <c r="N18" s="15"/>
      <c r="O18" s="20" t="s">
        <v>1065</v>
      </c>
      <c r="P18" s="21">
        <v>3</v>
      </c>
      <c r="Q18" s="22" t="s">
        <v>21</v>
      </c>
    </row>
    <row r="19" spans="1:17" ht="21.75" customHeight="1" x14ac:dyDescent="0.25">
      <c r="A19" s="288"/>
      <c r="B19" s="45" t="s">
        <v>97</v>
      </c>
      <c r="C19" s="305" t="s">
        <v>35</v>
      </c>
      <c r="D19" s="306"/>
      <c r="E19" s="58"/>
      <c r="F19" s="39"/>
      <c r="G19" s="89"/>
      <c r="H19" s="79"/>
      <c r="I19" s="164">
        <f>852-384</f>
        <v>468</v>
      </c>
      <c r="J19" s="164" t="s">
        <v>82</v>
      </c>
      <c r="K19" s="164"/>
      <c r="L19" s="44"/>
      <c r="M19" s="49"/>
      <c r="N19" s="49"/>
      <c r="O19" s="20" t="s">
        <v>1066</v>
      </c>
      <c r="P19" s="21">
        <v>4</v>
      </c>
      <c r="Q19" s="22" t="s">
        <v>21</v>
      </c>
    </row>
    <row r="20" spans="1:17" ht="21.75" customHeight="1" x14ac:dyDescent="0.25">
      <c r="A20" s="288"/>
      <c r="B20" s="43"/>
      <c r="C20" s="141"/>
      <c r="D20" s="91"/>
      <c r="E20" s="58"/>
      <c r="F20" s="38"/>
      <c r="G20" s="105"/>
      <c r="H20" s="60"/>
      <c r="I20" s="38"/>
      <c r="J20" s="38"/>
      <c r="K20" s="38"/>
      <c r="L20" s="91"/>
      <c r="M20" s="49"/>
      <c r="N20" s="49"/>
      <c r="O20" s="20"/>
      <c r="P20" s="21"/>
      <c r="Q20" s="22"/>
    </row>
    <row r="21" spans="1:17" ht="21.7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54"/>
      <c r="H21" s="254"/>
      <c r="I21" s="254">
        <f>SUM(I16:I20)</f>
        <v>1464</v>
      </c>
      <c r="J21" s="254"/>
      <c r="K21" s="254"/>
      <c r="L21" s="257"/>
      <c r="M21" s="254"/>
      <c r="N21" s="254"/>
      <c r="O21" s="114"/>
      <c r="P21" s="255"/>
      <c r="Q21" s="152"/>
    </row>
    <row r="22" spans="1:17" ht="21.75" customHeight="1" x14ac:dyDescent="0.25">
      <c r="A22" s="287" t="s">
        <v>43</v>
      </c>
      <c r="B22" s="42" t="s">
        <v>1055</v>
      </c>
      <c r="C22" s="140">
        <v>43303</v>
      </c>
      <c r="D22" s="90" t="s">
        <v>988</v>
      </c>
      <c r="E22" s="81" t="s">
        <v>34</v>
      </c>
      <c r="F22" s="40" t="s">
        <v>276</v>
      </c>
      <c r="G22" s="40">
        <v>600</v>
      </c>
      <c r="H22" s="41" t="s">
        <v>277</v>
      </c>
      <c r="I22" s="155">
        <f>600-216</f>
        <v>384</v>
      </c>
      <c r="J22" s="81" t="s">
        <v>517</v>
      </c>
      <c r="K22" s="155"/>
      <c r="L22" s="53" t="s">
        <v>1057</v>
      </c>
      <c r="M22" s="16"/>
      <c r="N22" s="16"/>
      <c r="O22" s="17" t="s">
        <v>1063</v>
      </c>
      <c r="P22" s="18">
        <v>1</v>
      </c>
      <c r="Q22" s="19" t="s">
        <v>19</v>
      </c>
    </row>
    <row r="23" spans="1:17" ht="21.75" customHeight="1" x14ac:dyDescent="0.25">
      <c r="A23" s="288"/>
      <c r="B23" s="45" t="s">
        <v>383</v>
      </c>
      <c r="C23" s="305" t="s">
        <v>1021</v>
      </c>
      <c r="D23" s="306"/>
      <c r="E23" s="48"/>
      <c r="F23" s="39"/>
      <c r="G23" s="39"/>
      <c r="H23" s="79"/>
      <c r="I23" s="164"/>
      <c r="J23" s="48"/>
      <c r="K23" s="164"/>
      <c r="L23" s="57"/>
      <c r="M23" s="15"/>
      <c r="N23" s="15"/>
      <c r="O23" s="20"/>
      <c r="P23" s="21"/>
      <c r="Q23" s="22"/>
    </row>
    <row r="24" spans="1:17" ht="21.75" customHeight="1" x14ac:dyDescent="0.25">
      <c r="A24" s="288"/>
      <c r="B24" s="43" t="s">
        <v>1097</v>
      </c>
      <c r="C24" s="141">
        <v>43302</v>
      </c>
      <c r="D24" s="91" t="s">
        <v>988</v>
      </c>
      <c r="E24" s="253" t="s">
        <v>34</v>
      </c>
      <c r="F24" s="38" t="s">
        <v>276</v>
      </c>
      <c r="G24" s="105">
        <v>2400</v>
      </c>
      <c r="H24" s="60" t="s">
        <v>277</v>
      </c>
      <c r="I24" s="38">
        <v>432</v>
      </c>
      <c r="J24" s="38" t="s">
        <v>168</v>
      </c>
      <c r="K24" s="38"/>
      <c r="L24" s="44" t="s">
        <v>1095</v>
      </c>
      <c r="M24" s="49"/>
      <c r="N24" s="49"/>
      <c r="O24" s="20" t="s">
        <v>1064</v>
      </c>
      <c r="P24" s="21">
        <v>2</v>
      </c>
      <c r="Q24" s="22" t="s">
        <v>20</v>
      </c>
    </row>
    <row r="25" spans="1:17" ht="21.75" customHeight="1" x14ac:dyDescent="0.25">
      <c r="A25" s="288"/>
      <c r="B25" s="45" t="s">
        <v>780</v>
      </c>
      <c r="C25" s="141"/>
      <c r="D25" s="91"/>
      <c r="E25" s="48"/>
      <c r="F25" s="39"/>
      <c r="G25" s="39"/>
      <c r="H25" s="79"/>
      <c r="I25" s="38">
        <v>432</v>
      </c>
      <c r="J25" s="60" t="s">
        <v>82</v>
      </c>
      <c r="K25" s="38"/>
      <c r="L25" s="44"/>
      <c r="M25" s="49"/>
      <c r="N25" s="49"/>
      <c r="O25" s="20" t="s">
        <v>1065</v>
      </c>
      <c r="P25" s="21">
        <v>3</v>
      </c>
      <c r="Q25" s="22" t="s">
        <v>21</v>
      </c>
    </row>
    <row r="26" spans="1:17" ht="21.75" customHeight="1" x14ac:dyDescent="0.25">
      <c r="A26" s="288"/>
      <c r="B26" s="43"/>
      <c r="C26" s="141"/>
      <c r="D26" s="91"/>
      <c r="E26" s="253"/>
      <c r="F26" s="38"/>
      <c r="G26" s="105"/>
      <c r="H26" s="60"/>
      <c r="I26" s="38">
        <v>216</v>
      </c>
      <c r="J26" s="38" t="s">
        <v>78</v>
      </c>
      <c r="K26" s="164"/>
      <c r="L26" s="44"/>
      <c r="M26" s="49"/>
      <c r="N26" s="49"/>
      <c r="O26" s="20" t="s">
        <v>1066</v>
      </c>
      <c r="P26" s="21">
        <v>4</v>
      </c>
      <c r="Q26" s="22" t="s">
        <v>21</v>
      </c>
    </row>
    <row r="27" spans="1:17" ht="21.75" customHeight="1" x14ac:dyDescent="0.25">
      <c r="A27" s="288"/>
      <c r="B27" s="45"/>
      <c r="C27" s="141"/>
      <c r="D27" s="91"/>
      <c r="E27" s="48"/>
      <c r="F27" s="39"/>
      <c r="G27" s="39"/>
      <c r="H27" s="79"/>
      <c r="I27" s="164"/>
      <c r="J27" s="48"/>
      <c r="K27" s="164"/>
      <c r="L27" s="57"/>
      <c r="M27" s="49"/>
      <c r="N27" s="49"/>
      <c r="O27" s="20"/>
      <c r="P27" s="21"/>
      <c r="Q27" s="22"/>
    </row>
    <row r="28" spans="1:17" ht="24" customHeight="1" thickBot="1" x14ac:dyDescent="0.3">
      <c r="A28" s="289"/>
      <c r="B28" s="93" t="s">
        <v>64</v>
      </c>
      <c r="C28" s="290" t="s">
        <v>98</v>
      </c>
      <c r="D28" s="291"/>
      <c r="E28" s="291"/>
      <c r="F28" s="292"/>
      <c r="G28" s="254"/>
      <c r="H28" s="254"/>
      <c r="I28" s="254">
        <f>SUM(I22:I27)</f>
        <v>1464</v>
      </c>
      <c r="J28" s="254"/>
      <c r="K28" s="254"/>
      <c r="L28" s="257"/>
      <c r="M28" s="254"/>
      <c r="N28" s="254"/>
      <c r="O28" s="114"/>
      <c r="P28" s="255"/>
      <c r="Q28" s="152"/>
    </row>
    <row r="29" spans="1:17" ht="25.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SUM(I28,I21,I15,I9)</f>
        <v>5808</v>
      </c>
      <c r="J29" s="70"/>
      <c r="K29" s="70"/>
      <c r="L29" s="65"/>
      <c r="M29" s="71"/>
      <c r="N29" s="69"/>
      <c r="O29" s="70"/>
      <c r="P29" s="70"/>
      <c r="Q29" s="72"/>
    </row>
    <row r="30" spans="1:17" ht="17.25" customHeight="1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56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20">
    <mergeCell ref="A4:A9"/>
    <mergeCell ref="A1:Q1"/>
    <mergeCell ref="A2:B2"/>
    <mergeCell ref="C2:E2"/>
    <mergeCell ref="F2:G2"/>
    <mergeCell ref="O2:Q2"/>
    <mergeCell ref="C19:D19"/>
    <mergeCell ref="A22:A28"/>
    <mergeCell ref="C23:D23"/>
    <mergeCell ref="C28:F28"/>
    <mergeCell ref="A10:A15"/>
    <mergeCell ref="C15:F15"/>
    <mergeCell ref="A16:A21"/>
    <mergeCell ref="C17:D17"/>
    <mergeCell ref="C21:F21"/>
    <mergeCell ref="F31:Q31"/>
    <mergeCell ref="B32:Q32"/>
    <mergeCell ref="F33:O33"/>
    <mergeCell ref="P33:Q33"/>
    <mergeCell ref="B34:O34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6"/>
  <sheetViews>
    <sheetView topLeftCell="A5" zoomScale="109" zoomScaleNormal="109" workbookViewId="0">
      <selection activeCell="B13" sqref="B13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43262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43263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1" customHeight="1" x14ac:dyDescent="0.25">
      <c r="A4" s="307" t="s">
        <v>44</v>
      </c>
      <c r="B4" s="42" t="s">
        <v>1098</v>
      </c>
      <c r="C4" s="121">
        <v>43269</v>
      </c>
      <c r="D4" s="109" t="s">
        <v>59</v>
      </c>
      <c r="E4" s="122" t="s">
        <v>54</v>
      </c>
      <c r="F4" s="108" t="s">
        <v>989</v>
      </c>
      <c r="G4" s="40">
        <v>720</v>
      </c>
      <c r="H4" s="41" t="s">
        <v>990</v>
      </c>
      <c r="I4" s="155">
        <v>432</v>
      </c>
      <c r="J4" s="155" t="s">
        <v>168</v>
      </c>
      <c r="K4" s="155"/>
      <c r="L4" s="123" t="s">
        <v>80</v>
      </c>
      <c r="M4" s="16"/>
      <c r="N4" s="16"/>
      <c r="O4" s="17" t="s">
        <v>1063</v>
      </c>
      <c r="P4" s="18">
        <v>1</v>
      </c>
      <c r="Q4" s="19" t="s">
        <v>19</v>
      </c>
    </row>
    <row r="5" spans="1:28" ht="21" customHeight="1" x14ac:dyDescent="0.25">
      <c r="A5" s="308"/>
      <c r="B5" s="45" t="s">
        <v>1099</v>
      </c>
      <c r="C5" s="117"/>
      <c r="D5" s="113"/>
      <c r="E5" s="102"/>
      <c r="F5" s="101"/>
      <c r="G5" s="39"/>
      <c r="H5" s="79"/>
      <c r="I5" s="164">
        <f>720-216*2</f>
        <v>288</v>
      </c>
      <c r="J5" s="164" t="s">
        <v>182</v>
      </c>
      <c r="K5" s="164"/>
      <c r="L5" s="51"/>
      <c r="M5" s="87"/>
      <c r="N5" s="87"/>
      <c r="O5" s="20" t="s">
        <v>1064</v>
      </c>
      <c r="P5" s="21">
        <v>2</v>
      </c>
      <c r="Q5" s="22" t="s">
        <v>20</v>
      </c>
    </row>
    <row r="6" spans="1:28" ht="21" customHeight="1" x14ac:dyDescent="0.25">
      <c r="A6" s="308"/>
      <c r="B6" s="45" t="s">
        <v>1100</v>
      </c>
      <c r="C6" s="117">
        <v>43266</v>
      </c>
      <c r="D6" s="113" t="s">
        <v>59</v>
      </c>
      <c r="E6" s="102" t="s">
        <v>143</v>
      </c>
      <c r="F6" s="101" t="s">
        <v>1101</v>
      </c>
      <c r="G6" s="39">
        <v>528</v>
      </c>
      <c r="H6" s="79" t="s">
        <v>1102</v>
      </c>
      <c r="I6" s="164">
        <v>528</v>
      </c>
      <c r="J6" s="164" t="s">
        <v>168</v>
      </c>
      <c r="K6" s="164"/>
      <c r="L6" s="51" t="s">
        <v>1103</v>
      </c>
      <c r="M6" s="49"/>
      <c r="N6" s="49"/>
      <c r="O6" s="20" t="s">
        <v>1065</v>
      </c>
      <c r="P6" s="21">
        <v>3</v>
      </c>
      <c r="Q6" s="22" t="s">
        <v>21</v>
      </c>
    </row>
    <row r="7" spans="1:28" ht="21" customHeight="1" x14ac:dyDescent="0.25">
      <c r="A7" s="308"/>
      <c r="B7" s="45" t="s">
        <v>1104</v>
      </c>
      <c r="C7" s="117">
        <v>43266</v>
      </c>
      <c r="D7" s="113" t="s">
        <v>59</v>
      </c>
      <c r="E7" s="102" t="s">
        <v>143</v>
      </c>
      <c r="F7" s="101" t="s">
        <v>1146</v>
      </c>
      <c r="G7" s="39">
        <v>264</v>
      </c>
      <c r="H7" s="79" t="s">
        <v>1102</v>
      </c>
      <c r="I7" s="164">
        <v>264</v>
      </c>
      <c r="J7" s="164" t="s">
        <v>84</v>
      </c>
      <c r="K7" s="164"/>
      <c r="L7" s="51" t="s">
        <v>1103</v>
      </c>
      <c r="M7" s="49"/>
      <c r="N7" s="49"/>
      <c r="O7" s="20"/>
      <c r="P7" s="21"/>
      <c r="Q7" s="22"/>
    </row>
    <row r="8" spans="1:28" ht="21" customHeight="1" x14ac:dyDescent="0.25">
      <c r="A8" s="308"/>
      <c r="B8" s="45" t="s">
        <v>1139</v>
      </c>
      <c r="C8" s="117">
        <v>43269</v>
      </c>
      <c r="D8" s="113" t="s">
        <v>59</v>
      </c>
      <c r="E8" s="102" t="s">
        <v>143</v>
      </c>
      <c r="F8" s="101" t="s">
        <v>1140</v>
      </c>
      <c r="G8" s="39">
        <v>1140</v>
      </c>
      <c r="H8" s="79" t="s">
        <v>1102</v>
      </c>
      <c r="I8" s="164">
        <v>216</v>
      </c>
      <c r="J8" s="164" t="s">
        <v>1142</v>
      </c>
      <c r="K8" s="164"/>
      <c r="L8" s="51" t="s">
        <v>1143</v>
      </c>
      <c r="M8" s="49"/>
      <c r="N8" s="49"/>
      <c r="O8" s="20" t="s">
        <v>1066</v>
      </c>
      <c r="P8" s="21">
        <v>4</v>
      </c>
      <c r="Q8" s="22" t="s">
        <v>21</v>
      </c>
    </row>
    <row r="9" spans="1:28" ht="21" customHeight="1" x14ac:dyDescent="0.25">
      <c r="A9" s="308"/>
      <c r="B9" s="45" t="s">
        <v>1141</v>
      </c>
      <c r="C9" s="117"/>
      <c r="D9" s="113"/>
      <c r="E9" s="102"/>
      <c r="F9" s="101"/>
      <c r="G9" s="164"/>
      <c r="H9" s="48"/>
      <c r="I9" s="164"/>
      <c r="J9" s="164"/>
      <c r="K9" s="164"/>
      <c r="L9" s="51"/>
      <c r="M9" s="49"/>
      <c r="N9" s="49"/>
      <c r="O9" s="124"/>
      <c r="P9" s="50"/>
      <c r="Q9" s="22"/>
    </row>
    <row r="10" spans="1:28" ht="21" customHeight="1" thickBot="1" x14ac:dyDescent="0.3">
      <c r="A10" s="309"/>
      <c r="B10" s="93" t="s">
        <v>64</v>
      </c>
      <c r="C10" s="290" t="s">
        <v>65</v>
      </c>
      <c r="D10" s="291"/>
      <c r="E10" s="291"/>
      <c r="F10" s="292"/>
      <c r="G10" s="254"/>
      <c r="H10" s="254"/>
      <c r="I10" s="254">
        <f>SUM(I4:I8)</f>
        <v>1728</v>
      </c>
      <c r="J10" s="254"/>
      <c r="K10" s="254"/>
      <c r="L10" s="257"/>
      <c r="M10" s="254"/>
      <c r="N10" s="254"/>
      <c r="O10" s="114"/>
      <c r="P10" s="255"/>
      <c r="Q10" s="255"/>
    </row>
    <row r="11" spans="1:28" ht="21" customHeight="1" x14ac:dyDescent="0.25">
      <c r="A11" s="287" t="s">
        <v>45</v>
      </c>
      <c r="B11" s="42" t="s">
        <v>1216</v>
      </c>
      <c r="C11" s="121">
        <v>43275</v>
      </c>
      <c r="D11" s="109" t="s">
        <v>93</v>
      </c>
      <c r="E11" s="122" t="s">
        <v>54</v>
      </c>
      <c r="F11" s="108" t="s">
        <v>1217</v>
      </c>
      <c r="G11" s="40">
        <v>948</v>
      </c>
      <c r="H11" s="41" t="s">
        <v>1218</v>
      </c>
      <c r="I11" s="155">
        <v>432</v>
      </c>
      <c r="J11" s="155" t="s">
        <v>1220</v>
      </c>
      <c r="K11" s="155"/>
      <c r="L11" s="123" t="s">
        <v>1224</v>
      </c>
      <c r="M11" s="95"/>
      <c r="N11" s="16"/>
      <c r="O11" s="17" t="s">
        <v>1063</v>
      </c>
      <c r="P11" s="18">
        <v>1</v>
      </c>
      <c r="Q11" s="19" t="s">
        <v>19</v>
      </c>
    </row>
    <row r="12" spans="1:28" ht="21" customHeight="1" x14ac:dyDescent="0.25">
      <c r="A12" s="288"/>
      <c r="B12" s="45" t="s">
        <v>1219</v>
      </c>
      <c r="C12" s="112"/>
      <c r="D12" s="110"/>
      <c r="E12" s="221"/>
      <c r="F12" s="222"/>
      <c r="G12" s="164"/>
      <c r="H12" s="48"/>
      <c r="I12" s="164">
        <f>948-216*2</f>
        <v>516</v>
      </c>
      <c r="J12" s="164" t="s">
        <v>1221</v>
      </c>
      <c r="K12" s="164"/>
      <c r="L12" s="51"/>
      <c r="M12" s="15"/>
      <c r="N12" s="63"/>
      <c r="O12" s="20" t="s">
        <v>1064</v>
      </c>
      <c r="P12" s="21">
        <v>2</v>
      </c>
      <c r="Q12" s="22" t="s">
        <v>20</v>
      </c>
    </row>
    <row r="13" spans="1:28" ht="21" customHeight="1" x14ac:dyDescent="0.25">
      <c r="A13" s="288"/>
      <c r="B13" s="45" t="s">
        <v>1222</v>
      </c>
      <c r="C13" s="112">
        <v>43275</v>
      </c>
      <c r="D13" s="110" t="s">
        <v>93</v>
      </c>
      <c r="E13" s="102" t="s">
        <v>54</v>
      </c>
      <c r="F13" s="101" t="s">
        <v>1217</v>
      </c>
      <c r="G13" s="39">
        <v>12</v>
      </c>
      <c r="H13" s="79" t="s">
        <v>1218</v>
      </c>
      <c r="I13" s="164">
        <v>12</v>
      </c>
      <c r="J13" s="164" t="s">
        <v>1223</v>
      </c>
      <c r="K13" s="164"/>
      <c r="L13" s="51" t="s">
        <v>1224</v>
      </c>
      <c r="M13" s="83"/>
      <c r="N13" s="83"/>
      <c r="O13" s="20" t="s">
        <v>1065</v>
      </c>
      <c r="P13" s="21">
        <v>3</v>
      </c>
      <c r="Q13" s="22" t="s">
        <v>21</v>
      </c>
    </row>
    <row r="14" spans="1:28" ht="21" customHeight="1" x14ac:dyDescent="0.25">
      <c r="A14" s="288"/>
      <c r="B14" s="45" t="s">
        <v>1225</v>
      </c>
      <c r="C14" s="112">
        <v>43275</v>
      </c>
      <c r="D14" s="110" t="s">
        <v>93</v>
      </c>
      <c r="E14" s="102" t="s">
        <v>54</v>
      </c>
      <c r="F14" s="101" t="s">
        <v>1217</v>
      </c>
      <c r="G14" s="39">
        <v>149</v>
      </c>
      <c r="H14" s="79" t="s">
        <v>1218</v>
      </c>
      <c r="I14" s="164">
        <v>149</v>
      </c>
      <c r="J14" s="164" t="s">
        <v>1223</v>
      </c>
      <c r="K14" s="164"/>
      <c r="L14" s="51" t="s">
        <v>1226</v>
      </c>
      <c r="M14" s="15"/>
      <c r="N14" s="15"/>
      <c r="O14" s="20" t="s">
        <v>1066</v>
      </c>
      <c r="P14" s="21">
        <v>4</v>
      </c>
      <c r="Q14" s="22" t="s">
        <v>21</v>
      </c>
    </row>
    <row r="15" spans="1:28" ht="21" customHeight="1" x14ac:dyDescent="0.25">
      <c r="A15" s="288"/>
      <c r="B15" s="45"/>
      <c r="C15" s="344" t="s">
        <v>35</v>
      </c>
      <c r="D15" s="345"/>
      <c r="E15" s="102"/>
      <c r="F15" s="346" t="s">
        <v>1247</v>
      </c>
      <c r="G15" s="347"/>
      <c r="H15" s="348"/>
      <c r="I15" s="164"/>
      <c r="J15" s="164"/>
      <c r="K15" s="164"/>
      <c r="L15" s="51"/>
      <c r="M15" s="15"/>
      <c r="N15" s="15"/>
      <c r="O15" s="20"/>
      <c r="P15" s="21"/>
      <c r="Q15" s="22"/>
    </row>
    <row r="16" spans="1:28" ht="21" customHeight="1" thickBot="1" x14ac:dyDescent="0.3">
      <c r="A16" s="289"/>
      <c r="B16" s="93"/>
      <c r="C16" s="254"/>
      <c r="D16" s="254"/>
      <c r="E16" s="254"/>
      <c r="F16" s="254"/>
      <c r="G16" s="254"/>
      <c r="H16" s="254"/>
      <c r="I16" s="254">
        <f>SUM(I11:I15)</f>
        <v>1109</v>
      </c>
      <c r="J16" s="254"/>
      <c r="K16" s="254"/>
      <c r="L16" s="257"/>
      <c r="M16" s="254"/>
      <c r="N16" s="254"/>
      <c r="O16" s="114"/>
      <c r="P16" s="254"/>
      <c r="Q16" s="254"/>
    </row>
    <row r="17" spans="1:17" ht="21" customHeight="1" x14ac:dyDescent="0.25">
      <c r="A17" s="287" t="s">
        <v>46</v>
      </c>
      <c r="B17" s="42" t="s">
        <v>998</v>
      </c>
      <c r="C17" s="140">
        <v>43309</v>
      </c>
      <c r="D17" s="77" t="s">
        <v>55</v>
      </c>
      <c r="E17" s="41" t="s">
        <v>143</v>
      </c>
      <c r="F17" s="40" t="s">
        <v>1227</v>
      </c>
      <c r="G17" s="40">
        <v>1104</v>
      </c>
      <c r="H17" s="41" t="s">
        <v>918</v>
      </c>
      <c r="I17" s="155">
        <v>432</v>
      </c>
      <c r="J17" s="155" t="s">
        <v>82</v>
      </c>
      <c r="K17" s="155"/>
      <c r="L17" s="97" t="s">
        <v>80</v>
      </c>
      <c r="M17" s="95"/>
      <c r="N17" s="95"/>
      <c r="O17" s="17" t="s">
        <v>1063</v>
      </c>
      <c r="P17" s="18">
        <v>1</v>
      </c>
      <c r="Q17" s="19" t="s">
        <v>19</v>
      </c>
    </row>
    <row r="18" spans="1:17" ht="21" customHeight="1" x14ac:dyDescent="0.25">
      <c r="A18" s="288"/>
      <c r="B18" s="43" t="s">
        <v>74</v>
      </c>
      <c r="C18" s="344" t="s">
        <v>35</v>
      </c>
      <c r="D18" s="345"/>
      <c r="E18" s="60"/>
      <c r="F18" s="38"/>
      <c r="G18" s="38"/>
      <c r="H18" s="60"/>
      <c r="I18" s="164">
        <f>1104-216*4</f>
        <v>240</v>
      </c>
      <c r="J18" s="164" t="s">
        <v>201</v>
      </c>
      <c r="K18" s="164"/>
      <c r="L18" s="99"/>
      <c r="M18" s="49"/>
      <c r="N18" s="15"/>
      <c r="O18" s="20" t="s">
        <v>1064</v>
      </c>
      <c r="P18" s="21">
        <v>2</v>
      </c>
      <c r="Q18" s="22" t="s">
        <v>20</v>
      </c>
    </row>
    <row r="19" spans="1:17" ht="21" customHeight="1" x14ac:dyDescent="0.25">
      <c r="A19" s="288"/>
      <c r="B19" s="43" t="s">
        <v>1105</v>
      </c>
      <c r="C19" s="141">
        <v>43271</v>
      </c>
      <c r="D19" s="78" t="s">
        <v>59</v>
      </c>
      <c r="E19" s="60" t="s">
        <v>143</v>
      </c>
      <c r="F19" s="38" t="s">
        <v>1106</v>
      </c>
      <c r="G19" s="38">
        <v>168</v>
      </c>
      <c r="H19" s="60" t="s">
        <v>66</v>
      </c>
      <c r="I19" s="38">
        <v>168</v>
      </c>
      <c r="J19" s="38" t="s">
        <v>84</v>
      </c>
      <c r="K19" s="38"/>
      <c r="L19" s="99" t="s">
        <v>1109</v>
      </c>
      <c r="M19" s="49"/>
      <c r="N19" s="15"/>
      <c r="O19" s="20"/>
      <c r="P19" s="21"/>
      <c r="Q19" s="22"/>
    </row>
    <row r="20" spans="1:17" ht="21" customHeight="1" x14ac:dyDescent="0.25">
      <c r="A20" s="288"/>
      <c r="B20" s="43" t="s">
        <v>1107</v>
      </c>
      <c r="C20" s="131">
        <v>43276</v>
      </c>
      <c r="D20" s="78" t="s">
        <v>59</v>
      </c>
      <c r="E20" s="60" t="s">
        <v>143</v>
      </c>
      <c r="F20" s="38" t="s">
        <v>1106</v>
      </c>
      <c r="G20" s="38">
        <v>456</v>
      </c>
      <c r="H20" s="60" t="s">
        <v>66</v>
      </c>
      <c r="I20" s="164">
        <v>456</v>
      </c>
      <c r="J20" s="164" t="s">
        <v>168</v>
      </c>
      <c r="K20" s="164"/>
      <c r="L20" s="119" t="s">
        <v>1109</v>
      </c>
      <c r="M20" s="49"/>
      <c r="N20" s="49"/>
      <c r="O20" s="20" t="s">
        <v>1065</v>
      </c>
      <c r="P20" s="21">
        <v>3</v>
      </c>
      <c r="Q20" s="22" t="s">
        <v>21</v>
      </c>
    </row>
    <row r="21" spans="1:17" ht="21" customHeight="1" x14ac:dyDescent="0.25">
      <c r="A21" s="288"/>
      <c r="B21" s="43" t="s">
        <v>1108</v>
      </c>
      <c r="C21" s="131">
        <v>43281</v>
      </c>
      <c r="D21" s="78" t="s">
        <v>59</v>
      </c>
      <c r="E21" s="60" t="s">
        <v>143</v>
      </c>
      <c r="F21" s="38" t="s">
        <v>1106</v>
      </c>
      <c r="G21" s="38">
        <v>180</v>
      </c>
      <c r="H21" s="60" t="s">
        <v>66</v>
      </c>
      <c r="I21" s="164">
        <v>180</v>
      </c>
      <c r="J21" s="164" t="s">
        <v>84</v>
      </c>
      <c r="K21" s="164"/>
      <c r="L21" s="99" t="s">
        <v>1109</v>
      </c>
      <c r="M21" s="49"/>
      <c r="N21" s="59"/>
      <c r="O21" s="20"/>
      <c r="P21" s="21"/>
      <c r="Q21" s="22"/>
    </row>
    <row r="22" spans="1:17" ht="21" customHeight="1" x14ac:dyDescent="0.25">
      <c r="A22" s="288"/>
      <c r="B22" s="45" t="s">
        <v>1110</v>
      </c>
      <c r="C22" s="131">
        <v>43281</v>
      </c>
      <c r="D22" s="78" t="s">
        <v>59</v>
      </c>
      <c r="E22" s="60" t="s">
        <v>143</v>
      </c>
      <c r="F22" s="38" t="s">
        <v>1106</v>
      </c>
      <c r="G22" s="164">
        <v>588</v>
      </c>
      <c r="H22" s="48" t="s">
        <v>66</v>
      </c>
      <c r="I22" s="164">
        <v>216</v>
      </c>
      <c r="J22" s="164" t="s">
        <v>84</v>
      </c>
      <c r="K22" s="164"/>
      <c r="L22" s="119" t="s">
        <v>1109</v>
      </c>
      <c r="M22" s="49"/>
      <c r="N22" s="59"/>
      <c r="O22" s="20" t="s">
        <v>1066</v>
      </c>
      <c r="P22" s="21">
        <v>4</v>
      </c>
      <c r="Q22" s="22" t="s">
        <v>21</v>
      </c>
    </row>
    <row r="23" spans="1:17" ht="21" customHeight="1" x14ac:dyDescent="0.25">
      <c r="A23" s="288"/>
      <c r="B23" s="45" t="s">
        <v>1111</v>
      </c>
      <c r="C23" s="242"/>
      <c r="D23" s="78"/>
      <c r="E23" s="60"/>
      <c r="F23" s="38"/>
      <c r="G23" s="164"/>
      <c r="H23" s="48"/>
      <c r="I23" s="164"/>
      <c r="J23" s="164"/>
      <c r="K23" s="164"/>
      <c r="L23" s="119"/>
      <c r="M23" s="49"/>
      <c r="N23" s="59"/>
      <c r="O23" s="124"/>
      <c r="P23" s="50"/>
      <c r="Q23" s="22"/>
    </row>
    <row r="24" spans="1:17" ht="21" customHeight="1" thickBot="1" x14ac:dyDescent="0.3">
      <c r="A24" s="289"/>
      <c r="B24" s="93" t="s">
        <v>64</v>
      </c>
      <c r="C24" s="290" t="s">
        <v>65</v>
      </c>
      <c r="D24" s="291"/>
      <c r="E24" s="291"/>
      <c r="F24" s="292"/>
      <c r="G24" s="254"/>
      <c r="H24" s="254"/>
      <c r="I24" s="254">
        <f>SUM(I17:I23)</f>
        <v>1692</v>
      </c>
      <c r="J24" s="254"/>
      <c r="K24" s="254"/>
      <c r="L24" s="80"/>
      <c r="M24" s="254"/>
      <c r="N24" s="254"/>
      <c r="O24" s="114"/>
      <c r="P24" s="254"/>
      <c r="Q24" s="255"/>
    </row>
    <row r="25" spans="1:17" ht="21" customHeight="1" x14ac:dyDescent="0.25">
      <c r="A25" s="310" t="s">
        <v>47</v>
      </c>
      <c r="B25" s="42" t="s">
        <v>1112</v>
      </c>
      <c r="C25" s="62">
        <v>43274</v>
      </c>
      <c r="D25" s="77" t="s">
        <v>55</v>
      </c>
      <c r="E25" s="41" t="s">
        <v>69</v>
      </c>
      <c r="F25" s="108" t="s">
        <v>1002</v>
      </c>
      <c r="G25" s="155">
        <v>852</v>
      </c>
      <c r="H25" s="81" t="s">
        <v>66</v>
      </c>
      <c r="I25" s="40">
        <v>432</v>
      </c>
      <c r="J25" s="40" t="s">
        <v>168</v>
      </c>
      <c r="K25" s="40"/>
      <c r="L25" s="97" t="s">
        <v>158</v>
      </c>
      <c r="M25" s="16"/>
      <c r="N25" s="16"/>
      <c r="O25" s="17" t="s">
        <v>1063</v>
      </c>
      <c r="P25" s="18">
        <v>1</v>
      </c>
      <c r="Q25" s="19" t="s">
        <v>19</v>
      </c>
    </row>
    <row r="26" spans="1:17" ht="21" customHeight="1" x14ac:dyDescent="0.25">
      <c r="A26" s="311"/>
      <c r="B26" s="45" t="s">
        <v>1113</v>
      </c>
      <c r="C26" s="46"/>
      <c r="D26" s="47"/>
      <c r="E26" s="48"/>
      <c r="F26" s="222"/>
      <c r="G26" s="164"/>
      <c r="H26" s="48"/>
      <c r="I26" s="164">
        <f>852-432</f>
        <v>420</v>
      </c>
      <c r="J26" s="164" t="s">
        <v>82</v>
      </c>
      <c r="K26" s="164"/>
      <c r="L26" s="212"/>
      <c r="M26" s="87"/>
      <c r="N26" s="87"/>
      <c r="O26" s="20" t="s">
        <v>1064</v>
      </c>
      <c r="P26" s="21">
        <v>2</v>
      </c>
      <c r="Q26" s="22" t="s">
        <v>20</v>
      </c>
    </row>
    <row r="27" spans="1:17" ht="21" customHeight="1" x14ac:dyDescent="0.25">
      <c r="A27" s="311"/>
      <c r="B27" s="45" t="s">
        <v>1114</v>
      </c>
      <c r="C27" s="131">
        <v>43276</v>
      </c>
      <c r="D27" s="82" t="s">
        <v>55</v>
      </c>
      <c r="E27" s="79" t="s">
        <v>69</v>
      </c>
      <c r="F27" s="101" t="s">
        <v>1002</v>
      </c>
      <c r="G27" s="164">
        <v>720</v>
      </c>
      <c r="H27" s="48" t="s">
        <v>66</v>
      </c>
      <c r="I27" s="38">
        <v>216</v>
      </c>
      <c r="J27" s="38" t="s">
        <v>84</v>
      </c>
      <c r="K27" s="38"/>
      <c r="L27" s="99" t="s">
        <v>1109</v>
      </c>
      <c r="M27" s="15"/>
      <c r="N27" s="15"/>
      <c r="O27" s="20" t="s">
        <v>1065</v>
      </c>
      <c r="P27" s="21">
        <v>3</v>
      </c>
      <c r="Q27" s="22" t="s">
        <v>21</v>
      </c>
    </row>
    <row r="28" spans="1:17" ht="21" customHeight="1" x14ac:dyDescent="0.25">
      <c r="A28" s="311"/>
      <c r="B28" s="43" t="s">
        <v>383</v>
      </c>
      <c r="C28" s="344" t="s">
        <v>35</v>
      </c>
      <c r="D28" s="345"/>
      <c r="E28" s="60"/>
      <c r="F28" s="118"/>
      <c r="G28" s="38">
        <f>3348/1400</f>
        <v>2.3914285714285715</v>
      </c>
      <c r="H28" s="60"/>
      <c r="I28" s="38">
        <v>216</v>
      </c>
      <c r="J28" s="38" t="s">
        <v>94</v>
      </c>
      <c r="K28" s="38"/>
      <c r="L28" s="99"/>
      <c r="M28" s="15"/>
      <c r="N28" s="15"/>
      <c r="O28" s="20" t="s">
        <v>1066</v>
      </c>
      <c r="P28" s="21">
        <v>4</v>
      </c>
      <c r="Q28" s="22" t="s">
        <v>21</v>
      </c>
    </row>
    <row r="29" spans="1:17" ht="21" customHeight="1" x14ac:dyDescent="0.25">
      <c r="A29" s="311"/>
      <c r="B29" s="45"/>
      <c r="C29" s="86"/>
      <c r="D29" s="82"/>
      <c r="E29" s="79"/>
      <c r="F29" s="101"/>
      <c r="G29" s="164">
        <f>2808+540</f>
        <v>3348</v>
      </c>
      <c r="H29" s="48"/>
      <c r="I29" s="38"/>
      <c r="J29" s="38"/>
      <c r="K29" s="38"/>
      <c r="L29" s="99"/>
      <c r="M29" s="15"/>
      <c r="N29" s="49"/>
      <c r="O29" s="20"/>
      <c r="P29" s="21"/>
      <c r="Q29" s="22"/>
    </row>
    <row r="30" spans="1:17" ht="21" customHeight="1" thickBot="1" x14ac:dyDescent="0.3">
      <c r="A30" s="312"/>
      <c r="B30" s="93"/>
      <c r="C30" s="254"/>
      <c r="D30" s="254"/>
      <c r="E30" s="254"/>
      <c r="F30" s="254"/>
      <c r="G30" s="254"/>
      <c r="H30" s="254"/>
      <c r="I30" s="255">
        <f>SUM(I25:I29)</f>
        <v>1284</v>
      </c>
      <c r="J30" s="255"/>
      <c r="K30" s="255"/>
      <c r="L30" s="162"/>
      <c r="M30" s="255"/>
      <c r="N30" s="255"/>
      <c r="O30" s="255"/>
      <c r="P30" s="255"/>
      <c r="Q30" s="255"/>
    </row>
    <row r="31" spans="1:17" ht="29.25" customHeight="1" thickBot="1" x14ac:dyDescent="0.3">
      <c r="A31" s="73"/>
      <c r="B31" s="64"/>
      <c r="C31" s="65"/>
      <c r="D31" s="66"/>
      <c r="E31" s="67"/>
      <c r="F31" s="66"/>
      <c r="G31" s="67"/>
      <c r="H31" s="67"/>
      <c r="I31" s="69">
        <f>SUM(I30,I24,I16,I10)</f>
        <v>5813</v>
      </c>
      <c r="J31" s="70"/>
      <c r="K31" s="70"/>
      <c r="L31" s="65"/>
      <c r="M31" s="71"/>
      <c r="N31" s="69"/>
      <c r="O31" s="70"/>
      <c r="P31" s="70"/>
      <c r="Q31" s="72"/>
    </row>
    <row r="32" spans="1:17" ht="17.25" thickTop="1" x14ac:dyDescent="0.3">
      <c r="A32" s="23" t="s">
        <v>22</v>
      </c>
      <c r="B32" s="24"/>
      <c r="C32" s="25"/>
      <c r="D32" s="24"/>
      <c r="E32" s="24"/>
      <c r="F32" s="26"/>
      <c r="G32" s="27"/>
      <c r="H32" s="28" t="s">
        <v>23</v>
      </c>
      <c r="I32" s="29"/>
      <c r="J32" s="29"/>
      <c r="K32" s="29"/>
      <c r="L32" s="30"/>
      <c r="M32" s="29"/>
      <c r="N32" s="29"/>
      <c r="O32" s="29"/>
      <c r="P32" s="256" t="s">
        <v>24</v>
      </c>
      <c r="Q32" s="31"/>
    </row>
    <row r="33" spans="1:17" ht="16.5" x14ac:dyDescent="0.3">
      <c r="A33" s="1"/>
      <c r="B33" s="32">
        <v>1</v>
      </c>
      <c r="C33" s="33"/>
      <c r="D33" s="32"/>
      <c r="E33" s="32"/>
      <c r="F33" s="304" t="s">
        <v>25</v>
      </c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</row>
    <row r="34" spans="1:17" ht="16.5" x14ac:dyDescent="0.3">
      <c r="A34" s="1"/>
      <c r="B34" s="297" t="s">
        <v>26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1:17" ht="16.5" x14ac:dyDescent="0.3">
      <c r="A35" s="1"/>
      <c r="B35" s="34">
        <v>2</v>
      </c>
      <c r="C35" s="35"/>
      <c r="D35" s="36"/>
      <c r="E35" s="36"/>
      <c r="F35" s="298" t="s">
        <v>27</v>
      </c>
      <c r="G35" s="298"/>
      <c r="H35" s="298"/>
      <c r="I35" s="298"/>
      <c r="J35" s="298"/>
      <c r="K35" s="298"/>
      <c r="L35" s="298"/>
      <c r="M35" s="298"/>
      <c r="N35" s="298"/>
      <c r="O35" s="298"/>
      <c r="P35" s="299" t="s">
        <v>28</v>
      </c>
      <c r="Q35" s="300"/>
    </row>
    <row r="36" spans="1:17" ht="16.5" x14ac:dyDescent="0.3">
      <c r="A36" s="1"/>
      <c r="B36" s="297" t="s">
        <v>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1"/>
      <c r="Q36" s="1"/>
    </row>
  </sheetData>
  <mergeCells count="20">
    <mergeCell ref="A4:A10"/>
    <mergeCell ref="C10:F10"/>
    <mergeCell ref="A1:Q1"/>
    <mergeCell ref="A2:B2"/>
    <mergeCell ref="C2:E2"/>
    <mergeCell ref="F2:G2"/>
    <mergeCell ref="O2:Q2"/>
    <mergeCell ref="A11:A16"/>
    <mergeCell ref="A17:A24"/>
    <mergeCell ref="C24:F24"/>
    <mergeCell ref="A25:A30"/>
    <mergeCell ref="F33:Q33"/>
    <mergeCell ref="C15:D15"/>
    <mergeCell ref="F15:H15"/>
    <mergeCell ref="B34:Q34"/>
    <mergeCell ref="F35:O35"/>
    <mergeCell ref="P35:Q35"/>
    <mergeCell ref="B36:O36"/>
    <mergeCell ref="C18:D18"/>
    <mergeCell ref="C28:D28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9" zoomScale="115" zoomScaleNormal="115" workbookViewId="0">
      <selection activeCell="G25" sqref="G25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43263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1115</v>
      </c>
      <c r="K4" s="155"/>
      <c r="L4" s="54" t="s">
        <v>72</v>
      </c>
      <c r="M4" s="16"/>
      <c r="N4" s="16"/>
      <c r="O4" s="17" t="s">
        <v>1063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1116</v>
      </c>
      <c r="K5" s="164"/>
      <c r="L5" s="57"/>
      <c r="M5" s="98"/>
      <c r="N5" s="63"/>
      <c r="O5" s="20" t="s">
        <v>1064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1117</v>
      </c>
      <c r="K6" s="164"/>
      <c r="L6" s="57"/>
      <c r="M6" s="98"/>
      <c r="N6" s="63"/>
      <c r="O6" s="20" t="s">
        <v>1065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456</v>
      </c>
      <c r="J7" s="164" t="s">
        <v>1118</v>
      </c>
      <c r="K7" s="164"/>
      <c r="L7" s="57"/>
      <c r="M7" s="63"/>
      <c r="N7" s="63"/>
      <c r="O7" s="20" t="s">
        <v>1066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54"/>
      <c r="H9" s="254"/>
      <c r="I9" s="254">
        <f>SUM(I4:I8)</f>
        <v>1824</v>
      </c>
      <c r="J9" s="254"/>
      <c r="K9" s="254"/>
      <c r="L9" s="257"/>
      <c r="M9" s="254"/>
      <c r="N9" s="254"/>
      <c r="O9" s="254"/>
      <c r="P9" s="255"/>
      <c r="Q9" s="255"/>
    </row>
    <row r="10" spans="1:17" ht="23.25" customHeight="1" x14ac:dyDescent="0.25">
      <c r="A10" s="287" t="s">
        <v>49</v>
      </c>
      <c r="B10" s="92" t="s">
        <v>420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1119</v>
      </c>
      <c r="K10" s="155"/>
      <c r="L10" s="54" t="s">
        <v>67</v>
      </c>
      <c r="M10" s="16"/>
      <c r="N10" s="16"/>
      <c r="O10" s="17" t="s">
        <v>1063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1120</v>
      </c>
      <c r="K11" s="164"/>
      <c r="L11" s="88"/>
      <c r="M11" s="63"/>
      <c r="N11" s="63"/>
      <c r="O11" s="20" t="s">
        <v>1064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1121</v>
      </c>
      <c r="K12" s="164"/>
      <c r="L12" s="88"/>
      <c r="M12" s="63"/>
      <c r="N12" s="63"/>
      <c r="O12" s="20" t="s">
        <v>1065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v>456</v>
      </c>
      <c r="J13" s="164" t="s">
        <v>1122</v>
      </c>
      <c r="K13" s="164"/>
      <c r="L13" s="88"/>
      <c r="M13" s="15"/>
      <c r="N13" s="15"/>
      <c r="O13" s="20" t="s">
        <v>1066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1824</v>
      </c>
      <c r="J15" s="115"/>
      <c r="K15" s="115"/>
      <c r="L15" s="96"/>
      <c r="M15" s="114"/>
      <c r="N15" s="114"/>
      <c r="O15" s="114"/>
      <c r="P15" s="255"/>
      <c r="Q15" s="255"/>
    </row>
    <row r="16" spans="1:17" ht="23.25" customHeight="1" x14ac:dyDescent="0.25">
      <c r="A16" s="287" t="s">
        <v>50</v>
      </c>
      <c r="B16" s="92" t="s">
        <v>314</v>
      </c>
      <c r="C16" s="24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1123</v>
      </c>
      <c r="K16" s="164"/>
      <c r="L16" s="57" t="s">
        <v>67</v>
      </c>
      <c r="M16" s="16"/>
      <c r="N16" s="16"/>
      <c r="O16" s="17" t="s">
        <v>1063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1124</v>
      </c>
      <c r="K17" s="164"/>
      <c r="L17" s="57"/>
      <c r="M17" s="15"/>
      <c r="N17" s="15"/>
      <c r="O17" s="20" t="s">
        <v>1064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v>456</v>
      </c>
      <c r="J18" s="164" t="s">
        <v>1125</v>
      </c>
      <c r="K18" s="164"/>
      <c r="L18" s="57"/>
      <c r="M18" s="15"/>
      <c r="N18" s="15"/>
      <c r="O18" s="20" t="s">
        <v>1065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59"/>
      <c r="G19" s="39"/>
      <c r="H19" s="79"/>
      <c r="I19" s="84">
        <v>456</v>
      </c>
      <c r="J19" s="164" t="s">
        <v>1126</v>
      </c>
      <c r="K19" s="164"/>
      <c r="L19" s="57"/>
      <c r="M19" s="49"/>
      <c r="N19" s="49"/>
      <c r="O19" s="20" t="s">
        <v>1066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164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54">
        <f>SUM(I16:I20)</f>
        <v>1824</v>
      </c>
      <c r="J21" s="254"/>
      <c r="K21" s="254"/>
      <c r="L21" s="257"/>
      <c r="M21" s="254"/>
      <c r="N21" s="254"/>
      <c r="O21" s="254"/>
      <c r="P21" s="255"/>
      <c r="Q21" s="255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1127</v>
      </c>
      <c r="K22" s="178"/>
      <c r="L22" s="180" t="s">
        <v>67</v>
      </c>
      <c r="M22" s="16"/>
      <c r="N22" s="16"/>
      <c r="O22" s="17" t="s">
        <v>1063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1128</v>
      </c>
      <c r="K23" s="194"/>
      <c r="L23" s="195"/>
      <c r="M23" s="87"/>
      <c r="N23" s="15"/>
      <c r="O23" s="20" t="s">
        <v>1064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1129</v>
      </c>
      <c r="K24" s="164"/>
      <c r="L24" s="57"/>
      <c r="M24" s="49"/>
      <c r="N24" s="15"/>
      <c r="O24" s="20" t="s">
        <v>1065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1130</v>
      </c>
      <c r="K25" s="164"/>
      <c r="L25" s="57"/>
      <c r="M25" s="49"/>
      <c r="N25" s="49"/>
      <c r="O25" s="20" t="s">
        <v>1066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55"/>
      <c r="Q27" s="255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7296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56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A4:A9"/>
    <mergeCell ref="B4:B5"/>
    <mergeCell ref="C9:F9"/>
    <mergeCell ref="A1:Q1"/>
    <mergeCell ref="A2:B2"/>
    <mergeCell ref="C2:E2"/>
    <mergeCell ref="F2:G2"/>
    <mergeCell ref="O2:Q2"/>
    <mergeCell ref="A10:A15"/>
    <mergeCell ref="C15:F15"/>
    <mergeCell ref="A16:A21"/>
    <mergeCell ref="C21:F21"/>
    <mergeCell ref="A22:A27"/>
    <mergeCell ref="B22:B23"/>
    <mergeCell ref="C23:E23"/>
    <mergeCell ref="F23:H23"/>
    <mergeCell ref="F30:Q30"/>
    <mergeCell ref="B31:Q31"/>
    <mergeCell ref="F32:O32"/>
    <mergeCell ref="P32:Q32"/>
    <mergeCell ref="B33:O3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9"/>
  <sheetViews>
    <sheetView topLeftCell="A7" zoomScaleNormal="100" workbookViewId="0">
      <selection activeCell="G21" sqref="G21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43262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43263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943</v>
      </c>
      <c r="C4" s="104">
        <v>43281</v>
      </c>
      <c r="D4" s="90" t="s">
        <v>93</v>
      </c>
      <c r="E4" s="144" t="s">
        <v>54</v>
      </c>
      <c r="F4" s="40" t="s">
        <v>944</v>
      </c>
      <c r="G4" s="40">
        <v>7025</v>
      </c>
      <c r="H4" s="204" t="s">
        <v>945</v>
      </c>
      <c r="I4" s="155">
        <v>432</v>
      </c>
      <c r="J4" s="155" t="s">
        <v>194</v>
      </c>
      <c r="K4" s="155"/>
      <c r="L4" s="53" t="s">
        <v>79</v>
      </c>
      <c r="M4" s="16"/>
      <c r="N4" s="16"/>
      <c r="O4" s="17" t="s">
        <v>1063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946</v>
      </c>
      <c r="C5" s="313" t="s">
        <v>35</v>
      </c>
      <c r="D5" s="314"/>
      <c r="E5" s="325" t="s">
        <v>947</v>
      </c>
      <c r="F5" s="343"/>
      <c r="G5" s="326"/>
      <c r="H5" s="146"/>
      <c r="I5" s="164">
        <v>432</v>
      </c>
      <c r="J5" s="164" t="s">
        <v>218</v>
      </c>
      <c r="K5" s="164"/>
      <c r="L5" s="57"/>
      <c r="M5" s="49"/>
      <c r="N5" s="15"/>
      <c r="O5" s="20" t="s">
        <v>1064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129"/>
      <c r="F6" s="39"/>
      <c r="G6" s="39"/>
      <c r="H6" s="146"/>
      <c r="I6" s="164">
        <v>432</v>
      </c>
      <c r="J6" s="164" t="s">
        <v>1131</v>
      </c>
      <c r="K6" s="164"/>
      <c r="L6" s="57"/>
      <c r="M6" s="15"/>
      <c r="N6" s="15"/>
      <c r="O6" s="20" t="s">
        <v>1065</v>
      </c>
      <c r="P6" s="21">
        <v>3</v>
      </c>
      <c r="Q6" s="22" t="s">
        <v>21</v>
      </c>
    </row>
    <row r="7" spans="1:17" ht="24.75" customHeight="1" x14ac:dyDescent="0.25">
      <c r="A7" s="288"/>
      <c r="B7" s="45"/>
      <c r="C7" s="133"/>
      <c r="D7" s="134"/>
      <c r="E7" s="129"/>
      <c r="F7" s="39"/>
      <c r="G7" s="39"/>
      <c r="H7" s="146"/>
      <c r="I7" s="164">
        <v>216</v>
      </c>
      <c r="J7" s="164" t="s">
        <v>467</v>
      </c>
      <c r="K7" s="164"/>
      <c r="L7" s="57"/>
      <c r="M7" s="15"/>
      <c r="N7" s="15"/>
      <c r="O7" s="20" t="s">
        <v>1066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133"/>
      <c r="D8" s="134"/>
      <c r="E8" s="129"/>
      <c r="F8" s="39"/>
      <c r="G8" s="39"/>
      <c r="H8" s="146"/>
      <c r="I8" s="164"/>
      <c r="J8" s="164"/>
      <c r="K8" s="164"/>
      <c r="L8" s="57"/>
      <c r="M8" s="49"/>
      <c r="N8" s="49"/>
      <c r="O8" s="20"/>
      <c r="P8" s="21"/>
      <c r="Q8" s="22"/>
    </row>
    <row r="9" spans="1:17" ht="24.75" customHeight="1" x14ac:dyDescent="0.25">
      <c r="A9" s="288"/>
      <c r="B9" s="45"/>
      <c r="C9" s="133"/>
      <c r="D9" s="134"/>
      <c r="E9" s="129"/>
      <c r="F9" s="39"/>
      <c r="G9" s="39"/>
      <c r="H9" s="146"/>
      <c r="I9" s="84"/>
      <c r="J9" s="164"/>
      <c r="K9" s="164"/>
      <c r="L9" s="57"/>
      <c r="M9" s="49"/>
      <c r="N9" s="49"/>
      <c r="O9" s="20"/>
      <c r="P9" s="21"/>
      <c r="Q9" s="22"/>
    </row>
    <row r="10" spans="1:17" ht="24.7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54"/>
      <c r="H10" s="254"/>
      <c r="I10" s="254">
        <f>SUM(I4:I9)</f>
        <v>1512</v>
      </c>
      <c r="J10" s="254"/>
      <c r="K10" s="254"/>
      <c r="L10" s="257"/>
      <c r="M10" s="254"/>
      <c r="N10" s="254"/>
      <c r="O10" s="254"/>
      <c r="P10" s="255"/>
      <c r="Q10" s="147"/>
    </row>
    <row r="11" spans="1:17" ht="24.75" customHeight="1" x14ac:dyDescent="0.25">
      <c r="A11" s="288" t="s">
        <v>31</v>
      </c>
      <c r="B11" s="42" t="s">
        <v>1027</v>
      </c>
      <c r="C11" s="104">
        <v>43282</v>
      </c>
      <c r="D11" s="90" t="s">
        <v>59</v>
      </c>
      <c r="E11" s="144" t="s">
        <v>54</v>
      </c>
      <c r="F11" s="40" t="s">
        <v>1026</v>
      </c>
      <c r="G11" s="40">
        <v>120</v>
      </c>
      <c r="H11" s="149" t="s">
        <v>456</v>
      </c>
      <c r="I11" s="155">
        <v>120</v>
      </c>
      <c r="J11" s="155" t="s">
        <v>84</v>
      </c>
      <c r="K11" s="155"/>
      <c r="L11" s="53" t="s">
        <v>79</v>
      </c>
      <c r="M11" s="16"/>
      <c r="N11" s="16"/>
      <c r="O11" s="17" t="s">
        <v>1063</v>
      </c>
      <c r="P11" s="18">
        <v>1</v>
      </c>
      <c r="Q11" s="19" t="s">
        <v>19</v>
      </c>
    </row>
    <row r="12" spans="1:17" ht="24.75" customHeight="1" x14ac:dyDescent="0.25">
      <c r="A12" s="288"/>
      <c r="B12" s="45" t="s">
        <v>1132</v>
      </c>
      <c r="C12" s="133">
        <v>43300</v>
      </c>
      <c r="D12" s="134" t="s">
        <v>55</v>
      </c>
      <c r="E12" s="129" t="s">
        <v>54</v>
      </c>
      <c r="F12" s="39" t="s">
        <v>1133</v>
      </c>
      <c r="G12" s="39">
        <v>516</v>
      </c>
      <c r="H12" s="146" t="s">
        <v>241</v>
      </c>
      <c r="I12" s="164">
        <v>516</v>
      </c>
      <c r="J12" s="164" t="s">
        <v>1076</v>
      </c>
      <c r="K12" s="164"/>
      <c r="L12" s="57" t="s">
        <v>1134</v>
      </c>
      <c r="M12" s="15"/>
      <c r="N12" s="15"/>
      <c r="O12" s="20" t="s">
        <v>1064</v>
      </c>
      <c r="P12" s="21">
        <v>2</v>
      </c>
      <c r="Q12" s="22" t="s">
        <v>20</v>
      </c>
    </row>
    <row r="13" spans="1:17" ht="24.75" customHeight="1" x14ac:dyDescent="0.25">
      <c r="A13" s="288"/>
      <c r="B13" s="45" t="s">
        <v>1135</v>
      </c>
      <c r="C13" s="133">
        <v>43285</v>
      </c>
      <c r="D13" s="134" t="s">
        <v>93</v>
      </c>
      <c r="E13" s="129" t="s">
        <v>54</v>
      </c>
      <c r="F13" s="39" t="s">
        <v>1133</v>
      </c>
      <c r="G13" s="39">
        <v>3276</v>
      </c>
      <c r="H13" s="146" t="s">
        <v>241</v>
      </c>
      <c r="I13" s="164">
        <v>180</v>
      </c>
      <c r="J13" s="164" t="s">
        <v>84</v>
      </c>
      <c r="K13" s="164"/>
      <c r="L13" s="57" t="s">
        <v>1136</v>
      </c>
      <c r="M13" s="15"/>
      <c r="N13" s="15"/>
      <c r="O13" s="20" t="s">
        <v>1065</v>
      </c>
      <c r="P13" s="21">
        <v>3</v>
      </c>
      <c r="Q13" s="22" t="s">
        <v>21</v>
      </c>
    </row>
    <row r="14" spans="1:17" ht="24.75" customHeight="1" x14ac:dyDescent="0.25">
      <c r="A14" s="288"/>
      <c r="B14" s="45" t="s">
        <v>268</v>
      </c>
      <c r="C14" s="133"/>
      <c r="D14" s="134"/>
      <c r="E14" s="129"/>
      <c r="F14" s="39"/>
      <c r="G14" s="39"/>
      <c r="H14" s="130"/>
      <c r="I14" s="84">
        <v>180</v>
      </c>
      <c r="J14" s="164" t="s">
        <v>1145</v>
      </c>
      <c r="K14" s="164"/>
      <c r="L14" s="57"/>
      <c r="M14" s="49"/>
      <c r="N14" s="49"/>
      <c r="O14" s="20" t="s">
        <v>1066</v>
      </c>
      <c r="P14" s="21">
        <v>4</v>
      </c>
      <c r="Q14" s="22" t="s">
        <v>21</v>
      </c>
    </row>
    <row r="15" spans="1:17" ht="24.75" customHeight="1" x14ac:dyDescent="0.25">
      <c r="A15" s="288"/>
      <c r="B15" s="45"/>
      <c r="C15" s="133"/>
      <c r="D15" s="134"/>
      <c r="E15" s="129"/>
      <c r="F15" s="39"/>
      <c r="G15" s="39"/>
      <c r="H15" s="146"/>
      <c r="I15" s="164"/>
      <c r="J15" s="164"/>
      <c r="K15" s="164"/>
      <c r="L15" s="57"/>
      <c r="M15" s="49"/>
      <c r="N15" s="49"/>
      <c r="O15" s="20"/>
      <c r="P15" s="21"/>
      <c r="Q15" s="22"/>
    </row>
    <row r="16" spans="1:17" ht="24.7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54"/>
      <c r="H16" s="254"/>
      <c r="I16" s="254">
        <f>SUM(I11:I15)</f>
        <v>996</v>
      </c>
      <c r="J16" s="254"/>
      <c r="K16" s="254"/>
      <c r="L16" s="257"/>
      <c r="M16" s="254"/>
      <c r="N16" s="254"/>
      <c r="O16" s="254"/>
      <c r="P16" s="254"/>
      <c r="Q16" s="151"/>
    </row>
    <row r="17" spans="1:17" ht="24.75" customHeight="1" x14ac:dyDescent="0.25">
      <c r="A17" s="287" t="s">
        <v>32</v>
      </c>
      <c r="B17" s="42" t="s">
        <v>1033</v>
      </c>
      <c r="C17" s="104">
        <v>43313</v>
      </c>
      <c r="D17" s="90" t="s">
        <v>988</v>
      </c>
      <c r="E17" s="144" t="s">
        <v>54</v>
      </c>
      <c r="F17" s="40" t="s">
        <v>240</v>
      </c>
      <c r="G17" s="40">
        <v>684</v>
      </c>
      <c r="H17" s="149" t="s">
        <v>241</v>
      </c>
      <c r="I17" s="155">
        <f>684-168*2</f>
        <v>348</v>
      </c>
      <c r="J17" s="155" t="s">
        <v>82</v>
      </c>
      <c r="K17" s="155"/>
      <c r="L17" s="53" t="s">
        <v>330</v>
      </c>
      <c r="M17" s="16"/>
      <c r="N17" s="16"/>
      <c r="O17" s="17" t="s">
        <v>1063</v>
      </c>
      <c r="P17" s="18">
        <v>1</v>
      </c>
      <c r="Q17" s="19" t="s">
        <v>19</v>
      </c>
    </row>
    <row r="18" spans="1:17" ht="24.75" customHeight="1" x14ac:dyDescent="0.25">
      <c r="A18" s="288"/>
      <c r="B18" s="127" t="s">
        <v>1137</v>
      </c>
      <c r="C18" s="133">
        <v>43313</v>
      </c>
      <c r="D18" s="134" t="s">
        <v>988</v>
      </c>
      <c r="E18" s="129" t="s">
        <v>54</v>
      </c>
      <c r="F18" s="38" t="s">
        <v>240</v>
      </c>
      <c r="G18" s="38">
        <v>1152</v>
      </c>
      <c r="H18" s="154" t="s">
        <v>241</v>
      </c>
      <c r="I18" s="164">
        <f>168*2</f>
        <v>336</v>
      </c>
      <c r="J18" s="164" t="s">
        <v>168</v>
      </c>
      <c r="K18" s="164"/>
      <c r="L18" s="57" t="s">
        <v>1136</v>
      </c>
      <c r="M18" s="15"/>
      <c r="N18" s="15"/>
      <c r="O18" s="20" t="s">
        <v>1064</v>
      </c>
      <c r="P18" s="21">
        <v>2</v>
      </c>
      <c r="Q18" s="22" t="s">
        <v>20</v>
      </c>
    </row>
    <row r="19" spans="1:17" ht="24.75" customHeight="1" x14ac:dyDescent="0.25">
      <c r="A19" s="288"/>
      <c r="B19" s="45" t="s">
        <v>114</v>
      </c>
      <c r="C19" s="313" t="s">
        <v>35</v>
      </c>
      <c r="D19" s="314"/>
      <c r="E19" s="129"/>
      <c r="F19" s="39"/>
      <c r="G19" s="39"/>
      <c r="H19" s="130"/>
      <c r="I19" s="128">
        <v>336</v>
      </c>
      <c r="J19" s="38" t="s">
        <v>82</v>
      </c>
      <c r="K19" s="38"/>
      <c r="L19" s="44"/>
      <c r="M19" s="15"/>
      <c r="N19" s="15"/>
      <c r="O19" s="20" t="s">
        <v>1065</v>
      </c>
      <c r="P19" s="21">
        <v>3</v>
      </c>
      <c r="Q19" s="22" t="s">
        <v>21</v>
      </c>
    </row>
    <row r="20" spans="1:17" ht="24.75" customHeight="1" x14ac:dyDescent="0.25">
      <c r="A20" s="288"/>
      <c r="B20" s="45"/>
      <c r="C20" s="133"/>
      <c r="D20" s="134"/>
      <c r="E20" s="129"/>
      <c r="F20" s="39"/>
      <c r="G20" s="39"/>
      <c r="H20" s="130"/>
      <c r="I20" s="164">
        <v>168</v>
      </c>
      <c r="J20" s="164" t="s">
        <v>78</v>
      </c>
      <c r="K20" s="164"/>
      <c r="L20" s="57"/>
      <c r="M20" s="49"/>
      <c r="N20" s="49"/>
      <c r="O20" s="20" t="s">
        <v>1066</v>
      </c>
      <c r="P20" s="21">
        <v>4</v>
      </c>
      <c r="Q20" s="22" t="s">
        <v>21</v>
      </c>
    </row>
    <row r="21" spans="1:17" ht="24.75" customHeight="1" x14ac:dyDescent="0.25">
      <c r="A21" s="288"/>
      <c r="B21" s="127"/>
      <c r="C21" s="133"/>
      <c r="D21" s="134"/>
      <c r="E21" s="129"/>
      <c r="F21" s="38"/>
      <c r="G21" s="38"/>
      <c r="H21" s="154"/>
      <c r="I21" s="164"/>
      <c r="J21" s="164"/>
      <c r="K21" s="164"/>
      <c r="L21" s="57"/>
      <c r="M21" s="49"/>
      <c r="N21" s="49"/>
      <c r="O21" s="20"/>
      <c r="P21" s="21"/>
      <c r="Q21" s="22"/>
    </row>
    <row r="22" spans="1:17" ht="24.7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254"/>
      <c r="H22" s="254"/>
      <c r="I22" s="254">
        <f>SUM(I17:I21)</f>
        <v>1188</v>
      </c>
      <c r="J22" s="254"/>
      <c r="K22" s="254"/>
      <c r="L22" s="257"/>
      <c r="M22" s="254"/>
      <c r="N22" s="254"/>
      <c r="O22" s="254"/>
      <c r="P22" s="254"/>
      <c r="Q22" s="147"/>
    </row>
    <row r="23" spans="1:17" ht="29.25" customHeight="1" thickBot="1" x14ac:dyDescent="0.3">
      <c r="A23" s="73"/>
      <c r="B23" s="64"/>
      <c r="C23" s="65"/>
      <c r="D23" s="66"/>
      <c r="E23" s="67"/>
      <c r="F23" s="68"/>
      <c r="G23" s="67"/>
      <c r="H23" s="67"/>
      <c r="I23" s="69">
        <f>SUM(I22,I16,I10)</f>
        <v>3696</v>
      </c>
      <c r="J23" s="70"/>
      <c r="K23" s="70"/>
      <c r="L23" s="65"/>
      <c r="M23" s="71"/>
      <c r="N23" s="69"/>
      <c r="O23" s="70"/>
      <c r="P23" s="70"/>
      <c r="Q23" s="72"/>
    </row>
    <row r="24" spans="1:17" ht="17.25" thickTop="1" x14ac:dyDescent="0.3">
      <c r="A24" s="23" t="s">
        <v>22</v>
      </c>
      <c r="B24" s="24"/>
      <c r="C24" s="25"/>
      <c r="D24" s="24"/>
      <c r="E24" s="24"/>
      <c r="F24" s="26"/>
      <c r="G24" s="27"/>
      <c r="H24" s="28" t="s">
        <v>23</v>
      </c>
      <c r="I24" s="29"/>
      <c r="J24" s="29"/>
      <c r="K24" s="29"/>
      <c r="L24" s="30"/>
      <c r="M24" s="29"/>
      <c r="N24" s="29"/>
      <c r="O24" s="29"/>
      <c r="P24" s="256" t="s">
        <v>24</v>
      </c>
      <c r="Q24" s="31"/>
    </row>
    <row r="25" spans="1:17" ht="16.5" x14ac:dyDescent="0.3">
      <c r="A25" s="1"/>
      <c r="B25" s="32">
        <v>1</v>
      </c>
      <c r="C25" s="33"/>
      <c r="D25" s="32"/>
      <c r="E25" s="32"/>
      <c r="F25" s="304" t="s">
        <v>25</v>
      </c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</row>
    <row r="26" spans="1:17" ht="16.5" x14ac:dyDescent="0.3">
      <c r="A26" s="297" t="s">
        <v>26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</row>
    <row r="27" spans="1:17" ht="16.5" x14ac:dyDescent="0.3">
      <c r="A27" s="1"/>
      <c r="B27" s="34">
        <v>2</v>
      </c>
      <c r="C27" s="35"/>
      <c r="D27" s="36"/>
      <c r="E27" s="36"/>
      <c r="F27" s="298" t="s">
        <v>27</v>
      </c>
      <c r="G27" s="298"/>
      <c r="H27" s="298"/>
      <c r="I27" s="298"/>
      <c r="J27" s="298"/>
      <c r="K27" s="298"/>
      <c r="L27" s="298"/>
      <c r="M27" s="298"/>
      <c r="N27" s="298"/>
      <c r="O27" s="298"/>
      <c r="P27" s="76" t="s">
        <v>28</v>
      </c>
      <c r="Q27" s="75"/>
    </row>
    <row r="28" spans="1:17" ht="16.5" x14ac:dyDescent="0.3">
      <c r="A28" s="1"/>
      <c r="B28" s="297" t="s">
        <v>29</v>
      </c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1"/>
      <c r="Q28" s="1"/>
    </row>
    <row r="29" spans="1:17" x14ac:dyDescent="0.25">
      <c r="O29" s="74"/>
    </row>
  </sheetData>
  <mergeCells count="18">
    <mergeCell ref="A11:A16"/>
    <mergeCell ref="C16:F16"/>
    <mergeCell ref="A17:A22"/>
    <mergeCell ref="C22:F22"/>
    <mergeCell ref="A1:Q1"/>
    <mergeCell ref="A2:B2"/>
    <mergeCell ref="C2:E2"/>
    <mergeCell ref="F2:G2"/>
    <mergeCell ref="O2:Q2"/>
    <mergeCell ref="A4:A10"/>
    <mergeCell ref="C5:D5"/>
    <mergeCell ref="E5:G5"/>
    <mergeCell ref="C10:F10"/>
    <mergeCell ref="F25:Q25"/>
    <mergeCell ref="A26:Q26"/>
    <mergeCell ref="F27:O27"/>
    <mergeCell ref="B28:O28"/>
    <mergeCell ref="C19:D19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15" zoomScaleNormal="100" workbookViewId="0">
      <selection activeCell="B20" sqref="B20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43264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36</v>
      </c>
      <c r="B4" s="42" t="s">
        <v>1151</v>
      </c>
      <c r="C4" s="140">
        <v>43271</v>
      </c>
      <c r="D4" s="77" t="s">
        <v>59</v>
      </c>
      <c r="E4" s="41" t="s">
        <v>54</v>
      </c>
      <c r="F4" s="40" t="s">
        <v>666</v>
      </c>
      <c r="G4" s="40">
        <v>1548</v>
      </c>
      <c r="H4" s="41" t="s">
        <v>667</v>
      </c>
      <c r="I4" s="40">
        <v>432</v>
      </c>
      <c r="J4" s="40" t="s">
        <v>77</v>
      </c>
      <c r="K4" s="40"/>
      <c r="L4" s="54" t="s">
        <v>63</v>
      </c>
      <c r="M4" s="16"/>
      <c r="N4" s="16"/>
      <c r="O4" s="17" t="s">
        <v>1147</v>
      </c>
      <c r="P4" s="18">
        <v>1</v>
      </c>
      <c r="Q4" s="19" t="s">
        <v>19</v>
      </c>
    </row>
    <row r="5" spans="1:17" ht="24.75" customHeight="1" x14ac:dyDescent="0.25">
      <c r="A5" s="288"/>
      <c r="B5" s="43" t="s">
        <v>114</v>
      </c>
      <c r="C5" s="58"/>
      <c r="D5" s="78"/>
      <c r="E5" s="60"/>
      <c r="F5" s="38"/>
      <c r="G5" s="38"/>
      <c r="H5" s="60"/>
      <c r="I5" s="38">
        <v>432</v>
      </c>
      <c r="J5" s="38" t="s">
        <v>1152</v>
      </c>
      <c r="K5" s="38"/>
      <c r="L5" s="44"/>
      <c r="M5" s="15"/>
      <c r="N5" s="63"/>
      <c r="O5" s="20" t="s">
        <v>1148</v>
      </c>
      <c r="P5" s="21">
        <v>2</v>
      </c>
      <c r="Q5" s="22" t="s">
        <v>20</v>
      </c>
    </row>
    <row r="6" spans="1:17" ht="24.75" customHeight="1" x14ac:dyDescent="0.25">
      <c r="A6" s="288"/>
      <c r="B6" s="43"/>
      <c r="C6" s="58"/>
      <c r="D6" s="78"/>
      <c r="E6" s="60"/>
      <c r="F6" s="38"/>
      <c r="G6" s="38"/>
      <c r="H6" s="60"/>
      <c r="I6" s="38">
        <v>216</v>
      </c>
      <c r="J6" s="38" t="s">
        <v>356</v>
      </c>
      <c r="K6" s="38"/>
      <c r="L6" s="44"/>
      <c r="M6" s="15"/>
      <c r="N6" s="63"/>
      <c r="O6" s="20" t="s">
        <v>1149</v>
      </c>
      <c r="P6" s="21">
        <v>3</v>
      </c>
      <c r="Q6" s="22" t="s">
        <v>21</v>
      </c>
    </row>
    <row r="7" spans="1:17" ht="24.75" customHeight="1" x14ac:dyDescent="0.25">
      <c r="A7" s="288"/>
      <c r="B7" s="43"/>
      <c r="C7" s="58"/>
      <c r="D7" s="78"/>
      <c r="E7" s="60"/>
      <c r="F7" s="38"/>
      <c r="G7" s="38"/>
      <c r="H7" s="60"/>
      <c r="I7" s="38">
        <v>216</v>
      </c>
      <c r="J7" s="38" t="s">
        <v>1248</v>
      </c>
      <c r="K7" s="38"/>
      <c r="L7" s="44"/>
      <c r="M7" s="15"/>
      <c r="N7" s="63"/>
      <c r="O7" s="20" t="s">
        <v>1150</v>
      </c>
      <c r="P7" s="21">
        <v>4</v>
      </c>
      <c r="Q7" s="22" t="s">
        <v>21</v>
      </c>
    </row>
    <row r="8" spans="1:17" ht="24.75" customHeight="1" x14ac:dyDescent="0.25">
      <c r="A8" s="288"/>
      <c r="B8" s="43"/>
      <c r="C8" s="58"/>
      <c r="D8" s="78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58"/>
      <c r="H9" s="258"/>
      <c r="I9" s="258">
        <f>SUM(I4:I8)</f>
        <v>1296</v>
      </c>
      <c r="J9" s="258"/>
      <c r="K9" s="258"/>
      <c r="L9" s="261"/>
      <c r="M9" s="258"/>
      <c r="N9" s="258"/>
      <c r="O9" s="258"/>
      <c r="P9" s="259"/>
      <c r="Q9" s="259"/>
    </row>
    <row r="10" spans="1:17" ht="24.75" customHeight="1" x14ac:dyDescent="0.25">
      <c r="A10" s="287" t="s">
        <v>39</v>
      </c>
      <c r="B10" s="42" t="s">
        <v>1078</v>
      </c>
      <c r="C10" s="62">
        <v>43269</v>
      </c>
      <c r="D10" s="77" t="s">
        <v>59</v>
      </c>
      <c r="E10" s="144" t="s">
        <v>54</v>
      </c>
      <c r="F10" s="155" t="s">
        <v>137</v>
      </c>
      <c r="G10" s="155">
        <v>423</v>
      </c>
      <c r="H10" s="81" t="s">
        <v>89</v>
      </c>
      <c r="I10" s="155">
        <v>423</v>
      </c>
      <c r="J10" s="155" t="s">
        <v>77</v>
      </c>
      <c r="K10" s="155"/>
      <c r="L10" s="53" t="s">
        <v>63</v>
      </c>
      <c r="M10" s="16"/>
      <c r="N10" s="16"/>
      <c r="O10" s="17" t="s">
        <v>1147</v>
      </c>
      <c r="P10" s="18">
        <v>1</v>
      </c>
      <c r="Q10" s="19" t="s">
        <v>19</v>
      </c>
    </row>
    <row r="11" spans="1:17" ht="24.75" customHeight="1" x14ac:dyDescent="0.25">
      <c r="A11" s="288"/>
      <c r="B11" s="45" t="s">
        <v>1155</v>
      </c>
      <c r="C11" s="58">
        <v>43269</v>
      </c>
      <c r="D11" s="78" t="s">
        <v>59</v>
      </c>
      <c r="E11" s="129" t="s">
        <v>54</v>
      </c>
      <c r="F11" s="164" t="s">
        <v>137</v>
      </c>
      <c r="G11" s="164">
        <v>960</v>
      </c>
      <c r="H11" s="48" t="s">
        <v>89</v>
      </c>
      <c r="I11" s="164">
        <v>432</v>
      </c>
      <c r="J11" s="164" t="s">
        <v>77</v>
      </c>
      <c r="K11" s="164"/>
      <c r="L11" s="57" t="s">
        <v>1157</v>
      </c>
      <c r="M11" s="49"/>
      <c r="N11" s="63"/>
      <c r="O11" s="20" t="s">
        <v>1148</v>
      </c>
      <c r="P11" s="21">
        <v>2</v>
      </c>
      <c r="Q11" s="22" t="s">
        <v>20</v>
      </c>
    </row>
    <row r="12" spans="1:17" ht="24.75" customHeight="1" x14ac:dyDescent="0.25">
      <c r="A12" s="288"/>
      <c r="B12" s="111" t="s">
        <v>1156</v>
      </c>
      <c r="C12" s="58"/>
      <c r="D12" s="78"/>
      <c r="E12" s="48"/>
      <c r="F12" s="164"/>
      <c r="G12" s="164"/>
      <c r="H12" s="48"/>
      <c r="I12" s="164">
        <v>432</v>
      </c>
      <c r="J12" s="164" t="s">
        <v>82</v>
      </c>
      <c r="K12" s="164"/>
      <c r="L12" s="57"/>
      <c r="M12" s="49"/>
      <c r="N12" s="63"/>
      <c r="O12" s="20" t="s">
        <v>1149</v>
      </c>
      <c r="P12" s="21">
        <v>3</v>
      </c>
      <c r="Q12" s="22" t="s">
        <v>21</v>
      </c>
    </row>
    <row r="13" spans="1:17" ht="24.75" customHeight="1" x14ac:dyDescent="0.25">
      <c r="A13" s="288"/>
      <c r="B13" s="45"/>
      <c r="C13" s="58"/>
      <c r="D13" s="78"/>
      <c r="E13" s="129"/>
      <c r="F13" s="164"/>
      <c r="G13" s="164"/>
      <c r="H13" s="48"/>
      <c r="I13" s="164">
        <f>960-216*4</f>
        <v>96</v>
      </c>
      <c r="J13" s="164" t="s">
        <v>78</v>
      </c>
      <c r="K13" s="164"/>
      <c r="L13" s="57"/>
      <c r="M13" s="49"/>
      <c r="N13" s="63"/>
      <c r="O13" s="20"/>
      <c r="P13" s="21"/>
      <c r="Q13" s="22"/>
    </row>
    <row r="14" spans="1:17" ht="24.75" customHeight="1" x14ac:dyDescent="0.25">
      <c r="A14" s="288"/>
      <c r="B14" s="45" t="s">
        <v>1158</v>
      </c>
      <c r="C14" s="58">
        <v>43271</v>
      </c>
      <c r="D14" s="78" t="s">
        <v>59</v>
      </c>
      <c r="E14" s="129" t="s">
        <v>54</v>
      </c>
      <c r="F14" s="164" t="s">
        <v>176</v>
      </c>
      <c r="G14" s="164">
        <v>792</v>
      </c>
      <c r="H14" s="48" t="s">
        <v>1258</v>
      </c>
      <c r="I14" s="164">
        <v>216</v>
      </c>
      <c r="J14" s="164" t="s">
        <v>764</v>
      </c>
      <c r="K14" s="164"/>
      <c r="L14" s="57" t="s">
        <v>260</v>
      </c>
      <c r="M14" s="49"/>
      <c r="N14" s="63"/>
      <c r="O14" s="20" t="s">
        <v>1150</v>
      </c>
      <c r="P14" s="21">
        <v>4</v>
      </c>
      <c r="Q14" s="22" t="s">
        <v>21</v>
      </c>
    </row>
    <row r="15" spans="1:17" ht="24.75" customHeight="1" x14ac:dyDescent="0.25">
      <c r="A15" s="288"/>
      <c r="B15" s="45" t="s">
        <v>97</v>
      </c>
      <c r="C15" s="58"/>
      <c r="D15" s="78"/>
      <c r="E15" s="129"/>
      <c r="F15" s="164"/>
      <c r="G15" s="164"/>
      <c r="H15" s="48"/>
      <c r="I15" s="164"/>
      <c r="J15" s="164"/>
      <c r="K15" s="164"/>
      <c r="L15" s="57"/>
      <c r="M15" s="49"/>
      <c r="N15" s="63"/>
      <c r="O15" s="20"/>
      <c r="P15" s="21"/>
      <c r="Q15" s="22"/>
    </row>
    <row r="16" spans="1:17" ht="24.7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58"/>
      <c r="H16" s="258"/>
      <c r="I16" s="258">
        <f>SUM(I10:I15)</f>
        <v>1599</v>
      </c>
      <c r="J16" s="258"/>
      <c r="K16" s="258"/>
      <c r="L16" s="261"/>
      <c r="M16" s="258"/>
      <c r="N16" s="258"/>
      <c r="O16" s="258"/>
      <c r="P16" s="259"/>
      <c r="Q16" s="259"/>
    </row>
    <row r="17" spans="1:17" ht="24.75" customHeight="1" x14ac:dyDescent="0.25">
      <c r="A17" s="287" t="s">
        <v>37</v>
      </c>
      <c r="B17" s="42" t="s">
        <v>974</v>
      </c>
      <c r="C17" s="116">
        <v>43273</v>
      </c>
      <c r="D17" s="52" t="s">
        <v>59</v>
      </c>
      <c r="E17" s="41" t="s">
        <v>54</v>
      </c>
      <c r="F17" s="40" t="s">
        <v>116</v>
      </c>
      <c r="G17" s="155">
        <v>2700</v>
      </c>
      <c r="H17" s="81" t="s">
        <v>117</v>
      </c>
      <c r="I17" s="155">
        <f>2700-216*11</f>
        <v>324</v>
      </c>
      <c r="J17" s="155" t="s">
        <v>194</v>
      </c>
      <c r="K17" s="155"/>
      <c r="L17" s="53" t="s">
        <v>67</v>
      </c>
      <c r="M17" s="16"/>
      <c r="N17" s="16"/>
      <c r="O17" s="17" t="s">
        <v>1147</v>
      </c>
      <c r="P17" s="18">
        <v>1</v>
      </c>
      <c r="Q17" s="19" t="s">
        <v>19</v>
      </c>
    </row>
    <row r="18" spans="1:17" ht="24.75" customHeight="1" x14ac:dyDescent="0.25">
      <c r="A18" s="288"/>
      <c r="B18" s="45" t="s">
        <v>1159</v>
      </c>
      <c r="C18" s="46">
        <v>43273</v>
      </c>
      <c r="D18" s="47" t="s">
        <v>59</v>
      </c>
      <c r="E18" s="60" t="s">
        <v>54</v>
      </c>
      <c r="F18" s="38" t="s">
        <v>116</v>
      </c>
      <c r="G18" s="164">
        <v>252</v>
      </c>
      <c r="H18" s="48" t="s">
        <v>117</v>
      </c>
      <c r="I18" s="164">
        <v>252</v>
      </c>
      <c r="J18" s="164" t="s">
        <v>84</v>
      </c>
      <c r="K18" s="164"/>
      <c r="L18" s="57" t="s">
        <v>1161</v>
      </c>
      <c r="M18" s="63"/>
      <c r="N18" s="63"/>
      <c r="O18" s="20" t="s">
        <v>1148</v>
      </c>
      <c r="P18" s="21">
        <v>2</v>
      </c>
      <c r="Q18" s="22" t="s">
        <v>20</v>
      </c>
    </row>
    <row r="19" spans="1:17" ht="24.75" customHeight="1" x14ac:dyDescent="0.25">
      <c r="A19" s="288"/>
      <c r="B19" s="45" t="s">
        <v>1160</v>
      </c>
      <c r="C19" s="46">
        <v>43273</v>
      </c>
      <c r="D19" s="47" t="s">
        <v>59</v>
      </c>
      <c r="E19" s="60" t="s">
        <v>54</v>
      </c>
      <c r="F19" s="38" t="s">
        <v>116</v>
      </c>
      <c r="G19" s="164">
        <v>300</v>
      </c>
      <c r="H19" s="48" t="s">
        <v>117</v>
      </c>
      <c r="I19" s="164">
        <v>300</v>
      </c>
      <c r="J19" s="164" t="s">
        <v>84</v>
      </c>
      <c r="K19" s="164"/>
      <c r="L19" s="57" t="s">
        <v>1161</v>
      </c>
      <c r="M19" s="15"/>
      <c r="N19" s="15"/>
      <c r="O19" s="20" t="s">
        <v>1149</v>
      </c>
      <c r="P19" s="21">
        <v>3</v>
      </c>
      <c r="Q19" s="22" t="s">
        <v>21</v>
      </c>
    </row>
    <row r="20" spans="1:17" ht="24.75" customHeight="1" x14ac:dyDescent="0.25">
      <c r="A20" s="288"/>
      <c r="B20" s="45" t="s">
        <v>1162</v>
      </c>
      <c r="C20" s="46">
        <v>43274</v>
      </c>
      <c r="D20" s="47" t="s">
        <v>93</v>
      </c>
      <c r="E20" s="60" t="s">
        <v>54</v>
      </c>
      <c r="F20" s="38" t="s">
        <v>116</v>
      </c>
      <c r="G20" s="164">
        <v>360</v>
      </c>
      <c r="H20" s="48" t="s">
        <v>117</v>
      </c>
      <c r="I20" s="164">
        <v>360</v>
      </c>
      <c r="J20" s="164" t="s">
        <v>77</v>
      </c>
      <c r="K20" s="164"/>
      <c r="L20" s="57" t="s">
        <v>1161</v>
      </c>
      <c r="M20" s="15"/>
      <c r="N20" s="15"/>
      <c r="O20" s="20"/>
      <c r="P20" s="21"/>
      <c r="Q20" s="22"/>
    </row>
    <row r="21" spans="1:17" ht="24.75" customHeight="1" x14ac:dyDescent="0.25">
      <c r="A21" s="288"/>
      <c r="B21" s="45" t="s">
        <v>1163</v>
      </c>
      <c r="C21" s="46">
        <v>43280</v>
      </c>
      <c r="D21" s="47" t="s">
        <v>59</v>
      </c>
      <c r="E21" s="60" t="s">
        <v>54</v>
      </c>
      <c r="F21" s="38" t="s">
        <v>116</v>
      </c>
      <c r="G21" s="164">
        <v>408</v>
      </c>
      <c r="H21" s="48" t="s">
        <v>117</v>
      </c>
      <c r="I21" s="164">
        <v>216</v>
      </c>
      <c r="J21" s="164" t="s">
        <v>764</v>
      </c>
      <c r="K21" s="164"/>
      <c r="L21" s="57" t="s">
        <v>1161</v>
      </c>
      <c r="M21" s="15"/>
      <c r="N21" s="15"/>
      <c r="O21" s="20" t="s">
        <v>1150</v>
      </c>
      <c r="P21" s="21">
        <v>4</v>
      </c>
      <c r="Q21" s="22" t="s">
        <v>21</v>
      </c>
    </row>
    <row r="22" spans="1:17" ht="24.75" customHeight="1" thickBot="1" x14ac:dyDescent="0.3">
      <c r="A22" s="289"/>
      <c r="B22" s="93" t="s">
        <v>64</v>
      </c>
      <c r="C22" s="290" t="s">
        <v>98</v>
      </c>
      <c r="D22" s="291"/>
      <c r="E22" s="291"/>
      <c r="F22" s="292"/>
      <c r="G22" s="258"/>
      <c r="H22" s="258"/>
      <c r="I22" s="258">
        <f>SUM(I17:I21)</f>
        <v>1452</v>
      </c>
      <c r="J22" s="258"/>
      <c r="K22" s="258"/>
      <c r="L22" s="261"/>
      <c r="M22" s="258"/>
      <c r="N22" s="258"/>
      <c r="O22" s="258"/>
      <c r="P22" s="259"/>
      <c r="Q22" s="259"/>
    </row>
    <row r="23" spans="1:17" ht="24.75" customHeight="1" x14ac:dyDescent="0.25">
      <c r="A23" s="287" t="s">
        <v>38</v>
      </c>
      <c r="B23" s="42" t="s">
        <v>1164</v>
      </c>
      <c r="C23" s="244">
        <v>43283</v>
      </c>
      <c r="D23" s="52" t="s">
        <v>59</v>
      </c>
      <c r="E23" s="41" t="s">
        <v>54</v>
      </c>
      <c r="F23" s="40" t="s">
        <v>1083</v>
      </c>
      <c r="G23" s="155">
        <v>360</v>
      </c>
      <c r="H23" s="81" t="s">
        <v>1084</v>
      </c>
      <c r="I23" s="155">
        <v>360</v>
      </c>
      <c r="J23" s="155" t="s">
        <v>77</v>
      </c>
      <c r="K23" s="155"/>
      <c r="L23" s="53" t="s">
        <v>80</v>
      </c>
      <c r="M23" s="16"/>
      <c r="N23" s="16"/>
      <c r="O23" s="17" t="s">
        <v>1147</v>
      </c>
      <c r="P23" s="18">
        <v>1</v>
      </c>
      <c r="Q23" s="19" t="s">
        <v>19</v>
      </c>
    </row>
    <row r="24" spans="1:17" ht="24.75" customHeight="1" x14ac:dyDescent="0.25">
      <c r="A24" s="288"/>
      <c r="B24" s="111" t="s">
        <v>1165</v>
      </c>
      <c r="C24" s="58">
        <v>43269</v>
      </c>
      <c r="D24" s="78" t="s">
        <v>59</v>
      </c>
      <c r="E24" s="48" t="s">
        <v>54</v>
      </c>
      <c r="F24" s="164" t="s">
        <v>1166</v>
      </c>
      <c r="G24" s="164">
        <v>912</v>
      </c>
      <c r="H24" s="48" t="s">
        <v>1167</v>
      </c>
      <c r="I24" s="164">
        <v>216</v>
      </c>
      <c r="J24" s="164" t="s">
        <v>764</v>
      </c>
      <c r="K24" s="164"/>
      <c r="L24" s="57">
        <v>2689</v>
      </c>
      <c r="M24" s="15"/>
      <c r="N24" s="15"/>
      <c r="O24" s="20" t="s">
        <v>1148</v>
      </c>
      <c r="P24" s="21">
        <v>2</v>
      </c>
      <c r="Q24" s="22" t="s">
        <v>20</v>
      </c>
    </row>
    <row r="25" spans="1:17" ht="24.75" customHeight="1" x14ac:dyDescent="0.25">
      <c r="A25" s="288"/>
      <c r="B25" s="111" t="s">
        <v>242</v>
      </c>
      <c r="C25" s="58"/>
      <c r="D25" s="78"/>
      <c r="E25" s="48"/>
      <c r="F25" s="164"/>
      <c r="G25" s="164"/>
      <c r="H25" s="48"/>
      <c r="I25" s="84">
        <v>216</v>
      </c>
      <c r="J25" s="164" t="s">
        <v>255</v>
      </c>
      <c r="K25" s="164"/>
      <c r="L25" s="57"/>
      <c r="M25" s="49"/>
      <c r="N25" s="15"/>
      <c r="O25" s="20" t="s">
        <v>1149</v>
      </c>
      <c r="P25" s="21">
        <v>3</v>
      </c>
      <c r="Q25" s="22" t="s">
        <v>21</v>
      </c>
    </row>
    <row r="26" spans="1:17" ht="24.75" customHeight="1" x14ac:dyDescent="0.25">
      <c r="A26" s="288"/>
      <c r="B26" s="111"/>
      <c r="C26" s="58"/>
      <c r="D26" s="78"/>
      <c r="E26" s="48"/>
      <c r="F26" s="164"/>
      <c r="G26" s="164">
        <f>3444/1600</f>
        <v>2.1524999999999999</v>
      </c>
      <c r="H26" s="48"/>
      <c r="I26" s="84">
        <v>216</v>
      </c>
      <c r="J26" s="164" t="s">
        <v>649</v>
      </c>
      <c r="K26" s="164"/>
      <c r="L26" s="57"/>
      <c r="M26" s="15"/>
      <c r="N26" s="15"/>
      <c r="O26" s="20" t="s">
        <v>1150</v>
      </c>
      <c r="P26" s="21">
        <v>4</v>
      </c>
      <c r="Q26" s="22" t="s">
        <v>21</v>
      </c>
    </row>
    <row r="27" spans="1:17" ht="24.75" customHeight="1" x14ac:dyDescent="0.25">
      <c r="A27" s="288"/>
      <c r="B27" s="111"/>
      <c r="C27" s="58"/>
      <c r="D27" s="78"/>
      <c r="E27" s="48"/>
      <c r="F27" s="164"/>
      <c r="G27" s="164">
        <f>912-216*3+648+672+204+768+120+768</f>
        <v>3444</v>
      </c>
      <c r="H27" s="48"/>
      <c r="I27" s="164"/>
      <c r="J27" s="164"/>
      <c r="K27" s="164"/>
      <c r="L27" s="57"/>
      <c r="M27" s="15"/>
      <c r="N27" s="15"/>
      <c r="O27" s="20"/>
      <c r="P27" s="21"/>
      <c r="Q27" s="22"/>
    </row>
    <row r="28" spans="1:17" ht="24.75" customHeight="1" thickBot="1" x14ac:dyDescent="0.3">
      <c r="A28" s="289"/>
      <c r="B28" s="93" t="s">
        <v>64</v>
      </c>
      <c r="C28" s="301" t="s">
        <v>98</v>
      </c>
      <c r="D28" s="302"/>
      <c r="E28" s="302"/>
      <c r="F28" s="303"/>
      <c r="G28" s="258"/>
      <c r="H28" s="258"/>
      <c r="I28" s="258">
        <f>SUM(I23:I27)</f>
        <v>1008</v>
      </c>
      <c r="J28" s="258"/>
      <c r="K28" s="258"/>
      <c r="L28" s="261"/>
      <c r="M28" s="258"/>
      <c r="N28" s="258"/>
      <c r="O28" s="258"/>
      <c r="P28" s="259"/>
      <c r="Q28" s="259"/>
    </row>
    <row r="29" spans="1:17" ht="29.2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SUM(I28,I22,I16,I9)</f>
        <v>5355</v>
      </c>
      <c r="J29" s="70"/>
      <c r="K29" s="70"/>
      <c r="L29" s="65"/>
      <c r="M29" s="71"/>
      <c r="N29" s="69"/>
      <c r="O29" s="70"/>
      <c r="P29" s="70"/>
      <c r="Q29" s="72"/>
    </row>
    <row r="30" spans="1:17" ht="17.25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60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18">
    <mergeCell ref="F31:Q31"/>
    <mergeCell ref="B32:Q32"/>
    <mergeCell ref="F33:O33"/>
    <mergeCell ref="P33:Q33"/>
    <mergeCell ref="B34:O34"/>
    <mergeCell ref="A10:A16"/>
    <mergeCell ref="C16:F16"/>
    <mergeCell ref="A17:A22"/>
    <mergeCell ref="C22:F22"/>
    <mergeCell ref="A23:A28"/>
    <mergeCell ref="C28:F28"/>
    <mergeCell ref="A4:A9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4"/>
  <sheetViews>
    <sheetView topLeftCell="A16" zoomScaleNormal="100" workbookViewId="0">
      <selection activeCell="B25" sqref="B25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43264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1086</v>
      </c>
      <c r="C4" s="140">
        <v>43283</v>
      </c>
      <c r="D4" s="77" t="s">
        <v>93</v>
      </c>
      <c r="E4" s="41" t="s">
        <v>34</v>
      </c>
      <c r="F4" s="40" t="s">
        <v>108</v>
      </c>
      <c r="G4" s="40">
        <v>4656</v>
      </c>
      <c r="H4" s="41" t="s">
        <v>51</v>
      </c>
      <c r="I4" s="150">
        <v>432</v>
      </c>
      <c r="J4" s="41" t="s">
        <v>1170</v>
      </c>
      <c r="K4" s="40"/>
      <c r="L4" s="90" t="s">
        <v>61</v>
      </c>
      <c r="M4" s="16"/>
      <c r="N4" s="16"/>
      <c r="O4" s="17" t="s">
        <v>1147</v>
      </c>
      <c r="P4" s="18">
        <v>1</v>
      </c>
      <c r="Q4" s="19" t="s">
        <v>19</v>
      </c>
    </row>
    <row r="5" spans="1:17" ht="21.75" customHeight="1" x14ac:dyDescent="0.25">
      <c r="A5" s="288"/>
      <c r="B5" s="43" t="s">
        <v>1087</v>
      </c>
      <c r="C5" s="141"/>
      <c r="D5" s="78"/>
      <c r="E5" s="60"/>
      <c r="F5" s="38"/>
      <c r="G5" s="38"/>
      <c r="H5" s="60"/>
      <c r="I5" s="38">
        <v>432</v>
      </c>
      <c r="J5" s="60" t="s">
        <v>132</v>
      </c>
      <c r="K5" s="38"/>
      <c r="L5" s="91"/>
      <c r="M5" s="49"/>
      <c r="N5" s="15"/>
      <c r="O5" s="20" t="s">
        <v>1148</v>
      </c>
      <c r="P5" s="21">
        <v>2</v>
      </c>
      <c r="Q5" s="22" t="s">
        <v>20</v>
      </c>
    </row>
    <row r="6" spans="1:17" ht="21.75" customHeight="1" x14ac:dyDescent="0.25">
      <c r="A6" s="288"/>
      <c r="B6" s="43"/>
      <c r="C6" s="141"/>
      <c r="D6" s="78"/>
      <c r="E6" s="60"/>
      <c r="F6" s="38"/>
      <c r="G6" s="38"/>
      <c r="H6" s="60"/>
      <c r="I6" s="128">
        <v>432</v>
      </c>
      <c r="J6" s="60" t="s">
        <v>1171</v>
      </c>
      <c r="K6" s="38"/>
      <c r="L6" s="91"/>
      <c r="M6" s="49"/>
      <c r="N6" s="15"/>
      <c r="O6" s="20" t="s">
        <v>1149</v>
      </c>
      <c r="P6" s="21">
        <v>3</v>
      </c>
      <c r="Q6" s="22" t="s">
        <v>21</v>
      </c>
    </row>
    <row r="7" spans="1:17" ht="21.75" customHeight="1" x14ac:dyDescent="0.25">
      <c r="A7" s="288"/>
      <c r="B7" s="43"/>
      <c r="C7" s="141"/>
      <c r="D7" s="78"/>
      <c r="E7" s="60"/>
      <c r="F7" s="38"/>
      <c r="G7" s="38"/>
      <c r="H7" s="60"/>
      <c r="I7" s="38">
        <v>432</v>
      </c>
      <c r="J7" s="60" t="s">
        <v>1172</v>
      </c>
      <c r="K7" s="38"/>
      <c r="L7" s="91"/>
      <c r="M7" s="49"/>
      <c r="N7" s="15"/>
      <c r="O7" s="20" t="s">
        <v>1150</v>
      </c>
      <c r="P7" s="21">
        <v>4</v>
      </c>
      <c r="Q7" s="22" t="s">
        <v>21</v>
      </c>
    </row>
    <row r="8" spans="1:17" ht="21.75" customHeight="1" x14ac:dyDescent="0.25">
      <c r="A8" s="288"/>
      <c r="B8" s="45"/>
      <c r="C8" s="141"/>
      <c r="D8" s="78"/>
      <c r="E8" s="48"/>
      <c r="F8" s="39"/>
      <c r="G8" s="164"/>
      <c r="H8" s="48"/>
      <c r="I8" s="164"/>
      <c r="J8" s="48"/>
      <c r="K8" s="164"/>
      <c r="L8" s="228"/>
      <c r="M8" s="49"/>
      <c r="N8" s="15"/>
      <c r="O8" s="20"/>
      <c r="P8" s="21"/>
      <c r="Q8" s="22"/>
    </row>
    <row r="9" spans="1:17" ht="21.75" customHeight="1" thickBot="1" x14ac:dyDescent="0.3">
      <c r="A9" s="289"/>
      <c r="B9" s="93"/>
      <c r="C9" s="258"/>
      <c r="D9" s="258"/>
      <c r="E9" s="258"/>
      <c r="F9" s="258"/>
      <c r="G9" s="258"/>
      <c r="H9" s="258"/>
      <c r="I9" s="258">
        <f>SUM(I4:I8)</f>
        <v>1728</v>
      </c>
      <c r="J9" s="258"/>
      <c r="K9" s="258"/>
      <c r="L9" s="261"/>
      <c r="M9" s="258"/>
      <c r="N9" s="258"/>
      <c r="O9" s="114"/>
      <c r="P9" s="259"/>
      <c r="Q9" s="152"/>
    </row>
    <row r="10" spans="1:17" ht="21.75" customHeight="1" x14ac:dyDescent="0.25">
      <c r="A10" s="287" t="s">
        <v>41</v>
      </c>
      <c r="B10" s="42" t="s">
        <v>1092</v>
      </c>
      <c r="C10" s="62">
        <v>43283</v>
      </c>
      <c r="D10" s="140" t="s">
        <v>59</v>
      </c>
      <c r="E10" s="41" t="s">
        <v>54</v>
      </c>
      <c r="F10" s="40" t="s">
        <v>101</v>
      </c>
      <c r="G10" s="155">
        <v>324</v>
      </c>
      <c r="H10" s="81" t="s">
        <v>100</v>
      </c>
      <c r="I10" s="155">
        <f>324-216</f>
        <v>108</v>
      </c>
      <c r="J10" s="81" t="s">
        <v>94</v>
      </c>
      <c r="K10" s="155"/>
      <c r="L10" s="53" t="s">
        <v>67</v>
      </c>
      <c r="M10" s="16"/>
      <c r="N10" s="16"/>
      <c r="O10" s="17" t="s">
        <v>1147</v>
      </c>
      <c r="P10" s="18">
        <v>1</v>
      </c>
      <c r="Q10" s="19" t="s">
        <v>19</v>
      </c>
    </row>
    <row r="11" spans="1:17" ht="21.75" customHeight="1" x14ac:dyDescent="0.25">
      <c r="A11" s="288"/>
      <c r="B11" s="43" t="s">
        <v>1173</v>
      </c>
      <c r="C11" s="141">
        <v>43296</v>
      </c>
      <c r="D11" s="141" t="s">
        <v>93</v>
      </c>
      <c r="E11" s="79" t="s">
        <v>54</v>
      </c>
      <c r="F11" s="38" t="s">
        <v>858</v>
      </c>
      <c r="G11" s="38">
        <v>600</v>
      </c>
      <c r="H11" s="60" t="s">
        <v>456</v>
      </c>
      <c r="I11" s="164">
        <v>192</v>
      </c>
      <c r="J11" s="48" t="s">
        <v>764</v>
      </c>
      <c r="K11" s="164"/>
      <c r="L11" s="88" t="s">
        <v>1161</v>
      </c>
      <c r="M11" s="63"/>
      <c r="N11" s="63"/>
      <c r="O11" s="20" t="s">
        <v>1148</v>
      </c>
      <c r="P11" s="21">
        <v>2</v>
      </c>
      <c r="Q11" s="22" t="s">
        <v>20</v>
      </c>
    </row>
    <row r="12" spans="1:17" ht="21.75" customHeight="1" x14ac:dyDescent="0.25">
      <c r="A12" s="288"/>
      <c r="B12" s="43" t="s">
        <v>181</v>
      </c>
      <c r="C12" s="141"/>
      <c r="D12" s="141"/>
      <c r="E12" s="79"/>
      <c r="F12" s="38"/>
      <c r="G12" s="38"/>
      <c r="H12" s="60"/>
      <c r="I12" s="164">
        <v>192</v>
      </c>
      <c r="J12" s="48" t="s">
        <v>255</v>
      </c>
      <c r="K12" s="164"/>
      <c r="L12" s="88"/>
      <c r="M12" s="49"/>
      <c r="N12" s="49"/>
      <c r="O12" s="20" t="s">
        <v>1149</v>
      </c>
      <c r="P12" s="21">
        <v>3</v>
      </c>
      <c r="Q12" s="22" t="s">
        <v>21</v>
      </c>
    </row>
    <row r="13" spans="1:17" ht="21.75" customHeight="1" x14ac:dyDescent="0.25">
      <c r="A13" s="288"/>
      <c r="B13" s="45"/>
      <c r="C13" s="58"/>
      <c r="D13" s="141"/>
      <c r="E13" s="79"/>
      <c r="F13" s="38"/>
      <c r="G13" s="164"/>
      <c r="H13" s="48"/>
      <c r="I13" s="164">
        <f>600-384</f>
        <v>216</v>
      </c>
      <c r="J13" s="48" t="s">
        <v>182</v>
      </c>
      <c r="K13" s="164"/>
      <c r="L13" s="57"/>
      <c r="M13" s="49"/>
      <c r="N13" s="49"/>
      <c r="O13" s="20" t="s">
        <v>1150</v>
      </c>
      <c r="P13" s="21">
        <v>4</v>
      </c>
      <c r="Q13" s="22" t="s">
        <v>21</v>
      </c>
    </row>
    <row r="14" spans="1:17" ht="21.75" customHeight="1" x14ac:dyDescent="0.25">
      <c r="A14" s="288"/>
      <c r="B14" s="43"/>
      <c r="C14" s="141"/>
      <c r="D14" s="141"/>
      <c r="E14" s="79"/>
      <c r="F14" s="38"/>
      <c r="G14" s="38"/>
      <c r="H14" s="60"/>
      <c r="I14" s="164"/>
      <c r="J14" s="48"/>
      <c r="K14" s="164"/>
      <c r="L14" s="88"/>
      <c r="M14" s="49"/>
      <c r="N14" s="49"/>
      <c r="O14" s="20"/>
      <c r="P14" s="21"/>
      <c r="Q14" s="22"/>
    </row>
    <row r="15" spans="1:17" ht="21.75" customHeight="1" thickBot="1" x14ac:dyDescent="0.3">
      <c r="A15" s="289"/>
      <c r="B15" s="93" t="s">
        <v>64</v>
      </c>
      <c r="C15" s="290" t="s">
        <v>98</v>
      </c>
      <c r="D15" s="291"/>
      <c r="E15" s="291"/>
      <c r="F15" s="292"/>
      <c r="G15" s="258"/>
      <c r="H15" s="258"/>
      <c r="I15" s="258">
        <f>SUM(I10:I14)</f>
        <v>708</v>
      </c>
      <c r="J15" s="258"/>
      <c r="K15" s="258"/>
      <c r="L15" s="261"/>
      <c r="M15" s="258"/>
      <c r="N15" s="258"/>
      <c r="O15" s="114"/>
      <c r="P15" s="259"/>
      <c r="Q15" s="152"/>
    </row>
    <row r="16" spans="1:17" ht="21.75" customHeight="1" x14ac:dyDescent="0.25">
      <c r="A16" s="287" t="s">
        <v>42</v>
      </c>
      <c r="B16" s="42" t="s">
        <v>1096</v>
      </c>
      <c r="C16" s="140">
        <v>43312</v>
      </c>
      <c r="D16" s="90" t="s">
        <v>988</v>
      </c>
      <c r="E16" s="62" t="s">
        <v>393</v>
      </c>
      <c r="F16" s="40" t="s">
        <v>508</v>
      </c>
      <c r="G16" s="248">
        <v>1008</v>
      </c>
      <c r="H16" s="41" t="s">
        <v>395</v>
      </c>
      <c r="I16" s="40">
        <v>384</v>
      </c>
      <c r="J16" s="40" t="s">
        <v>77</v>
      </c>
      <c r="K16" s="40"/>
      <c r="L16" s="90" t="s">
        <v>61</v>
      </c>
      <c r="M16" s="16"/>
      <c r="N16" s="16"/>
      <c r="O16" s="17" t="s">
        <v>1147</v>
      </c>
      <c r="P16" s="18">
        <v>1</v>
      </c>
      <c r="Q16" s="19" t="s">
        <v>19</v>
      </c>
    </row>
    <row r="17" spans="1:17" ht="21.75" customHeight="1" x14ac:dyDescent="0.25">
      <c r="A17" s="288"/>
      <c r="B17" s="45" t="s">
        <v>74</v>
      </c>
      <c r="C17" s="141"/>
      <c r="D17" s="91"/>
      <c r="E17" s="58"/>
      <c r="F17" s="38"/>
      <c r="G17" s="89"/>
      <c r="H17" s="48"/>
      <c r="I17" s="164">
        <v>384</v>
      </c>
      <c r="J17" s="164" t="s">
        <v>82</v>
      </c>
      <c r="K17" s="164"/>
      <c r="L17" s="51"/>
      <c r="M17" s="15"/>
      <c r="N17" s="15"/>
      <c r="O17" s="20" t="s">
        <v>1148</v>
      </c>
      <c r="P17" s="21">
        <v>2</v>
      </c>
      <c r="Q17" s="22" t="s">
        <v>20</v>
      </c>
    </row>
    <row r="18" spans="1:17" ht="21.75" customHeight="1" x14ac:dyDescent="0.25">
      <c r="A18" s="288"/>
      <c r="B18" s="45"/>
      <c r="C18" s="141"/>
      <c r="D18" s="91"/>
      <c r="E18" s="137"/>
      <c r="F18" s="38"/>
      <c r="G18" s="89"/>
      <c r="H18" s="48"/>
      <c r="I18" s="164">
        <f>1008-192*4</f>
        <v>240</v>
      </c>
      <c r="J18" s="164" t="s">
        <v>78</v>
      </c>
      <c r="K18" s="164"/>
      <c r="L18" s="51"/>
      <c r="M18" s="15"/>
      <c r="N18" s="15"/>
      <c r="O18" s="20" t="s">
        <v>1149</v>
      </c>
      <c r="P18" s="21">
        <v>3</v>
      </c>
      <c r="Q18" s="22" t="s">
        <v>21</v>
      </c>
    </row>
    <row r="19" spans="1:17" ht="21.75" customHeight="1" x14ac:dyDescent="0.25">
      <c r="A19" s="288"/>
      <c r="B19" s="45" t="s">
        <v>1178</v>
      </c>
      <c r="C19" s="141">
        <v>43312</v>
      </c>
      <c r="D19" s="91" t="s">
        <v>988</v>
      </c>
      <c r="E19" s="58" t="s">
        <v>393</v>
      </c>
      <c r="F19" s="39" t="s">
        <v>508</v>
      </c>
      <c r="G19" s="89">
        <v>216</v>
      </c>
      <c r="H19" s="79" t="s">
        <v>395</v>
      </c>
      <c r="I19" s="164">
        <v>216</v>
      </c>
      <c r="J19" s="164" t="s">
        <v>84</v>
      </c>
      <c r="K19" s="164"/>
      <c r="L19" s="44" t="s">
        <v>1179</v>
      </c>
      <c r="M19" s="49"/>
      <c r="N19" s="49"/>
      <c r="O19" s="20" t="s">
        <v>1150</v>
      </c>
      <c r="P19" s="21">
        <v>4</v>
      </c>
      <c r="Q19" s="22" t="s">
        <v>21</v>
      </c>
    </row>
    <row r="20" spans="1:17" ht="21.75" customHeight="1" x14ac:dyDescent="0.25">
      <c r="A20" s="288"/>
      <c r="B20" s="45"/>
      <c r="C20" s="141"/>
      <c r="D20" s="91"/>
      <c r="E20" s="58"/>
      <c r="F20" s="39"/>
      <c r="G20" s="89"/>
      <c r="H20" s="79"/>
      <c r="I20" s="164"/>
      <c r="J20" s="164"/>
      <c r="K20" s="164"/>
      <c r="L20" s="44"/>
      <c r="M20" s="49"/>
      <c r="N20" s="49"/>
      <c r="O20" s="20"/>
      <c r="P20" s="21"/>
      <c r="Q20" s="22"/>
    </row>
    <row r="21" spans="1:17" ht="21.75" customHeight="1" thickBot="1" x14ac:dyDescent="0.3">
      <c r="A21" s="289"/>
      <c r="B21" s="93" t="s">
        <v>64</v>
      </c>
      <c r="C21" s="290" t="s">
        <v>98</v>
      </c>
      <c r="D21" s="291"/>
      <c r="E21" s="291"/>
      <c r="F21" s="292"/>
      <c r="G21" s="258"/>
      <c r="H21" s="258"/>
      <c r="I21" s="258">
        <f>SUM(I16:I20)</f>
        <v>1224</v>
      </c>
      <c r="J21" s="258"/>
      <c r="K21" s="258"/>
      <c r="L21" s="261"/>
      <c r="M21" s="258"/>
      <c r="N21" s="258"/>
      <c r="O21" s="114"/>
      <c r="P21" s="259"/>
      <c r="Q21" s="152"/>
    </row>
    <row r="22" spans="1:17" ht="21.75" customHeight="1" x14ac:dyDescent="0.25">
      <c r="A22" s="287" t="s">
        <v>43</v>
      </c>
      <c r="B22" s="42" t="s">
        <v>1097</v>
      </c>
      <c r="C22" s="140">
        <v>43302</v>
      </c>
      <c r="D22" s="90" t="s">
        <v>988</v>
      </c>
      <c r="E22" s="262" t="s">
        <v>34</v>
      </c>
      <c r="F22" s="40" t="s">
        <v>276</v>
      </c>
      <c r="G22" s="248">
        <v>2400</v>
      </c>
      <c r="H22" s="41" t="s">
        <v>277</v>
      </c>
      <c r="I22" s="40">
        <v>432</v>
      </c>
      <c r="J22" s="40" t="s">
        <v>85</v>
      </c>
      <c r="K22" s="40"/>
      <c r="L22" s="54" t="s">
        <v>61</v>
      </c>
      <c r="M22" s="16"/>
      <c r="N22" s="16"/>
      <c r="O22" s="17" t="s">
        <v>1147</v>
      </c>
      <c r="P22" s="18">
        <v>1</v>
      </c>
      <c r="Q22" s="19" t="s">
        <v>19</v>
      </c>
    </row>
    <row r="23" spans="1:17" ht="21.75" customHeight="1" x14ac:dyDescent="0.25">
      <c r="A23" s="288"/>
      <c r="B23" s="45" t="s">
        <v>780</v>
      </c>
      <c r="C23" s="141"/>
      <c r="D23" s="91"/>
      <c r="E23" s="48"/>
      <c r="F23" s="39"/>
      <c r="G23" s="39"/>
      <c r="H23" s="79"/>
      <c r="I23" s="38">
        <v>432</v>
      </c>
      <c r="J23" s="60" t="s">
        <v>229</v>
      </c>
      <c r="K23" s="38"/>
      <c r="L23" s="44"/>
      <c r="M23" s="15"/>
      <c r="N23" s="15"/>
      <c r="O23" s="20" t="s">
        <v>1148</v>
      </c>
      <c r="P23" s="21">
        <v>2</v>
      </c>
      <c r="Q23" s="22" t="s">
        <v>20</v>
      </c>
    </row>
    <row r="24" spans="1:17" ht="21.75" customHeight="1" x14ac:dyDescent="0.25">
      <c r="A24" s="288"/>
      <c r="B24" s="43"/>
      <c r="C24" s="141"/>
      <c r="D24" s="91"/>
      <c r="E24" s="253"/>
      <c r="F24" s="38"/>
      <c r="G24" s="105"/>
      <c r="H24" s="60"/>
      <c r="I24" s="38">
        <f>2400-216*9</f>
        <v>456</v>
      </c>
      <c r="J24" s="38" t="s">
        <v>1182</v>
      </c>
      <c r="K24" s="164"/>
      <c r="L24" s="44"/>
      <c r="M24" s="49"/>
      <c r="N24" s="49"/>
      <c r="O24" s="20" t="s">
        <v>1149</v>
      </c>
      <c r="P24" s="21">
        <v>3</v>
      </c>
      <c r="Q24" s="22" t="s">
        <v>21</v>
      </c>
    </row>
    <row r="25" spans="1:17" ht="21.75" customHeight="1" x14ac:dyDescent="0.25">
      <c r="A25" s="288"/>
      <c r="B25" s="45" t="s">
        <v>1183</v>
      </c>
      <c r="C25" s="141">
        <v>43302</v>
      </c>
      <c r="D25" s="91" t="s">
        <v>988</v>
      </c>
      <c r="E25" s="48" t="s">
        <v>34</v>
      </c>
      <c r="F25" s="39" t="s">
        <v>276</v>
      </c>
      <c r="G25" s="39">
        <v>360</v>
      </c>
      <c r="H25" s="79" t="s">
        <v>277</v>
      </c>
      <c r="I25" s="38">
        <v>216</v>
      </c>
      <c r="J25" s="60" t="s">
        <v>764</v>
      </c>
      <c r="K25" s="38"/>
      <c r="L25" s="44" t="s">
        <v>1184</v>
      </c>
      <c r="M25" s="49"/>
      <c r="N25" s="49"/>
      <c r="O25" s="20" t="s">
        <v>1150</v>
      </c>
      <c r="P25" s="21">
        <v>4</v>
      </c>
      <c r="Q25" s="22" t="s">
        <v>21</v>
      </c>
    </row>
    <row r="26" spans="1:17" ht="21.75" customHeight="1" x14ac:dyDescent="0.25">
      <c r="A26" s="288"/>
      <c r="B26" s="43" t="s">
        <v>1249</v>
      </c>
      <c r="C26" s="141"/>
      <c r="D26" s="91"/>
      <c r="E26" s="253"/>
      <c r="F26" s="38"/>
      <c r="G26" s="105"/>
      <c r="H26" s="60"/>
      <c r="I26" s="38"/>
      <c r="J26" s="38"/>
      <c r="K26" s="164"/>
      <c r="L26" s="44"/>
      <c r="M26" s="49"/>
      <c r="N26" s="49"/>
      <c r="O26" s="20"/>
      <c r="P26" s="21"/>
      <c r="Q26" s="22"/>
    </row>
    <row r="27" spans="1:17" ht="21.75" customHeight="1" x14ac:dyDescent="0.25">
      <c r="A27" s="288"/>
      <c r="B27" s="45"/>
      <c r="C27" s="141"/>
      <c r="D27" s="91"/>
      <c r="E27" s="48"/>
      <c r="F27" s="39"/>
      <c r="G27" s="39"/>
      <c r="H27" s="79"/>
      <c r="I27" s="164"/>
      <c r="J27" s="48"/>
      <c r="K27" s="164"/>
      <c r="L27" s="57"/>
      <c r="M27" s="49"/>
      <c r="N27" s="49"/>
      <c r="O27" s="20"/>
      <c r="P27" s="21"/>
      <c r="Q27" s="22"/>
    </row>
    <row r="28" spans="1:17" ht="24" customHeight="1" thickBot="1" x14ac:dyDescent="0.3">
      <c r="A28" s="289"/>
      <c r="B28" s="93" t="s">
        <v>64</v>
      </c>
      <c r="C28" s="290" t="s">
        <v>98</v>
      </c>
      <c r="D28" s="291"/>
      <c r="E28" s="291"/>
      <c r="F28" s="292"/>
      <c r="G28" s="258"/>
      <c r="H28" s="258"/>
      <c r="I28" s="258">
        <f>SUM(I22:I27)</f>
        <v>1536</v>
      </c>
      <c r="J28" s="258"/>
      <c r="K28" s="258"/>
      <c r="L28" s="261"/>
      <c r="M28" s="258"/>
      <c r="N28" s="258"/>
      <c r="O28" s="114"/>
      <c r="P28" s="259"/>
      <c r="Q28" s="152"/>
    </row>
    <row r="29" spans="1:17" ht="25.5" customHeight="1" thickBot="1" x14ac:dyDescent="0.3">
      <c r="A29" s="37"/>
      <c r="B29" s="64"/>
      <c r="C29" s="65"/>
      <c r="D29" s="66"/>
      <c r="E29" s="67"/>
      <c r="F29" s="68"/>
      <c r="G29" s="67"/>
      <c r="H29" s="67"/>
      <c r="I29" s="69">
        <f>SUM(I28,I21,I15,I9)</f>
        <v>5196</v>
      </c>
      <c r="J29" s="70"/>
      <c r="K29" s="70"/>
      <c r="L29" s="65"/>
      <c r="M29" s="71"/>
      <c r="N29" s="69"/>
      <c r="O29" s="70"/>
      <c r="P29" s="70"/>
      <c r="Q29" s="72"/>
    </row>
    <row r="30" spans="1:17" ht="17.25" customHeight="1" thickTop="1" x14ac:dyDescent="0.3">
      <c r="A30" s="23" t="s">
        <v>22</v>
      </c>
      <c r="B30" s="24"/>
      <c r="C30" s="25"/>
      <c r="D30" s="24"/>
      <c r="E30" s="24"/>
      <c r="F30" s="26"/>
      <c r="G30" s="27"/>
      <c r="H30" s="28" t="s">
        <v>23</v>
      </c>
      <c r="I30" s="29"/>
      <c r="J30" s="29"/>
      <c r="K30" s="29"/>
      <c r="L30" s="30"/>
      <c r="M30" s="29"/>
      <c r="N30" s="29"/>
      <c r="O30" s="29"/>
      <c r="P30" s="260" t="s">
        <v>24</v>
      </c>
      <c r="Q30" s="31"/>
    </row>
    <row r="31" spans="1:17" ht="16.5" x14ac:dyDescent="0.3">
      <c r="A31" s="1"/>
      <c r="B31" s="32">
        <v>1</v>
      </c>
      <c r="C31" s="33"/>
      <c r="D31" s="32"/>
      <c r="E31" s="32"/>
      <c r="F31" s="304" t="s">
        <v>25</v>
      </c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</row>
    <row r="32" spans="1:17" ht="16.5" x14ac:dyDescent="0.3">
      <c r="A32" s="1"/>
      <c r="B32" s="297" t="s">
        <v>26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1:17" ht="16.5" x14ac:dyDescent="0.3">
      <c r="A33" s="1"/>
      <c r="B33" s="34">
        <v>2</v>
      </c>
      <c r="C33" s="35"/>
      <c r="D33" s="36"/>
      <c r="E33" s="36"/>
      <c r="F33" s="298" t="s">
        <v>27</v>
      </c>
      <c r="G33" s="298"/>
      <c r="H33" s="298"/>
      <c r="I33" s="298"/>
      <c r="J33" s="298"/>
      <c r="K33" s="298"/>
      <c r="L33" s="298"/>
      <c r="M33" s="298"/>
      <c r="N33" s="298"/>
      <c r="O33" s="298"/>
      <c r="P33" s="299" t="s">
        <v>28</v>
      </c>
      <c r="Q33" s="300"/>
    </row>
    <row r="34" spans="1:17" ht="16.5" x14ac:dyDescent="0.3">
      <c r="A34" s="1"/>
      <c r="B34" s="297" t="s">
        <v>29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1"/>
      <c r="Q34" s="1"/>
    </row>
  </sheetData>
  <mergeCells count="17">
    <mergeCell ref="B34:O34"/>
    <mergeCell ref="A22:A28"/>
    <mergeCell ref="C28:F28"/>
    <mergeCell ref="F31:Q31"/>
    <mergeCell ref="B32:Q32"/>
    <mergeCell ref="F33:O33"/>
    <mergeCell ref="P33:Q33"/>
    <mergeCell ref="A10:A15"/>
    <mergeCell ref="C15:F15"/>
    <mergeCell ref="A16:A21"/>
    <mergeCell ref="C21:F21"/>
    <mergeCell ref="A1:Q1"/>
    <mergeCell ref="A2:B2"/>
    <mergeCell ref="C2:E2"/>
    <mergeCell ref="F2:G2"/>
    <mergeCell ref="O2:Q2"/>
    <mergeCell ref="A4:A9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9"/>
  <sheetViews>
    <sheetView zoomScale="109" zoomScaleNormal="109" workbookViewId="0">
      <selection activeCell="R9" sqref="R9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43263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43264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1" customHeight="1" x14ac:dyDescent="0.25">
      <c r="A4" s="307" t="s">
        <v>44</v>
      </c>
      <c r="B4" s="42" t="s">
        <v>1139</v>
      </c>
      <c r="C4" s="121">
        <v>43269</v>
      </c>
      <c r="D4" s="109" t="s">
        <v>59</v>
      </c>
      <c r="E4" s="122" t="s">
        <v>143</v>
      </c>
      <c r="F4" s="108" t="s">
        <v>1140</v>
      </c>
      <c r="G4" s="40">
        <v>1140</v>
      </c>
      <c r="H4" s="41" t="s">
        <v>1102</v>
      </c>
      <c r="I4" s="155">
        <v>432</v>
      </c>
      <c r="J4" s="155" t="s">
        <v>1185</v>
      </c>
      <c r="K4" s="155"/>
      <c r="L4" s="123" t="s">
        <v>1143</v>
      </c>
      <c r="M4" s="16"/>
      <c r="N4" s="16"/>
      <c r="O4" s="17" t="s">
        <v>1147</v>
      </c>
      <c r="P4" s="18">
        <v>1</v>
      </c>
      <c r="Q4" s="19" t="s">
        <v>19</v>
      </c>
    </row>
    <row r="5" spans="1:28" ht="21" customHeight="1" x14ac:dyDescent="0.25">
      <c r="A5" s="308"/>
      <c r="B5" s="45" t="s">
        <v>1141</v>
      </c>
      <c r="C5" s="117"/>
      <c r="D5" s="113"/>
      <c r="E5" s="102"/>
      <c r="F5" s="101"/>
      <c r="G5" s="164"/>
      <c r="H5" s="48"/>
      <c r="I5" s="164">
        <f>1140-216*3</f>
        <v>492</v>
      </c>
      <c r="J5" s="164" t="s">
        <v>68</v>
      </c>
      <c r="K5" s="164"/>
      <c r="L5" s="51"/>
      <c r="M5" s="87"/>
      <c r="N5" s="87"/>
      <c r="O5" s="20" t="s">
        <v>1148</v>
      </c>
      <c r="P5" s="21">
        <v>2</v>
      </c>
      <c r="Q5" s="22" t="s">
        <v>20</v>
      </c>
    </row>
    <row r="6" spans="1:28" ht="21" customHeight="1" x14ac:dyDescent="0.25">
      <c r="A6" s="308"/>
      <c r="B6" s="45" t="s">
        <v>1186</v>
      </c>
      <c r="C6" s="117">
        <v>432690</v>
      </c>
      <c r="D6" s="113" t="s">
        <v>59</v>
      </c>
      <c r="E6" s="102" t="s">
        <v>143</v>
      </c>
      <c r="F6" s="101" t="s">
        <v>1101</v>
      </c>
      <c r="G6" s="39">
        <v>1404</v>
      </c>
      <c r="H6" s="79" t="s">
        <v>1102</v>
      </c>
      <c r="I6" s="164">
        <v>432</v>
      </c>
      <c r="J6" s="164" t="s">
        <v>77</v>
      </c>
      <c r="K6" s="164"/>
      <c r="L6" s="51" t="s">
        <v>1188</v>
      </c>
      <c r="M6" s="49"/>
      <c r="N6" s="49"/>
      <c r="O6" s="20" t="s">
        <v>1149</v>
      </c>
      <c r="P6" s="21">
        <v>3</v>
      </c>
      <c r="Q6" s="22" t="s">
        <v>21</v>
      </c>
    </row>
    <row r="7" spans="1:28" ht="21" customHeight="1" x14ac:dyDescent="0.25">
      <c r="A7" s="308"/>
      <c r="B7" s="45" t="s">
        <v>1187</v>
      </c>
      <c r="C7" s="117"/>
      <c r="D7" s="113"/>
      <c r="E7" s="102"/>
      <c r="F7" s="101"/>
      <c r="G7" s="39"/>
      <c r="H7" s="79"/>
      <c r="I7" s="164">
        <v>216</v>
      </c>
      <c r="J7" s="164" t="s">
        <v>182</v>
      </c>
      <c r="K7" s="164"/>
      <c r="L7" s="51"/>
      <c r="M7" s="49"/>
      <c r="N7" s="49"/>
      <c r="O7" s="20" t="s">
        <v>1150</v>
      </c>
      <c r="P7" s="21">
        <v>4</v>
      </c>
      <c r="Q7" s="22" t="s">
        <v>21</v>
      </c>
      <c r="R7">
        <f>1404-216*3+360+1800+1008+672+360+2304+324+492+360</f>
        <v>8436</v>
      </c>
    </row>
    <row r="8" spans="1:28" ht="21" customHeight="1" thickBot="1" x14ac:dyDescent="0.3">
      <c r="A8" s="309"/>
      <c r="B8" s="93" t="s">
        <v>64</v>
      </c>
      <c r="C8" s="290" t="s">
        <v>65</v>
      </c>
      <c r="D8" s="291"/>
      <c r="E8" s="291"/>
      <c r="F8" s="292"/>
      <c r="G8" s="258"/>
      <c r="H8" s="258"/>
      <c r="I8" s="258">
        <f>SUM(I4:I7)</f>
        <v>1572</v>
      </c>
      <c r="J8" s="258"/>
      <c r="K8" s="258"/>
      <c r="L8" s="261"/>
      <c r="M8" s="258"/>
      <c r="N8" s="258"/>
      <c r="O8" s="114"/>
      <c r="P8" s="259"/>
      <c r="Q8" s="259"/>
      <c r="R8">
        <f>8436/1440</f>
        <v>5.8583333333333334</v>
      </c>
    </row>
    <row r="9" spans="1:28" ht="21" customHeight="1" x14ac:dyDescent="0.25">
      <c r="A9" s="287" t="s">
        <v>45</v>
      </c>
      <c r="B9" s="42" t="s">
        <v>1228</v>
      </c>
      <c r="C9" s="121">
        <v>43275</v>
      </c>
      <c r="D9" s="109" t="s">
        <v>93</v>
      </c>
      <c r="E9" s="122" t="s">
        <v>54</v>
      </c>
      <c r="F9" s="108" t="s">
        <v>1217</v>
      </c>
      <c r="G9" s="40">
        <v>341</v>
      </c>
      <c r="H9" s="41" t="s">
        <v>1218</v>
      </c>
      <c r="I9" s="155">
        <v>341</v>
      </c>
      <c r="J9" s="155" t="s">
        <v>1233</v>
      </c>
      <c r="K9" s="155"/>
      <c r="L9" s="123" t="s">
        <v>1242</v>
      </c>
      <c r="M9" s="95"/>
      <c r="N9" s="16"/>
      <c r="O9" s="17" t="s">
        <v>1147</v>
      </c>
      <c r="P9" s="18">
        <v>1</v>
      </c>
      <c r="Q9" s="19" t="s">
        <v>19</v>
      </c>
    </row>
    <row r="10" spans="1:28" ht="21" customHeight="1" x14ac:dyDescent="0.25">
      <c r="A10" s="288"/>
      <c r="B10" s="45"/>
      <c r="C10" s="315" t="s">
        <v>35</v>
      </c>
      <c r="D10" s="316"/>
      <c r="E10" s="221"/>
      <c r="F10" s="222"/>
      <c r="G10" s="164"/>
      <c r="H10" s="48"/>
      <c r="I10" s="164"/>
      <c r="J10" s="164"/>
      <c r="K10" s="164"/>
      <c r="L10" s="51"/>
      <c r="M10" s="15"/>
      <c r="N10" s="63"/>
      <c r="O10" s="20"/>
      <c r="P10" s="21"/>
      <c r="Q10" s="22"/>
    </row>
    <row r="11" spans="1:28" ht="21" customHeight="1" x14ac:dyDescent="0.25">
      <c r="A11" s="288"/>
      <c r="B11" s="45" t="s">
        <v>1229</v>
      </c>
      <c r="C11" s="112">
        <v>43275</v>
      </c>
      <c r="D11" s="110" t="s">
        <v>93</v>
      </c>
      <c r="E11" s="102" t="s">
        <v>54</v>
      </c>
      <c r="F11" s="101" t="s">
        <v>1217</v>
      </c>
      <c r="G11" s="39">
        <v>127</v>
      </c>
      <c r="H11" s="79" t="s">
        <v>1218</v>
      </c>
      <c r="I11" s="164">
        <v>127</v>
      </c>
      <c r="J11" s="164" t="s">
        <v>1234</v>
      </c>
      <c r="K11" s="164"/>
      <c r="L11" s="51" t="s">
        <v>1242</v>
      </c>
      <c r="M11" s="83"/>
      <c r="N11" s="83"/>
      <c r="O11" s="20" t="s">
        <v>1148</v>
      </c>
      <c r="P11" s="21">
        <v>2</v>
      </c>
      <c r="Q11" s="22" t="s">
        <v>20</v>
      </c>
    </row>
    <row r="12" spans="1:28" ht="21" customHeight="1" x14ac:dyDescent="0.25">
      <c r="A12" s="288"/>
      <c r="B12" s="45" t="s">
        <v>1230</v>
      </c>
      <c r="C12" s="112">
        <v>43275</v>
      </c>
      <c r="D12" s="110" t="s">
        <v>93</v>
      </c>
      <c r="E12" s="102" t="s">
        <v>54</v>
      </c>
      <c r="F12" s="101" t="s">
        <v>1217</v>
      </c>
      <c r="G12" s="39">
        <v>39</v>
      </c>
      <c r="H12" s="79" t="s">
        <v>1218</v>
      </c>
      <c r="I12" s="164">
        <v>39</v>
      </c>
      <c r="J12" s="164" t="s">
        <v>1234</v>
      </c>
      <c r="K12" s="164"/>
      <c r="L12" s="51" t="s">
        <v>1235</v>
      </c>
      <c r="M12" s="15"/>
      <c r="N12" s="15"/>
      <c r="O12" s="20"/>
      <c r="P12" s="21"/>
      <c r="Q12" s="22"/>
    </row>
    <row r="13" spans="1:28" ht="21" customHeight="1" x14ac:dyDescent="0.25">
      <c r="A13" s="288"/>
      <c r="B13" s="45" t="s">
        <v>1231</v>
      </c>
      <c r="C13" s="112">
        <v>43275</v>
      </c>
      <c r="D13" s="110" t="s">
        <v>93</v>
      </c>
      <c r="E13" s="102" t="s">
        <v>54</v>
      </c>
      <c r="F13" s="101" t="s">
        <v>1217</v>
      </c>
      <c r="G13" s="39">
        <v>94</v>
      </c>
      <c r="H13" s="79" t="s">
        <v>1218</v>
      </c>
      <c r="I13" s="164">
        <v>94</v>
      </c>
      <c r="J13" s="164" t="s">
        <v>1234</v>
      </c>
      <c r="K13" s="164"/>
      <c r="L13" s="51" t="s">
        <v>1243</v>
      </c>
      <c r="M13" s="15"/>
      <c r="N13" s="15"/>
      <c r="O13" s="20"/>
      <c r="P13" s="21"/>
      <c r="Q13" s="22"/>
    </row>
    <row r="14" spans="1:28" ht="21" customHeight="1" x14ac:dyDescent="0.25">
      <c r="A14" s="288"/>
      <c r="B14" s="45"/>
      <c r="C14" s="315" t="s">
        <v>1232</v>
      </c>
      <c r="D14" s="316"/>
      <c r="E14" s="102"/>
      <c r="F14" s="101"/>
      <c r="G14" s="39"/>
      <c r="H14" s="79"/>
      <c r="I14" s="164"/>
      <c r="J14" s="164"/>
      <c r="K14" s="164"/>
      <c r="L14" s="51"/>
      <c r="M14" s="15"/>
      <c r="N14" s="15"/>
      <c r="O14" s="20"/>
      <c r="P14" s="21"/>
      <c r="Q14" s="22"/>
    </row>
    <row r="15" spans="1:28" ht="21" customHeight="1" x14ac:dyDescent="0.25">
      <c r="A15" s="288"/>
      <c r="B15" s="267" t="s">
        <v>1236</v>
      </c>
      <c r="C15" s="112">
        <v>43277</v>
      </c>
      <c r="D15" s="110" t="s">
        <v>93</v>
      </c>
      <c r="E15" s="102" t="s">
        <v>54</v>
      </c>
      <c r="F15" s="101" t="s">
        <v>1217</v>
      </c>
      <c r="G15" s="39">
        <v>96</v>
      </c>
      <c r="H15" s="79" t="s">
        <v>1218</v>
      </c>
      <c r="I15" s="164">
        <v>96</v>
      </c>
      <c r="J15" s="164" t="s">
        <v>1234</v>
      </c>
      <c r="K15" s="164"/>
      <c r="L15" s="51" t="s">
        <v>1244</v>
      </c>
      <c r="M15" s="15"/>
      <c r="N15" s="15"/>
      <c r="O15" s="20" t="s">
        <v>1149</v>
      </c>
      <c r="P15" s="21">
        <v>3</v>
      </c>
      <c r="Q15" s="22" t="s">
        <v>21</v>
      </c>
    </row>
    <row r="16" spans="1:28" ht="21" customHeight="1" x14ac:dyDescent="0.25">
      <c r="A16" s="288"/>
      <c r="B16" s="267" t="s">
        <v>1237</v>
      </c>
      <c r="C16" s="112">
        <v>43277</v>
      </c>
      <c r="D16" s="110" t="s">
        <v>93</v>
      </c>
      <c r="E16" s="102" t="s">
        <v>54</v>
      </c>
      <c r="F16" s="101" t="s">
        <v>1217</v>
      </c>
      <c r="G16" s="39">
        <v>38</v>
      </c>
      <c r="H16" s="79" t="s">
        <v>1218</v>
      </c>
      <c r="I16" s="164">
        <v>38</v>
      </c>
      <c r="J16" s="164" t="s">
        <v>1234</v>
      </c>
      <c r="K16" s="164"/>
      <c r="L16" s="51" t="s">
        <v>1235</v>
      </c>
      <c r="M16" s="15"/>
      <c r="N16" s="15"/>
      <c r="O16" s="20"/>
      <c r="P16" s="21"/>
      <c r="Q16" s="22"/>
    </row>
    <row r="17" spans="1:17" ht="21" customHeight="1" x14ac:dyDescent="0.25">
      <c r="A17" s="288"/>
      <c r="B17" s="45" t="s">
        <v>1238</v>
      </c>
      <c r="C17" s="112">
        <v>43275</v>
      </c>
      <c r="D17" s="110" t="s">
        <v>93</v>
      </c>
      <c r="E17" s="102" t="s">
        <v>54</v>
      </c>
      <c r="F17" s="101" t="s">
        <v>1217</v>
      </c>
      <c r="G17" s="39">
        <v>83</v>
      </c>
      <c r="H17" s="79" t="s">
        <v>1218</v>
      </c>
      <c r="I17" s="164">
        <v>83</v>
      </c>
      <c r="J17" s="164" t="s">
        <v>1234</v>
      </c>
      <c r="K17" s="164"/>
      <c r="L17" s="51" t="s">
        <v>1235</v>
      </c>
      <c r="M17" s="15"/>
      <c r="N17" s="15"/>
      <c r="O17" s="20"/>
      <c r="P17" s="21"/>
      <c r="Q17" s="22"/>
    </row>
    <row r="18" spans="1:17" ht="21" customHeight="1" x14ac:dyDescent="0.25">
      <c r="A18" s="288"/>
      <c r="B18" s="45"/>
      <c r="C18" s="315" t="s">
        <v>1239</v>
      </c>
      <c r="D18" s="316"/>
      <c r="E18" s="102"/>
      <c r="F18" s="349" t="s">
        <v>1247</v>
      </c>
      <c r="G18" s="350"/>
      <c r="H18" s="351"/>
      <c r="I18" s="164"/>
      <c r="J18" s="164"/>
      <c r="K18" s="164"/>
      <c r="L18" s="51"/>
      <c r="M18" s="15"/>
      <c r="N18" s="15"/>
      <c r="O18" s="20"/>
      <c r="P18" s="21"/>
      <c r="Q18" s="22"/>
    </row>
    <row r="19" spans="1:17" ht="21" customHeight="1" x14ac:dyDescent="0.25">
      <c r="A19" s="288"/>
      <c r="B19" s="45" t="s">
        <v>1240</v>
      </c>
      <c r="C19" s="112">
        <v>43269</v>
      </c>
      <c r="D19" s="110" t="s">
        <v>59</v>
      </c>
      <c r="E19" s="102" t="s">
        <v>54</v>
      </c>
      <c r="F19" s="101" t="s">
        <v>1241</v>
      </c>
      <c r="G19" s="39">
        <v>2808</v>
      </c>
      <c r="H19" s="79" t="s">
        <v>117</v>
      </c>
      <c r="I19" s="164">
        <v>216</v>
      </c>
      <c r="J19" s="164" t="s">
        <v>255</v>
      </c>
      <c r="K19" s="164"/>
      <c r="L19" s="51" t="s">
        <v>1246</v>
      </c>
      <c r="M19" s="15"/>
      <c r="N19" s="15"/>
      <c r="O19" s="20" t="s">
        <v>1150</v>
      </c>
      <c r="P19" s="21">
        <v>4</v>
      </c>
      <c r="Q19" s="22" t="s">
        <v>21</v>
      </c>
    </row>
    <row r="20" spans="1:17" ht="21" customHeight="1" x14ac:dyDescent="0.25">
      <c r="A20" s="288"/>
      <c r="B20" s="45" t="s">
        <v>1245</v>
      </c>
      <c r="C20" s="268"/>
      <c r="D20" s="186"/>
      <c r="E20" s="221"/>
      <c r="F20" s="222"/>
      <c r="G20" s="164"/>
      <c r="H20" s="48"/>
      <c r="I20" s="164"/>
      <c r="J20" s="164"/>
      <c r="K20" s="164"/>
      <c r="L20" s="51"/>
      <c r="M20" s="49"/>
      <c r="N20" s="49"/>
      <c r="O20" s="124"/>
      <c r="P20" s="50"/>
      <c r="Q20" s="22"/>
    </row>
    <row r="21" spans="1:17" ht="21" customHeight="1" thickBot="1" x14ac:dyDescent="0.3">
      <c r="A21" s="289"/>
      <c r="B21" s="93"/>
      <c r="C21" s="258"/>
      <c r="D21" s="258"/>
      <c r="E21" s="258"/>
      <c r="F21" s="258"/>
      <c r="G21" s="258"/>
      <c r="H21" s="258"/>
      <c r="I21" s="258">
        <f>SUM(I9:I20)</f>
        <v>1034</v>
      </c>
      <c r="J21" s="258"/>
      <c r="K21" s="258"/>
      <c r="L21" s="261"/>
      <c r="M21" s="258"/>
      <c r="N21" s="258"/>
      <c r="O21" s="114"/>
      <c r="P21" s="258"/>
      <c r="Q21" s="258"/>
    </row>
    <row r="22" spans="1:17" ht="21" customHeight="1" x14ac:dyDescent="0.25">
      <c r="A22" s="287" t="s">
        <v>46</v>
      </c>
      <c r="B22" s="42" t="s">
        <v>1110</v>
      </c>
      <c r="C22" s="140">
        <v>43281</v>
      </c>
      <c r="D22" s="77" t="s">
        <v>59</v>
      </c>
      <c r="E22" s="41" t="s">
        <v>143</v>
      </c>
      <c r="F22" s="40" t="s">
        <v>1106</v>
      </c>
      <c r="G22" s="155">
        <v>588</v>
      </c>
      <c r="H22" s="81" t="s">
        <v>66</v>
      </c>
      <c r="I22" s="155">
        <v>216</v>
      </c>
      <c r="J22" s="155" t="s">
        <v>255</v>
      </c>
      <c r="K22" s="155"/>
      <c r="L22" s="97" t="s">
        <v>158</v>
      </c>
      <c r="M22" s="95"/>
      <c r="N22" s="95"/>
      <c r="O22" s="17" t="s">
        <v>1147</v>
      </c>
      <c r="P22" s="18">
        <v>1</v>
      </c>
      <c r="Q22" s="19" t="s">
        <v>19</v>
      </c>
    </row>
    <row r="23" spans="1:17" ht="21" customHeight="1" x14ac:dyDescent="0.25">
      <c r="A23" s="288"/>
      <c r="B23" s="45"/>
      <c r="C23" s="242"/>
      <c r="D23" s="78"/>
      <c r="E23" s="60"/>
      <c r="F23" s="38"/>
      <c r="G23" s="164"/>
      <c r="H23" s="48"/>
      <c r="I23" s="164">
        <v>156</v>
      </c>
      <c r="J23" s="164" t="s">
        <v>1250</v>
      </c>
      <c r="K23" s="164"/>
      <c r="L23" s="119"/>
      <c r="M23" s="49"/>
      <c r="N23" s="15"/>
      <c r="O23" s="20" t="s">
        <v>1148</v>
      </c>
      <c r="P23" s="21">
        <v>2</v>
      </c>
      <c r="Q23" s="22" t="s">
        <v>20</v>
      </c>
    </row>
    <row r="24" spans="1:17" ht="21" customHeight="1" x14ac:dyDescent="0.25">
      <c r="A24" s="288"/>
      <c r="B24" s="45" t="s">
        <v>1189</v>
      </c>
      <c r="C24" s="141">
        <v>43281</v>
      </c>
      <c r="D24" s="78" t="s">
        <v>59</v>
      </c>
      <c r="E24" s="60" t="s">
        <v>143</v>
      </c>
      <c r="F24" s="38" t="s">
        <v>1106</v>
      </c>
      <c r="G24" s="164">
        <v>192</v>
      </c>
      <c r="H24" s="48" t="s">
        <v>66</v>
      </c>
      <c r="I24" s="164">
        <v>192</v>
      </c>
      <c r="J24" s="164" t="s">
        <v>84</v>
      </c>
      <c r="K24" s="164"/>
      <c r="L24" s="119" t="s">
        <v>1191</v>
      </c>
      <c r="M24" s="49"/>
      <c r="N24" s="15"/>
      <c r="O24" s="20" t="s">
        <v>1149</v>
      </c>
      <c r="P24" s="21">
        <v>3</v>
      </c>
      <c r="Q24" s="22" t="s">
        <v>21</v>
      </c>
    </row>
    <row r="25" spans="1:17" ht="21" customHeight="1" x14ac:dyDescent="0.25">
      <c r="A25" s="288"/>
      <c r="B25" s="43" t="s">
        <v>1190</v>
      </c>
      <c r="C25" s="141">
        <v>43281</v>
      </c>
      <c r="D25" s="78" t="s">
        <v>59</v>
      </c>
      <c r="E25" s="60" t="s">
        <v>143</v>
      </c>
      <c r="F25" s="38" t="s">
        <v>1106</v>
      </c>
      <c r="G25" s="38">
        <v>2292</v>
      </c>
      <c r="H25" s="60" t="s">
        <v>66</v>
      </c>
      <c r="I25" s="38">
        <v>216</v>
      </c>
      <c r="J25" s="38" t="s">
        <v>764</v>
      </c>
      <c r="K25" s="38"/>
      <c r="L25" s="99" t="s">
        <v>1191</v>
      </c>
      <c r="M25" s="49"/>
      <c r="N25" s="49"/>
      <c r="O25" s="20" t="s">
        <v>1150</v>
      </c>
      <c r="P25" s="21">
        <v>4</v>
      </c>
      <c r="Q25" s="22" t="s">
        <v>21</v>
      </c>
    </row>
    <row r="26" spans="1:17" ht="21" customHeight="1" x14ac:dyDescent="0.25">
      <c r="A26" s="288"/>
      <c r="B26" s="43" t="s">
        <v>780</v>
      </c>
      <c r="C26" s="131"/>
      <c r="D26" s="78"/>
      <c r="E26" s="60"/>
      <c r="F26" s="38"/>
      <c r="G26" s="38"/>
      <c r="H26" s="60"/>
      <c r="I26" s="164"/>
      <c r="J26" s="164"/>
      <c r="K26" s="164"/>
      <c r="L26" s="119"/>
      <c r="M26" s="49"/>
      <c r="N26" s="59"/>
      <c r="O26" s="20"/>
      <c r="P26" s="21"/>
      <c r="Q26" s="22"/>
    </row>
    <row r="27" spans="1:17" ht="21" customHeight="1" thickBot="1" x14ac:dyDescent="0.3">
      <c r="A27" s="289"/>
      <c r="B27" s="93" t="s">
        <v>64</v>
      </c>
      <c r="C27" s="290" t="s">
        <v>65</v>
      </c>
      <c r="D27" s="291"/>
      <c r="E27" s="291"/>
      <c r="F27" s="292"/>
      <c r="G27" s="258"/>
      <c r="H27" s="258"/>
      <c r="I27" s="258">
        <f>SUM(I22:I26)</f>
        <v>780</v>
      </c>
      <c r="J27" s="258"/>
      <c r="K27" s="258"/>
      <c r="L27" s="80"/>
      <c r="M27" s="258"/>
      <c r="N27" s="258"/>
      <c r="O27" s="114"/>
      <c r="P27" s="258"/>
      <c r="Q27" s="259"/>
    </row>
    <row r="28" spans="1:17" ht="21" customHeight="1" x14ac:dyDescent="0.25">
      <c r="A28" s="310" t="s">
        <v>47</v>
      </c>
      <c r="B28" s="42" t="s">
        <v>1114</v>
      </c>
      <c r="C28" s="140">
        <v>43276</v>
      </c>
      <c r="D28" s="77" t="s">
        <v>55</v>
      </c>
      <c r="E28" s="41" t="s">
        <v>69</v>
      </c>
      <c r="F28" s="108" t="s">
        <v>1002</v>
      </c>
      <c r="G28" s="155">
        <v>720</v>
      </c>
      <c r="H28" s="81" t="s">
        <v>66</v>
      </c>
      <c r="I28" s="40">
        <f>720-432</f>
        <v>288</v>
      </c>
      <c r="J28" s="40" t="s">
        <v>182</v>
      </c>
      <c r="K28" s="40"/>
      <c r="L28" s="97" t="s">
        <v>158</v>
      </c>
      <c r="M28" s="16"/>
      <c r="N28" s="16"/>
      <c r="O28" s="17" t="s">
        <v>1147</v>
      </c>
      <c r="P28" s="18">
        <v>1</v>
      </c>
      <c r="Q28" s="19" t="s">
        <v>19</v>
      </c>
    </row>
    <row r="29" spans="1:17" ht="21" customHeight="1" x14ac:dyDescent="0.25">
      <c r="A29" s="311"/>
      <c r="B29" s="43" t="s">
        <v>383</v>
      </c>
      <c r="C29" s="344" t="s">
        <v>35</v>
      </c>
      <c r="D29" s="345"/>
      <c r="E29" s="60"/>
      <c r="F29" s="118"/>
      <c r="G29" s="38"/>
      <c r="H29" s="60"/>
      <c r="I29" s="38"/>
      <c r="J29" s="38"/>
      <c r="K29" s="38"/>
      <c r="L29" s="99"/>
      <c r="M29" s="87"/>
      <c r="N29" s="87"/>
      <c r="O29" s="20"/>
      <c r="P29" s="21"/>
      <c r="Q29" s="22"/>
    </row>
    <row r="30" spans="1:17" ht="21" customHeight="1" x14ac:dyDescent="0.25">
      <c r="A30" s="311"/>
      <c r="B30" s="45" t="s">
        <v>1192</v>
      </c>
      <c r="C30" s="131">
        <v>43278</v>
      </c>
      <c r="D30" s="82" t="s">
        <v>93</v>
      </c>
      <c r="E30" s="79" t="s">
        <v>69</v>
      </c>
      <c r="F30" s="101" t="s">
        <v>1002</v>
      </c>
      <c r="G30" s="164">
        <v>1800</v>
      </c>
      <c r="H30" s="48" t="s">
        <v>66</v>
      </c>
      <c r="I30" s="38">
        <v>360</v>
      </c>
      <c r="J30" s="38" t="s">
        <v>77</v>
      </c>
      <c r="K30" s="38"/>
      <c r="L30" s="99" t="s">
        <v>1191</v>
      </c>
      <c r="M30" s="15"/>
      <c r="N30" s="15"/>
      <c r="O30" s="20" t="s">
        <v>1148</v>
      </c>
      <c r="P30" s="21">
        <v>2</v>
      </c>
      <c r="Q30" s="22" t="s">
        <v>20</v>
      </c>
    </row>
    <row r="31" spans="1:17" ht="21" customHeight="1" x14ac:dyDescent="0.25">
      <c r="A31" s="311"/>
      <c r="B31" s="43" t="s">
        <v>493</v>
      </c>
      <c r="C31" s="131"/>
      <c r="D31" s="82"/>
      <c r="E31" s="60"/>
      <c r="F31" s="118"/>
      <c r="G31" s="38"/>
      <c r="H31" s="60"/>
      <c r="I31" s="38">
        <v>360</v>
      </c>
      <c r="J31" s="38" t="s">
        <v>82</v>
      </c>
      <c r="K31" s="38"/>
      <c r="L31" s="99"/>
      <c r="M31" s="15"/>
      <c r="N31" s="15"/>
      <c r="O31" s="20" t="s">
        <v>1149</v>
      </c>
      <c r="P31" s="21">
        <v>3</v>
      </c>
      <c r="Q31" s="22" t="s">
        <v>21</v>
      </c>
    </row>
    <row r="32" spans="1:17" ht="21" customHeight="1" x14ac:dyDescent="0.25">
      <c r="A32" s="311"/>
      <c r="B32" s="45"/>
      <c r="C32" s="86"/>
      <c r="D32" s="82"/>
      <c r="E32" s="79"/>
      <c r="F32" s="101"/>
      <c r="G32" s="164"/>
      <c r="H32" s="48"/>
      <c r="I32" s="38">
        <v>360</v>
      </c>
      <c r="J32" s="38" t="s">
        <v>1193</v>
      </c>
      <c r="K32" s="38"/>
      <c r="L32" s="99"/>
      <c r="M32" s="15"/>
      <c r="N32" s="49"/>
      <c r="O32" s="20" t="s">
        <v>1150</v>
      </c>
      <c r="P32" s="21">
        <v>4</v>
      </c>
      <c r="Q32" s="22" t="s">
        <v>21</v>
      </c>
    </row>
    <row r="33" spans="1:17" ht="21" customHeight="1" thickBot="1" x14ac:dyDescent="0.3">
      <c r="A33" s="312"/>
      <c r="B33" s="93" t="s">
        <v>64</v>
      </c>
      <c r="C33" s="290" t="s">
        <v>65</v>
      </c>
      <c r="D33" s="291"/>
      <c r="E33" s="291"/>
      <c r="F33" s="292"/>
      <c r="G33" s="258"/>
      <c r="H33" s="258"/>
      <c r="I33" s="259">
        <f>SUM(I28:I32)</f>
        <v>1368</v>
      </c>
      <c r="J33" s="259"/>
      <c r="K33" s="259"/>
      <c r="L33" s="162"/>
      <c r="M33" s="259"/>
      <c r="N33" s="259"/>
      <c r="O33" s="259"/>
      <c r="P33" s="259"/>
      <c r="Q33" s="259"/>
    </row>
    <row r="34" spans="1:17" ht="29.25" customHeight="1" thickBot="1" x14ac:dyDescent="0.3">
      <c r="A34" s="73"/>
      <c r="B34" s="64"/>
      <c r="C34" s="65"/>
      <c r="D34" s="66"/>
      <c r="E34" s="67"/>
      <c r="F34" s="66"/>
      <c r="G34" s="67"/>
      <c r="H34" s="67"/>
      <c r="I34" s="69">
        <f>SUM(I33,I27,I21,I8)</f>
        <v>4754</v>
      </c>
      <c r="J34" s="70"/>
      <c r="K34" s="70"/>
      <c r="L34" s="65"/>
      <c r="M34" s="71"/>
      <c r="N34" s="69"/>
      <c r="O34" s="70"/>
      <c r="P34" s="70"/>
      <c r="Q34" s="72"/>
    </row>
    <row r="35" spans="1:17" ht="17.25" thickTop="1" x14ac:dyDescent="0.3">
      <c r="A35" s="23" t="s">
        <v>22</v>
      </c>
      <c r="B35" s="24"/>
      <c r="C35" s="25"/>
      <c r="D35" s="24"/>
      <c r="E35" s="24"/>
      <c r="F35" s="26"/>
      <c r="G35" s="27"/>
      <c r="H35" s="28" t="s">
        <v>23</v>
      </c>
      <c r="I35" s="29"/>
      <c r="J35" s="29"/>
      <c r="K35" s="29"/>
      <c r="L35" s="30"/>
      <c r="M35" s="29"/>
      <c r="N35" s="29"/>
      <c r="O35" s="29"/>
      <c r="P35" s="260" t="s">
        <v>24</v>
      </c>
      <c r="Q35" s="31"/>
    </row>
    <row r="36" spans="1:17" ht="16.5" x14ac:dyDescent="0.3">
      <c r="A36" s="1"/>
      <c r="B36" s="32">
        <v>1</v>
      </c>
      <c r="C36" s="33"/>
      <c r="D36" s="32"/>
      <c r="E36" s="32"/>
      <c r="F36" s="304" t="s">
        <v>25</v>
      </c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</row>
    <row r="37" spans="1:17" ht="16.5" x14ac:dyDescent="0.3">
      <c r="A37" s="1"/>
      <c r="B37" s="297" t="s">
        <v>26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</row>
    <row r="38" spans="1:17" ht="16.5" x14ac:dyDescent="0.3">
      <c r="A38" s="1"/>
      <c r="B38" s="34">
        <v>2</v>
      </c>
      <c r="C38" s="35"/>
      <c r="D38" s="36"/>
      <c r="E38" s="36"/>
      <c r="F38" s="298" t="s">
        <v>27</v>
      </c>
      <c r="G38" s="298"/>
      <c r="H38" s="298"/>
      <c r="I38" s="298"/>
      <c r="J38" s="298"/>
      <c r="K38" s="298"/>
      <c r="L38" s="298"/>
      <c r="M38" s="298"/>
      <c r="N38" s="298"/>
      <c r="O38" s="298"/>
      <c r="P38" s="299" t="s">
        <v>28</v>
      </c>
      <c r="Q38" s="300"/>
    </row>
    <row r="39" spans="1:17" ht="16.5" x14ac:dyDescent="0.3">
      <c r="A39" s="1"/>
      <c r="B39" s="297" t="s">
        <v>29</v>
      </c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1"/>
      <c r="Q39" s="1"/>
    </row>
  </sheetData>
  <mergeCells count="22">
    <mergeCell ref="F36:Q36"/>
    <mergeCell ref="B37:Q37"/>
    <mergeCell ref="F38:O38"/>
    <mergeCell ref="P38:Q38"/>
    <mergeCell ref="B39:O39"/>
    <mergeCell ref="C29:D29"/>
    <mergeCell ref="A9:A21"/>
    <mergeCell ref="A22:A27"/>
    <mergeCell ref="C27:F27"/>
    <mergeCell ref="A28:A33"/>
    <mergeCell ref="C10:D10"/>
    <mergeCell ref="C14:D14"/>
    <mergeCell ref="C18:D18"/>
    <mergeCell ref="F18:H18"/>
    <mergeCell ref="C33:F33"/>
    <mergeCell ref="A4:A8"/>
    <mergeCell ref="C8:F8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9" zoomScale="115" zoomScaleNormal="115" workbookViewId="0">
      <selection activeCell="J26" sqref="J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43264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1194</v>
      </c>
      <c r="K4" s="155"/>
      <c r="L4" s="54" t="s">
        <v>72</v>
      </c>
      <c r="M4" s="16"/>
      <c r="N4" s="16"/>
      <c r="O4" s="17" t="s">
        <v>1147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1195</v>
      </c>
      <c r="K5" s="164"/>
      <c r="L5" s="57"/>
      <c r="M5" s="98"/>
      <c r="N5" s="63"/>
      <c r="O5" s="20" t="s">
        <v>1148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1196</v>
      </c>
      <c r="K6" s="164"/>
      <c r="L6" s="57"/>
      <c r="M6" s="98"/>
      <c r="N6" s="63"/>
      <c r="O6" s="20" t="s">
        <v>1149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228</v>
      </c>
      <c r="J7" s="164" t="s">
        <v>1251</v>
      </c>
      <c r="K7" s="164"/>
      <c r="L7" s="57"/>
      <c r="M7" s="63"/>
      <c r="N7" s="63"/>
      <c r="O7" s="20" t="s">
        <v>1150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58"/>
      <c r="H9" s="258"/>
      <c r="I9" s="258">
        <f>SUM(I4:I8)</f>
        <v>1596</v>
      </c>
      <c r="J9" s="258"/>
      <c r="K9" s="258"/>
      <c r="L9" s="261"/>
      <c r="M9" s="258"/>
      <c r="N9" s="258"/>
      <c r="O9" s="258"/>
      <c r="P9" s="259"/>
      <c r="Q9" s="259"/>
    </row>
    <row r="10" spans="1:17" ht="23.25" customHeight="1" x14ac:dyDescent="0.25">
      <c r="A10" s="287" t="s">
        <v>49</v>
      </c>
      <c r="B10" s="92" t="s">
        <v>420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14832</v>
      </c>
      <c r="H10" s="41" t="s">
        <v>70</v>
      </c>
      <c r="I10" s="155">
        <v>456</v>
      </c>
      <c r="J10" s="155" t="s">
        <v>1197</v>
      </c>
      <c r="K10" s="155"/>
      <c r="L10" s="54" t="s">
        <v>67</v>
      </c>
      <c r="M10" s="16"/>
      <c r="N10" s="16"/>
      <c r="O10" s="17" t="s">
        <v>1147</v>
      </c>
      <c r="P10" s="18">
        <v>1</v>
      </c>
      <c r="Q10" s="19" t="s">
        <v>19</v>
      </c>
    </row>
    <row r="11" spans="1:17" ht="23.25" customHeight="1" x14ac:dyDescent="0.25">
      <c r="A11" s="288"/>
      <c r="B11" s="85" t="s">
        <v>421</v>
      </c>
      <c r="C11" s="112"/>
      <c r="D11" s="135"/>
      <c r="E11" s="82"/>
      <c r="F11" s="39"/>
      <c r="G11" s="39"/>
      <c r="H11" s="60"/>
      <c r="I11" s="164">
        <v>456</v>
      </c>
      <c r="J11" s="164" t="s">
        <v>1198</v>
      </c>
      <c r="K11" s="164"/>
      <c r="L11" s="88"/>
      <c r="M11" s="63"/>
      <c r="N11" s="63"/>
      <c r="O11" s="20" t="s">
        <v>1148</v>
      </c>
      <c r="P11" s="21">
        <v>2</v>
      </c>
      <c r="Q11" s="22" t="s">
        <v>20</v>
      </c>
    </row>
    <row r="12" spans="1:17" ht="23.25" customHeight="1" x14ac:dyDescent="0.25">
      <c r="A12" s="288"/>
      <c r="B12" s="85"/>
      <c r="C12" s="112"/>
      <c r="D12" s="135"/>
      <c r="E12" s="82"/>
      <c r="F12" s="103"/>
      <c r="G12" s="39"/>
      <c r="H12" s="60"/>
      <c r="I12" s="164">
        <v>456</v>
      </c>
      <c r="J12" s="164" t="s">
        <v>1199</v>
      </c>
      <c r="K12" s="164"/>
      <c r="L12" s="88"/>
      <c r="M12" s="63"/>
      <c r="N12" s="63"/>
      <c r="O12" s="20" t="s">
        <v>1149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39"/>
      <c r="G13" s="39"/>
      <c r="H13" s="60"/>
      <c r="I13" s="164">
        <f>14832-228*64</f>
        <v>240</v>
      </c>
      <c r="J13" s="164" t="s">
        <v>1200</v>
      </c>
      <c r="K13" s="164"/>
      <c r="L13" s="88"/>
      <c r="M13" s="15"/>
      <c r="N13" s="15"/>
      <c r="O13" s="20" t="s">
        <v>1150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5">
        <f>SUM(I10:I14)</f>
        <v>1608</v>
      </c>
      <c r="J15" s="115"/>
      <c r="K15" s="115"/>
      <c r="L15" s="96"/>
      <c r="M15" s="114"/>
      <c r="N15" s="114"/>
      <c r="O15" s="114"/>
      <c r="P15" s="259"/>
      <c r="Q15" s="259"/>
    </row>
    <row r="16" spans="1:17" ht="23.25" customHeight="1" x14ac:dyDescent="0.25">
      <c r="A16" s="287" t="s">
        <v>50</v>
      </c>
      <c r="B16" s="92" t="s">
        <v>314</v>
      </c>
      <c r="C16" s="241">
        <v>43277</v>
      </c>
      <c r="D16" s="138" t="s">
        <v>93</v>
      </c>
      <c r="E16" s="77" t="s">
        <v>56</v>
      </c>
      <c r="F16" s="40" t="s">
        <v>315</v>
      </c>
      <c r="G16" s="40">
        <v>15600</v>
      </c>
      <c r="H16" s="41" t="s">
        <v>70</v>
      </c>
      <c r="I16" s="164">
        <v>456</v>
      </c>
      <c r="J16" s="164" t="s">
        <v>1201</v>
      </c>
      <c r="K16" s="164"/>
      <c r="L16" s="57" t="s">
        <v>67</v>
      </c>
      <c r="M16" s="16"/>
      <c r="N16" s="16"/>
      <c r="O16" s="17" t="s">
        <v>1147</v>
      </c>
      <c r="P16" s="18">
        <v>1</v>
      </c>
      <c r="Q16" s="19" t="s">
        <v>19</v>
      </c>
    </row>
    <row r="17" spans="1:17" ht="23.25" customHeight="1" x14ac:dyDescent="0.25">
      <c r="A17" s="288"/>
      <c r="B17" s="45" t="s">
        <v>316</v>
      </c>
      <c r="C17" s="46"/>
      <c r="D17" s="47"/>
      <c r="E17" s="48"/>
      <c r="F17" s="88"/>
      <c r="G17" s="39"/>
      <c r="H17" s="79"/>
      <c r="I17" s="164">
        <v>456</v>
      </c>
      <c r="J17" s="164" t="s">
        <v>1202</v>
      </c>
      <c r="K17" s="164"/>
      <c r="L17" s="57"/>
      <c r="M17" s="15"/>
      <c r="N17" s="15"/>
      <c r="O17" s="20" t="s">
        <v>1148</v>
      </c>
      <c r="P17" s="21">
        <v>2</v>
      </c>
      <c r="Q17" s="22" t="s">
        <v>20</v>
      </c>
    </row>
    <row r="18" spans="1:17" ht="23.25" customHeight="1" x14ac:dyDescent="0.25">
      <c r="A18" s="288"/>
      <c r="B18" s="45"/>
      <c r="C18" s="46"/>
      <c r="D18" s="47"/>
      <c r="E18" s="48"/>
      <c r="F18" s="103"/>
      <c r="G18" s="39"/>
      <c r="H18" s="79"/>
      <c r="I18" s="164">
        <f>15600-228*67</f>
        <v>324</v>
      </c>
      <c r="J18" s="164" t="s">
        <v>1203</v>
      </c>
      <c r="K18" s="164"/>
      <c r="L18" s="57"/>
      <c r="M18" s="15"/>
      <c r="N18" s="15"/>
      <c r="O18" s="20" t="s">
        <v>1149</v>
      </c>
      <c r="P18" s="21">
        <v>3</v>
      </c>
      <c r="Q18" s="22" t="s">
        <v>21</v>
      </c>
    </row>
    <row r="19" spans="1:17" ht="23.25" customHeight="1" x14ac:dyDescent="0.25">
      <c r="A19" s="288"/>
      <c r="B19" s="45" t="s">
        <v>1204</v>
      </c>
      <c r="C19" s="46">
        <v>43277</v>
      </c>
      <c r="D19" s="47" t="s">
        <v>93</v>
      </c>
      <c r="E19" s="48" t="s">
        <v>56</v>
      </c>
      <c r="F19" s="159" t="s">
        <v>315</v>
      </c>
      <c r="G19" s="39">
        <v>864</v>
      </c>
      <c r="H19" s="79" t="s">
        <v>70</v>
      </c>
      <c r="I19" s="84">
        <f>240*2</f>
        <v>480</v>
      </c>
      <c r="J19" s="164" t="s">
        <v>1205</v>
      </c>
      <c r="K19" s="164"/>
      <c r="L19" s="57" t="s">
        <v>1176</v>
      </c>
      <c r="M19" s="49"/>
      <c r="N19" s="49"/>
      <c r="O19" s="20" t="s">
        <v>1150</v>
      </c>
      <c r="P19" s="21">
        <v>4</v>
      </c>
      <c r="Q19" s="22" t="s">
        <v>21</v>
      </c>
    </row>
    <row r="20" spans="1:17" ht="23.25" customHeight="1" x14ac:dyDescent="0.25">
      <c r="A20" s="288"/>
      <c r="B20" s="45" t="s">
        <v>97</v>
      </c>
      <c r="C20" s="46"/>
      <c r="D20" s="47"/>
      <c r="E20" s="48"/>
      <c r="F20" s="103"/>
      <c r="G20" s="39"/>
      <c r="H20" s="79"/>
      <c r="I20" s="164"/>
      <c r="J20" s="164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58">
        <f>SUM(I16:I20)</f>
        <v>1716</v>
      </c>
      <c r="J21" s="258"/>
      <c r="K21" s="258"/>
      <c r="L21" s="261"/>
      <c r="M21" s="258"/>
      <c r="N21" s="258"/>
      <c r="O21" s="258"/>
      <c r="P21" s="259"/>
      <c r="Q21" s="259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1207</v>
      </c>
      <c r="K22" s="178"/>
      <c r="L22" s="180" t="s">
        <v>67</v>
      </c>
      <c r="M22" s="16"/>
      <c r="N22" s="16"/>
      <c r="O22" s="17" t="s">
        <v>1147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1208</v>
      </c>
      <c r="K23" s="194"/>
      <c r="L23" s="195"/>
      <c r="M23" s="87"/>
      <c r="N23" s="15"/>
      <c r="O23" s="20" t="s">
        <v>1148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228</v>
      </c>
      <c r="J24" s="51" t="s">
        <v>1252</v>
      </c>
      <c r="K24" s="164"/>
      <c r="L24" s="57"/>
      <c r="M24" s="49"/>
      <c r="N24" s="15"/>
      <c r="O24" s="20" t="s">
        <v>1149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228</v>
      </c>
      <c r="J25" s="51" t="s">
        <v>1253</v>
      </c>
      <c r="K25" s="164"/>
      <c r="L25" s="57"/>
      <c r="M25" s="49"/>
      <c r="N25" s="49"/>
      <c r="O25" s="20" t="s">
        <v>1150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1368</v>
      </c>
      <c r="J27" s="114"/>
      <c r="K27" s="114"/>
      <c r="L27" s="80"/>
      <c r="M27" s="114"/>
      <c r="N27" s="114"/>
      <c r="O27" s="114"/>
      <c r="P27" s="259"/>
      <c r="Q27" s="259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6288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60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1">
    <mergeCell ref="F30:Q30"/>
    <mergeCell ref="B31:Q31"/>
    <mergeCell ref="F32:O32"/>
    <mergeCell ref="P32:Q32"/>
    <mergeCell ref="B33:O33"/>
    <mergeCell ref="A10:A15"/>
    <mergeCell ref="C15:F15"/>
    <mergeCell ref="A16:A21"/>
    <mergeCell ref="C21:F21"/>
    <mergeCell ref="A22:A27"/>
    <mergeCell ref="B22:B23"/>
    <mergeCell ref="C23:E23"/>
    <mergeCell ref="F23:H23"/>
    <mergeCell ref="A4:A9"/>
    <mergeCell ref="B4:B5"/>
    <mergeCell ref="C9:F9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0"/>
  <sheetViews>
    <sheetView topLeftCell="A13" zoomScaleNormal="100" workbookViewId="0">
      <selection activeCell="C22" sqref="C22:F22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  <col min="18" max="18" width="9.7109375" bestFit="1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43263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43264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943</v>
      </c>
      <c r="C4" s="104">
        <v>43281</v>
      </c>
      <c r="D4" s="90" t="s">
        <v>93</v>
      </c>
      <c r="E4" s="144" t="s">
        <v>54</v>
      </c>
      <c r="F4" s="40" t="s">
        <v>944</v>
      </c>
      <c r="G4" s="40">
        <v>7025</v>
      </c>
      <c r="H4" s="204" t="s">
        <v>945</v>
      </c>
      <c r="I4" s="155">
        <v>432</v>
      </c>
      <c r="J4" s="155" t="s">
        <v>1255</v>
      </c>
      <c r="K4" s="155"/>
      <c r="L4" s="53" t="s">
        <v>67</v>
      </c>
      <c r="M4" s="16"/>
      <c r="N4" s="16"/>
      <c r="O4" s="17" t="s">
        <v>1147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946</v>
      </c>
      <c r="C5" s="313" t="s">
        <v>35</v>
      </c>
      <c r="D5" s="314"/>
      <c r="E5" s="325" t="s">
        <v>947</v>
      </c>
      <c r="F5" s="343"/>
      <c r="G5" s="326"/>
      <c r="H5" s="146"/>
      <c r="I5" s="164">
        <v>216</v>
      </c>
      <c r="J5" s="164" t="s">
        <v>1256</v>
      </c>
      <c r="K5" s="164"/>
      <c r="L5" s="57"/>
      <c r="M5" s="49"/>
      <c r="N5" s="15"/>
      <c r="O5" s="20" t="s">
        <v>1148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129"/>
      <c r="F6" s="39"/>
      <c r="G6" s="39"/>
      <c r="H6" s="146"/>
      <c r="I6" s="164">
        <v>216</v>
      </c>
      <c r="J6" s="164" t="s">
        <v>1254</v>
      </c>
      <c r="K6" s="164"/>
      <c r="L6" s="57"/>
      <c r="M6" s="15"/>
      <c r="N6" s="15"/>
      <c r="O6" s="20" t="s">
        <v>1149</v>
      </c>
      <c r="P6" s="21">
        <v>3</v>
      </c>
      <c r="Q6" s="22" t="s">
        <v>21</v>
      </c>
    </row>
    <row r="7" spans="1:17" ht="24.75" customHeight="1" x14ac:dyDescent="0.25">
      <c r="A7" s="288"/>
      <c r="B7" s="45"/>
      <c r="C7" s="133"/>
      <c r="D7" s="134"/>
      <c r="E7" s="129"/>
      <c r="F7" s="39"/>
      <c r="G7" s="39"/>
      <c r="H7" s="146"/>
      <c r="I7" s="164">
        <v>216</v>
      </c>
      <c r="J7" s="164" t="s">
        <v>1257</v>
      </c>
      <c r="K7" s="164"/>
      <c r="L7" s="57"/>
      <c r="M7" s="15"/>
      <c r="N7" s="15"/>
      <c r="O7" s="20" t="s">
        <v>1150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133"/>
      <c r="D8" s="134"/>
      <c r="E8" s="129"/>
      <c r="F8" s="39"/>
      <c r="G8" s="39"/>
      <c r="H8" s="146"/>
      <c r="I8" s="164"/>
      <c r="J8" s="164"/>
      <c r="K8" s="164"/>
      <c r="L8" s="57"/>
      <c r="M8" s="49"/>
      <c r="N8" s="49"/>
      <c r="O8" s="20"/>
      <c r="P8" s="21"/>
      <c r="Q8" s="22"/>
    </row>
    <row r="9" spans="1:17" ht="24.75" customHeight="1" x14ac:dyDescent="0.25">
      <c r="A9" s="288"/>
      <c r="B9" s="45"/>
      <c r="C9" s="133"/>
      <c r="D9" s="134"/>
      <c r="E9" s="129"/>
      <c r="F9" s="39"/>
      <c r="G9" s="39"/>
      <c r="H9" s="146"/>
      <c r="I9" s="84"/>
      <c r="J9" s="164"/>
      <c r="K9" s="164"/>
      <c r="L9" s="57"/>
      <c r="M9" s="49"/>
      <c r="N9" s="49"/>
      <c r="O9" s="20"/>
      <c r="P9" s="21"/>
      <c r="Q9" s="22"/>
    </row>
    <row r="10" spans="1:17" ht="24.7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58"/>
      <c r="H10" s="258"/>
      <c r="I10" s="258">
        <f>SUM(I4:I9)</f>
        <v>1080</v>
      </c>
      <c r="J10" s="258"/>
      <c r="K10" s="258"/>
      <c r="L10" s="261"/>
      <c r="M10" s="258"/>
      <c r="N10" s="258"/>
      <c r="O10" s="258"/>
      <c r="P10" s="259"/>
      <c r="Q10" s="147"/>
    </row>
    <row r="11" spans="1:17" ht="24.75" customHeight="1" x14ac:dyDescent="0.25">
      <c r="A11" s="288" t="s">
        <v>31</v>
      </c>
      <c r="B11" s="42" t="s">
        <v>1135</v>
      </c>
      <c r="C11" s="104">
        <v>43285</v>
      </c>
      <c r="D11" s="90" t="s">
        <v>93</v>
      </c>
      <c r="E11" s="144" t="s">
        <v>54</v>
      </c>
      <c r="F11" s="40" t="s">
        <v>1133</v>
      </c>
      <c r="G11" s="40">
        <v>3276</v>
      </c>
      <c r="H11" s="204" t="s">
        <v>241</v>
      </c>
      <c r="I11" s="155">
        <v>360</v>
      </c>
      <c r="J11" s="155" t="s">
        <v>82</v>
      </c>
      <c r="K11" s="155"/>
      <c r="L11" s="53" t="s">
        <v>330</v>
      </c>
      <c r="M11" s="16"/>
      <c r="N11" s="16"/>
      <c r="O11" s="17" t="s">
        <v>1147</v>
      </c>
      <c r="P11" s="18">
        <v>1</v>
      </c>
      <c r="Q11" s="19" t="s">
        <v>19</v>
      </c>
    </row>
    <row r="12" spans="1:17" ht="24.75" customHeight="1" x14ac:dyDescent="0.25">
      <c r="A12" s="288"/>
      <c r="B12" s="45" t="s">
        <v>268</v>
      </c>
      <c r="C12" s="133"/>
      <c r="D12" s="134"/>
      <c r="E12" s="129"/>
      <c r="F12" s="39"/>
      <c r="G12" s="39"/>
      <c r="H12" s="130"/>
      <c r="I12" s="84">
        <v>360</v>
      </c>
      <c r="J12" s="164" t="s">
        <v>1210</v>
      </c>
      <c r="K12" s="164"/>
      <c r="L12" s="57"/>
      <c r="M12" s="15"/>
      <c r="N12" s="15"/>
      <c r="O12" s="20" t="s">
        <v>1148</v>
      </c>
      <c r="P12" s="21">
        <v>2</v>
      </c>
      <c r="Q12" s="22" t="s">
        <v>20</v>
      </c>
    </row>
    <row r="13" spans="1:17" ht="24.75" customHeight="1" x14ac:dyDescent="0.25">
      <c r="A13" s="288"/>
      <c r="B13" s="45"/>
      <c r="C13" s="133"/>
      <c r="D13" s="134"/>
      <c r="E13" s="129"/>
      <c r="F13" s="39"/>
      <c r="G13" s="39"/>
      <c r="H13" s="146"/>
      <c r="I13" s="164">
        <v>360</v>
      </c>
      <c r="J13" s="164" t="s">
        <v>1211</v>
      </c>
      <c r="K13" s="164"/>
      <c r="L13" s="57"/>
      <c r="M13" s="15"/>
      <c r="N13" s="15"/>
      <c r="O13" s="20" t="s">
        <v>1149</v>
      </c>
      <c r="P13" s="21">
        <v>3</v>
      </c>
      <c r="Q13" s="22" t="s">
        <v>21</v>
      </c>
    </row>
    <row r="14" spans="1:17" ht="24.75" customHeight="1" x14ac:dyDescent="0.25">
      <c r="A14" s="288"/>
      <c r="B14" s="45"/>
      <c r="C14" s="133"/>
      <c r="D14" s="134"/>
      <c r="E14" s="129"/>
      <c r="F14" s="39"/>
      <c r="G14" s="39"/>
      <c r="H14" s="130"/>
      <c r="I14" s="84">
        <v>180</v>
      </c>
      <c r="J14" s="164" t="s">
        <v>243</v>
      </c>
      <c r="K14" s="164"/>
      <c r="L14" s="57"/>
      <c r="M14" s="49"/>
      <c r="N14" s="49"/>
      <c r="O14" s="20" t="s">
        <v>1150</v>
      </c>
      <c r="P14" s="21">
        <v>4</v>
      </c>
      <c r="Q14" s="22" t="s">
        <v>21</v>
      </c>
    </row>
    <row r="15" spans="1:17" ht="24.75" customHeight="1" x14ac:dyDescent="0.25">
      <c r="A15" s="288"/>
      <c r="B15" s="45"/>
      <c r="C15" s="133"/>
      <c r="D15" s="134"/>
      <c r="E15" s="129"/>
      <c r="F15" s="39"/>
      <c r="G15" s="39"/>
      <c r="H15" s="146"/>
      <c r="I15" s="164"/>
      <c r="J15" s="164"/>
      <c r="K15" s="164"/>
      <c r="L15" s="57"/>
      <c r="M15" s="49"/>
      <c r="N15" s="49"/>
      <c r="O15" s="20"/>
      <c r="P15" s="21"/>
      <c r="Q15" s="22"/>
    </row>
    <row r="16" spans="1:17" ht="24.7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58"/>
      <c r="H16" s="258"/>
      <c r="I16" s="258">
        <f>SUM(I11:I15)</f>
        <v>1260</v>
      </c>
      <c r="J16" s="258"/>
      <c r="K16" s="258"/>
      <c r="L16" s="261"/>
      <c r="M16" s="258"/>
      <c r="N16" s="258"/>
      <c r="O16" s="258"/>
      <c r="P16" s="258"/>
      <c r="Q16" s="151"/>
    </row>
    <row r="17" spans="1:17" ht="24.75" customHeight="1" x14ac:dyDescent="0.25">
      <c r="A17" s="287" t="s">
        <v>32</v>
      </c>
      <c r="B17" s="92" t="s">
        <v>1137</v>
      </c>
      <c r="C17" s="104">
        <v>43313</v>
      </c>
      <c r="D17" s="90" t="s">
        <v>988</v>
      </c>
      <c r="E17" s="144" t="s">
        <v>54</v>
      </c>
      <c r="F17" s="40" t="s">
        <v>240</v>
      </c>
      <c r="G17" s="40">
        <v>1152</v>
      </c>
      <c r="H17" s="149" t="s">
        <v>241</v>
      </c>
      <c r="I17" s="155">
        <f>1152-168*5</f>
        <v>312</v>
      </c>
      <c r="J17" s="155" t="s">
        <v>85</v>
      </c>
      <c r="K17" s="155"/>
      <c r="L17" s="53" t="s">
        <v>330</v>
      </c>
      <c r="M17" s="16"/>
      <c r="N17" s="16"/>
      <c r="O17" s="17" t="s">
        <v>1147</v>
      </c>
      <c r="P17" s="18">
        <v>1</v>
      </c>
      <c r="Q17" s="19" t="s">
        <v>19</v>
      </c>
    </row>
    <row r="18" spans="1:17" ht="24.75" customHeight="1" x14ac:dyDescent="0.25">
      <c r="A18" s="288"/>
      <c r="B18" s="45" t="s">
        <v>114</v>
      </c>
      <c r="C18" s="313" t="s">
        <v>35</v>
      </c>
      <c r="D18" s="314"/>
      <c r="E18" s="129"/>
      <c r="F18" s="39"/>
      <c r="G18" s="39"/>
      <c r="H18" s="130"/>
      <c r="I18" s="128"/>
      <c r="J18" s="38"/>
      <c r="K18" s="38"/>
      <c r="L18" s="44"/>
      <c r="M18" s="15"/>
      <c r="N18" s="15"/>
      <c r="O18" s="20"/>
      <c r="P18" s="21"/>
      <c r="Q18" s="22"/>
    </row>
    <row r="19" spans="1:17" ht="24.75" customHeight="1" x14ac:dyDescent="0.25">
      <c r="A19" s="288"/>
      <c r="B19" s="45" t="s">
        <v>1212</v>
      </c>
      <c r="C19" s="133">
        <v>43296</v>
      </c>
      <c r="D19" s="134" t="s">
        <v>988</v>
      </c>
      <c r="E19" s="129" t="s">
        <v>54</v>
      </c>
      <c r="F19" s="39" t="s">
        <v>240</v>
      </c>
      <c r="G19" s="39">
        <v>9504</v>
      </c>
      <c r="H19" s="130" t="s">
        <v>241</v>
      </c>
      <c r="I19" s="164">
        <f>168*2</f>
        <v>336</v>
      </c>
      <c r="J19" s="164" t="s">
        <v>1214</v>
      </c>
      <c r="K19" s="164"/>
      <c r="L19" s="57" t="s">
        <v>1215</v>
      </c>
      <c r="M19" s="15"/>
      <c r="N19" s="15"/>
      <c r="O19" s="20" t="s">
        <v>1148</v>
      </c>
      <c r="P19" s="21">
        <v>2</v>
      </c>
      <c r="Q19" s="22" t="s">
        <v>20</v>
      </c>
    </row>
    <row r="20" spans="1:17" ht="24.75" customHeight="1" x14ac:dyDescent="0.25">
      <c r="A20" s="288"/>
      <c r="B20" s="45" t="s">
        <v>1213</v>
      </c>
      <c r="C20" s="313" t="s">
        <v>35</v>
      </c>
      <c r="D20" s="314"/>
      <c r="E20" s="129"/>
      <c r="F20" s="39"/>
      <c r="G20" s="39"/>
      <c r="H20" s="130"/>
      <c r="I20" s="164">
        <v>336</v>
      </c>
      <c r="J20" s="164" t="s">
        <v>82</v>
      </c>
      <c r="K20" s="164"/>
      <c r="L20" s="57"/>
      <c r="M20" s="49"/>
      <c r="N20" s="49"/>
      <c r="O20" s="20" t="s">
        <v>1149</v>
      </c>
      <c r="P20" s="21">
        <v>3</v>
      </c>
      <c r="Q20" s="22" t="s">
        <v>21</v>
      </c>
    </row>
    <row r="21" spans="1:17" ht="24.75" customHeight="1" x14ac:dyDescent="0.25">
      <c r="A21" s="288"/>
      <c r="B21" s="127"/>
      <c r="C21" s="133"/>
      <c r="D21" s="134"/>
      <c r="E21" s="129"/>
      <c r="F21" s="38"/>
      <c r="G21" s="38"/>
      <c r="H21" s="154"/>
      <c r="I21" s="164">
        <v>168</v>
      </c>
      <c r="J21" s="164" t="s">
        <v>356</v>
      </c>
      <c r="K21" s="164"/>
      <c r="L21" s="57"/>
      <c r="M21" s="49"/>
      <c r="N21" s="49"/>
      <c r="O21" s="20" t="s">
        <v>1150</v>
      </c>
      <c r="P21" s="21">
        <v>4</v>
      </c>
      <c r="Q21" s="22" t="s">
        <v>21</v>
      </c>
    </row>
    <row r="22" spans="1:17" ht="24.75" customHeight="1" x14ac:dyDescent="0.25">
      <c r="A22" s="288"/>
      <c r="B22" s="85"/>
      <c r="C22" s="133"/>
      <c r="D22" s="134"/>
      <c r="E22" s="129"/>
      <c r="F22" s="38"/>
      <c r="G22" s="164"/>
      <c r="H22" s="146"/>
      <c r="I22" s="164"/>
      <c r="J22" s="164"/>
      <c r="K22" s="164"/>
      <c r="L22" s="57"/>
      <c r="M22" s="49"/>
      <c r="N22" s="49"/>
      <c r="O22" s="100"/>
      <c r="P22" s="50"/>
      <c r="Q22" s="148"/>
    </row>
    <row r="23" spans="1:17" ht="24.75" customHeight="1" thickBot="1" x14ac:dyDescent="0.3">
      <c r="A23" s="289"/>
      <c r="B23" s="93" t="s">
        <v>64</v>
      </c>
      <c r="C23" s="290" t="s">
        <v>65</v>
      </c>
      <c r="D23" s="291"/>
      <c r="E23" s="291"/>
      <c r="F23" s="292"/>
      <c r="G23" s="258"/>
      <c r="H23" s="258"/>
      <c r="I23" s="258">
        <f>SUM(I17:I22)</f>
        <v>1152</v>
      </c>
      <c r="J23" s="258"/>
      <c r="K23" s="258"/>
      <c r="L23" s="261"/>
      <c r="M23" s="258"/>
      <c r="N23" s="258"/>
      <c r="O23" s="258"/>
      <c r="P23" s="258"/>
      <c r="Q23" s="147"/>
    </row>
    <row r="24" spans="1:17" ht="29.25" customHeight="1" thickBot="1" x14ac:dyDescent="0.3">
      <c r="A24" s="73"/>
      <c r="B24" s="64"/>
      <c r="C24" s="65"/>
      <c r="D24" s="66"/>
      <c r="E24" s="67"/>
      <c r="F24" s="68"/>
      <c r="G24" s="67"/>
      <c r="H24" s="67"/>
      <c r="I24" s="69">
        <f>SUM(I23,I16,I10)</f>
        <v>3492</v>
      </c>
      <c r="J24" s="70"/>
      <c r="K24" s="70"/>
      <c r="L24" s="65"/>
      <c r="M24" s="71"/>
      <c r="N24" s="69"/>
      <c r="O24" s="70"/>
      <c r="P24" s="70"/>
      <c r="Q24" s="72"/>
    </row>
    <row r="25" spans="1:17" ht="17.25" thickTop="1" x14ac:dyDescent="0.3">
      <c r="A25" s="23" t="s">
        <v>22</v>
      </c>
      <c r="B25" s="24"/>
      <c r="C25" s="25"/>
      <c r="D25" s="24"/>
      <c r="E25" s="24"/>
      <c r="F25" s="26"/>
      <c r="G25" s="27"/>
      <c r="H25" s="28" t="s">
        <v>23</v>
      </c>
      <c r="I25" s="29"/>
      <c r="J25" s="29"/>
      <c r="K25" s="29"/>
      <c r="L25" s="30"/>
      <c r="M25" s="29"/>
      <c r="N25" s="29"/>
      <c r="O25" s="29"/>
      <c r="P25" s="260" t="s">
        <v>24</v>
      </c>
      <c r="Q25" s="31"/>
    </row>
    <row r="26" spans="1:17" ht="16.5" x14ac:dyDescent="0.3">
      <c r="A26" s="1"/>
      <c r="B26" s="32">
        <v>1</v>
      </c>
      <c r="C26" s="33"/>
      <c r="D26" s="32"/>
      <c r="E26" s="32"/>
      <c r="F26" s="304" t="s">
        <v>25</v>
      </c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</row>
    <row r="27" spans="1:17" ht="16.5" x14ac:dyDescent="0.3">
      <c r="A27" s="297" t="s">
        <v>26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</row>
    <row r="28" spans="1:17" ht="16.5" x14ac:dyDescent="0.3">
      <c r="A28" s="1"/>
      <c r="B28" s="34">
        <v>2</v>
      </c>
      <c r="C28" s="35"/>
      <c r="D28" s="36"/>
      <c r="E28" s="36"/>
      <c r="F28" s="298" t="s">
        <v>27</v>
      </c>
      <c r="G28" s="298"/>
      <c r="H28" s="298"/>
      <c r="I28" s="298"/>
      <c r="J28" s="298"/>
      <c r="K28" s="298"/>
      <c r="L28" s="298"/>
      <c r="M28" s="298"/>
      <c r="N28" s="298"/>
      <c r="O28" s="298"/>
      <c r="P28" s="76" t="s">
        <v>28</v>
      </c>
      <c r="Q28" s="75"/>
    </row>
    <row r="29" spans="1:17" ht="16.5" x14ac:dyDescent="0.3">
      <c r="A29" s="1"/>
      <c r="B29" s="297" t="s">
        <v>29</v>
      </c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1"/>
      <c r="Q29" s="1"/>
    </row>
    <row r="30" spans="1:17" x14ac:dyDescent="0.25">
      <c r="O30" s="74"/>
    </row>
  </sheetData>
  <mergeCells count="19">
    <mergeCell ref="A27:Q27"/>
    <mergeCell ref="F28:O28"/>
    <mergeCell ref="B29:O29"/>
    <mergeCell ref="C18:D18"/>
    <mergeCell ref="C20:D20"/>
    <mergeCell ref="A11:A16"/>
    <mergeCell ref="C16:F16"/>
    <mergeCell ref="A17:A23"/>
    <mergeCell ref="C23:F23"/>
    <mergeCell ref="F26:Q26"/>
    <mergeCell ref="A4:A10"/>
    <mergeCell ref="C5:D5"/>
    <mergeCell ref="E5:G5"/>
    <mergeCell ref="C10:F10"/>
    <mergeCell ref="A1:Q1"/>
    <mergeCell ref="A2:B2"/>
    <mergeCell ref="C2:E2"/>
    <mergeCell ref="F2:G2"/>
    <mergeCell ref="O2:Q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41"/>
  <sheetViews>
    <sheetView topLeftCell="A22" zoomScaleNormal="100" workbookViewId="0">
      <selection activeCell="R25" sqref="R25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43264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19.5" customHeight="1" x14ac:dyDescent="0.25">
      <c r="A4" s="287" t="s">
        <v>36</v>
      </c>
      <c r="B4" s="42" t="s">
        <v>1151</v>
      </c>
      <c r="C4" s="140">
        <v>43269</v>
      </c>
      <c r="D4" s="77" t="s">
        <v>59</v>
      </c>
      <c r="E4" s="41" t="s">
        <v>54</v>
      </c>
      <c r="F4" s="40" t="s">
        <v>666</v>
      </c>
      <c r="G4" s="40">
        <v>1548</v>
      </c>
      <c r="H4" s="41" t="s">
        <v>667</v>
      </c>
      <c r="I4" s="40">
        <f>1548-216*6</f>
        <v>252</v>
      </c>
      <c r="J4" s="40" t="s">
        <v>1051</v>
      </c>
      <c r="K4" s="40"/>
      <c r="L4" s="54" t="s">
        <v>63</v>
      </c>
      <c r="M4" s="16"/>
      <c r="N4" s="16"/>
      <c r="O4" s="17" t="s">
        <v>1259</v>
      </c>
      <c r="P4" s="18">
        <v>1</v>
      </c>
      <c r="Q4" s="19" t="s">
        <v>19</v>
      </c>
    </row>
    <row r="5" spans="1:17" ht="19.5" customHeight="1" x14ac:dyDescent="0.25">
      <c r="A5" s="288"/>
      <c r="B5" s="43" t="s">
        <v>1153</v>
      </c>
      <c r="C5" s="58">
        <v>43270</v>
      </c>
      <c r="D5" s="78" t="s">
        <v>59</v>
      </c>
      <c r="E5" s="60" t="s">
        <v>54</v>
      </c>
      <c r="F5" s="38" t="s">
        <v>1154</v>
      </c>
      <c r="G5" s="38">
        <v>120</v>
      </c>
      <c r="H5" s="60" t="s">
        <v>667</v>
      </c>
      <c r="I5" s="38">
        <v>120</v>
      </c>
      <c r="J5" s="38" t="s">
        <v>764</v>
      </c>
      <c r="K5" s="38"/>
      <c r="L5" s="44" t="s">
        <v>1266</v>
      </c>
      <c r="M5" s="15"/>
      <c r="N5" s="63"/>
      <c r="O5" s="20"/>
      <c r="P5" s="21"/>
      <c r="Q5" s="22"/>
    </row>
    <row r="6" spans="1:17" ht="19.5" customHeight="1" x14ac:dyDescent="0.25">
      <c r="A6" s="288"/>
      <c r="B6" s="43" t="s">
        <v>1263</v>
      </c>
      <c r="C6" s="58">
        <v>43270</v>
      </c>
      <c r="D6" s="78" t="s">
        <v>59</v>
      </c>
      <c r="E6" s="60" t="s">
        <v>54</v>
      </c>
      <c r="F6" s="38" t="s">
        <v>1154</v>
      </c>
      <c r="G6" s="38">
        <v>132</v>
      </c>
      <c r="H6" s="60" t="s">
        <v>667</v>
      </c>
      <c r="I6" s="38">
        <v>132</v>
      </c>
      <c r="J6" s="38" t="s">
        <v>764</v>
      </c>
      <c r="K6" s="38"/>
      <c r="L6" s="44" t="s">
        <v>1266</v>
      </c>
      <c r="M6" s="15"/>
      <c r="N6" s="63"/>
      <c r="O6" s="20"/>
      <c r="P6" s="21"/>
      <c r="Q6" s="22"/>
    </row>
    <row r="7" spans="1:17" ht="19.5" customHeight="1" x14ac:dyDescent="0.25">
      <c r="A7" s="288"/>
      <c r="B7" s="43" t="s">
        <v>1264</v>
      </c>
      <c r="C7" s="58">
        <v>43270</v>
      </c>
      <c r="D7" s="78" t="s">
        <v>59</v>
      </c>
      <c r="E7" s="60" t="s">
        <v>54</v>
      </c>
      <c r="F7" s="38" t="s">
        <v>778</v>
      </c>
      <c r="G7" s="38">
        <v>156</v>
      </c>
      <c r="H7" s="60" t="s">
        <v>667</v>
      </c>
      <c r="I7" s="38">
        <v>156</v>
      </c>
      <c r="J7" s="38" t="s">
        <v>764</v>
      </c>
      <c r="K7" s="38"/>
      <c r="L7" s="44" t="s">
        <v>1267</v>
      </c>
      <c r="M7" s="15"/>
      <c r="N7" s="63"/>
      <c r="O7" s="20" t="s">
        <v>1260</v>
      </c>
      <c r="P7" s="21">
        <v>2</v>
      </c>
      <c r="Q7" s="22" t="s">
        <v>20</v>
      </c>
    </row>
    <row r="8" spans="1:17" ht="19.5" customHeight="1" x14ac:dyDescent="0.25">
      <c r="A8" s="288"/>
      <c r="B8" s="43" t="s">
        <v>1265</v>
      </c>
      <c r="C8" s="58">
        <v>43269</v>
      </c>
      <c r="D8" s="78" t="s">
        <v>59</v>
      </c>
      <c r="E8" s="60" t="s">
        <v>54</v>
      </c>
      <c r="F8" s="38" t="s">
        <v>778</v>
      </c>
      <c r="G8" s="38">
        <v>156</v>
      </c>
      <c r="H8" s="60" t="s">
        <v>667</v>
      </c>
      <c r="I8" s="38">
        <v>156</v>
      </c>
      <c r="J8" s="38" t="s">
        <v>764</v>
      </c>
      <c r="K8" s="38"/>
      <c r="L8" s="44" t="s">
        <v>1268</v>
      </c>
      <c r="M8" s="15"/>
      <c r="N8" s="63"/>
      <c r="O8" s="20"/>
      <c r="P8" s="21"/>
      <c r="Q8" s="22"/>
    </row>
    <row r="9" spans="1:17" ht="19.5" customHeight="1" x14ac:dyDescent="0.25">
      <c r="A9" s="288"/>
      <c r="B9" s="45" t="s">
        <v>1269</v>
      </c>
      <c r="C9" s="58">
        <v>43276</v>
      </c>
      <c r="D9" s="78" t="s">
        <v>59</v>
      </c>
      <c r="E9" s="60" t="s">
        <v>54</v>
      </c>
      <c r="F9" s="38" t="s">
        <v>778</v>
      </c>
      <c r="G9" s="164">
        <v>180</v>
      </c>
      <c r="H9" s="48" t="s">
        <v>667</v>
      </c>
      <c r="I9" s="164">
        <v>180</v>
      </c>
      <c r="J9" s="164" t="s">
        <v>764</v>
      </c>
      <c r="K9" s="164"/>
      <c r="L9" s="57" t="s">
        <v>1266</v>
      </c>
      <c r="M9" s="49"/>
      <c r="N9" s="232"/>
      <c r="O9" s="20" t="s">
        <v>1261</v>
      </c>
      <c r="P9" s="21">
        <v>3</v>
      </c>
      <c r="Q9" s="22" t="s">
        <v>21</v>
      </c>
    </row>
    <row r="10" spans="1:17" ht="19.5" customHeight="1" x14ac:dyDescent="0.25">
      <c r="A10" s="288"/>
      <c r="B10" s="45"/>
      <c r="C10" s="305" t="s">
        <v>35</v>
      </c>
      <c r="D10" s="306"/>
      <c r="E10" s="60"/>
      <c r="F10" s="38"/>
      <c r="G10" s="164"/>
      <c r="H10" s="48"/>
      <c r="I10" s="164"/>
      <c r="J10" s="164"/>
      <c r="K10" s="164"/>
      <c r="L10" s="57"/>
      <c r="M10" s="49"/>
      <c r="N10" s="232"/>
      <c r="O10" s="100"/>
      <c r="P10" s="50"/>
      <c r="Q10" s="22"/>
    </row>
    <row r="11" spans="1:17" ht="19.5" customHeight="1" x14ac:dyDescent="0.25">
      <c r="A11" s="288"/>
      <c r="B11" s="45" t="s">
        <v>1270</v>
      </c>
      <c r="C11" s="58">
        <v>43270</v>
      </c>
      <c r="D11" s="78" t="s">
        <v>59</v>
      </c>
      <c r="E11" s="60" t="s">
        <v>54</v>
      </c>
      <c r="F11" s="38" t="s">
        <v>670</v>
      </c>
      <c r="G11" s="164">
        <v>192</v>
      </c>
      <c r="H11" s="48" t="s">
        <v>667</v>
      </c>
      <c r="I11" s="164">
        <v>192</v>
      </c>
      <c r="J11" s="164" t="s">
        <v>764</v>
      </c>
      <c r="K11" s="164"/>
      <c r="L11" s="57" t="s">
        <v>1271</v>
      </c>
      <c r="M11" s="49"/>
      <c r="N11" s="232"/>
      <c r="O11" s="100"/>
      <c r="P11" s="50"/>
      <c r="Q11" s="22"/>
    </row>
    <row r="12" spans="1:17" ht="19.5" customHeight="1" x14ac:dyDescent="0.25">
      <c r="A12" s="288"/>
      <c r="B12" s="45" t="s">
        <v>1272</v>
      </c>
      <c r="C12" s="58">
        <v>43269</v>
      </c>
      <c r="D12" s="78" t="s">
        <v>59</v>
      </c>
      <c r="E12" s="60" t="s">
        <v>54</v>
      </c>
      <c r="F12" s="38" t="s">
        <v>670</v>
      </c>
      <c r="G12" s="164">
        <v>1380</v>
      </c>
      <c r="H12" s="48" t="s">
        <v>667</v>
      </c>
      <c r="I12" s="164">
        <v>216</v>
      </c>
      <c r="J12" s="164" t="s">
        <v>173</v>
      </c>
      <c r="K12" s="164"/>
      <c r="L12" s="57" t="s">
        <v>1267</v>
      </c>
      <c r="M12" s="49"/>
      <c r="N12" s="232"/>
      <c r="O12" s="20" t="s">
        <v>1262</v>
      </c>
      <c r="P12" s="21">
        <v>4</v>
      </c>
      <c r="Q12" s="22" t="s">
        <v>21</v>
      </c>
    </row>
    <row r="13" spans="1:17" ht="19.5" customHeight="1" x14ac:dyDescent="0.25">
      <c r="A13" s="288"/>
      <c r="B13" s="45" t="s">
        <v>1273</v>
      </c>
      <c r="C13" s="58"/>
      <c r="D13" s="78"/>
      <c r="E13" s="60"/>
      <c r="F13" s="38"/>
      <c r="G13" s="164"/>
      <c r="H13" s="48"/>
      <c r="I13" s="164"/>
      <c r="J13" s="164"/>
      <c r="K13" s="164"/>
      <c r="L13" s="57"/>
      <c r="M13" s="49"/>
      <c r="N13" s="232"/>
      <c r="O13" s="100"/>
      <c r="P13" s="50"/>
      <c r="Q13" s="22"/>
    </row>
    <row r="14" spans="1:17" ht="19.5" customHeight="1" thickBot="1" x14ac:dyDescent="0.3">
      <c r="A14" s="289"/>
      <c r="B14" s="93" t="s">
        <v>64</v>
      </c>
      <c r="C14" s="290" t="s">
        <v>65</v>
      </c>
      <c r="D14" s="291"/>
      <c r="E14" s="291"/>
      <c r="F14" s="292"/>
      <c r="G14" s="263"/>
      <c r="H14" s="263"/>
      <c r="I14" s="263">
        <f>SUM(I4:I13)</f>
        <v>1404</v>
      </c>
      <c r="J14" s="263"/>
      <c r="K14" s="263"/>
      <c r="L14" s="266"/>
      <c r="M14" s="263"/>
      <c r="N14" s="263"/>
      <c r="O14" s="263"/>
      <c r="P14" s="264"/>
      <c r="Q14" s="264"/>
    </row>
    <row r="15" spans="1:17" ht="19.5" customHeight="1" x14ac:dyDescent="0.25">
      <c r="A15" s="287" t="s">
        <v>39</v>
      </c>
      <c r="B15" s="42" t="s">
        <v>1158</v>
      </c>
      <c r="C15" s="62">
        <v>43270</v>
      </c>
      <c r="D15" s="77" t="s">
        <v>59</v>
      </c>
      <c r="E15" s="144" t="s">
        <v>54</v>
      </c>
      <c r="F15" s="155" t="s">
        <v>176</v>
      </c>
      <c r="G15" s="155">
        <v>792</v>
      </c>
      <c r="H15" s="81" t="s">
        <v>1258</v>
      </c>
      <c r="I15" s="155">
        <v>432</v>
      </c>
      <c r="J15" s="155" t="s">
        <v>1274</v>
      </c>
      <c r="K15" s="155"/>
      <c r="L15" s="53" t="s">
        <v>260</v>
      </c>
      <c r="M15" s="16"/>
      <c r="N15" s="16"/>
      <c r="O15" s="17" t="s">
        <v>1259</v>
      </c>
      <c r="P15" s="18">
        <v>1</v>
      </c>
      <c r="Q15" s="19" t="s">
        <v>19</v>
      </c>
    </row>
    <row r="16" spans="1:17" ht="19.5" customHeight="1" x14ac:dyDescent="0.25">
      <c r="A16" s="288"/>
      <c r="B16" s="45" t="s">
        <v>97</v>
      </c>
      <c r="C16" s="58"/>
      <c r="D16" s="78"/>
      <c r="E16" s="129"/>
      <c r="F16" s="164"/>
      <c r="G16" s="164"/>
      <c r="H16" s="48"/>
      <c r="I16" s="164">
        <f>792-216*3</f>
        <v>144</v>
      </c>
      <c r="J16" s="164" t="s">
        <v>246</v>
      </c>
      <c r="K16" s="164"/>
      <c r="L16" s="57"/>
      <c r="M16" s="49"/>
      <c r="N16" s="63"/>
      <c r="O16" s="20" t="s">
        <v>1260</v>
      </c>
      <c r="P16" s="21">
        <v>2</v>
      </c>
      <c r="Q16" s="22" t="s">
        <v>20</v>
      </c>
    </row>
    <row r="17" spans="1:17" ht="19.5" customHeight="1" x14ac:dyDescent="0.25">
      <c r="A17" s="288"/>
      <c r="B17" s="111" t="s">
        <v>1275</v>
      </c>
      <c r="C17" s="58">
        <v>43271</v>
      </c>
      <c r="D17" s="78" t="s">
        <v>59</v>
      </c>
      <c r="E17" s="48" t="s">
        <v>54</v>
      </c>
      <c r="F17" s="164" t="s">
        <v>92</v>
      </c>
      <c r="G17" s="164">
        <v>1224</v>
      </c>
      <c r="H17" s="48" t="s">
        <v>88</v>
      </c>
      <c r="I17" s="164">
        <v>432</v>
      </c>
      <c r="J17" s="164" t="s">
        <v>250</v>
      </c>
      <c r="K17" s="164"/>
      <c r="L17" s="57" t="s">
        <v>404</v>
      </c>
      <c r="M17" s="49"/>
      <c r="N17" s="63"/>
      <c r="O17" s="20" t="s">
        <v>1261</v>
      </c>
      <c r="P17" s="21">
        <v>3</v>
      </c>
      <c r="Q17" s="22" t="s">
        <v>21</v>
      </c>
    </row>
    <row r="18" spans="1:17" ht="19.5" customHeight="1" x14ac:dyDescent="0.25">
      <c r="A18" s="288"/>
      <c r="B18" s="45" t="s">
        <v>105</v>
      </c>
      <c r="C18" s="58"/>
      <c r="D18" s="78"/>
      <c r="E18" s="129"/>
      <c r="F18" s="164"/>
      <c r="G18" s="164"/>
      <c r="H18" s="48"/>
      <c r="I18" s="164">
        <v>432</v>
      </c>
      <c r="J18" s="164" t="s">
        <v>1276</v>
      </c>
      <c r="K18" s="164"/>
      <c r="L18" s="57"/>
      <c r="M18" s="49"/>
      <c r="N18" s="63"/>
      <c r="O18" s="20" t="s">
        <v>1262</v>
      </c>
      <c r="P18" s="21">
        <v>4</v>
      </c>
      <c r="Q18" s="22" t="s">
        <v>21</v>
      </c>
    </row>
    <row r="19" spans="1:17" ht="19.5" customHeight="1" x14ac:dyDescent="0.25">
      <c r="A19" s="288"/>
      <c r="B19" s="45"/>
      <c r="C19" s="58"/>
      <c r="D19" s="78"/>
      <c r="E19" s="129"/>
      <c r="F19" s="164"/>
      <c r="G19" s="164"/>
      <c r="H19" s="48"/>
      <c r="I19" s="164"/>
      <c r="J19" s="164"/>
      <c r="K19" s="164"/>
      <c r="L19" s="57"/>
      <c r="M19" s="49"/>
      <c r="N19" s="63"/>
      <c r="O19" s="20"/>
      <c r="P19" s="21"/>
      <c r="Q19" s="22"/>
    </row>
    <row r="20" spans="1:17" ht="19.5" customHeight="1" thickBot="1" x14ac:dyDescent="0.3">
      <c r="A20" s="289"/>
      <c r="B20" s="93" t="s">
        <v>64</v>
      </c>
      <c r="C20" s="290" t="s">
        <v>65</v>
      </c>
      <c r="D20" s="291"/>
      <c r="E20" s="291"/>
      <c r="F20" s="292"/>
      <c r="G20" s="263"/>
      <c r="H20" s="263"/>
      <c r="I20" s="263">
        <f>SUM(I15:I19)</f>
        <v>1440</v>
      </c>
      <c r="J20" s="263"/>
      <c r="K20" s="263"/>
      <c r="L20" s="266"/>
      <c r="M20" s="263"/>
      <c r="N20" s="263"/>
      <c r="O20" s="263"/>
      <c r="P20" s="264"/>
      <c r="Q20" s="264"/>
    </row>
    <row r="21" spans="1:17" ht="19.5" customHeight="1" x14ac:dyDescent="0.25">
      <c r="A21" s="287" t="s">
        <v>37</v>
      </c>
      <c r="B21" s="42" t="s">
        <v>1163</v>
      </c>
      <c r="C21" s="116">
        <v>43280</v>
      </c>
      <c r="D21" s="52" t="s">
        <v>59</v>
      </c>
      <c r="E21" s="41" t="s">
        <v>54</v>
      </c>
      <c r="F21" s="40" t="s">
        <v>116</v>
      </c>
      <c r="G21" s="155">
        <v>408</v>
      </c>
      <c r="H21" s="81" t="s">
        <v>117</v>
      </c>
      <c r="I21" s="155">
        <f>408-216</f>
        <v>192</v>
      </c>
      <c r="J21" s="155" t="s">
        <v>255</v>
      </c>
      <c r="K21" s="155"/>
      <c r="L21" s="53" t="s">
        <v>1161</v>
      </c>
      <c r="M21" s="16"/>
      <c r="N21" s="16"/>
      <c r="O21" s="17" t="s">
        <v>1259</v>
      </c>
      <c r="P21" s="18">
        <v>1</v>
      </c>
      <c r="Q21" s="19" t="s">
        <v>19</v>
      </c>
    </row>
    <row r="22" spans="1:17" ht="19.5" customHeight="1" x14ac:dyDescent="0.25">
      <c r="A22" s="288"/>
      <c r="B22" s="45" t="s">
        <v>1277</v>
      </c>
      <c r="C22" s="46">
        <v>43287</v>
      </c>
      <c r="D22" s="47" t="s">
        <v>59</v>
      </c>
      <c r="E22" s="60" t="s">
        <v>54</v>
      </c>
      <c r="F22" s="38" t="s">
        <v>116</v>
      </c>
      <c r="G22" s="164">
        <v>408</v>
      </c>
      <c r="H22" s="48" t="s">
        <v>117</v>
      </c>
      <c r="I22" s="164">
        <v>408</v>
      </c>
      <c r="J22" s="164" t="s">
        <v>250</v>
      </c>
      <c r="K22" s="164"/>
      <c r="L22" s="57" t="s">
        <v>1281</v>
      </c>
      <c r="M22" s="63"/>
      <c r="N22" s="63"/>
      <c r="O22" s="20" t="s">
        <v>1260</v>
      </c>
      <c r="P22" s="21">
        <v>2</v>
      </c>
      <c r="Q22" s="22" t="s">
        <v>20</v>
      </c>
    </row>
    <row r="23" spans="1:17" ht="19.5" customHeight="1" x14ac:dyDescent="0.25">
      <c r="A23" s="288"/>
      <c r="B23" s="45" t="s">
        <v>1278</v>
      </c>
      <c r="C23" s="46">
        <v>43275</v>
      </c>
      <c r="D23" s="47" t="s">
        <v>93</v>
      </c>
      <c r="E23" s="60" t="s">
        <v>54</v>
      </c>
      <c r="F23" s="38" t="s">
        <v>1279</v>
      </c>
      <c r="G23" s="164">
        <v>204</v>
      </c>
      <c r="H23" s="48" t="s">
        <v>1280</v>
      </c>
      <c r="I23" s="164">
        <v>204</v>
      </c>
      <c r="J23" s="164" t="s">
        <v>764</v>
      </c>
      <c r="K23" s="164"/>
      <c r="L23" s="57" t="s">
        <v>625</v>
      </c>
      <c r="M23" s="15"/>
      <c r="N23" s="15"/>
      <c r="O23" s="20" t="s">
        <v>1261</v>
      </c>
      <c r="P23" s="21">
        <v>3</v>
      </c>
      <c r="Q23" s="22" t="s">
        <v>21</v>
      </c>
    </row>
    <row r="24" spans="1:17" ht="19.5" customHeight="1" x14ac:dyDescent="0.25">
      <c r="A24" s="288"/>
      <c r="B24" s="45"/>
      <c r="C24" s="305" t="s">
        <v>35</v>
      </c>
      <c r="D24" s="306"/>
      <c r="E24" s="60"/>
      <c r="F24" s="38"/>
      <c r="G24" s="164"/>
      <c r="H24" s="48"/>
      <c r="I24" s="164"/>
      <c r="J24" s="164"/>
      <c r="K24" s="164"/>
      <c r="L24" s="57"/>
      <c r="M24" s="15"/>
      <c r="N24" s="15"/>
      <c r="O24" s="20"/>
      <c r="P24" s="21"/>
      <c r="Q24" s="22"/>
    </row>
    <row r="25" spans="1:17" ht="19.5" customHeight="1" x14ac:dyDescent="0.25">
      <c r="A25" s="288"/>
      <c r="B25" s="45" t="s">
        <v>1282</v>
      </c>
      <c r="C25" s="46">
        <v>43276</v>
      </c>
      <c r="D25" s="47" t="s">
        <v>93</v>
      </c>
      <c r="E25" s="60" t="s">
        <v>54</v>
      </c>
      <c r="F25" s="38" t="s">
        <v>1279</v>
      </c>
      <c r="G25" s="164">
        <v>396</v>
      </c>
      <c r="H25" s="48" t="s">
        <v>1280</v>
      </c>
      <c r="I25" s="164">
        <v>396</v>
      </c>
      <c r="J25" s="164" t="s">
        <v>250</v>
      </c>
      <c r="K25" s="164"/>
      <c r="L25" s="57" t="s">
        <v>625</v>
      </c>
      <c r="M25" s="15"/>
      <c r="N25" s="15"/>
      <c r="O25" s="20"/>
      <c r="P25" s="21"/>
      <c r="Q25" s="22"/>
    </row>
    <row r="26" spans="1:17" ht="19.5" customHeight="1" x14ac:dyDescent="0.25">
      <c r="A26" s="288"/>
      <c r="B26" s="45" t="s">
        <v>1283</v>
      </c>
      <c r="C26" s="46">
        <v>43275</v>
      </c>
      <c r="D26" s="47" t="s">
        <v>93</v>
      </c>
      <c r="E26" s="60" t="s">
        <v>54</v>
      </c>
      <c r="F26" s="38" t="s">
        <v>1284</v>
      </c>
      <c r="G26" s="164">
        <v>204</v>
      </c>
      <c r="H26" s="48" t="s">
        <v>1280</v>
      </c>
      <c r="I26" s="164">
        <v>204</v>
      </c>
      <c r="J26" s="164" t="s">
        <v>764</v>
      </c>
      <c r="K26" s="164"/>
      <c r="L26" s="57" t="s">
        <v>625</v>
      </c>
      <c r="M26" s="15"/>
      <c r="N26" s="15"/>
      <c r="O26" s="20" t="s">
        <v>1262</v>
      </c>
      <c r="P26" s="21">
        <v>4</v>
      </c>
      <c r="Q26" s="22" t="s">
        <v>21</v>
      </c>
    </row>
    <row r="27" spans="1:17" ht="19.5" customHeight="1" x14ac:dyDescent="0.25">
      <c r="A27" s="288"/>
      <c r="B27" s="45"/>
      <c r="C27" s="46"/>
      <c r="D27" s="47"/>
      <c r="E27" s="60"/>
      <c r="F27" s="38"/>
      <c r="G27" s="164"/>
      <c r="H27" s="48"/>
      <c r="I27" s="164"/>
      <c r="J27" s="164"/>
      <c r="K27" s="164"/>
      <c r="L27" s="57"/>
      <c r="M27" s="15"/>
      <c r="N27" s="15"/>
      <c r="O27" s="20"/>
      <c r="P27" s="21"/>
      <c r="Q27" s="22"/>
    </row>
    <row r="28" spans="1:17" ht="19.5" customHeight="1" thickBot="1" x14ac:dyDescent="0.3">
      <c r="A28" s="289"/>
      <c r="B28" s="93" t="s">
        <v>64</v>
      </c>
      <c r="C28" s="290" t="s">
        <v>98</v>
      </c>
      <c r="D28" s="291"/>
      <c r="E28" s="291"/>
      <c r="F28" s="292"/>
      <c r="G28" s="263"/>
      <c r="H28" s="263"/>
      <c r="I28" s="263">
        <f>SUM(I21:I27)</f>
        <v>1404</v>
      </c>
      <c r="J28" s="263"/>
      <c r="K28" s="263"/>
      <c r="L28" s="266"/>
      <c r="M28" s="263"/>
      <c r="N28" s="263"/>
      <c r="O28" s="263"/>
      <c r="P28" s="264"/>
      <c r="Q28" s="264"/>
    </row>
    <row r="29" spans="1:17" ht="19.5" customHeight="1" x14ac:dyDescent="0.25">
      <c r="A29" s="287" t="s">
        <v>38</v>
      </c>
      <c r="B29" s="246" t="s">
        <v>1165</v>
      </c>
      <c r="C29" s="62">
        <v>43269</v>
      </c>
      <c r="D29" s="77" t="s">
        <v>59</v>
      </c>
      <c r="E29" s="81" t="s">
        <v>54</v>
      </c>
      <c r="F29" s="155" t="s">
        <v>1166</v>
      </c>
      <c r="G29" s="155">
        <v>912</v>
      </c>
      <c r="H29" s="81" t="s">
        <v>1167</v>
      </c>
      <c r="I29" s="155">
        <f>912-216*3</f>
        <v>264</v>
      </c>
      <c r="J29" s="155" t="s">
        <v>246</v>
      </c>
      <c r="K29" s="155"/>
      <c r="L29" s="53">
        <v>2689</v>
      </c>
      <c r="M29" s="16"/>
      <c r="N29" s="16"/>
      <c r="O29" s="17" t="s">
        <v>1259</v>
      </c>
      <c r="P29" s="18">
        <v>1</v>
      </c>
      <c r="Q29" s="19" t="s">
        <v>19</v>
      </c>
    </row>
    <row r="30" spans="1:17" ht="19.5" customHeight="1" x14ac:dyDescent="0.25">
      <c r="A30" s="288"/>
      <c r="B30" s="111" t="s">
        <v>1168</v>
      </c>
      <c r="C30" s="58">
        <v>43269</v>
      </c>
      <c r="D30" s="78" t="s">
        <v>59</v>
      </c>
      <c r="E30" s="48" t="s">
        <v>54</v>
      </c>
      <c r="F30" s="164" t="s">
        <v>1169</v>
      </c>
      <c r="G30" s="164">
        <v>648</v>
      </c>
      <c r="H30" s="48" t="s">
        <v>1167</v>
      </c>
      <c r="I30" s="84">
        <v>432</v>
      </c>
      <c r="J30" s="164" t="s">
        <v>250</v>
      </c>
      <c r="K30" s="164"/>
      <c r="L30" s="57">
        <v>2689</v>
      </c>
      <c r="M30" s="15"/>
      <c r="N30" s="15"/>
      <c r="O30" s="20" t="s">
        <v>1260</v>
      </c>
      <c r="P30" s="21">
        <v>2</v>
      </c>
      <c r="Q30" s="22" t="s">
        <v>20</v>
      </c>
    </row>
    <row r="31" spans="1:17" ht="19.5" customHeight="1" x14ac:dyDescent="0.25">
      <c r="A31" s="288"/>
      <c r="B31" s="111" t="s">
        <v>1286</v>
      </c>
      <c r="C31" s="58"/>
      <c r="D31" s="78"/>
      <c r="E31" s="48"/>
      <c r="F31" s="164"/>
      <c r="G31" s="164"/>
      <c r="H31" s="48"/>
      <c r="I31" s="84">
        <v>216</v>
      </c>
      <c r="J31" s="164" t="s">
        <v>649</v>
      </c>
      <c r="K31" s="164"/>
      <c r="L31" s="57"/>
      <c r="M31" s="49"/>
      <c r="N31" s="15"/>
      <c r="O31" s="20" t="s">
        <v>1261</v>
      </c>
      <c r="P31" s="21">
        <v>3</v>
      </c>
      <c r="Q31" s="22" t="s">
        <v>21</v>
      </c>
    </row>
    <row r="32" spans="1:17" ht="19.5" customHeight="1" x14ac:dyDescent="0.25">
      <c r="A32" s="288"/>
      <c r="B32" s="111" t="s">
        <v>1287</v>
      </c>
      <c r="C32" s="58">
        <v>43269</v>
      </c>
      <c r="D32" s="78" t="s">
        <v>59</v>
      </c>
      <c r="E32" s="48" t="s">
        <v>54</v>
      </c>
      <c r="F32" s="164" t="s">
        <v>1288</v>
      </c>
      <c r="G32" s="164">
        <v>672</v>
      </c>
      <c r="H32" s="48" t="s">
        <v>1167</v>
      </c>
      <c r="I32" s="84">
        <v>432</v>
      </c>
      <c r="J32" s="164" t="s">
        <v>250</v>
      </c>
      <c r="K32" s="164"/>
      <c r="L32" s="57">
        <v>2689</v>
      </c>
      <c r="M32" s="15"/>
      <c r="N32" s="15"/>
      <c r="O32" s="20"/>
      <c r="P32" s="21"/>
      <c r="Q32" s="22"/>
    </row>
    <row r="33" spans="1:17" ht="19.5" customHeight="1" x14ac:dyDescent="0.25">
      <c r="A33" s="288"/>
      <c r="B33" s="111" t="s">
        <v>1337</v>
      </c>
      <c r="C33" s="58"/>
      <c r="D33" s="78"/>
      <c r="E33" s="48"/>
      <c r="F33" s="164"/>
      <c r="G33" s="164"/>
      <c r="H33" s="48"/>
      <c r="I33" s="84">
        <f>672-432</f>
        <v>240</v>
      </c>
      <c r="J33" s="164" t="s">
        <v>649</v>
      </c>
      <c r="K33" s="164"/>
      <c r="L33" s="57"/>
      <c r="M33" s="15"/>
      <c r="N33" s="15"/>
      <c r="O33" s="20" t="s">
        <v>1262</v>
      </c>
      <c r="P33" s="21">
        <v>4</v>
      </c>
      <c r="Q33" s="22" t="s">
        <v>21</v>
      </c>
    </row>
    <row r="34" spans="1:17" ht="19.5" customHeight="1" x14ac:dyDescent="0.25">
      <c r="A34" s="288"/>
      <c r="B34" s="111"/>
      <c r="C34" s="58"/>
      <c r="D34" s="78"/>
      <c r="E34" s="48"/>
      <c r="F34" s="164"/>
      <c r="G34" s="164"/>
      <c r="H34" s="48"/>
      <c r="I34" s="164"/>
      <c r="J34" s="164"/>
      <c r="K34" s="164"/>
      <c r="L34" s="57"/>
      <c r="M34" s="15"/>
      <c r="N34" s="15"/>
      <c r="O34" s="20"/>
      <c r="P34" s="21"/>
      <c r="Q34" s="22"/>
    </row>
    <row r="35" spans="1:17" ht="24.75" customHeight="1" thickBot="1" x14ac:dyDescent="0.3">
      <c r="A35" s="289"/>
      <c r="B35" s="93" t="s">
        <v>64</v>
      </c>
      <c r="C35" s="301" t="s">
        <v>98</v>
      </c>
      <c r="D35" s="302"/>
      <c r="E35" s="302"/>
      <c r="F35" s="303"/>
      <c r="G35" s="263"/>
      <c r="H35" s="263"/>
      <c r="I35" s="263">
        <f>SUM(I29:I34)</f>
        <v>1584</v>
      </c>
      <c r="J35" s="263"/>
      <c r="K35" s="263"/>
      <c r="L35" s="266"/>
      <c r="M35" s="263"/>
      <c r="N35" s="263"/>
      <c r="O35" s="263"/>
      <c r="P35" s="264"/>
      <c r="Q35" s="264"/>
    </row>
    <row r="36" spans="1:17" ht="29.25" customHeight="1" thickBot="1" x14ac:dyDescent="0.3">
      <c r="A36" s="37"/>
      <c r="B36" s="64"/>
      <c r="C36" s="65"/>
      <c r="D36" s="66"/>
      <c r="E36" s="67"/>
      <c r="F36" s="68"/>
      <c r="G36" s="67"/>
      <c r="H36" s="67"/>
      <c r="I36" s="69">
        <f>SUM(I35,I28,I20,I14)</f>
        <v>5832</v>
      </c>
      <c r="J36" s="70"/>
      <c r="K36" s="70"/>
      <c r="L36" s="65"/>
      <c r="M36" s="71"/>
      <c r="N36" s="69"/>
      <c r="O36" s="70"/>
      <c r="P36" s="70"/>
      <c r="Q36" s="72"/>
    </row>
    <row r="37" spans="1:17" ht="17.25" thickTop="1" x14ac:dyDescent="0.3">
      <c r="A37" s="23" t="s">
        <v>22</v>
      </c>
      <c r="B37" s="24"/>
      <c r="C37" s="25"/>
      <c r="D37" s="24"/>
      <c r="E37" s="24"/>
      <c r="F37" s="26"/>
      <c r="G37" s="27"/>
      <c r="H37" s="28" t="s">
        <v>23</v>
      </c>
      <c r="I37" s="29"/>
      <c r="J37" s="29"/>
      <c r="K37" s="29"/>
      <c r="L37" s="30"/>
      <c r="M37" s="29"/>
      <c r="N37" s="29"/>
      <c r="O37" s="29"/>
      <c r="P37" s="265" t="s">
        <v>24</v>
      </c>
      <c r="Q37" s="31"/>
    </row>
    <row r="38" spans="1:17" ht="16.5" x14ac:dyDescent="0.3">
      <c r="A38" s="1"/>
      <c r="B38" s="32">
        <v>1</v>
      </c>
      <c r="C38" s="33"/>
      <c r="D38" s="32"/>
      <c r="E38" s="32"/>
      <c r="F38" s="304" t="s">
        <v>25</v>
      </c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</row>
    <row r="39" spans="1:17" ht="16.5" x14ac:dyDescent="0.3">
      <c r="A39" s="1"/>
      <c r="B39" s="297" t="s">
        <v>26</v>
      </c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</row>
    <row r="40" spans="1:17" ht="16.5" x14ac:dyDescent="0.3">
      <c r="A40" s="1"/>
      <c r="B40" s="34">
        <v>2</v>
      </c>
      <c r="C40" s="35"/>
      <c r="D40" s="36"/>
      <c r="E40" s="36"/>
      <c r="F40" s="298" t="s">
        <v>27</v>
      </c>
      <c r="G40" s="298"/>
      <c r="H40" s="298"/>
      <c r="I40" s="298"/>
      <c r="J40" s="298"/>
      <c r="K40" s="298"/>
      <c r="L40" s="298"/>
      <c r="M40" s="298"/>
      <c r="N40" s="298"/>
      <c r="O40" s="298"/>
      <c r="P40" s="299" t="s">
        <v>28</v>
      </c>
      <c r="Q40" s="300"/>
    </row>
    <row r="41" spans="1:17" ht="16.5" x14ac:dyDescent="0.3">
      <c r="A41" s="1"/>
      <c r="B41" s="297" t="s">
        <v>29</v>
      </c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1"/>
      <c r="Q41" s="1"/>
    </row>
  </sheetData>
  <mergeCells count="20">
    <mergeCell ref="A29:A35"/>
    <mergeCell ref="C35:F35"/>
    <mergeCell ref="A1:Q1"/>
    <mergeCell ref="A2:B2"/>
    <mergeCell ref="C2:E2"/>
    <mergeCell ref="F2:G2"/>
    <mergeCell ref="O2:Q2"/>
    <mergeCell ref="A4:A14"/>
    <mergeCell ref="C14:F14"/>
    <mergeCell ref="C10:D10"/>
    <mergeCell ref="C24:D24"/>
    <mergeCell ref="A15:A20"/>
    <mergeCell ref="C20:F20"/>
    <mergeCell ref="A21:A28"/>
    <mergeCell ref="C28:F28"/>
    <mergeCell ref="F38:Q38"/>
    <mergeCell ref="B39:Q39"/>
    <mergeCell ref="F40:O40"/>
    <mergeCell ref="P40:Q40"/>
    <mergeCell ref="B41:O41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6"/>
  <sheetViews>
    <sheetView topLeftCell="A19" zoomScaleNormal="100" workbookViewId="0">
      <selection activeCell="G20" sqref="G20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43264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1086</v>
      </c>
      <c r="C4" s="140">
        <v>43283</v>
      </c>
      <c r="D4" s="77" t="s">
        <v>93</v>
      </c>
      <c r="E4" s="41" t="s">
        <v>34</v>
      </c>
      <c r="F4" s="40" t="s">
        <v>108</v>
      </c>
      <c r="G4" s="40">
        <v>4656</v>
      </c>
      <c r="H4" s="41" t="s">
        <v>51</v>
      </c>
      <c r="I4" s="150">
        <v>432</v>
      </c>
      <c r="J4" s="41" t="s">
        <v>1291</v>
      </c>
      <c r="K4" s="40"/>
      <c r="L4" s="90" t="s">
        <v>61</v>
      </c>
      <c r="M4" s="16"/>
      <c r="N4" s="16"/>
      <c r="O4" s="17" t="s">
        <v>1259</v>
      </c>
      <c r="P4" s="18">
        <v>1</v>
      </c>
      <c r="Q4" s="19" t="s">
        <v>19</v>
      </c>
    </row>
    <row r="5" spans="1:17" ht="21.75" customHeight="1" x14ac:dyDescent="0.25">
      <c r="A5" s="288"/>
      <c r="B5" s="43" t="s">
        <v>1087</v>
      </c>
      <c r="C5" s="141"/>
      <c r="D5" s="78"/>
      <c r="E5" s="60"/>
      <c r="F5" s="38"/>
      <c r="G5" s="38"/>
      <c r="H5" s="60"/>
      <c r="I5" s="38">
        <v>432</v>
      </c>
      <c r="J5" s="60" t="s">
        <v>1292</v>
      </c>
      <c r="K5" s="38"/>
      <c r="L5" s="91"/>
      <c r="M5" s="49"/>
      <c r="N5" s="15"/>
      <c r="O5" s="20" t="s">
        <v>1260</v>
      </c>
      <c r="P5" s="21">
        <v>2</v>
      </c>
      <c r="Q5" s="22" t="s">
        <v>20</v>
      </c>
    </row>
    <row r="6" spans="1:17" ht="21.75" customHeight="1" x14ac:dyDescent="0.25">
      <c r="A6" s="288"/>
      <c r="B6" s="43"/>
      <c r="C6" s="141"/>
      <c r="D6" s="78"/>
      <c r="E6" s="60"/>
      <c r="F6" s="38"/>
      <c r="G6" s="38"/>
      <c r="H6" s="60"/>
      <c r="I6" s="128">
        <v>432</v>
      </c>
      <c r="J6" s="60" t="s">
        <v>1293</v>
      </c>
      <c r="K6" s="38"/>
      <c r="L6" s="91"/>
      <c r="M6" s="49"/>
      <c r="N6" s="15"/>
      <c r="O6" s="20" t="s">
        <v>1261</v>
      </c>
      <c r="P6" s="21">
        <v>3</v>
      </c>
      <c r="Q6" s="22" t="s">
        <v>21</v>
      </c>
    </row>
    <row r="7" spans="1:17" ht="21.75" customHeight="1" x14ac:dyDescent="0.25">
      <c r="A7" s="288"/>
      <c r="B7" s="43"/>
      <c r="C7" s="141"/>
      <c r="D7" s="78"/>
      <c r="E7" s="60"/>
      <c r="F7" s="38"/>
      <c r="G7" s="38"/>
      <c r="H7" s="60"/>
      <c r="I7" s="38">
        <v>216</v>
      </c>
      <c r="J7" s="60" t="s">
        <v>1338</v>
      </c>
      <c r="K7" s="38"/>
      <c r="L7" s="91"/>
      <c r="M7" s="49"/>
      <c r="N7" s="15"/>
      <c r="O7" s="20" t="s">
        <v>1262</v>
      </c>
      <c r="P7" s="21">
        <v>4</v>
      </c>
      <c r="Q7" s="22" t="s">
        <v>21</v>
      </c>
    </row>
    <row r="8" spans="1:17" ht="21.75" customHeight="1" x14ac:dyDescent="0.25">
      <c r="A8" s="288"/>
      <c r="B8" s="45"/>
      <c r="C8" s="141"/>
      <c r="D8" s="78"/>
      <c r="E8" s="48"/>
      <c r="F8" s="39"/>
      <c r="G8" s="164"/>
      <c r="H8" s="48"/>
      <c r="I8" s="164"/>
      <c r="J8" s="48"/>
      <c r="K8" s="164"/>
      <c r="L8" s="228"/>
      <c r="M8" s="49"/>
      <c r="N8" s="15"/>
      <c r="O8" s="20"/>
      <c r="P8" s="21"/>
      <c r="Q8" s="22"/>
    </row>
    <row r="9" spans="1:17" ht="21.75" customHeight="1" thickBot="1" x14ac:dyDescent="0.3">
      <c r="A9" s="289"/>
      <c r="B9" s="93"/>
      <c r="C9" s="263"/>
      <c r="D9" s="263"/>
      <c r="E9" s="263"/>
      <c r="F9" s="263"/>
      <c r="G9" s="263"/>
      <c r="H9" s="263"/>
      <c r="I9" s="263">
        <f>SUM(I4:I8)</f>
        <v>1512</v>
      </c>
      <c r="J9" s="263"/>
      <c r="K9" s="263"/>
      <c r="L9" s="266"/>
      <c r="M9" s="263"/>
      <c r="N9" s="263"/>
      <c r="O9" s="114"/>
      <c r="P9" s="264"/>
      <c r="Q9" s="152"/>
    </row>
    <row r="10" spans="1:17" ht="21.75" customHeight="1" x14ac:dyDescent="0.25">
      <c r="A10" s="287" t="s">
        <v>41</v>
      </c>
      <c r="B10" s="42" t="s">
        <v>1174</v>
      </c>
      <c r="C10" s="62">
        <v>43301</v>
      </c>
      <c r="D10" s="140" t="s">
        <v>93</v>
      </c>
      <c r="E10" s="41" t="s">
        <v>54</v>
      </c>
      <c r="F10" s="40" t="s">
        <v>858</v>
      </c>
      <c r="G10" s="155">
        <v>264</v>
      </c>
      <c r="H10" s="81" t="s">
        <v>456</v>
      </c>
      <c r="I10" s="155">
        <v>264</v>
      </c>
      <c r="J10" s="81" t="s">
        <v>764</v>
      </c>
      <c r="K10" s="155"/>
      <c r="L10" s="53" t="s">
        <v>67</v>
      </c>
      <c r="M10" s="16"/>
      <c r="N10" s="16"/>
      <c r="O10" s="17" t="s">
        <v>1259</v>
      </c>
      <c r="P10" s="18">
        <v>1</v>
      </c>
      <c r="Q10" s="19" t="s">
        <v>19</v>
      </c>
    </row>
    <row r="11" spans="1:17" ht="21.75" customHeight="1" x14ac:dyDescent="0.25">
      <c r="A11" s="288"/>
      <c r="B11" s="43" t="s">
        <v>1175</v>
      </c>
      <c r="C11" s="141">
        <v>43273</v>
      </c>
      <c r="D11" s="141" t="s">
        <v>55</v>
      </c>
      <c r="E11" s="79" t="s">
        <v>54</v>
      </c>
      <c r="F11" s="38" t="s">
        <v>1048</v>
      </c>
      <c r="G11" s="38">
        <v>120</v>
      </c>
      <c r="H11" s="60" t="s">
        <v>456</v>
      </c>
      <c r="I11" s="164">
        <v>120</v>
      </c>
      <c r="J11" s="48" t="s">
        <v>764</v>
      </c>
      <c r="K11" s="164"/>
      <c r="L11" s="88" t="s">
        <v>1161</v>
      </c>
      <c r="M11" s="63"/>
      <c r="N11" s="63"/>
      <c r="O11" s="20" t="s">
        <v>1260</v>
      </c>
      <c r="P11" s="21">
        <v>2</v>
      </c>
      <c r="Q11" s="22" t="s">
        <v>20</v>
      </c>
    </row>
    <row r="12" spans="1:17" ht="21.75" customHeight="1" x14ac:dyDescent="0.25">
      <c r="A12" s="288"/>
      <c r="B12" s="43" t="s">
        <v>1177</v>
      </c>
      <c r="C12" s="141">
        <v>43273</v>
      </c>
      <c r="D12" s="141" t="s">
        <v>55</v>
      </c>
      <c r="E12" s="79" t="s">
        <v>54</v>
      </c>
      <c r="F12" s="38" t="s">
        <v>1048</v>
      </c>
      <c r="G12" s="38">
        <v>540</v>
      </c>
      <c r="H12" s="60" t="s">
        <v>456</v>
      </c>
      <c r="I12" s="164">
        <v>432</v>
      </c>
      <c r="J12" s="48" t="s">
        <v>250</v>
      </c>
      <c r="K12" s="164"/>
      <c r="L12" s="88" t="s">
        <v>1281</v>
      </c>
      <c r="M12" s="49"/>
      <c r="N12" s="49"/>
      <c r="O12" s="20" t="s">
        <v>1261</v>
      </c>
      <c r="P12" s="21">
        <v>3</v>
      </c>
      <c r="Q12" s="22" t="s">
        <v>21</v>
      </c>
    </row>
    <row r="13" spans="1:17" ht="21.75" customHeight="1" x14ac:dyDescent="0.25">
      <c r="A13" s="288"/>
      <c r="B13" s="45" t="s">
        <v>1294</v>
      </c>
      <c r="C13" s="58"/>
      <c r="D13" s="141"/>
      <c r="E13" s="79"/>
      <c r="F13" s="38"/>
      <c r="G13" s="164"/>
      <c r="H13" s="48"/>
      <c r="I13" s="164">
        <f>540-216*2</f>
        <v>108</v>
      </c>
      <c r="J13" s="48" t="s">
        <v>649</v>
      </c>
      <c r="K13" s="164"/>
      <c r="L13" s="57"/>
      <c r="M13" s="49"/>
      <c r="N13" s="49"/>
      <c r="O13" s="20"/>
      <c r="P13" s="21"/>
      <c r="Q13" s="22"/>
    </row>
    <row r="14" spans="1:17" ht="21.75" customHeight="1" x14ac:dyDescent="0.25">
      <c r="A14" s="288"/>
      <c r="B14" s="45" t="s">
        <v>1295</v>
      </c>
      <c r="C14" s="58">
        <v>43293</v>
      </c>
      <c r="D14" s="141" t="s">
        <v>988</v>
      </c>
      <c r="E14" s="79" t="s">
        <v>54</v>
      </c>
      <c r="F14" s="38" t="s">
        <v>809</v>
      </c>
      <c r="G14" s="164">
        <v>1350</v>
      </c>
      <c r="H14" s="48" t="s">
        <v>62</v>
      </c>
      <c r="I14" s="164">
        <f>192*2</f>
        <v>384</v>
      </c>
      <c r="J14" s="48" t="s">
        <v>250</v>
      </c>
      <c r="K14" s="164"/>
      <c r="L14" s="57" t="s">
        <v>1296</v>
      </c>
      <c r="M14" s="49"/>
      <c r="N14" s="49"/>
      <c r="O14" s="20" t="s">
        <v>1262</v>
      </c>
      <c r="P14" s="21">
        <v>4</v>
      </c>
      <c r="Q14" s="22" t="s">
        <v>21</v>
      </c>
    </row>
    <row r="15" spans="1:17" ht="21.75" customHeight="1" x14ac:dyDescent="0.25">
      <c r="A15" s="288"/>
      <c r="B15" s="43" t="s">
        <v>114</v>
      </c>
      <c r="C15" s="305" t="s">
        <v>35</v>
      </c>
      <c r="D15" s="306"/>
      <c r="E15" s="79"/>
      <c r="F15" s="38"/>
      <c r="G15" s="38"/>
      <c r="H15" s="60"/>
      <c r="I15" s="164"/>
      <c r="J15" s="48"/>
      <c r="K15" s="164"/>
      <c r="L15" s="88"/>
      <c r="M15" s="49"/>
      <c r="N15" s="49"/>
      <c r="O15" s="20"/>
      <c r="P15" s="21"/>
      <c r="Q15" s="22"/>
    </row>
    <row r="16" spans="1:17" ht="21.75" customHeight="1" thickBot="1" x14ac:dyDescent="0.3">
      <c r="A16" s="289"/>
      <c r="B16" s="93" t="s">
        <v>64</v>
      </c>
      <c r="C16" s="290" t="s">
        <v>98</v>
      </c>
      <c r="D16" s="291"/>
      <c r="E16" s="291"/>
      <c r="F16" s="292"/>
      <c r="G16" s="263"/>
      <c r="H16" s="263"/>
      <c r="I16" s="263">
        <f>SUM(I10:I15)</f>
        <v>1308</v>
      </c>
      <c r="J16" s="263"/>
      <c r="K16" s="263"/>
      <c r="L16" s="266"/>
      <c r="M16" s="263"/>
      <c r="N16" s="263"/>
      <c r="O16" s="114"/>
      <c r="P16" s="264"/>
      <c r="Q16" s="152"/>
    </row>
    <row r="17" spans="1:17" ht="21.75" customHeight="1" x14ac:dyDescent="0.25">
      <c r="A17" s="287" t="s">
        <v>42</v>
      </c>
      <c r="B17" s="42" t="s">
        <v>1180</v>
      </c>
      <c r="C17" s="140">
        <v>43312</v>
      </c>
      <c r="D17" s="90" t="s">
        <v>988</v>
      </c>
      <c r="E17" s="62" t="s">
        <v>393</v>
      </c>
      <c r="F17" s="40" t="s">
        <v>508</v>
      </c>
      <c r="G17" s="248">
        <v>17220</v>
      </c>
      <c r="H17" s="41" t="s">
        <v>395</v>
      </c>
      <c r="I17" s="40">
        <v>384</v>
      </c>
      <c r="J17" s="40" t="s">
        <v>77</v>
      </c>
      <c r="K17" s="40"/>
      <c r="L17" s="90" t="s">
        <v>61</v>
      </c>
      <c r="M17" s="16"/>
      <c r="N17" s="16"/>
      <c r="O17" s="17" t="s">
        <v>1259</v>
      </c>
      <c r="P17" s="18">
        <v>1</v>
      </c>
      <c r="Q17" s="19" t="s">
        <v>19</v>
      </c>
    </row>
    <row r="18" spans="1:17" ht="21.75" customHeight="1" x14ac:dyDescent="0.25">
      <c r="A18" s="288"/>
      <c r="B18" s="45" t="s">
        <v>1181</v>
      </c>
      <c r="C18" s="141"/>
      <c r="D18" s="91"/>
      <c r="E18" s="58"/>
      <c r="F18" s="38"/>
      <c r="G18" s="89"/>
      <c r="H18" s="48"/>
      <c r="I18" s="164">
        <v>384</v>
      </c>
      <c r="J18" s="164" t="s">
        <v>82</v>
      </c>
      <c r="K18" s="164"/>
      <c r="L18" s="51"/>
      <c r="M18" s="15"/>
      <c r="N18" s="15"/>
      <c r="O18" s="20" t="s">
        <v>1260</v>
      </c>
      <c r="P18" s="21">
        <v>2</v>
      </c>
      <c r="Q18" s="22" t="s">
        <v>20</v>
      </c>
    </row>
    <row r="19" spans="1:17" ht="21.75" customHeight="1" x14ac:dyDescent="0.25">
      <c r="A19" s="288"/>
      <c r="B19" s="45"/>
      <c r="C19" s="141"/>
      <c r="D19" s="91"/>
      <c r="E19" s="137"/>
      <c r="F19" s="38"/>
      <c r="G19" s="89"/>
      <c r="H19" s="48"/>
      <c r="I19" s="164">
        <v>384</v>
      </c>
      <c r="J19" s="164" t="s">
        <v>1297</v>
      </c>
      <c r="K19" s="164"/>
      <c r="L19" s="51"/>
      <c r="M19" s="15"/>
      <c r="N19" s="15"/>
      <c r="O19" s="20" t="s">
        <v>1261</v>
      </c>
      <c r="P19" s="21">
        <v>3</v>
      </c>
      <c r="Q19" s="22" t="s">
        <v>21</v>
      </c>
    </row>
    <row r="20" spans="1:17" ht="21.75" customHeight="1" x14ac:dyDescent="0.25">
      <c r="A20" s="288"/>
      <c r="B20" s="45"/>
      <c r="C20" s="141"/>
      <c r="D20" s="91"/>
      <c r="E20" s="58"/>
      <c r="F20" s="39"/>
      <c r="G20" s="89"/>
      <c r="H20" s="79"/>
      <c r="I20" s="164">
        <v>384</v>
      </c>
      <c r="J20" s="164" t="s">
        <v>1298</v>
      </c>
      <c r="K20" s="164"/>
      <c r="L20" s="44"/>
      <c r="M20" s="49"/>
      <c r="N20" s="49"/>
      <c r="O20" s="20" t="s">
        <v>1262</v>
      </c>
      <c r="P20" s="21">
        <v>4</v>
      </c>
      <c r="Q20" s="22" t="s">
        <v>21</v>
      </c>
    </row>
    <row r="21" spans="1:17" ht="21.75" customHeight="1" x14ac:dyDescent="0.25">
      <c r="A21" s="288"/>
      <c r="B21" s="45"/>
      <c r="C21" s="141"/>
      <c r="D21" s="91"/>
      <c r="E21" s="58"/>
      <c r="F21" s="39"/>
      <c r="G21" s="89"/>
      <c r="H21" s="79"/>
      <c r="I21" s="164"/>
      <c r="J21" s="164"/>
      <c r="K21" s="164"/>
      <c r="L21" s="44"/>
      <c r="M21" s="49"/>
      <c r="N21" s="49"/>
      <c r="O21" s="20"/>
      <c r="P21" s="21"/>
      <c r="Q21" s="22"/>
    </row>
    <row r="22" spans="1:17" ht="21.75" customHeight="1" thickBot="1" x14ac:dyDescent="0.3">
      <c r="A22" s="289"/>
      <c r="B22" s="93" t="s">
        <v>64</v>
      </c>
      <c r="C22" s="290" t="s">
        <v>98</v>
      </c>
      <c r="D22" s="291"/>
      <c r="E22" s="291"/>
      <c r="F22" s="292"/>
      <c r="G22" s="263"/>
      <c r="H22" s="263"/>
      <c r="I22" s="263">
        <f>SUM(I17:I21)</f>
        <v>1536</v>
      </c>
      <c r="J22" s="263"/>
      <c r="K22" s="263"/>
      <c r="L22" s="266"/>
      <c r="M22" s="263"/>
      <c r="N22" s="263"/>
      <c r="O22" s="114"/>
      <c r="P22" s="264"/>
      <c r="Q22" s="152"/>
    </row>
    <row r="23" spans="1:17" ht="21.75" customHeight="1" x14ac:dyDescent="0.25">
      <c r="A23" s="287" t="s">
        <v>43</v>
      </c>
      <c r="B23" s="42" t="s">
        <v>1183</v>
      </c>
      <c r="C23" s="140">
        <v>43302</v>
      </c>
      <c r="D23" s="90" t="s">
        <v>988</v>
      </c>
      <c r="E23" s="81" t="s">
        <v>34</v>
      </c>
      <c r="F23" s="40" t="s">
        <v>276</v>
      </c>
      <c r="G23" s="40">
        <v>360</v>
      </c>
      <c r="H23" s="41" t="s">
        <v>277</v>
      </c>
      <c r="I23" s="40">
        <f>360-216</f>
        <v>144</v>
      </c>
      <c r="J23" s="41" t="s">
        <v>255</v>
      </c>
      <c r="K23" s="40"/>
      <c r="L23" s="54" t="s">
        <v>282</v>
      </c>
      <c r="M23" s="16"/>
      <c r="N23" s="16"/>
      <c r="O23" s="17" t="s">
        <v>1259</v>
      </c>
      <c r="P23" s="18">
        <v>1</v>
      </c>
      <c r="Q23" s="19" t="s">
        <v>19</v>
      </c>
    </row>
    <row r="24" spans="1:17" ht="21.75" customHeight="1" x14ac:dyDescent="0.25">
      <c r="A24" s="288"/>
      <c r="B24" s="43" t="s">
        <v>1299</v>
      </c>
      <c r="C24" s="141">
        <v>43304</v>
      </c>
      <c r="D24" s="91" t="s">
        <v>988</v>
      </c>
      <c r="E24" s="253" t="s">
        <v>34</v>
      </c>
      <c r="F24" s="38" t="s">
        <v>276</v>
      </c>
      <c r="G24" s="105">
        <v>348</v>
      </c>
      <c r="H24" s="60" t="s">
        <v>277</v>
      </c>
      <c r="I24" s="38">
        <v>348</v>
      </c>
      <c r="J24" s="38" t="s">
        <v>250</v>
      </c>
      <c r="K24" s="164"/>
      <c r="L24" s="44" t="s">
        <v>1301</v>
      </c>
      <c r="M24" s="15"/>
      <c r="N24" s="15"/>
      <c r="O24" s="20" t="s">
        <v>1260</v>
      </c>
      <c r="P24" s="21">
        <v>2</v>
      </c>
      <c r="Q24" s="22" t="s">
        <v>20</v>
      </c>
    </row>
    <row r="25" spans="1:17" ht="21.75" customHeight="1" x14ac:dyDescent="0.25">
      <c r="A25" s="288"/>
      <c r="B25" s="43" t="s">
        <v>1300</v>
      </c>
      <c r="C25" s="141">
        <v>43309</v>
      </c>
      <c r="D25" s="91" t="s">
        <v>988</v>
      </c>
      <c r="E25" s="253" t="s">
        <v>34</v>
      </c>
      <c r="F25" s="38" t="s">
        <v>276</v>
      </c>
      <c r="G25" s="105">
        <v>996</v>
      </c>
      <c r="H25" s="60" t="s">
        <v>277</v>
      </c>
      <c r="I25" s="38">
        <v>432</v>
      </c>
      <c r="J25" s="38" t="s">
        <v>250</v>
      </c>
      <c r="K25" s="164"/>
      <c r="L25" s="44" t="s">
        <v>1301</v>
      </c>
      <c r="M25" s="49"/>
      <c r="N25" s="49"/>
      <c r="O25" s="20"/>
      <c r="P25" s="21"/>
      <c r="Q25" s="22"/>
    </row>
    <row r="26" spans="1:17" ht="21.75" customHeight="1" x14ac:dyDescent="0.25">
      <c r="A26" s="288"/>
      <c r="B26" s="45" t="s">
        <v>1302</v>
      </c>
      <c r="C26" s="305" t="s">
        <v>35</v>
      </c>
      <c r="D26" s="306"/>
      <c r="E26" s="48"/>
      <c r="F26" s="39"/>
      <c r="G26" s="39"/>
      <c r="H26" s="79"/>
      <c r="I26" s="38">
        <v>432</v>
      </c>
      <c r="J26" s="60" t="s">
        <v>269</v>
      </c>
      <c r="K26" s="38"/>
      <c r="L26" s="44"/>
      <c r="M26" s="49"/>
      <c r="N26" s="49"/>
      <c r="O26" s="20" t="s">
        <v>1261</v>
      </c>
      <c r="P26" s="21">
        <v>3</v>
      </c>
      <c r="Q26" s="22" t="s">
        <v>21</v>
      </c>
    </row>
    <row r="27" spans="1:17" ht="21.75" customHeight="1" x14ac:dyDescent="0.25">
      <c r="A27" s="288"/>
      <c r="B27" s="43"/>
      <c r="C27" s="141"/>
      <c r="D27" s="91"/>
      <c r="E27" s="253"/>
      <c r="F27" s="38"/>
      <c r="G27" s="105"/>
      <c r="H27" s="60"/>
      <c r="I27" s="38">
        <f>996-216*4</f>
        <v>132</v>
      </c>
      <c r="J27" s="38" t="s">
        <v>356</v>
      </c>
      <c r="K27" s="164"/>
      <c r="L27" s="44"/>
      <c r="M27" s="49"/>
      <c r="N27" s="49"/>
      <c r="O27" s="20"/>
      <c r="P27" s="21"/>
      <c r="Q27" s="22"/>
    </row>
    <row r="28" spans="1:17" ht="21.75" customHeight="1" x14ac:dyDescent="0.25">
      <c r="A28" s="288"/>
      <c r="B28" s="45" t="s">
        <v>1303</v>
      </c>
      <c r="C28" s="141">
        <v>43293</v>
      </c>
      <c r="D28" s="91" t="s">
        <v>988</v>
      </c>
      <c r="E28" s="271" t="s">
        <v>34</v>
      </c>
      <c r="F28" s="39" t="s">
        <v>1304</v>
      </c>
      <c r="G28" s="272">
        <v>840</v>
      </c>
      <c r="H28" s="79" t="s">
        <v>1305</v>
      </c>
      <c r="I28" s="164">
        <v>216</v>
      </c>
      <c r="J28" s="164" t="s">
        <v>764</v>
      </c>
      <c r="K28" s="164"/>
      <c r="L28" s="57" t="s">
        <v>404</v>
      </c>
      <c r="M28" s="49"/>
      <c r="N28" s="49"/>
      <c r="O28" s="20" t="s">
        <v>1262</v>
      </c>
      <c r="P28" s="21">
        <v>4</v>
      </c>
      <c r="Q28" s="22" t="s">
        <v>21</v>
      </c>
    </row>
    <row r="29" spans="1:17" ht="21.75" customHeight="1" x14ac:dyDescent="0.25">
      <c r="A29" s="288"/>
      <c r="B29" s="45" t="s">
        <v>97</v>
      </c>
      <c r="C29" s="305" t="s">
        <v>35</v>
      </c>
      <c r="D29" s="306"/>
      <c r="E29" s="48"/>
      <c r="F29" s="39"/>
      <c r="G29" s="39"/>
      <c r="H29" s="79"/>
      <c r="I29" s="164"/>
      <c r="J29" s="48"/>
      <c r="K29" s="164"/>
      <c r="L29" s="57"/>
      <c r="M29" s="49"/>
      <c r="N29" s="49"/>
      <c r="O29" s="20"/>
      <c r="P29" s="21"/>
      <c r="Q29" s="22"/>
    </row>
    <row r="30" spans="1:17" ht="24" customHeight="1" thickBot="1" x14ac:dyDescent="0.3">
      <c r="A30" s="289"/>
      <c r="B30" s="93" t="s">
        <v>64</v>
      </c>
      <c r="C30" s="290" t="s">
        <v>98</v>
      </c>
      <c r="D30" s="291"/>
      <c r="E30" s="291"/>
      <c r="F30" s="292"/>
      <c r="G30" s="263"/>
      <c r="H30" s="263"/>
      <c r="I30" s="263">
        <f>SUM(I23:I29)</f>
        <v>1704</v>
      </c>
      <c r="J30" s="263"/>
      <c r="K30" s="263"/>
      <c r="L30" s="266"/>
      <c r="M30" s="263"/>
      <c r="N30" s="263"/>
      <c r="O30" s="114"/>
      <c r="P30" s="264"/>
      <c r="Q30" s="152"/>
    </row>
    <row r="31" spans="1:17" ht="25.5" customHeight="1" thickBot="1" x14ac:dyDescent="0.3">
      <c r="A31" s="37"/>
      <c r="B31" s="64"/>
      <c r="C31" s="65"/>
      <c r="D31" s="66"/>
      <c r="E31" s="67"/>
      <c r="F31" s="68"/>
      <c r="G31" s="67"/>
      <c r="H31" s="67"/>
      <c r="I31" s="69">
        <f>SUM(I30,I22,I16,I9)</f>
        <v>6060</v>
      </c>
      <c r="J31" s="70"/>
      <c r="K31" s="70"/>
      <c r="L31" s="65"/>
      <c r="M31" s="71"/>
      <c r="N31" s="69"/>
      <c r="O31" s="70"/>
      <c r="P31" s="70"/>
      <c r="Q31" s="72"/>
    </row>
    <row r="32" spans="1:17" ht="17.25" customHeight="1" thickTop="1" x14ac:dyDescent="0.3">
      <c r="A32" s="23" t="s">
        <v>22</v>
      </c>
      <c r="B32" s="24"/>
      <c r="C32" s="25"/>
      <c r="D32" s="24"/>
      <c r="E32" s="24"/>
      <c r="F32" s="26"/>
      <c r="G32" s="27"/>
      <c r="H32" s="28" t="s">
        <v>23</v>
      </c>
      <c r="I32" s="29"/>
      <c r="J32" s="29"/>
      <c r="K32" s="29"/>
      <c r="L32" s="30"/>
      <c r="M32" s="29"/>
      <c r="N32" s="29"/>
      <c r="O32" s="29"/>
      <c r="P32" s="265" t="s">
        <v>24</v>
      </c>
      <c r="Q32" s="31"/>
    </row>
    <row r="33" spans="1:17" ht="16.5" x14ac:dyDescent="0.3">
      <c r="A33" s="1"/>
      <c r="B33" s="32">
        <v>1</v>
      </c>
      <c r="C33" s="33"/>
      <c r="D33" s="32"/>
      <c r="E33" s="32"/>
      <c r="F33" s="304" t="s">
        <v>25</v>
      </c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</row>
    <row r="34" spans="1:17" ht="16.5" x14ac:dyDescent="0.3">
      <c r="A34" s="1"/>
      <c r="B34" s="297" t="s">
        <v>26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1:17" ht="16.5" x14ac:dyDescent="0.3">
      <c r="A35" s="1"/>
      <c r="B35" s="34">
        <v>2</v>
      </c>
      <c r="C35" s="35"/>
      <c r="D35" s="36"/>
      <c r="E35" s="36"/>
      <c r="F35" s="298" t="s">
        <v>27</v>
      </c>
      <c r="G35" s="298"/>
      <c r="H35" s="298"/>
      <c r="I35" s="298"/>
      <c r="J35" s="298"/>
      <c r="K35" s="298"/>
      <c r="L35" s="298"/>
      <c r="M35" s="298"/>
      <c r="N35" s="298"/>
      <c r="O35" s="298"/>
      <c r="P35" s="299" t="s">
        <v>28</v>
      </c>
      <c r="Q35" s="300"/>
    </row>
    <row r="36" spans="1:17" ht="16.5" x14ac:dyDescent="0.3">
      <c r="A36" s="1"/>
      <c r="B36" s="297" t="s">
        <v>29</v>
      </c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1"/>
      <c r="Q36" s="1"/>
    </row>
  </sheetData>
  <mergeCells count="20">
    <mergeCell ref="A4:A9"/>
    <mergeCell ref="A1:Q1"/>
    <mergeCell ref="A2:B2"/>
    <mergeCell ref="C2:E2"/>
    <mergeCell ref="F2:G2"/>
    <mergeCell ref="O2:Q2"/>
    <mergeCell ref="C15:D15"/>
    <mergeCell ref="C26:D26"/>
    <mergeCell ref="C29:D29"/>
    <mergeCell ref="A10:A16"/>
    <mergeCell ref="C16:F16"/>
    <mergeCell ref="A17:A22"/>
    <mergeCell ref="C22:F22"/>
    <mergeCell ref="A23:A30"/>
    <mergeCell ref="C30:F30"/>
    <mergeCell ref="F33:Q33"/>
    <mergeCell ref="B34:Q34"/>
    <mergeCell ref="F35:O35"/>
    <mergeCell ref="P35:Q35"/>
    <mergeCell ref="B36:O3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topLeftCell="A19" zoomScale="109" zoomScaleNormal="109" workbookViewId="0">
      <selection activeCell="G19" sqref="G19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43264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43265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6.25" customHeight="1" x14ac:dyDescent="0.25">
      <c r="A4" s="307" t="s">
        <v>44</v>
      </c>
      <c r="B4" s="42" t="s">
        <v>1186</v>
      </c>
      <c r="C4" s="121">
        <v>432690</v>
      </c>
      <c r="D4" s="109" t="s">
        <v>59</v>
      </c>
      <c r="E4" s="122" t="s">
        <v>143</v>
      </c>
      <c r="F4" s="108" t="s">
        <v>1101</v>
      </c>
      <c r="G4" s="40">
        <v>1404</v>
      </c>
      <c r="H4" s="41" t="s">
        <v>1102</v>
      </c>
      <c r="I4" s="155">
        <v>432</v>
      </c>
      <c r="J4" s="155" t="s">
        <v>699</v>
      </c>
      <c r="K4" s="155"/>
      <c r="L4" s="123" t="s">
        <v>1188</v>
      </c>
      <c r="M4" s="16"/>
      <c r="N4" s="16"/>
      <c r="O4" s="17" t="s">
        <v>1259</v>
      </c>
      <c r="P4" s="18">
        <v>1</v>
      </c>
      <c r="Q4" s="19" t="s">
        <v>19</v>
      </c>
    </row>
    <row r="5" spans="1:28" ht="26.25" customHeight="1" x14ac:dyDescent="0.25">
      <c r="A5" s="308"/>
      <c r="B5" s="45" t="s">
        <v>712</v>
      </c>
      <c r="C5" s="117"/>
      <c r="D5" s="113"/>
      <c r="E5" s="102"/>
      <c r="F5" s="101"/>
      <c r="G5" s="39"/>
      <c r="H5" s="79"/>
      <c r="I5" s="164">
        <f>1404-216*5</f>
        <v>324</v>
      </c>
      <c r="J5" s="164" t="s">
        <v>1306</v>
      </c>
      <c r="K5" s="164"/>
      <c r="L5" s="51"/>
      <c r="M5" s="87"/>
      <c r="N5" s="87"/>
      <c r="O5" s="20" t="s">
        <v>1260</v>
      </c>
      <c r="P5" s="21">
        <v>2</v>
      </c>
      <c r="Q5" s="22" t="s">
        <v>20</v>
      </c>
    </row>
    <row r="6" spans="1:28" ht="26.25" customHeight="1" x14ac:dyDescent="0.25">
      <c r="A6" s="308"/>
      <c r="B6" s="45" t="s">
        <v>1307</v>
      </c>
      <c r="C6" s="117">
        <v>43243</v>
      </c>
      <c r="D6" s="113" t="s">
        <v>93</v>
      </c>
      <c r="E6" s="102" t="s">
        <v>143</v>
      </c>
      <c r="F6" s="101" t="s">
        <v>1101</v>
      </c>
      <c r="G6" s="39">
        <v>360</v>
      </c>
      <c r="H6" s="79" t="s">
        <v>1102</v>
      </c>
      <c r="I6" s="164">
        <v>360</v>
      </c>
      <c r="J6" s="164" t="s">
        <v>250</v>
      </c>
      <c r="K6" s="164"/>
      <c r="L6" s="51" t="s">
        <v>1309</v>
      </c>
      <c r="M6" s="49"/>
      <c r="N6" s="49"/>
      <c r="O6" s="20" t="s">
        <v>1261</v>
      </c>
      <c r="P6" s="21">
        <v>3</v>
      </c>
      <c r="Q6" s="22" t="s">
        <v>21</v>
      </c>
    </row>
    <row r="7" spans="1:28" ht="26.25" customHeight="1" x14ac:dyDescent="0.25">
      <c r="A7" s="308"/>
      <c r="B7" s="45" t="s">
        <v>1308</v>
      </c>
      <c r="C7" s="117">
        <v>43276</v>
      </c>
      <c r="D7" s="113" t="s">
        <v>93</v>
      </c>
      <c r="E7" s="102" t="s">
        <v>143</v>
      </c>
      <c r="F7" s="101" t="s">
        <v>1101</v>
      </c>
      <c r="G7" s="39">
        <v>1800</v>
      </c>
      <c r="H7" s="79" t="s">
        <v>1102</v>
      </c>
      <c r="I7" s="164">
        <v>216</v>
      </c>
      <c r="J7" s="164" t="s">
        <v>173</v>
      </c>
      <c r="K7" s="164"/>
      <c r="L7" s="51" t="s">
        <v>1309</v>
      </c>
      <c r="M7" s="49"/>
      <c r="N7" s="49"/>
      <c r="O7" s="20" t="s">
        <v>1262</v>
      </c>
      <c r="P7" s="21">
        <v>4</v>
      </c>
      <c r="Q7" s="22" t="s">
        <v>21</v>
      </c>
    </row>
    <row r="8" spans="1:28" ht="26.25" customHeight="1" x14ac:dyDescent="0.25">
      <c r="A8" s="308"/>
      <c r="B8" s="45" t="s">
        <v>73</v>
      </c>
      <c r="C8" s="136"/>
      <c r="D8" s="269"/>
      <c r="E8" s="270"/>
      <c r="F8" s="222"/>
      <c r="G8" s="164"/>
      <c r="H8" s="48"/>
      <c r="I8" s="164"/>
      <c r="J8" s="164"/>
      <c r="K8" s="164"/>
      <c r="L8" s="51"/>
      <c r="M8" s="49"/>
      <c r="N8" s="49"/>
      <c r="O8" s="20"/>
      <c r="P8" s="21"/>
      <c r="Q8" s="22"/>
    </row>
    <row r="9" spans="1:28" ht="26.25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263"/>
      <c r="H9" s="263"/>
      <c r="I9" s="263">
        <f>SUM(I4:I7)</f>
        <v>1332</v>
      </c>
      <c r="J9" s="263"/>
      <c r="K9" s="263"/>
      <c r="L9" s="266"/>
      <c r="M9" s="263"/>
      <c r="N9" s="263"/>
      <c r="O9" s="114"/>
      <c r="P9" s="264"/>
      <c r="Q9" s="264"/>
    </row>
    <row r="10" spans="1:28" ht="26.25" customHeight="1" x14ac:dyDescent="0.25">
      <c r="A10" s="287" t="s">
        <v>45</v>
      </c>
      <c r="B10" s="42" t="s">
        <v>1240</v>
      </c>
      <c r="C10" s="121">
        <v>43269</v>
      </c>
      <c r="D10" s="109" t="s">
        <v>59</v>
      </c>
      <c r="E10" s="122" t="s">
        <v>54</v>
      </c>
      <c r="F10" s="108" t="s">
        <v>1241</v>
      </c>
      <c r="G10" s="40">
        <v>2808</v>
      </c>
      <c r="H10" s="41" t="s">
        <v>117</v>
      </c>
      <c r="I10" s="155">
        <v>432</v>
      </c>
      <c r="J10" s="155" t="s">
        <v>269</v>
      </c>
      <c r="K10" s="155"/>
      <c r="L10" s="123" t="s">
        <v>1246</v>
      </c>
      <c r="M10" s="95"/>
      <c r="N10" s="16"/>
      <c r="O10" s="17" t="s">
        <v>1259</v>
      </c>
      <c r="P10" s="18">
        <v>1</v>
      </c>
      <c r="Q10" s="19" t="s">
        <v>19</v>
      </c>
    </row>
    <row r="11" spans="1:28" ht="26.25" customHeight="1" x14ac:dyDescent="0.25">
      <c r="A11" s="288"/>
      <c r="B11" s="45" t="s">
        <v>1245</v>
      </c>
      <c r="C11" s="268"/>
      <c r="D11" s="186"/>
      <c r="E11" s="221"/>
      <c r="F11" s="222"/>
      <c r="G11" s="164"/>
      <c r="H11" s="48"/>
      <c r="I11" s="164">
        <v>432</v>
      </c>
      <c r="J11" s="164" t="s">
        <v>226</v>
      </c>
      <c r="K11" s="164"/>
      <c r="L11" s="51"/>
      <c r="M11" s="15"/>
      <c r="N11" s="63"/>
      <c r="O11" s="20" t="s">
        <v>1260</v>
      </c>
      <c r="P11" s="21">
        <v>2</v>
      </c>
      <c r="Q11" s="22" t="s">
        <v>20</v>
      </c>
    </row>
    <row r="12" spans="1:28" ht="26.25" customHeight="1" x14ac:dyDescent="0.25">
      <c r="A12" s="288"/>
      <c r="B12" s="45"/>
      <c r="C12" s="112"/>
      <c r="D12" s="110"/>
      <c r="E12" s="102"/>
      <c r="F12" s="101"/>
      <c r="G12" s="39"/>
      <c r="H12" s="79"/>
      <c r="I12" s="164">
        <v>432</v>
      </c>
      <c r="J12" s="164" t="s">
        <v>1310</v>
      </c>
      <c r="K12" s="164"/>
      <c r="L12" s="51"/>
      <c r="M12" s="83"/>
      <c r="N12" s="83"/>
      <c r="O12" s="20" t="s">
        <v>1261</v>
      </c>
      <c r="P12" s="21">
        <v>3</v>
      </c>
      <c r="Q12" s="22" t="s">
        <v>21</v>
      </c>
    </row>
    <row r="13" spans="1:28" ht="26.25" customHeight="1" x14ac:dyDescent="0.25">
      <c r="A13" s="288"/>
      <c r="B13" s="45"/>
      <c r="C13" s="112"/>
      <c r="D13" s="110"/>
      <c r="E13" s="102"/>
      <c r="F13" s="101"/>
      <c r="G13" s="39"/>
      <c r="H13" s="79"/>
      <c r="I13" s="164">
        <v>216</v>
      </c>
      <c r="J13" s="164" t="s">
        <v>1342</v>
      </c>
      <c r="K13" s="164"/>
      <c r="L13" s="51"/>
      <c r="M13" s="15"/>
      <c r="N13" s="15"/>
      <c r="O13" s="20" t="s">
        <v>1262</v>
      </c>
      <c r="P13" s="21">
        <v>4</v>
      </c>
      <c r="Q13" s="22" t="s">
        <v>21</v>
      </c>
    </row>
    <row r="14" spans="1:28" ht="26.25" customHeight="1" x14ac:dyDescent="0.25">
      <c r="A14" s="288"/>
      <c r="B14" s="45"/>
      <c r="C14" s="112"/>
      <c r="D14" s="110"/>
      <c r="E14" s="102"/>
      <c r="F14" s="101"/>
      <c r="G14" s="39"/>
      <c r="H14" s="79"/>
      <c r="I14" s="164"/>
      <c r="J14" s="164"/>
      <c r="K14" s="164"/>
      <c r="L14" s="51"/>
      <c r="M14" s="15"/>
      <c r="N14" s="15"/>
      <c r="O14" s="20"/>
      <c r="P14" s="21"/>
      <c r="Q14" s="22"/>
    </row>
    <row r="15" spans="1:28" ht="26.25" customHeight="1" thickBot="1" x14ac:dyDescent="0.3">
      <c r="A15" s="289"/>
      <c r="B15" s="93"/>
      <c r="C15" s="263"/>
      <c r="D15" s="263"/>
      <c r="E15" s="263"/>
      <c r="F15" s="263"/>
      <c r="G15" s="263"/>
      <c r="H15" s="263"/>
      <c r="I15" s="263">
        <f>SUM(I10:I14)</f>
        <v>1512</v>
      </c>
      <c r="J15" s="263"/>
      <c r="K15" s="263"/>
      <c r="L15" s="266"/>
      <c r="M15" s="263"/>
      <c r="N15" s="263"/>
      <c r="O15" s="114"/>
      <c r="P15" s="263"/>
      <c r="Q15" s="263"/>
    </row>
    <row r="16" spans="1:28" ht="26.25" customHeight="1" x14ac:dyDescent="0.25">
      <c r="A16" s="287" t="s">
        <v>46</v>
      </c>
      <c r="B16" s="42" t="s">
        <v>1190</v>
      </c>
      <c r="C16" s="140">
        <v>43281</v>
      </c>
      <c r="D16" s="77" t="s">
        <v>59</v>
      </c>
      <c r="E16" s="41" t="s">
        <v>143</v>
      </c>
      <c r="F16" s="40" t="s">
        <v>1106</v>
      </c>
      <c r="G16" s="40">
        <v>2292</v>
      </c>
      <c r="H16" s="41" t="s">
        <v>66</v>
      </c>
      <c r="I16" s="40">
        <v>432</v>
      </c>
      <c r="J16" s="40" t="s">
        <v>1311</v>
      </c>
      <c r="K16" s="40"/>
      <c r="L16" s="97" t="s">
        <v>1191</v>
      </c>
      <c r="M16" s="95"/>
      <c r="N16" s="95"/>
      <c r="O16" s="17" t="s">
        <v>1259</v>
      </c>
      <c r="P16" s="18">
        <v>1</v>
      </c>
      <c r="Q16" s="19" t="s">
        <v>19</v>
      </c>
    </row>
    <row r="17" spans="1:17" ht="26.25" customHeight="1" x14ac:dyDescent="0.25">
      <c r="A17" s="288"/>
      <c r="B17" s="43" t="s">
        <v>780</v>
      </c>
      <c r="C17" s="131"/>
      <c r="D17" s="78"/>
      <c r="E17" s="60"/>
      <c r="F17" s="38"/>
      <c r="G17" s="38"/>
      <c r="H17" s="60"/>
      <c r="I17" s="164">
        <v>432</v>
      </c>
      <c r="J17" s="164" t="s">
        <v>699</v>
      </c>
      <c r="K17" s="164"/>
      <c r="L17" s="119"/>
      <c r="M17" s="49"/>
      <c r="N17" s="15"/>
      <c r="O17" s="20" t="s">
        <v>1260</v>
      </c>
      <c r="P17" s="21">
        <v>2</v>
      </c>
      <c r="Q17" s="22" t="s">
        <v>20</v>
      </c>
    </row>
    <row r="18" spans="1:17" ht="26.25" customHeight="1" x14ac:dyDescent="0.25">
      <c r="A18" s="288"/>
      <c r="B18" s="45"/>
      <c r="C18" s="141"/>
      <c r="D18" s="78"/>
      <c r="E18" s="60"/>
      <c r="F18" s="38"/>
      <c r="G18" s="164"/>
      <c r="H18" s="48"/>
      <c r="I18" s="164">
        <v>216</v>
      </c>
      <c r="J18" s="164" t="s">
        <v>594</v>
      </c>
      <c r="K18" s="164"/>
      <c r="L18" s="119"/>
      <c r="M18" s="49"/>
      <c r="N18" s="15"/>
      <c r="O18" s="20" t="s">
        <v>1261</v>
      </c>
      <c r="P18" s="21">
        <v>3</v>
      </c>
      <c r="Q18" s="22" t="s">
        <v>21</v>
      </c>
    </row>
    <row r="19" spans="1:17" ht="26.25" customHeight="1" x14ac:dyDescent="0.25">
      <c r="A19" s="288"/>
      <c r="B19" s="43"/>
      <c r="C19" s="141"/>
      <c r="D19" s="78"/>
      <c r="E19" s="60"/>
      <c r="F19" s="38"/>
      <c r="G19" s="38"/>
      <c r="H19" s="60"/>
      <c r="I19" s="38">
        <v>216</v>
      </c>
      <c r="J19" s="38" t="s">
        <v>1339</v>
      </c>
      <c r="K19" s="38"/>
      <c r="L19" s="99"/>
      <c r="M19" s="49"/>
      <c r="N19" s="49"/>
      <c r="O19" s="20" t="s">
        <v>1262</v>
      </c>
      <c r="P19" s="21">
        <v>4</v>
      </c>
      <c r="Q19" s="22" t="s">
        <v>21</v>
      </c>
    </row>
    <row r="20" spans="1:17" ht="26.25" customHeight="1" x14ac:dyDescent="0.25">
      <c r="A20" s="288"/>
      <c r="B20" s="43"/>
      <c r="C20" s="131"/>
      <c r="D20" s="78"/>
      <c r="E20" s="60"/>
      <c r="F20" s="38"/>
      <c r="G20" s="38"/>
      <c r="H20" s="60"/>
      <c r="I20" s="164"/>
      <c r="J20" s="164"/>
      <c r="K20" s="164"/>
      <c r="L20" s="119"/>
      <c r="M20" s="49"/>
      <c r="N20" s="59"/>
      <c r="O20" s="20"/>
      <c r="P20" s="21"/>
      <c r="Q20" s="22"/>
    </row>
    <row r="21" spans="1:17" ht="26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263"/>
      <c r="H21" s="263"/>
      <c r="I21" s="263">
        <f>SUM(I16:I20)</f>
        <v>1296</v>
      </c>
      <c r="J21" s="263"/>
      <c r="K21" s="263"/>
      <c r="L21" s="80"/>
      <c r="M21" s="263"/>
      <c r="N21" s="263"/>
      <c r="O21" s="114"/>
      <c r="P21" s="263"/>
      <c r="Q21" s="264"/>
    </row>
    <row r="22" spans="1:17" ht="26.25" customHeight="1" x14ac:dyDescent="0.25">
      <c r="A22" s="310" t="s">
        <v>47</v>
      </c>
      <c r="B22" s="42" t="s">
        <v>1192</v>
      </c>
      <c r="C22" s="140">
        <v>43278</v>
      </c>
      <c r="D22" s="77" t="s">
        <v>93</v>
      </c>
      <c r="E22" s="41" t="s">
        <v>69</v>
      </c>
      <c r="F22" s="108" t="s">
        <v>1002</v>
      </c>
      <c r="G22" s="155">
        <v>1800</v>
      </c>
      <c r="H22" s="81" t="s">
        <v>66</v>
      </c>
      <c r="I22" s="40">
        <v>360</v>
      </c>
      <c r="J22" s="40" t="s">
        <v>391</v>
      </c>
      <c r="K22" s="40"/>
      <c r="L22" s="97" t="s">
        <v>1191</v>
      </c>
      <c r="M22" s="16"/>
      <c r="N22" s="16"/>
      <c r="O22" s="17" t="s">
        <v>1259</v>
      </c>
      <c r="P22" s="18">
        <v>1</v>
      </c>
      <c r="Q22" s="19" t="s">
        <v>19</v>
      </c>
    </row>
    <row r="23" spans="1:17" ht="26.25" customHeight="1" x14ac:dyDescent="0.25">
      <c r="A23" s="311"/>
      <c r="B23" s="43" t="s">
        <v>493</v>
      </c>
      <c r="C23" s="131"/>
      <c r="D23" s="82"/>
      <c r="E23" s="60"/>
      <c r="F23" s="118"/>
      <c r="G23" s="38"/>
      <c r="H23" s="60"/>
      <c r="I23" s="38">
        <f>1800-180*8</f>
        <v>360</v>
      </c>
      <c r="J23" s="38" t="s">
        <v>1312</v>
      </c>
      <c r="K23" s="38"/>
      <c r="L23" s="99"/>
      <c r="M23" s="87"/>
      <c r="N23" s="87"/>
      <c r="O23" s="20" t="s">
        <v>1260</v>
      </c>
      <c r="P23" s="21">
        <v>2</v>
      </c>
      <c r="Q23" s="22" t="s">
        <v>20</v>
      </c>
    </row>
    <row r="24" spans="1:17" ht="26.25" customHeight="1" x14ac:dyDescent="0.25">
      <c r="A24" s="311"/>
      <c r="B24" s="45" t="s">
        <v>1313</v>
      </c>
      <c r="C24" s="86">
        <v>43281</v>
      </c>
      <c r="D24" s="82" t="s">
        <v>59</v>
      </c>
      <c r="E24" s="79" t="s">
        <v>69</v>
      </c>
      <c r="F24" s="101" t="s">
        <v>1002</v>
      </c>
      <c r="G24" s="164">
        <v>144</v>
      </c>
      <c r="H24" s="48" t="s">
        <v>66</v>
      </c>
      <c r="I24" s="38">
        <v>144</v>
      </c>
      <c r="J24" s="38" t="s">
        <v>764</v>
      </c>
      <c r="K24" s="38"/>
      <c r="L24" s="99" t="s">
        <v>1316</v>
      </c>
      <c r="M24" s="15"/>
      <c r="N24" s="15"/>
      <c r="O24" s="20" t="s">
        <v>1261</v>
      </c>
      <c r="P24" s="21">
        <v>3</v>
      </c>
      <c r="Q24" s="22" t="s">
        <v>21</v>
      </c>
    </row>
    <row r="25" spans="1:17" ht="26.25" customHeight="1" x14ac:dyDescent="0.25">
      <c r="A25" s="311"/>
      <c r="B25" s="43" t="s">
        <v>1314</v>
      </c>
      <c r="C25" s="131">
        <v>43281</v>
      </c>
      <c r="D25" s="82" t="s">
        <v>59</v>
      </c>
      <c r="E25" s="60" t="s">
        <v>69</v>
      </c>
      <c r="F25" s="118" t="s">
        <v>1002</v>
      </c>
      <c r="G25" s="38">
        <v>1320</v>
      </c>
      <c r="H25" s="60" t="s">
        <v>66</v>
      </c>
      <c r="I25" s="38">
        <v>432</v>
      </c>
      <c r="J25" s="38" t="s">
        <v>250</v>
      </c>
      <c r="K25" s="38"/>
      <c r="L25" s="99" t="s">
        <v>1376</v>
      </c>
      <c r="M25" s="15"/>
      <c r="N25" s="15"/>
      <c r="O25" s="20" t="s">
        <v>1262</v>
      </c>
      <c r="P25" s="21">
        <v>4</v>
      </c>
      <c r="Q25" s="22" t="s">
        <v>21</v>
      </c>
    </row>
    <row r="26" spans="1:17" ht="26.25" customHeight="1" x14ac:dyDescent="0.25">
      <c r="A26" s="311"/>
      <c r="B26" s="45" t="s">
        <v>1315</v>
      </c>
      <c r="C26" s="86"/>
      <c r="D26" s="82"/>
      <c r="E26" s="79"/>
      <c r="F26" s="101"/>
      <c r="G26" s="164"/>
      <c r="H26" s="48"/>
      <c r="I26" s="38"/>
      <c r="J26" s="38"/>
      <c r="K26" s="38"/>
      <c r="L26" s="99"/>
      <c r="M26" s="15"/>
      <c r="N26" s="49"/>
      <c r="O26" s="20"/>
      <c r="P26" s="21"/>
      <c r="Q26" s="22"/>
    </row>
    <row r="27" spans="1:17" ht="26.25" customHeight="1" thickBot="1" x14ac:dyDescent="0.3">
      <c r="A27" s="312"/>
      <c r="B27" s="93" t="s">
        <v>64</v>
      </c>
      <c r="C27" s="290" t="s">
        <v>65</v>
      </c>
      <c r="D27" s="291"/>
      <c r="E27" s="291"/>
      <c r="F27" s="292"/>
      <c r="G27" s="263"/>
      <c r="H27" s="263"/>
      <c r="I27" s="264">
        <f>SUM(I22:I26)</f>
        <v>1296</v>
      </c>
      <c r="J27" s="264"/>
      <c r="K27" s="264"/>
      <c r="L27" s="162"/>
      <c r="M27" s="264"/>
      <c r="N27" s="264"/>
      <c r="O27" s="264"/>
      <c r="P27" s="264"/>
      <c r="Q27" s="264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5436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65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7">
    <mergeCell ref="A10:A15"/>
    <mergeCell ref="A16:A21"/>
    <mergeCell ref="C21:F21"/>
    <mergeCell ref="A1:Q1"/>
    <mergeCell ref="A2:B2"/>
    <mergeCell ref="C2:E2"/>
    <mergeCell ref="F2:G2"/>
    <mergeCell ref="O2:Q2"/>
    <mergeCell ref="A4:A9"/>
    <mergeCell ref="C9:F9"/>
    <mergeCell ref="B33:O33"/>
    <mergeCell ref="A22:A27"/>
    <mergeCell ref="C27:F27"/>
    <mergeCell ref="F30:Q30"/>
    <mergeCell ref="B31:Q31"/>
    <mergeCell ref="F32:O32"/>
    <mergeCell ref="P32:Q32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9" zoomScale="115" zoomScaleNormal="115" workbookViewId="0">
      <selection activeCell="G25" sqref="G25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43264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43265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1317</v>
      </c>
      <c r="K4" s="155"/>
      <c r="L4" s="54" t="s">
        <v>72</v>
      </c>
      <c r="M4" s="16"/>
      <c r="N4" s="16"/>
      <c r="O4" s="17" t="s">
        <v>1259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1318</v>
      </c>
      <c r="K5" s="164"/>
      <c r="L5" s="57"/>
      <c r="M5" s="98"/>
      <c r="N5" s="63"/>
      <c r="O5" s="20" t="s">
        <v>1260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1319</v>
      </c>
      <c r="K6" s="164"/>
      <c r="L6" s="57"/>
      <c r="M6" s="98"/>
      <c r="N6" s="63"/>
      <c r="O6" s="20" t="s">
        <v>1261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228</v>
      </c>
      <c r="J7" s="164" t="s">
        <v>1340</v>
      </c>
      <c r="K7" s="164"/>
      <c r="L7" s="57"/>
      <c r="M7" s="63"/>
      <c r="N7" s="63"/>
      <c r="O7" s="20" t="s">
        <v>1262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63"/>
      <c r="H9" s="263"/>
      <c r="I9" s="263">
        <f>SUM(I4:I8)</f>
        <v>1596</v>
      </c>
      <c r="J9" s="263"/>
      <c r="K9" s="263"/>
      <c r="L9" s="266"/>
      <c r="M9" s="263"/>
      <c r="N9" s="263"/>
      <c r="O9" s="263"/>
      <c r="P9" s="264"/>
      <c r="Q9" s="264"/>
    </row>
    <row r="10" spans="1:17" ht="23.25" customHeight="1" x14ac:dyDescent="0.25">
      <c r="A10" s="287" t="s">
        <v>49</v>
      </c>
      <c r="B10" s="92" t="s">
        <v>1206</v>
      </c>
      <c r="C10" s="241">
        <v>43277</v>
      </c>
      <c r="D10" s="138" t="s">
        <v>93</v>
      </c>
      <c r="E10" s="77" t="s">
        <v>56</v>
      </c>
      <c r="F10" s="54" t="s">
        <v>305</v>
      </c>
      <c r="G10" s="40">
        <v>120</v>
      </c>
      <c r="H10" s="41" t="s">
        <v>70</v>
      </c>
      <c r="I10" s="155">
        <v>120</v>
      </c>
      <c r="J10" s="155" t="s">
        <v>1321</v>
      </c>
      <c r="K10" s="155"/>
      <c r="L10" s="54" t="s">
        <v>67</v>
      </c>
      <c r="M10" s="16"/>
      <c r="N10" s="16"/>
      <c r="O10" s="17" t="s">
        <v>1259</v>
      </c>
      <c r="P10" s="18">
        <v>1</v>
      </c>
      <c r="Q10" s="19" t="s">
        <v>19</v>
      </c>
    </row>
    <row r="11" spans="1:17" ht="23.25" customHeight="1" x14ac:dyDescent="0.25">
      <c r="A11" s="288"/>
      <c r="B11" s="355" t="s">
        <v>1322</v>
      </c>
      <c r="C11" s="112">
        <v>43277</v>
      </c>
      <c r="D11" s="135" t="s">
        <v>93</v>
      </c>
      <c r="E11" s="82" t="s">
        <v>56</v>
      </c>
      <c r="F11" s="39" t="s">
        <v>736</v>
      </c>
      <c r="G11" s="39">
        <v>8208</v>
      </c>
      <c r="H11" s="60" t="s">
        <v>53</v>
      </c>
      <c r="I11" s="164">
        <v>456</v>
      </c>
      <c r="J11" s="164" t="s">
        <v>1323</v>
      </c>
      <c r="K11" s="164"/>
      <c r="L11" s="88" t="s">
        <v>1327</v>
      </c>
      <c r="M11" s="63"/>
      <c r="N11" s="63"/>
      <c r="O11" s="20"/>
      <c r="P11" s="21"/>
      <c r="Q11" s="22"/>
    </row>
    <row r="12" spans="1:17" ht="23.25" customHeight="1" x14ac:dyDescent="0.25">
      <c r="A12" s="288"/>
      <c r="B12" s="356"/>
      <c r="C12" s="112"/>
      <c r="D12" s="135"/>
      <c r="E12" s="82" t="s">
        <v>737</v>
      </c>
      <c r="F12" s="103"/>
      <c r="G12" s="39"/>
      <c r="H12" s="60"/>
      <c r="I12" s="164">
        <v>456</v>
      </c>
      <c r="J12" s="164" t="s">
        <v>1324</v>
      </c>
      <c r="K12" s="164"/>
      <c r="L12" s="88"/>
      <c r="M12" s="63"/>
      <c r="N12" s="63"/>
      <c r="O12" s="20" t="s">
        <v>1260</v>
      </c>
      <c r="P12" s="21">
        <v>2</v>
      </c>
      <c r="Q12" s="22" t="s">
        <v>20</v>
      </c>
    </row>
    <row r="13" spans="1:17" ht="23.25" customHeight="1" x14ac:dyDescent="0.25">
      <c r="A13" s="288"/>
      <c r="B13" s="85" t="s">
        <v>1320</v>
      </c>
      <c r="C13" s="112"/>
      <c r="D13" s="135"/>
      <c r="E13" s="82"/>
      <c r="F13" s="39"/>
      <c r="G13" s="39"/>
      <c r="H13" s="60"/>
      <c r="I13" s="164">
        <v>456</v>
      </c>
      <c r="J13" s="273" t="s">
        <v>1325</v>
      </c>
      <c r="K13" s="164"/>
      <c r="L13" s="88"/>
      <c r="M13" s="15"/>
      <c r="N13" s="15"/>
      <c r="O13" s="20" t="s">
        <v>1261</v>
      </c>
      <c r="P13" s="21">
        <v>3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>
        <v>228</v>
      </c>
      <c r="J14" s="164" t="s">
        <v>1326</v>
      </c>
      <c r="K14" s="164"/>
      <c r="L14" s="88"/>
      <c r="M14" s="15"/>
      <c r="N14" s="15"/>
      <c r="O14" s="20" t="s">
        <v>1262</v>
      </c>
      <c r="P14" s="21">
        <v>4</v>
      </c>
      <c r="Q14" s="22" t="s">
        <v>21</v>
      </c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4">
        <f>SUM(I10:I14)</f>
        <v>1716</v>
      </c>
      <c r="J15" s="114"/>
      <c r="K15" s="114"/>
      <c r="L15" s="80"/>
      <c r="M15" s="114"/>
      <c r="N15" s="114"/>
      <c r="O15" s="114"/>
      <c r="P15" s="264"/>
      <c r="Q15" s="264"/>
    </row>
    <row r="16" spans="1:17" ht="23.25" customHeight="1" x14ac:dyDescent="0.25">
      <c r="A16" s="287" t="s">
        <v>50</v>
      </c>
      <c r="B16" s="42" t="s">
        <v>1204</v>
      </c>
      <c r="C16" s="116">
        <v>43277</v>
      </c>
      <c r="D16" s="52" t="s">
        <v>93</v>
      </c>
      <c r="E16" s="81" t="s">
        <v>56</v>
      </c>
      <c r="F16" s="274" t="s">
        <v>315</v>
      </c>
      <c r="G16" s="40">
        <v>864</v>
      </c>
      <c r="H16" s="41" t="s">
        <v>70</v>
      </c>
      <c r="I16" s="275">
        <f>864-480</f>
        <v>384</v>
      </c>
      <c r="J16" s="155" t="s">
        <v>269</v>
      </c>
      <c r="K16" s="155"/>
      <c r="L16" s="53" t="s">
        <v>324</v>
      </c>
      <c r="M16" s="16"/>
      <c r="N16" s="16"/>
      <c r="O16" s="17" t="s">
        <v>1259</v>
      </c>
      <c r="P16" s="18">
        <v>1</v>
      </c>
      <c r="Q16" s="19" t="s">
        <v>19</v>
      </c>
    </row>
    <row r="17" spans="1:17" ht="23.25" customHeight="1" x14ac:dyDescent="0.25">
      <c r="A17" s="288"/>
      <c r="B17" s="323" t="s">
        <v>1329</v>
      </c>
      <c r="C17" s="46">
        <v>43277</v>
      </c>
      <c r="D17" s="47" t="s">
        <v>93</v>
      </c>
      <c r="E17" s="48" t="s">
        <v>56</v>
      </c>
      <c r="F17" s="103" t="s">
        <v>736</v>
      </c>
      <c r="G17" s="39">
        <v>9912</v>
      </c>
      <c r="H17" s="79" t="s">
        <v>53</v>
      </c>
      <c r="I17" s="164">
        <v>456</v>
      </c>
      <c r="J17" s="57" t="s">
        <v>634</v>
      </c>
      <c r="K17" s="164"/>
      <c r="L17" s="57" t="s">
        <v>1330</v>
      </c>
      <c r="M17" s="15"/>
      <c r="N17" s="15"/>
      <c r="O17" s="20" t="s">
        <v>1260</v>
      </c>
      <c r="P17" s="21">
        <v>2</v>
      </c>
      <c r="Q17" s="22" t="s">
        <v>20</v>
      </c>
    </row>
    <row r="18" spans="1:17" ht="23.25" customHeight="1" x14ac:dyDescent="0.25">
      <c r="A18" s="288"/>
      <c r="B18" s="324"/>
      <c r="C18" s="46"/>
      <c r="D18" s="47"/>
      <c r="E18" s="352" t="s">
        <v>737</v>
      </c>
      <c r="F18" s="353"/>
      <c r="G18" s="354"/>
      <c r="H18" s="79"/>
      <c r="I18" s="164">
        <v>456</v>
      </c>
      <c r="J18" s="57" t="s">
        <v>635</v>
      </c>
      <c r="K18" s="164"/>
      <c r="L18" s="57"/>
      <c r="M18" s="15"/>
      <c r="N18" s="15"/>
      <c r="O18" s="20" t="s">
        <v>1261</v>
      </c>
      <c r="P18" s="21">
        <v>3</v>
      </c>
      <c r="Q18" s="22" t="s">
        <v>21</v>
      </c>
    </row>
    <row r="19" spans="1:17" ht="23.25" customHeight="1" x14ac:dyDescent="0.25">
      <c r="A19" s="288"/>
      <c r="B19" s="45" t="s">
        <v>1328</v>
      </c>
      <c r="C19" s="46"/>
      <c r="D19" s="47"/>
      <c r="E19" s="48"/>
      <c r="F19" s="159"/>
      <c r="G19" s="39"/>
      <c r="H19" s="79"/>
      <c r="I19" s="84">
        <v>228</v>
      </c>
      <c r="J19" s="57" t="s">
        <v>1341</v>
      </c>
      <c r="K19" s="164"/>
      <c r="L19" s="57"/>
      <c r="M19" s="49"/>
      <c r="N19" s="49"/>
      <c r="O19" s="20" t="s">
        <v>1262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63">
        <f>SUM(I16:I20)</f>
        <v>1524</v>
      </c>
      <c r="J21" s="263"/>
      <c r="K21" s="263"/>
      <c r="L21" s="266"/>
      <c r="M21" s="263"/>
      <c r="N21" s="263"/>
      <c r="O21" s="263"/>
      <c r="P21" s="264"/>
      <c r="Q21" s="264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1209</v>
      </c>
      <c r="K22" s="178"/>
      <c r="L22" s="180" t="s">
        <v>67</v>
      </c>
      <c r="M22" s="16"/>
      <c r="N22" s="16"/>
      <c r="O22" s="17" t="s">
        <v>1259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1331</v>
      </c>
      <c r="K23" s="194"/>
      <c r="L23" s="195"/>
      <c r="M23" s="87"/>
      <c r="N23" s="15"/>
      <c r="O23" s="20" t="s">
        <v>1260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1332</v>
      </c>
      <c r="K24" s="164"/>
      <c r="L24" s="57"/>
      <c r="M24" s="49"/>
      <c r="N24" s="15"/>
      <c r="O24" s="20" t="s">
        <v>1261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1333</v>
      </c>
      <c r="K25" s="164"/>
      <c r="L25" s="57"/>
      <c r="M25" s="49"/>
      <c r="N25" s="49"/>
      <c r="O25" s="20" t="s">
        <v>1262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64"/>
      <c r="Q27" s="264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6660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65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4">
    <mergeCell ref="A4:A9"/>
    <mergeCell ref="B4:B5"/>
    <mergeCell ref="C9:F9"/>
    <mergeCell ref="B11:B12"/>
    <mergeCell ref="B17:B18"/>
    <mergeCell ref="A10:A15"/>
    <mergeCell ref="C15:F15"/>
    <mergeCell ref="A1:Q1"/>
    <mergeCell ref="A2:B2"/>
    <mergeCell ref="C2:E2"/>
    <mergeCell ref="F2:G2"/>
    <mergeCell ref="O2:Q2"/>
    <mergeCell ref="B33:O33"/>
    <mergeCell ref="E18:G18"/>
    <mergeCell ref="A16:A21"/>
    <mergeCell ref="C21:F21"/>
    <mergeCell ref="F30:Q30"/>
    <mergeCell ref="B31:Q31"/>
    <mergeCell ref="F32:O32"/>
    <mergeCell ref="P32:Q32"/>
    <mergeCell ref="A22:A27"/>
    <mergeCell ref="B22:B23"/>
    <mergeCell ref="C23:E23"/>
    <mergeCell ref="F23:H23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8"/>
  <sheetViews>
    <sheetView zoomScaleNormal="100" workbookViewId="0">
      <selection activeCell="G6" sqref="G6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  <col min="18" max="18" width="9.7109375" bestFit="1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43264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43265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943</v>
      </c>
      <c r="C4" s="104">
        <v>43281</v>
      </c>
      <c r="D4" s="90" t="s">
        <v>93</v>
      </c>
      <c r="E4" s="144" t="s">
        <v>54</v>
      </c>
      <c r="F4" s="40" t="s">
        <v>944</v>
      </c>
      <c r="G4" s="40">
        <v>7025</v>
      </c>
      <c r="H4" s="204" t="s">
        <v>945</v>
      </c>
      <c r="I4" s="155">
        <v>432</v>
      </c>
      <c r="J4" s="155" t="s">
        <v>1334</v>
      </c>
      <c r="K4" s="155"/>
      <c r="L4" s="53" t="s">
        <v>67</v>
      </c>
      <c r="M4" s="16"/>
      <c r="N4" s="16"/>
      <c r="O4" s="17" t="s">
        <v>1259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946</v>
      </c>
      <c r="C5" s="313" t="s">
        <v>35</v>
      </c>
      <c r="D5" s="314"/>
      <c r="E5" s="325" t="s">
        <v>947</v>
      </c>
      <c r="F5" s="343"/>
      <c r="G5" s="326"/>
      <c r="H5" s="146"/>
      <c r="I5" s="164">
        <v>216</v>
      </c>
      <c r="J5" s="164" t="s">
        <v>1343</v>
      </c>
      <c r="K5" s="164"/>
      <c r="L5" s="57"/>
      <c r="M5" s="49"/>
      <c r="N5" s="15"/>
      <c r="O5" s="20" t="s">
        <v>1260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129"/>
      <c r="F6" s="39"/>
      <c r="H6" s="146"/>
      <c r="I6" s="164">
        <v>216</v>
      </c>
      <c r="J6" s="164" t="s">
        <v>1344</v>
      </c>
      <c r="K6" s="164"/>
      <c r="L6" s="57"/>
      <c r="M6" s="15"/>
      <c r="N6" s="15"/>
      <c r="O6" s="20" t="s">
        <v>1261</v>
      </c>
      <c r="P6" s="21">
        <v>3</v>
      </c>
      <c r="Q6" s="22" t="s">
        <v>21</v>
      </c>
    </row>
    <row r="7" spans="1:17" ht="24.75" customHeight="1" x14ac:dyDescent="0.25">
      <c r="A7" s="288"/>
      <c r="B7" s="45"/>
      <c r="C7" s="133"/>
      <c r="D7" s="134"/>
      <c r="E7" s="129"/>
      <c r="F7" s="39"/>
      <c r="G7" s="39"/>
      <c r="H7" s="146"/>
      <c r="I7" s="164">
        <v>216</v>
      </c>
      <c r="J7" s="164" t="s">
        <v>1345</v>
      </c>
      <c r="K7" s="164"/>
      <c r="L7" s="57"/>
      <c r="M7" s="15"/>
      <c r="N7" s="15"/>
      <c r="O7" s="20" t="s">
        <v>1262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133"/>
      <c r="D8" s="134"/>
      <c r="E8" s="129"/>
      <c r="F8" s="39"/>
      <c r="G8" s="39"/>
      <c r="H8" s="146"/>
      <c r="I8" s="164"/>
      <c r="J8" s="164"/>
      <c r="K8" s="164"/>
      <c r="L8" s="57"/>
      <c r="M8" s="49"/>
      <c r="N8" s="49"/>
      <c r="O8" s="20"/>
      <c r="P8" s="21"/>
      <c r="Q8" s="22"/>
    </row>
    <row r="9" spans="1:17" ht="24.7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63"/>
      <c r="H9" s="263"/>
      <c r="I9" s="263">
        <f>SUM(I4:I8)</f>
        <v>1080</v>
      </c>
      <c r="J9" s="263"/>
      <c r="K9" s="263"/>
      <c r="L9" s="266"/>
      <c r="M9" s="263"/>
      <c r="N9" s="263"/>
      <c r="O9" s="263"/>
      <c r="P9" s="264"/>
      <c r="Q9" s="147"/>
    </row>
    <row r="10" spans="1:17" ht="24.75" customHeight="1" x14ac:dyDescent="0.25">
      <c r="A10" s="288" t="s">
        <v>31</v>
      </c>
      <c r="B10" s="42" t="s">
        <v>1135</v>
      </c>
      <c r="C10" s="104">
        <v>43285</v>
      </c>
      <c r="D10" s="90" t="s">
        <v>93</v>
      </c>
      <c r="E10" s="144" t="s">
        <v>54</v>
      </c>
      <c r="F10" s="40" t="s">
        <v>1133</v>
      </c>
      <c r="G10" s="40">
        <v>3276</v>
      </c>
      <c r="H10" s="204" t="s">
        <v>241</v>
      </c>
      <c r="I10" s="155">
        <v>360</v>
      </c>
      <c r="J10" s="155" t="s">
        <v>293</v>
      </c>
      <c r="K10" s="155"/>
      <c r="L10" s="53" t="s">
        <v>330</v>
      </c>
      <c r="M10" s="16"/>
      <c r="N10" s="16"/>
      <c r="O10" s="17" t="s">
        <v>1259</v>
      </c>
      <c r="P10" s="18">
        <v>1</v>
      </c>
      <c r="Q10" s="19" t="s">
        <v>19</v>
      </c>
    </row>
    <row r="11" spans="1:17" ht="24.75" customHeight="1" x14ac:dyDescent="0.25">
      <c r="A11" s="288"/>
      <c r="B11" s="45" t="s">
        <v>268</v>
      </c>
      <c r="C11" s="133"/>
      <c r="D11" s="134"/>
      <c r="E11" s="129"/>
      <c r="F11" s="39"/>
      <c r="G11" s="39"/>
      <c r="H11" s="130"/>
      <c r="I11" s="84">
        <v>180</v>
      </c>
      <c r="J11" s="164" t="s">
        <v>1346</v>
      </c>
      <c r="K11" s="164"/>
      <c r="L11" s="57"/>
      <c r="M11" s="15"/>
      <c r="N11" s="15"/>
      <c r="O11" s="20" t="s">
        <v>1260</v>
      </c>
      <c r="P11" s="21">
        <v>2</v>
      </c>
      <c r="Q11" s="22" t="s">
        <v>20</v>
      </c>
    </row>
    <row r="12" spans="1:17" ht="24.75" customHeight="1" x14ac:dyDescent="0.25">
      <c r="A12" s="288"/>
      <c r="B12" s="45"/>
      <c r="C12" s="133"/>
      <c r="D12" s="134"/>
      <c r="E12" s="129"/>
      <c r="F12" s="39"/>
      <c r="G12" s="39"/>
      <c r="H12" s="146"/>
      <c r="I12" s="164">
        <v>180</v>
      </c>
      <c r="J12" s="164" t="s">
        <v>1347</v>
      </c>
      <c r="K12" s="164"/>
      <c r="L12" s="57"/>
      <c r="M12" s="15"/>
      <c r="N12" s="15"/>
      <c r="O12" s="20" t="s">
        <v>1261</v>
      </c>
      <c r="P12" s="21">
        <v>3</v>
      </c>
      <c r="Q12" s="22" t="s">
        <v>21</v>
      </c>
    </row>
    <row r="13" spans="1:17" ht="24.75" customHeight="1" x14ac:dyDescent="0.25">
      <c r="A13" s="288"/>
      <c r="B13" s="45"/>
      <c r="C13" s="133"/>
      <c r="D13" s="134"/>
      <c r="E13" s="129"/>
      <c r="F13" s="39"/>
      <c r="G13" s="39"/>
      <c r="H13" s="130"/>
      <c r="I13" s="84">
        <v>180</v>
      </c>
      <c r="J13" s="164" t="s">
        <v>1348</v>
      </c>
      <c r="K13" s="164"/>
      <c r="L13" s="57"/>
      <c r="M13" s="49"/>
      <c r="N13" s="49"/>
      <c r="O13" s="20" t="s">
        <v>1262</v>
      </c>
      <c r="P13" s="21">
        <v>4</v>
      </c>
      <c r="Q13" s="22" t="s">
        <v>21</v>
      </c>
    </row>
    <row r="14" spans="1:17" ht="24.75" customHeight="1" x14ac:dyDescent="0.25">
      <c r="A14" s="288"/>
      <c r="B14" s="45"/>
      <c r="C14" s="133"/>
      <c r="D14" s="134"/>
      <c r="E14" s="129"/>
      <c r="F14" s="39"/>
      <c r="G14" s="39"/>
      <c r="H14" s="146"/>
      <c r="I14" s="164"/>
      <c r="J14" s="164"/>
      <c r="K14" s="164"/>
      <c r="L14" s="57"/>
      <c r="M14" s="49"/>
      <c r="N14" s="49"/>
      <c r="O14" s="20"/>
      <c r="P14" s="21"/>
      <c r="Q14" s="22"/>
    </row>
    <row r="15" spans="1:17" ht="24.7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263"/>
      <c r="H15" s="263"/>
      <c r="I15" s="263">
        <f>SUM(I10:I14)</f>
        <v>900</v>
      </c>
      <c r="J15" s="263"/>
      <c r="K15" s="263"/>
      <c r="L15" s="266"/>
      <c r="M15" s="263"/>
      <c r="N15" s="263"/>
      <c r="O15" s="263"/>
      <c r="P15" s="263"/>
      <c r="Q15" s="151"/>
    </row>
    <row r="16" spans="1:17" ht="24.75" customHeight="1" x14ac:dyDescent="0.25">
      <c r="A16" s="287" t="s">
        <v>32</v>
      </c>
      <c r="B16" s="42" t="s">
        <v>1212</v>
      </c>
      <c r="C16" s="104">
        <v>43296</v>
      </c>
      <c r="D16" s="90" t="s">
        <v>988</v>
      </c>
      <c r="E16" s="144" t="s">
        <v>54</v>
      </c>
      <c r="F16" s="40" t="s">
        <v>240</v>
      </c>
      <c r="G16" s="40">
        <v>9504</v>
      </c>
      <c r="H16" s="149" t="s">
        <v>241</v>
      </c>
      <c r="I16" s="155">
        <f>168*2</f>
        <v>336</v>
      </c>
      <c r="J16" s="155" t="s">
        <v>526</v>
      </c>
      <c r="K16" s="155"/>
      <c r="L16" s="53" t="s">
        <v>330</v>
      </c>
      <c r="M16" s="16"/>
      <c r="N16" s="16"/>
      <c r="O16" s="17" t="s">
        <v>1259</v>
      </c>
      <c r="P16" s="18">
        <v>1</v>
      </c>
      <c r="Q16" s="19" t="s">
        <v>19</v>
      </c>
    </row>
    <row r="17" spans="1:17" ht="24.75" customHeight="1" x14ac:dyDescent="0.25">
      <c r="A17" s="288"/>
      <c r="B17" s="45" t="s">
        <v>1213</v>
      </c>
      <c r="C17" s="313" t="s">
        <v>35</v>
      </c>
      <c r="D17" s="314"/>
      <c r="E17" s="129"/>
      <c r="F17" s="39"/>
      <c r="G17" s="39"/>
      <c r="H17" s="130"/>
      <c r="I17" s="164">
        <v>336</v>
      </c>
      <c r="J17" s="164" t="s">
        <v>554</v>
      </c>
      <c r="K17" s="164"/>
      <c r="L17" s="57"/>
      <c r="M17" s="15"/>
      <c r="N17" s="15"/>
      <c r="O17" s="20" t="s">
        <v>1260</v>
      </c>
      <c r="P17" s="21">
        <v>2</v>
      </c>
      <c r="Q17" s="22" t="s">
        <v>20</v>
      </c>
    </row>
    <row r="18" spans="1:17" ht="24.75" customHeight="1" x14ac:dyDescent="0.25">
      <c r="A18" s="288"/>
      <c r="B18" s="127"/>
      <c r="C18" s="133"/>
      <c r="D18" s="134"/>
      <c r="E18" s="129"/>
      <c r="F18" s="38"/>
      <c r="G18" s="38"/>
      <c r="H18" s="154"/>
      <c r="I18" s="164">
        <v>336</v>
      </c>
      <c r="J18" s="164" t="s">
        <v>1335</v>
      </c>
      <c r="K18" s="164"/>
      <c r="L18" s="57"/>
      <c r="M18" s="15"/>
      <c r="N18" s="15"/>
      <c r="O18" s="20" t="s">
        <v>1261</v>
      </c>
      <c r="P18" s="21">
        <v>3</v>
      </c>
      <c r="Q18" s="22" t="s">
        <v>21</v>
      </c>
    </row>
    <row r="19" spans="1:17" ht="24.75" customHeight="1" x14ac:dyDescent="0.25">
      <c r="A19" s="288"/>
      <c r="B19" s="85"/>
      <c r="C19" s="133"/>
      <c r="D19" s="134"/>
      <c r="E19" s="129"/>
      <c r="F19" s="38"/>
      <c r="G19" s="164"/>
      <c r="H19" s="146"/>
      <c r="I19" s="164">
        <v>336</v>
      </c>
      <c r="J19" s="164" t="s">
        <v>1336</v>
      </c>
      <c r="K19" s="164"/>
      <c r="L19" s="57"/>
      <c r="M19" s="49"/>
      <c r="N19" s="49"/>
      <c r="O19" s="20" t="s">
        <v>1262</v>
      </c>
      <c r="P19" s="21">
        <v>4</v>
      </c>
      <c r="Q19" s="22" t="s">
        <v>21</v>
      </c>
    </row>
    <row r="20" spans="1:17" ht="24.75" customHeight="1" x14ac:dyDescent="0.25">
      <c r="A20" s="288"/>
      <c r="B20" s="127"/>
      <c r="C20" s="133"/>
      <c r="D20" s="134"/>
      <c r="E20" s="129"/>
      <c r="F20" s="38"/>
      <c r="G20" s="38"/>
      <c r="H20" s="154"/>
      <c r="I20" s="164"/>
      <c r="J20" s="164"/>
      <c r="K20" s="164"/>
      <c r="L20" s="57"/>
      <c r="M20" s="49"/>
      <c r="N20" s="49"/>
      <c r="O20" s="20"/>
      <c r="P20" s="21"/>
      <c r="Q20" s="22"/>
    </row>
    <row r="21" spans="1:17" ht="24.7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263"/>
      <c r="H21" s="263"/>
      <c r="I21" s="263">
        <f>SUM(I16:I20)</f>
        <v>1344</v>
      </c>
      <c r="J21" s="263"/>
      <c r="K21" s="263"/>
      <c r="L21" s="266"/>
      <c r="M21" s="263"/>
      <c r="N21" s="263"/>
      <c r="O21" s="263"/>
      <c r="P21" s="263"/>
      <c r="Q21" s="147"/>
    </row>
    <row r="22" spans="1:17" ht="29.25" customHeight="1" thickBot="1" x14ac:dyDescent="0.3">
      <c r="A22" s="73"/>
      <c r="B22" s="64"/>
      <c r="C22" s="65"/>
      <c r="D22" s="66"/>
      <c r="E22" s="67"/>
      <c r="F22" s="68"/>
      <c r="G22" s="67"/>
      <c r="H22" s="67"/>
      <c r="I22" s="69">
        <f>SUM(I21,I15,I9)</f>
        <v>3324</v>
      </c>
      <c r="J22" s="70"/>
      <c r="K22" s="70"/>
      <c r="L22" s="65"/>
      <c r="M22" s="71"/>
      <c r="N22" s="69"/>
      <c r="O22" s="70"/>
      <c r="P22" s="70"/>
      <c r="Q22" s="72"/>
    </row>
    <row r="23" spans="1:17" ht="17.25" thickTop="1" x14ac:dyDescent="0.3">
      <c r="A23" s="23" t="s">
        <v>22</v>
      </c>
      <c r="B23" s="24"/>
      <c r="C23" s="25"/>
      <c r="D23" s="24"/>
      <c r="E23" s="24"/>
      <c r="F23" s="26"/>
      <c r="G23" s="27"/>
      <c r="H23" s="28" t="s">
        <v>23</v>
      </c>
      <c r="I23" s="29"/>
      <c r="J23" s="29"/>
      <c r="K23" s="29"/>
      <c r="L23" s="30"/>
      <c r="M23" s="29"/>
      <c r="N23" s="29"/>
      <c r="O23" s="29"/>
      <c r="P23" s="265" t="s">
        <v>24</v>
      </c>
      <c r="Q23" s="31"/>
    </row>
    <row r="24" spans="1:17" ht="16.5" x14ac:dyDescent="0.3">
      <c r="A24" s="1"/>
      <c r="B24" s="32">
        <v>1</v>
      </c>
      <c r="C24" s="33"/>
      <c r="D24" s="32"/>
      <c r="E24" s="32"/>
      <c r="F24" s="304" t="s">
        <v>25</v>
      </c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</row>
    <row r="25" spans="1:17" ht="16.5" x14ac:dyDescent="0.3">
      <c r="A25" s="297" t="s">
        <v>26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</row>
    <row r="26" spans="1:17" ht="16.5" x14ac:dyDescent="0.3">
      <c r="A26" s="1"/>
      <c r="B26" s="34">
        <v>2</v>
      </c>
      <c r="C26" s="35"/>
      <c r="D26" s="36"/>
      <c r="E26" s="36"/>
      <c r="F26" s="298" t="s">
        <v>27</v>
      </c>
      <c r="G26" s="298"/>
      <c r="H26" s="298"/>
      <c r="I26" s="298"/>
      <c r="J26" s="298"/>
      <c r="K26" s="298"/>
      <c r="L26" s="298"/>
      <c r="M26" s="298"/>
      <c r="N26" s="298"/>
      <c r="O26" s="298"/>
      <c r="P26" s="76" t="s">
        <v>28</v>
      </c>
      <c r="Q26" s="75"/>
    </row>
    <row r="27" spans="1:17" ht="16.5" x14ac:dyDescent="0.3">
      <c r="A27" s="1"/>
      <c r="B27" s="297" t="s">
        <v>29</v>
      </c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1"/>
      <c r="Q27" s="1"/>
    </row>
    <row r="28" spans="1:17" x14ac:dyDescent="0.25">
      <c r="O28" s="74"/>
    </row>
  </sheetData>
  <mergeCells count="18">
    <mergeCell ref="A4:A9"/>
    <mergeCell ref="C5:D5"/>
    <mergeCell ref="E5:G5"/>
    <mergeCell ref="C9:F9"/>
    <mergeCell ref="A1:Q1"/>
    <mergeCell ref="A2:B2"/>
    <mergeCell ref="C2:E2"/>
    <mergeCell ref="F2:G2"/>
    <mergeCell ref="O2:Q2"/>
    <mergeCell ref="F24:Q24"/>
    <mergeCell ref="A25:Q25"/>
    <mergeCell ref="F26:O26"/>
    <mergeCell ref="B27:O27"/>
    <mergeCell ref="A10:A15"/>
    <mergeCell ref="C15:F15"/>
    <mergeCell ref="A16:A21"/>
    <mergeCell ref="C17:D17"/>
    <mergeCell ref="C21:F21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7"/>
  <sheetViews>
    <sheetView topLeftCell="A7" zoomScaleNormal="100" workbookViewId="0">
      <selection activeCell="G23" sqref="G23"/>
    </sheetView>
  </sheetViews>
  <sheetFormatPr defaultRowHeight="15.75" x14ac:dyDescent="0.25"/>
  <cols>
    <col min="2" max="2" width="16.570312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19.5" customHeight="1" x14ac:dyDescent="0.25">
      <c r="A4" s="287" t="s">
        <v>36</v>
      </c>
      <c r="B4" s="42" t="s">
        <v>1272</v>
      </c>
      <c r="C4" s="62">
        <v>43271</v>
      </c>
      <c r="D4" s="77" t="s">
        <v>59</v>
      </c>
      <c r="E4" s="41" t="s">
        <v>54</v>
      </c>
      <c r="F4" s="40" t="s">
        <v>670</v>
      </c>
      <c r="G4" s="155">
        <v>1380</v>
      </c>
      <c r="H4" s="81" t="s">
        <v>667</v>
      </c>
      <c r="I4" s="155">
        <v>432</v>
      </c>
      <c r="J4" s="155" t="s">
        <v>517</v>
      </c>
      <c r="K4" s="155"/>
      <c r="L4" s="53" t="s">
        <v>1267</v>
      </c>
      <c r="M4" s="16"/>
      <c r="N4" s="16"/>
      <c r="O4" s="17" t="s">
        <v>1349</v>
      </c>
      <c r="P4" s="18">
        <v>1</v>
      </c>
      <c r="Q4" s="19" t="s">
        <v>19</v>
      </c>
    </row>
    <row r="5" spans="1:17" ht="19.5" customHeight="1" x14ac:dyDescent="0.25">
      <c r="A5" s="288"/>
      <c r="B5" s="45" t="s">
        <v>1273</v>
      </c>
      <c r="C5" s="58"/>
      <c r="D5" s="78"/>
      <c r="E5" s="60"/>
      <c r="F5" s="38"/>
      <c r="G5" s="164"/>
      <c r="H5" s="48"/>
      <c r="I5" s="164">
        <v>432</v>
      </c>
      <c r="J5" s="164" t="s">
        <v>1353</v>
      </c>
      <c r="K5" s="164"/>
      <c r="L5" s="57"/>
      <c r="M5" s="15"/>
      <c r="N5" s="63"/>
      <c r="O5" s="20" t="s">
        <v>1350</v>
      </c>
      <c r="P5" s="21">
        <v>2</v>
      </c>
      <c r="Q5" s="22" t="s">
        <v>20</v>
      </c>
    </row>
    <row r="6" spans="1:17" ht="19.5" customHeight="1" x14ac:dyDescent="0.25">
      <c r="A6" s="288"/>
      <c r="B6" s="43"/>
      <c r="C6" s="58"/>
      <c r="D6" s="78"/>
      <c r="E6" s="60"/>
      <c r="F6" s="38"/>
      <c r="G6" s="38"/>
      <c r="H6" s="60"/>
      <c r="I6" s="38">
        <f>1380-216*5</f>
        <v>300</v>
      </c>
      <c r="J6" s="38" t="s">
        <v>1354</v>
      </c>
      <c r="K6" s="38"/>
      <c r="L6" s="44"/>
      <c r="M6" s="15"/>
      <c r="N6" s="63"/>
      <c r="O6" s="20" t="s">
        <v>1351</v>
      </c>
      <c r="P6" s="21">
        <v>3</v>
      </c>
      <c r="Q6" s="22" t="s">
        <v>21</v>
      </c>
    </row>
    <row r="7" spans="1:17" ht="19.5" customHeight="1" x14ac:dyDescent="0.25">
      <c r="A7" s="288"/>
      <c r="B7" s="43" t="s">
        <v>1355</v>
      </c>
      <c r="C7" s="58">
        <v>43276</v>
      </c>
      <c r="D7" s="78" t="s">
        <v>59</v>
      </c>
      <c r="E7" s="60" t="s">
        <v>54</v>
      </c>
      <c r="F7" s="38" t="s">
        <v>670</v>
      </c>
      <c r="G7" s="38">
        <v>1944</v>
      </c>
      <c r="H7" s="60" t="s">
        <v>667</v>
      </c>
      <c r="I7" s="38">
        <v>432</v>
      </c>
      <c r="J7" s="38" t="s">
        <v>168</v>
      </c>
      <c r="K7" s="38"/>
      <c r="L7" s="44" t="s">
        <v>1356</v>
      </c>
      <c r="M7" s="15"/>
      <c r="N7" s="63"/>
      <c r="O7" s="20" t="s">
        <v>1352</v>
      </c>
      <c r="P7" s="21">
        <v>4</v>
      </c>
      <c r="Q7" s="22" t="s">
        <v>21</v>
      </c>
    </row>
    <row r="8" spans="1:17" ht="19.5" customHeight="1" x14ac:dyDescent="0.25">
      <c r="A8" s="288"/>
      <c r="B8" s="43" t="s">
        <v>106</v>
      </c>
      <c r="C8" s="305" t="s">
        <v>35</v>
      </c>
      <c r="D8" s="306"/>
      <c r="E8" s="60"/>
      <c r="F8" s="38"/>
      <c r="G8" s="38"/>
      <c r="H8" s="60"/>
      <c r="I8" s="38"/>
      <c r="J8" s="38"/>
      <c r="K8" s="38"/>
      <c r="L8" s="44"/>
      <c r="M8" s="15"/>
      <c r="N8" s="63"/>
      <c r="O8" s="20"/>
      <c r="P8" s="21"/>
      <c r="Q8" s="22"/>
    </row>
    <row r="9" spans="1:17" ht="19.5" customHeight="1" thickBot="1" x14ac:dyDescent="0.3">
      <c r="A9" s="289"/>
      <c r="B9" s="93" t="s">
        <v>64</v>
      </c>
      <c r="C9" s="290" t="s">
        <v>65</v>
      </c>
      <c r="D9" s="291"/>
      <c r="E9" s="291"/>
      <c r="F9" s="292"/>
      <c r="G9" s="276"/>
      <c r="H9" s="276"/>
      <c r="I9" s="276">
        <f>SUM(I4:I8)</f>
        <v>1596</v>
      </c>
      <c r="J9" s="276"/>
      <c r="K9" s="276"/>
      <c r="L9" s="279"/>
      <c r="M9" s="276"/>
      <c r="N9" s="276"/>
      <c r="O9" s="276"/>
      <c r="P9" s="277"/>
      <c r="Q9" s="277"/>
    </row>
    <row r="10" spans="1:17" ht="19.5" customHeight="1" x14ac:dyDescent="0.25">
      <c r="A10" s="287" t="s">
        <v>39</v>
      </c>
      <c r="B10" s="246" t="s">
        <v>1275</v>
      </c>
      <c r="C10" s="62">
        <v>43271</v>
      </c>
      <c r="D10" s="77" t="s">
        <v>59</v>
      </c>
      <c r="E10" s="81" t="s">
        <v>54</v>
      </c>
      <c r="F10" s="155" t="s">
        <v>92</v>
      </c>
      <c r="G10" s="155">
        <v>1224</v>
      </c>
      <c r="H10" s="81" t="s">
        <v>88</v>
      </c>
      <c r="I10" s="155">
        <f>1224-216*4</f>
        <v>360</v>
      </c>
      <c r="J10" s="155" t="s">
        <v>127</v>
      </c>
      <c r="K10" s="155"/>
      <c r="L10" s="53" t="s">
        <v>404</v>
      </c>
      <c r="M10" s="16"/>
      <c r="N10" s="16"/>
      <c r="O10" s="17" t="s">
        <v>1349</v>
      </c>
      <c r="P10" s="18">
        <v>1</v>
      </c>
      <c r="Q10" s="19" t="s">
        <v>19</v>
      </c>
    </row>
    <row r="11" spans="1:17" ht="19.5" customHeight="1" x14ac:dyDescent="0.25">
      <c r="A11" s="288"/>
      <c r="B11" s="45" t="s">
        <v>1357</v>
      </c>
      <c r="C11" s="58">
        <v>43276</v>
      </c>
      <c r="D11" s="78" t="s">
        <v>55</v>
      </c>
      <c r="E11" s="129" t="s">
        <v>54</v>
      </c>
      <c r="F11" s="164" t="s">
        <v>92</v>
      </c>
      <c r="G11" s="164">
        <v>240</v>
      </c>
      <c r="H11" s="48" t="s">
        <v>88</v>
      </c>
      <c r="I11" s="164">
        <v>240</v>
      </c>
      <c r="J11" s="164" t="s">
        <v>173</v>
      </c>
      <c r="K11" s="164"/>
      <c r="L11" s="57" t="s">
        <v>1360</v>
      </c>
      <c r="M11" s="49"/>
      <c r="N11" s="63"/>
      <c r="O11" s="20" t="s">
        <v>1350</v>
      </c>
      <c r="P11" s="21">
        <v>2</v>
      </c>
      <c r="Q11" s="22" t="s">
        <v>20</v>
      </c>
    </row>
    <row r="12" spans="1:17" ht="19.5" customHeight="1" x14ac:dyDescent="0.25">
      <c r="A12" s="288"/>
      <c r="B12" s="111" t="s">
        <v>1358</v>
      </c>
      <c r="C12" s="58">
        <v>43276</v>
      </c>
      <c r="D12" s="78" t="s">
        <v>55</v>
      </c>
      <c r="E12" s="48" t="s">
        <v>54</v>
      </c>
      <c r="F12" s="164" t="s">
        <v>892</v>
      </c>
      <c r="G12" s="164">
        <v>240</v>
      </c>
      <c r="H12" s="48" t="s">
        <v>88</v>
      </c>
      <c r="I12" s="164">
        <v>240</v>
      </c>
      <c r="J12" s="164" t="s">
        <v>173</v>
      </c>
      <c r="K12" s="164"/>
      <c r="L12" s="57" t="s">
        <v>404</v>
      </c>
      <c r="M12" s="49"/>
      <c r="N12" s="63"/>
      <c r="O12" s="20" t="s">
        <v>1351</v>
      </c>
      <c r="P12" s="21">
        <v>3</v>
      </c>
      <c r="Q12" s="22" t="s">
        <v>21</v>
      </c>
    </row>
    <row r="13" spans="1:17" ht="19.5" customHeight="1" x14ac:dyDescent="0.25">
      <c r="A13" s="288"/>
      <c r="B13" s="45" t="s">
        <v>1359</v>
      </c>
      <c r="C13" s="58">
        <v>43276</v>
      </c>
      <c r="D13" s="78" t="s">
        <v>55</v>
      </c>
      <c r="E13" s="129" t="s">
        <v>54</v>
      </c>
      <c r="F13" s="164" t="s">
        <v>892</v>
      </c>
      <c r="G13" s="164">
        <v>234</v>
      </c>
      <c r="H13" s="48" t="s">
        <v>88</v>
      </c>
      <c r="I13" s="164">
        <v>234</v>
      </c>
      <c r="J13" s="164" t="s">
        <v>173</v>
      </c>
      <c r="K13" s="164"/>
      <c r="L13" s="57" t="s">
        <v>1360</v>
      </c>
      <c r="M13" s="49"/>
      <c r="N13" s="63"/>
      <c r="O13" s="20" t="s">
        <v>1352</v>
      </c>
      <c r="P13" s="21">
        <v>4</v>
      </c>
      <c r="Q13" s="22" t="s">
        <v>21</v>
      </c>
    </row>
    <row r="14" spans="1:17" ht="19.5" customHeight="1" x14ac:dyDescent="0.25">
      <c r="A14" s="288"/>
      <c r="B14" s="45" t="s">
        <v>1361</v>
      </c>
      <c r="C14" s="58">
        <v>43306</v>
      </c>
      <c r="D14" s="78" t="s">
        <v>988</v>
      </c>
      <c r="E14" s="129" t="s">
        <v>54</v>
      </c>
      <c r="F14" s="164" t="s">
        <v>137</v>
      </c>
      <c r="G14" s="164">
        <v>1920</v>
      </c>
      <c r="H14" s="48" t="s">
        <v>89</v>
      </c>
      <c r="I14" s="164">
        <v>384</v>
      </c>
      <c r="J14" s="164" t="s">
        <v>168</v>
      </c>
      <c r="K14" s="164"/>
      <c r="L14" s="57" t="s">
        <v>404</v>
      </c>
      <c r="M14" s="49"/>
      <c r="N14" s="63"/>
      <c r="O14" s="20"/>
      <c r="P14" s="21"/>
      <c r="Q14" s="22"/>
    </row>
    <row r="15" spans="1:17" ht="19.5" customHeight="1" x14ac:dyDescent="0.25">
      <c r="A15" s="288"/>
      <c r="B15" s="45" t="s">
        <v>493</v>
      </c>
      <c r="C15" s="58"/>
      <c r="D15" s="78"/>
      <c r="E15" s="129"/>
      <c r="F15" s="164"/>
      <c r="G15" s="164"/>
      <c r="H15" s="48"/>
      <c r="I15" s="164">
        <v>192</v>
      </c>
      <c r="J15" s="164" t="s">
        <v>182</v>
      </c>
      <c r="K15" s="164"/>
      <c r="L15" s="57"/>
      <c r="M15" s="49"/>
      <c r="N15" s="63"/>
      <c r="O15" s="20"/>
      <c r="P15" s="21"/>
      <c r="Q15" s="22"/>
    </row>
    <row r="16" spans="1:17" ht="19.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76"/>
      <c r="H16" s="276"/>
      <c r="I16" s="276">
        <f>SUM(I10:I15)</f>
        <v>1650</v>
      </c>
      <c r="J16" s="276"/>
      <c r="K16" s="276"/>
      <c r="L16" s="279"/>
      <c r="M16" s="276"/>
      <c r="N16" s="276"/>
      <c r="O16" s="276"/>
      <c r="P16" s="277"/>
      <c r="Q16" s="277"/>
    </row>
    <row r="17" spans="1:17" ht="19.5" customHeight="1" x14ac:dyDescent="0.25">
      <c r="A17" s="287" t="s">
        <v>37</v>
      </c>
      <c r="B17" s="42" t="s">
        <v>1285</v>
      </c>
      <c r="C17" s="116">
        <v>43276</v>
      </c>
      <c r="D17" s="52" t="s">
        <v>93</v>
      </c>
      <c r="E17" s="41" t="s">
        <v>54</v>
      </c>
      <c r="F17" s="40" t="s">
        <v>1284</v>
      </c>
      <c r="G17" s="155">
        <v>372</v>
      </c>
      <c r="H17" s="81" t="s">
        <v>1280</v>
      </c>
      <c r="I17" s="155">
        <v>372</v>
      </c>
      <c r="J17" s="155" t="s">
        <v>168</v>
      </c>
      <c r="K17" s="155"/>
      <c r="L17" s="53" t="s">
        <v>625</v>
      </c>
      <c r="M17" s="16"/>
      <c r="N17" s="16"/>
      <c r="O17" s="17" t="s">
        <v>1349</v>
      </c>
      <c r="P17" s="18">
        <v>1</v>
      </c>
      <c r="Q17" s="19" t="s">
        <v>19</v>
      </c>
    </row>
    <row r="18" spans="1:17" ht="19.5" customHeight="1" x14ac:dyDescent="0.25">
      <c r="A18" s="288"/>
      <c r="B18" s="45"/>
      <c r="C18" s="305" t="s">
        <v>35</v>
      </c>
      <c r="D18" s="306"/>
      <c r="E18" s="60"/>
      <c r="F18" s="38"/>
      <c r="G18" s="164"/>
      <c r="H18" s="48"/>
      <c r="I18" s="164"/>
      <c r="J18" s="164"/>
      <c r="K18" s="164"/>
      <c r="L18" s="57"/>
      <c r="M18" s="63"/>
      <c r="N18" s="63"/>
      <c r="O18" s="20" t="s">
        <v>1350</v>
      </c>
      <c r="P18" s="21">
        <v>2</v>
      </c>
      <c r="Q18" s="22" t="s">
        <v>20</v>
      </c>
    </row>
    <row r="19" spans="1:17" ht="19.5" customHeight="1" x14ac:dyDescent="0.25">
      <c r="A19" s="288"/>
      <c r="B19" s="45" t="s">
        <v>1362</v>
      </c>
      <c r="C19" s="46">
        <v>43309</v>
      </c>
      <c r="D19" s="47" t="s">
        <v>988</v>
      </c>
      <c r="E19" s="60" t="s">
        <v>54</v>
      </c>
      <c r="F19" s="38" t="s">
        <v>1363</v>
      </c>
      <c r="G19" s="164">
        <v>186</v>
      </c>
      <c r="H19" s="48" t="s">
        <v>1364</v>
      </c>
      <c r="I19" s="164">
        <v>186</v>
      </c>
      <c r="J19" s="164" t="s">
        <v>173</v>
      </c>
      <c r="K19" s="164"/>
      <c r="L19" s="57" t="s">
        <v>625</v>
      </c>
      <c r="M19" s="15"/>
      <c r="N19" s="15"/>
      <c r="O19" s="20" t="s">
        <v>1351</v>
      </c>
      <c r="P19" s="21">
        <v>3</v>
      </c>
      <c r="Q19" s="22" t="s">
        <v>21</v>
      </c>
    </row>
    <row r="20" spans="1:17" ht="19.5" customHeight="1" x14ac:dyDescent="0.25">
      <c r="A20" s="288"/>
      <c r="B20" s="45"/>
      <c r="C20" s="305" t="s">
        <v>35</v>
      </c>
      <c r="D20" s="306"/>
      <c r="E20" s="60"/>
      <c r="F20" s="38"/>
      <c r="G20" s="164"/>
      <c r="H20" s="48"/>
      <c r="I20" s="164"/>
      <c r="J20" s="164"/>
      <c r="K20" s="164"/>
      <c r="L20" s="57"/>
      <c r="M20" s="15"/>
      <c r="N20" s="15"/>
      <c r="O20" s="20" t="s">
        <v>1352</v>
      </c>
      <c r="P20" s="21">
        <v>4</v>
      </c>
      <c r="Q20" s="22" t="s">
        <v>21</v>
      </c>
    </row>
    <row r="21" spans="1:17" ht="19.5" customHeight="1" x14ac:dyDescent="0.25">
      <c r="A21" s="288"/>
      <c r="B21" s="45" t="s">
        <v>1365</v>
      </c>
      <c r="C21" s="46">
        <v>43304</v>
      </c>
      <c r="D21" s="46" t="s">
        <v>988</v>
      </c>
      <c r="E21" s="60" t="s">
        <v>54</v>
      </c>
      <c r="F21" s="38" t="s">
        <v>1366</v>
      </c>
      <c r="G21" s="164">
        <v>1308</v>
      </c>
      <c r="H21" s="48" t="s">
        <v>1367</v>
      </c>
      <c r="I21" s="164">
        <v>360</v>
      </c>
      <c r="J21" s="164" t="s">
        <v>168</v>
      </c>
      <c r="K21" s="164"/>
      <c r="L21" s="57" t="s">
        <v>625</v>
      </c>
      <c r="M21" s="15"/>
      <c r="N21" s="15"/>
      <c r="O21" s="20"/>
      <c r="P21" s="21"/>
      <c r="Q21" s="22"/>
    </row>
    <row r="22" spans="1:17" ht="19.5" customHeight="1" x14ac:dyDescent="0.25">
      <c r="A22" s="288"/>
      <c r="B22" s="45" t="s">
        <v>114</v>
      </c>
      <c r="C22" s="305" t="s">
        <v>35</v>
      </c>
      <c r="D22" s="306"/>
      <c r="E22" s="60"/>
      <c r="F22" s="38"/>
      <c r="G22" s="164"/>
      <c r="H22" s="48"/>
      <c r="I22" s="164">
        <v>360</v>
      </c>
      <c r="J22" s="164" t="s">
        <v>1368</v>
      </c>
      <c r="K22" s="164"/>
      <c r="L22" s="57"/>
      <c r="M22" s="15"/>
      <c r="N22" s="15"/>
      <c r="O22" s="20"/>
      <c r="P22" s="21"/>
      <c r="Q22" s="22"/>
    </row>
    <row r="23" spans="1:17" ht="19.5" customHeight="1" x14ac:dyDescent="0.25">
      <c r="A23" s="288"/>
      <c r="B23" s="45"/>
      <c r="C23" s="46"/>
      <c r="D23" s="47"/>
      <c r="E23" s="60"/>
      <c r="F23" s="38"/>
      <c r="G23" s="164"/>
      <c r="H23" s="48"/>
      <c r="I23" s="164">
        <v>360</v>
      </c>
      <c r="J23" s="164" t="s">
        <v>127</v>
      </c>
      <c r="K23" s="164"/>
      <c r="L23" s="57"/>
      <c r="M23" s="15"/>
      <c r="N23" s="15"/>
      <c r="O23" s="20"/>
      <c r="P23" s="21"/>
      <c r="Q23" s="22"/>
    </row>
    <row r="24" spans="1:17" ht="19.5" customHeight="1" thickBot="1" x14ac:dyDescent="0.3">
      <c r="A24" s="289"/>
      <c r="B24" s="93" t="s">
        <v>64</v>
      </c>
      <c r="C24" s="290" t="s">
        <v>98</v>
      </c>
      <c r="D24" s="291"/>
      <c r="E24" s="291"/>
      <c r="F24" s="292"/>
      <c r="G24" s="276"/>
      <c r="H24" s="276"/>
      <c r="I24" s="276">
        <f>SUM(I17:I23)</f>
        <v>1638</v>
      </c>
      <c r="J24" s="276"/>
      <c r="K24" s="276"/>
      <c r="L24" s="279"/>
      <c r="M24" s="276"/>
      <c r="N24" s="276"/>
      <c r="O24" s="276"/>
      <c r="P24" s="277"/>
      <c r="Q24" s="277"/>
    </row>
    <row r="25" spans="1:17" ht="19.5" customHeight="1" x14ac:dyDescent="0.25">
      <c r="A25" s="287" t="s">
        <v>38</v>
      </c>
      <c r="B25" s="246" t="s">
        <v>1289</v>
      </c>
      <c r="C25" s="62">
        <v>43271</v>
      </c>
      <c r="D25" s="77" t="s">
        <v>59</v>
      </c>
      <c r="E25" s="81" t="s">
        <v>54</v>
      </c>
      <c r="F25" s="155" t="s">
        <v>1290</v>
      </c>
      <c r="G25" s="155">
        <v>204</v>
      </c>
      <c r="H25" s="81" t="s">
        <v>1167</v>
      </c>
      <c r="I25" s="155">
        <v>204</v>
      </c>
      <c r="J25" s="155" t="s">
        <v>173</v>
      </c>
      <c r="K25" s="155"/>
      <c r="L25" s="53">
        <v>2689</v>
      </c>
      <c r="M25" s="16"/>
      <c r="N25" s="16"/>
      <c r="O25" s="17" t="s">
        <v>1349</v>
      </c>
      <c r="P25" s="18">
        <v>1</v>
      </c>
      <c r="Q25" s="19" t="s">
        <v>19</v>
      </c>
    </row>
    <row r="26" spans="1:17" ht="19.5" customHeight="1" x14ac:dyDescent="0.25">
      <c r="A26" s="288"/>
      <c r="B26" s="111" t="s">
        <v>1369</v>
      </c>
      <c r="C26" s="58">
        <v>43269</v>
      </c>
      <c r="D26" s="78" t="s">
        <v>59</v>
      </c>
      <c r="E26" s="48" t="s">
        <v>54</v>
      </c>
      <c r="F26" s="164" t="s">
        <v>1290</v>
      </c>
      <c r="G26" s="164">
        <v>768</v>
      </c>
      <c r="H26" s="48" t="s">
        <v>1167</v>
      </c>
      <c r="I26" s="84">
        <v>432</v>
      </c>
      <c r="J26" s="164" t="s">
        <v>250</v>
      </c>
      <c r="K26" s="164"/>
      <c r="L26" s="57">
        <v>2689</v>
      </c>
      <c r="M26" s="15"/>
      <c r="N26" s="15"/>
      <c r="O26" s="20" t="s">
        <v>1350</v>
      </c>
      <c r="P26" s="21">
        <v>2</v>
      </c>
      <c r="Q26" s="22" t="s">
        <v>20</v>
      </c>
    </row>
    <row r="27" spans="1:17" ht="19.5" customHeight="1" x14ac:dyDescent="0.25">
      <c r="A27" s="288"/>
      <c r="B27" s="111" t="s">
        <v>1370</v>
      </c>
      <c r="C27" s="58"/>
      <c r="D27" s="78"/>
      <c r="E27" s="48"/>
      <c r="F27" s="164"/>
      <c r="G27" s="164"/>
      <c r="H27" s="48"/>
      <c r="I27" s="84">
        <f>768-432</f>
        <v>336</v>
      </c>
      <c r="J27" s="164" t="s">
        <v>169</v>
      </c>
      <c r="K27" s="164"/>
      <c r="L27" s="57"/>
      <c r="M27" s="49"/>
      <c r="N27" s="15"/>
      <c r="O27" s="20" t="s">
        <v>1351</v>
      </c>
      <c r="P27" s="21">
        <v>3</v>
      </c>
      <c r="Q27" s="22" t="s">
        <v>21</v>
      </c>
    </row>
    <row r="28" spans="1:17" ht="19.5" customHeight="1" x14ac:dyDescent="0.25">
      <c r="A28" s="288"/>
      <c r="B28" s="111" t="s">
        <v>1371</v>
      </c>
      <c r="C28" s="58">
        <v>43269</v>
      </c>
      <c r="D28" s="78" t="s">
        <v>59</v>
      </c>
      <c r="E28" s="48" t="s">
        <v>54</v>
      </c>
      <c r="F28" s="164" t="s">
        <v>1372</v>
      </c>
      <c r="G28" s="164">
        <v>120</v>
      </c>
      <c r="H28" s="48" t="s">
        <v>1167</v>
      </c>
      <c r="I28" s="84">
        <v>120</v>
      </c>
      <c r="J28" s="164" t="s">
        <v>173</v>
      </c>
      <c r="K28" s="164"/>
      <c r="L28" s="57">
        <v>2689</v>
      </c>
      <c r="M28" s="15"/>
      <c r="N28" s="15"/>
      <c r="O28" s="20" t="s">
        <v>1352</v>
      </c>
      <c r="P28" s="21">
        <v>4</v>
      </c>
      <c r="Q28" s="22" t="s">
        <v>21</v>
      </c>
    </row>
    <row r="29" spans="1:17" ht="19.5" customHeight="1" x14ac:dyDescent="0.25">
      <c r="A29" s="288"/>
      <c r="B29" s="111" t="s">
        <v>1373</v>
      </c>
      <c r="C29" s="58">
        <v>43270</v>
      </c>
      <c r="D29" s="78" t="s">
        <v>59</v>
      </c>
      <c r="E29" s="48" t="s">
        <v>1433</v>
      </c>
      <c r="F29" s="164" t="s">
        <v>1372</v>
      </c>
      <c r="G29" s="164">
        <v>768</v>
      </c>
      <c r="H29" s="48" t="s">
        <v>1167</v>
      </c>
      <c r="I29" s="84">
        <v>432</v>
      </c>
      <c r="J29" s="164" t="s">
        <v>168</v>
      </c>
      <c r="K29" s="164"/>
      <c r="L29" s="57">
        <v>2689</v>
      </c>
      <c r="M29" s="15"/>
      <c r="N29" s="15"/>
      <c r="O29" s="20"/>
      <c r="P29" s="21"/>
      <c r="Q29" s="22"/>
    </row>
    <row r="30" spans="1:17" ht="19.5" customHeight="1" x14ac:dyDescent="0.25">
      <c r="A30" s="288"/>
      <c r="B30" s="111" t="s">
        <v>407</v>
      </c>
      <c r="C30" s="58"/>
      <c r="D30" s="78"/>
      <c r="E30" s="48"/>
      <c r="F30" s="164"/>
      <c r="G30" s="164"/>
      <c r="H30" s="48"/>
      <c r="I30" s="164">
        <v>216</v>
      </c>
      <c r="J30" s="164" t="s">
        <v>182</v>
      </c>
      <c r="K30" s="164"/>
      <c r="L30" s="57"/>
      <c r="M30" s="15"/>
      <c r="N30" s="15"/>
      <c r="O30" s="20"/>
      <c r="P30" s="21"/>
      <c r="Q30" s="22"/>
    </row>
    <row r="31" spans="1:17" ht="24.75" customHeight="1" thickBot="1" x14ac:dyDescent="0.3">
      <c r="A31" s="289"/>
      <c r="B31" s="93" t="s">
        <v>64</v>
      </c>
      <c r="C31" s="301" t="s">
        <v>98</v>
      </c>
      <c r="D31" s="302"/>
      <c r="E31" s="302"/>
      <c r="F31" s="303"/>
      <c r="G31" s="276"/>
      <c r="H31" s="276"/>
      <c r="I31" s="276">
        <f>SUM(I25:I30)</f>
        <v>1740</v>
      </c>
      <c r="J31" s="276"/>
      <c r="K31" s="276"/>
      <c r="L31" s="279"/>
      <c r="M31" s="276"/>
      <c r="N31" s="276"/>
      <c r="O31" s="276"/>
      <c r="P31" s="277"/>
      <c r="Q31" s="277"/>
    </row>
    <row r="32" spans="1:17" ht="29.25" customHeight="1" thickBot="1" x14ac:dyDescent="0.3">
      <c r="A32" s="37"/>
      <c r="B32" s="64"/>
      <c r="C32" s="65"/>
      <c r="D32" s="66"/>
      <c r="E32" s="67"/>
      <c r="F32" s="68"/>
      <c r="G32" s="67"/>
      <c r="H32" s="67"/>
      <c r="I32" s="69">
        <f>SUM(I31,I24,I16,I9)</f>
        <v>6624</v>
      </c>
      <c r="J32" s="70"/>
      <c r="K32" s="70"/>
      <c r="L32" s="65"/>
      <c r="M32" s="71"/>
      <c r="N32" s="69"/>
      <c r="O32" s="70"/>
      <c r="P32" s="70"/>
      <c r="Q32" s="72"/>
    </row>
    <row r="33" spans="1:17" ht="17.25" thickTop="1" x14ac:dyDescent="0.3">
      <c r="A33" s="23" t="s">
        <v>22</v>
      </c>
      <c r="B33" s="24"/>
      <c r="C33" s="25"/>
      <c r="D33" s="24"/>
      <c r="E33" s="24"/>
      <c r="F33" s="26"/>
      <c r="G33" s="27"/>
      <c r="H33" s="28" t="s">
        <v>23</v>
      </c>
      <c r="I33" s="29"/>
      <c r="J33" s="29"/>
      <c r="K33" s="29"/>
      <c r="L33" s="30"/>
      <c r="M33" s="29"/>
      <c r="N33" s="29"/>
      <c r="O33" s="29"/>
      <c r="P33" s="278" t="s">
        <v>24</v>
      </c>
      <c r="Q33" s="31"/>
    </row>
    <row r="34" spans="1:17" ht="16.5" x14ac:dyDescent="0.3">
      <c r="A34" s="1"/>
      <c r="B34" s="32">
        <v>1</v>
      </c>
      <c r="C34" s="33"/>
      <c r="D34" s="32"/>
      <c r="E34" s="32"/>
      <c r="F34" s="304" t="s">
        <v>25</v>
      </c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</row>
    <row r="35" spans="1:17" ht="16.5" x14ac:dyDescent="0.3">
      <c r="A35" s="1"/>
      <c r="B35" s="297" t="s">
        <v>26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</row>
    <row r="36" spans="1:17" ht="16.5" x14ac:dyDescent="0.3">
      <c r="A36" s="1"/>
      <c r="B36" s="34">
        <v>2</v>
      </c>
      <c r="C36" s="35"/>
      <c r="D36" s="36"/>
      <c r="E36" s="36"/>
      <c r="F36" s="298" t="s">
        <v>27</v>
      </c>
      <c r="G36" s="298"/>
      <c r="H36" s="298"/>
      <c r="I36" s="298"/>
      <c r="J36" s="298"/>
      <c r="K36" s="298"/>
      <c r="L36" s="298"/>
      <c r="M36" s="298"/>
      <c r="N36" s="298"/>
      <c r="O36" s="298"/>
      <c r="P36" s="299" t="s">
        <v>28</v>
      </c>
      <c r="Q36" s="300"/>
    </row>
    <row r="37" spans="1:17" ht="16.5" x14ac:dyDescent="0.3">
      <c r="A37" s="1"/>
      <c r="B37" s="297" t="s">
        <v>29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1"/>
      <c r="Q37" s="1"/>
    </row>
  </sheetData>
  <mergeCells count="22">
    <mergeCell ref="A25:A31"/>
    <mergeCell ref="C31:F31"/>
    <mergeCell ref="A1:Q1"/>
    <mergeCell ref="A2:B2"/>
    <mergeCell ref="C2:E2"/>
    <mergeCell ref="F2:G2"/>
    <mergeCell ref="O2:Q2"/>
    <mergeCell ref="A4:A9"/>
    <mergeCell ref="C9:F9"/>
    <mergeCell ref="C8:D8"/>
    <mergeCell ref="C18:D18"/>
    <mergeCell ref="C22:D22"/>
    <mergeCell ref="A10:A16"/>
    <mergeCell ref="C16:F16"/>
    <mergeCell ref="A17:A24"/>
    <mergeCell ref="C20:D20"/>
    <mergeCell ref="B37:O37"/>
    <mergeCell ref="C24:F24"/>
    <mergeCell ref="F34:Q34"/>
    <mergeCell ref="B35:Q35"/>
    <mergeCell ref="F36:O36"/>
    <mergeCell ref="P36:Q36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7"/>
  <sheetViews>
    <sheetView topLeftCell="A7" zoomScaleNormal="100" workbookViewId="0">
      <selection activeCell="R13" sqref="R13"/>
    </sheetView>
  </sheetViews>
  <sheetFormatPr defaultRowHeight="15.75" x14ac:dyDescent="0.25"/>
  <cols>
    <col min="2" max="2" width="16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  <col min="18" max="18" width="11.2851562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71</v>
      </c>
      <c r="P3" s="7" t="s">
        <v>17</v>
      </c>
      <c r="Q3" s="14" t="s">
        <v>18</v>
      </c>
    </row>
    <row r="4" spans="1:17" ht="21.75" customHeight="1" x14ac:dyDescent="0.25">
      <c r="A4" s="287" t="s">
        <v>40</v>
      </c>
      <c r="B4" s="42" t="s">
        <v>1086</v>
      </c>
      <c r="C4" s="140">
        <v>43283</v>
      </c>
      <c r="D4" s="77" t="s">
        <v>93</v>
      </c>
      <c r="E4" s="41" t="s">
        <v>34</v>
      </c>
      <c r="F4" s="40" t="s">
        <v>108</v>
      </c>
      <c r="G4" s="40">
        <v>4656</v>
      </c>
      <c r="H4" s="41" t="s">
        <v>51</v>
      </c>
      <c r="I4" s="150">
        <v>432</v>
      </c>
      <c r="J4" s="41" t="s">
        <v>1374</v>
      </c>
      <c r="K4" s="40"/>
      <c r="L4" s="90" t="s">
        <v>61</v>
      </c>
      <c r="M4" s="16"/>
      <c r="N4" s="16"/>
      <c r="O4" s="17" t="s">
        <v>1349</v>
      </c>
      <c r="P4" s="18">
        <v>1</v>
      </c>
      <c r="Q4" s="19" t="s">
        <v>19</v>
      </c>
    </row>
    <row r="5" spans="1:17" ht="21.75" customHeight="1" x14ac:dyDescent="0.25">
      <c r="A5" s="288"/>
      <c r="B5" s="43" t="s">
        <v>1087</v>
      </c>
      <c r="C5" s="141"/>
      <c r="D5" s="78"/>
      <c r="E5" s="60"/>
      <c r="F5" s="38"/>
      <c r="G5" s="38"/>
      <c r="H5" s="60"/>
      <c r="I5" s="38">
        <f>4656-216*21</f>
        <v>120</v>
      </c>
      <c r="J5" s="60" t="s">
        <v>1375</v>
      </c>
      <c r="K5" s="38"/>
      <c r="L5" s="91"/>
      <c r="M5" s="49"/>
      <c r="N5" s="15"/>
      <c r="O5" s="20" t="s">
        <v>1350</v>
      </c>
      <c r="P5" s="21">
        <v>2</v>
      </c>
      <c r="Q5" s="22" t="s">
        <v>20</v>
      </c>
    </row>
    <row r="6" spans="1:17" ht="21.75" customHeight="1" x14ac:dyDescent="0.25">
      <c r="A6" s="288"/>
      <c r="B6" s="43" t="s">
        <v>1377</v>
      </c>
      <c r="C6" s="141">
        <v>43302</v>
      </c>
      <c r="D6" s="78" t="s">
        <v>988</v>
      </c>
      <c r="E6" s="60" t="s">
        <v>34</v>
      </c>
      <c r="F6" s="38" t="s">
        <v>108</v>
      </c>
      <c r="G6" s="38">
        <v>2100</v>
      </c>
      <c r="H6" s="60" t="s">
        <v>51</v>
      </c>
      <c r="I6" s="128">
        <v>432</v>
      </c>
      <c r="J6" s="60" t="s">
        <v>168</v>
      </c>
      <c r="K6" s="38"/>
      <c r="L6" s="91" t="s">
        <v>1378</v>
      </c>
      <c r="M6" s="49"/>
      <c r="N6" s="15"/>
      <c r="O6" s="20" t="s">
        <v>1351</v>
      </c>
      <c r="P6" s="21">
        <v>3</v>
      </c>
      <c r="Q6" s="22" t="s">
        <v>21</v>
      </c>
    </row>
    <row r="7" spans="1:17" ht="21.75" customHeight="1" x14ac:dyDescent="0.25">
      <c r="A7" s="288"/>
      <c r="B7" s="43" t="s">
        <v>493</v>
      </c>
      <c r="C7" s="141"/>
      <c r="D7" s="78"/>
      <c r="E7" s="60"/>
      <c r="F7" s="38"/>
      <c r="G7" s="38"/>
      <c r="H7" s="60"/>
      <c r="I7" s="38">
        <v>432</v>
      </c>
      <c r="J7" s="60" t="s">
        <v>169</v>
      </c>
      <c r="K7" s="38"/>
      <c r="L7" s="91"/>
      <c r="M7" s="49"/>
      <c r="N7" s="15"/>
      <c r="O7" s="20" t="s">
        <v>1352</v>
      </c>
      <c r="P7" s="21">
        <v>4</v>
      </c>
      <c r="Q7" s="22" t="s">
        <v>21</v>
      </c>
    </row>
    <row r="8" spans="1:17" ht="21.75" customHeight="1" x14ac:dyDescent="0.25">
      <c r="A8" s="288"/>
      <c r="B8" s="45"/>
      <c r="C8" s="141"/>
      <c r="D8" s="78"/>
      <c r="E8" s="48"/>
      <c r="F8" s="39"/>
      <c r="G8" s="164"/>
      <c r="H8" s="48"/>
      <c r="I8" s="164">
        <v>216</v>
      </c>
      <c r="J8" s="48" t="s">
        <v>78</v>
      </c>
      <c r="K8" s="164"/>
      <c r="L8" s="228"/>
      <c r="M8" s="49"/>
      <c r="N8" s="15"/>
      <c r="O8" s="20"/>
      <c r="P8" s="21"/>
      <c r="Q8" s="22"/>
    </row>
    <row r="9" spans="1:17" ht="21.75" customHeight="1" thickBot="1" x14ac:dyDescent="0.3">
      <c r="A9" s="289"/>
      <c r="B9" s="93"/>
      <c r="C9" s="276"/>
      <c r="D9" s="276"/>
      <c r="E9" s="276"/>
      <c r="F9" s="276"/>
      <c r="G9" s="276"/>
      <c r="H9" s="276"/>
      <c r="I9" s="276">
        <f>SUM(I4:I8)</f>
        <v>1632</v>
      </c>
      <c r="J9" s="276"/>
      <c r="K9" s="276"/>
      <c r="L9" s="279"/>
      <c r="M9" s="276"/>
      <c r="N9" s="276"/>
      <c r="O9" s="114"/>
      <c r="P9" s="277"/>
      <c r="Q9" s="152"/>
    </row>
    <row r="10" spans="1:17" ht="21.75" customHeight="1" x14ac:dyDescent="0.25">
      <c r="A10" s="287" t="s">
        <v>41</v>
      </c>
      <c r="B10" s="42" t="s">
        <v>1295</v>
      </c>
      <c r="C10" s="62">
        <v>43293</v>
      </c>
      <c r="D10" s="140" t="s">
        <v>988</v>
      </c>
      <c r="E10" s="41" t="s">
        <v>54</v>
      </c>
      <c r="F10" s="40" t="s">
        <v>809</v>
      </c>
      <c r="G10" s="155">
        <v>1350</v>
      </c>
      <c r="H10" s="81" t="s">
        <v>62</v>
      </c>
      <c r="I10" s="155">
        <f>192*2</f>
        <v>384</v>
      </c>
      <c r="J10" s="81" t="s">
        <v>169</v>
      </c>
      <c r="K10" s="155"/>
      <c r="L10" s="53" t="s">
        <v>1296</v>
      </c>
      <c r="M10" s="16"/>
      <c r="N10" s="16"/>
      <c r="O10" s="17" t="s">
        <v>1349</v>
      </c>
      <c r="P10" s="18">
        <v>1</v>
      </c>
      <c r="Q10" s="19" t="s">
        <v>19</v>
      </c>
    </row>
    <row r="11" spans="1:17" ht="21.75" customHeight="1" x14ac:dyDescent="0.25">
      <c r="A11" s="288"/>
      <c r="B11" s="43" t="s">
        <v>114</v>
      </c>
      <c r="C11" s="305" t="s">
        <v>35</v>
      </c>
      <c r="D11" s="306"/>
      <c r="E11" s="79"/>
      <c r="F11" s="38"/>
      <c r="G11" s="38"/>
      <c r="H11" s="60"/>
      <c r="I11" s="164">
        <v>384</v>
      </c>
      <c r="J11" s="48" t="s">
        <v>127</v>
      </c>
      <c r="K11" s="164"/>
      <c r="L11" s="88"/>
      <c r="M11" s="63"/>
      <c r="N11" s="63"/>
      <c r="O11" s="20" t="s">
        <v>1350</v>
      </c>
      <c r="P11" s="21">
        <v>2</v>
      </c>
      <c r="Q11" s="22" t="s">
        <v>20</v>
      </c>
    </row>
    <row r="12" spans="1:17" ht="21.75" customHeight="1" x14ac:dyDescent="0.25">
      <c r="A12" s="288"/>
      <c r="B12" s="43"/>
      <c r="C12" s="141"/>
      <c r="D12" s="141"/>
      <c r="E12" s="79"/>
      <c r="F12" s="38"/>
      <c r="G12" s="38"/>
      <c r="H12" s="60"/>
      <c r="I12" s="164">
        <f>1350-192*6</f>
        <v>198</v>
      </c>
      <c r="J12" s="48" t="s">
        <v>863</v>
      </c>
      <c r="K12" s="164"/>
      <c r="L12" s="88"/>
      <c r="M12" s="49"/>
      <c r="N12" s="49"/>
      <c r="O12" s="20" t="s">
        <v>1351</v>
      </c>
      <c r="P12" s="21">
        <v>3</v>
      </c>
      <c r="Q12" s="22" t="s">
        <v>21</v>
      </c>
    </row>
    <row r="13" spans="1:17" ht="21.75" customHeight="1" x14ac:dyDescent="0.25">
      <c r="A13" s="288"/>
      <c r="B13" s="45" t="s">
        <v>1379</v>
      </c>
      <c r="C13" s="58">
        <v>43302</v>
      </c>
      <c r="D13" s="141" t="s">
        <v>988</v>
      </c>
      <c r="E13" s="79" t="s">
        <v>54</v>
      </c>
      <c r="F13" s="38" t="s">
        <v>809</v>
      </c>
      <c r="G13" s="164">
        <v>300</v>
      </c>
      <c r="H13" s="48" t="s">
        <v>62</v>
      </c>
      <c r="I13" s="164">
        <v>300</v>
      </c>
      <c r="J13" s="48" t="s">
        <v>168</v>
      </c>
      <c r="K13" s="164"/>
      <c r="L13" s="57" t="s">
        <v>1381</v>
      </c>
      <c r="M13" s="49"/>
      <c r="N13" s="49"/>
      <c r="O13" s="20" t="s">
        <v>1352</v>
      </c>
      <c r="P13" s="21">
        <v>4</v>
      </c>
      <c r="Q13" s="22" t="s">
        <v>21</v>
      </c>
    </row>
    <row r="14" spans="1:17" ht="21.75" customHeight="1" x14ac:dyDescent="0.25">
      <c r="A14" s="288"/>
      <c r="B14" s="45" t="s">
        <v>1380</v>
      </c>
      <c r="C14" s="58">
        <v>43308</v>
      </c>
      <c r="D14" s="141" t="s">
        <v>988</v>
      </c>
      <c r="E14" s="79" t="s">
        <v>54</v>
      </c>
      <c r="F14" s="38" t="s">
        <v>809</v>
      </c>
      <c r="G14" s="164">
        <v>204</v>
      </c>
      <c r="H14" s="48" t="s">
        <v>62</v>
      </c>
      <c r="I14" s="164">
        <v>204</v>
      </c>
      <c r="J14" s="48" t="s">
        <v>173</v>
      </c>
      <c r="K14" s="164"/>
      <c r="L14" s="57" t="s">
        <v>1381</v>
      </c>
      <c r="M14" s="49"/>
      <c r="N14" s="49"/>
      <c r="O14" s="20"/>
      <c r="P14" s="21"/>
      <c r="Q14" s="22"/>
    </row>
    <row r="15" spans="1:17" ht="21.75" customHeight="1" x14ac:dyDescent="0.25">
      <c r="A15" s="288"/>
      <c r="B15" s="45" t="s">
        <v>1382</v>
      </c>
      <c r="C15" s="58">
        <v>43309</v>
      </c>
      <c r="D15" s="141" t="s">
        <v>988</v>
      </c>
      <c r="E15" s="79" t="s">
        <v>54</v>
      </c>
      <c r="F15" s="38" t="s">
        <v>809</v>
      </c>
      <c r="G15" s="164">
        <v>444</v>
      </c>
      <c r="H15" s="48" t="s">
        <v>62</v>
      </c>
      <c r="I15" s="164">
        <v>192</v>
      </c>
      <c r="J15" s="48" t="s">
        <v>173</v>
      </c>
      <c r="K15" s="164"/>
      <c r="L15" s="57" t="s">
        <v>1381</v>
      </c>
      <c r="M15" s="49"/>
      <c r="N15" s="49"/>
      <c r="O15" s="20"/>
      <c r="P15" s="21"/>
      <c r="Q15" s="22"/>
    </row>
    <row r="16" spans="1:17" ht="21.75" customHeight="1" x14ac:dyDescent="0.25">
      <c r="A16" s="288"/>
      <c r="B16" s="43" t="s">
        <v>1383</v>
      </c>
      <c r="C16" s="305" t="s">
        <v>35</v>
      </c>
      <c r="D16" s="306"/>
      <c r="E16" s="79"/>
      <c r="F16" s="38"/>
      <c r="G16" s="38"/>
      <c r="H16" s="60"/>
      <c r="I16" s="164"/>
      <c r="J16" s="48"/>
      <c r="K16" s="164"/>
      <c r="L16" s="88"/>
      <c r="M16" s="49"/>
      <c r="N16" s="49"/>
      <c r="O16" s="20"/>
      <c r="P16" s="21"/>
      <c r="Q16" s="22"/>
    </row>
    <row r="17" spans="1:17" ht="21.75" customHeight="1" thickBot="1" x14ac:dyDescent="0.3">
      <c r="A17" s="289"/>
      <c r="B17" s="93" t="s">
        <v>64</v>
      </c>
      <c r="C17" s="290" t="s">
        <v>98</v>
      </c>
      <c r="D17" s="291"/>
      <c r="E17" s="291"/>
      <c r="F17" s="292"/>
      <c r="G17" s="276"/>
      <c r="H17" s="276"/>
      <c r="I17" s="276">
        <f>SUM(I10:I16)</f>
        <v>1662</v>
      </c>
      <c r="J17" s="276"/>
      <c r="K17" s="276"/>
      <c r="L17" s="279"/>
      <c r="M17" s="276"/>
      <c r="N17" s="276"/>
      <c r="O17" s="114"/>
      <c r="P17" s="277"/>
      <c r="Q17" s="152"/>
    </row>
    <row r="18" spans="1:17" ht="21.75" customHeight="1" x14ac:dyDescent="0.25">
      <c r="A18" s="287" t="s">
        <v>42</v>
      </c>
      <c r="B18" s="42" t="s">
        <v>1180</v>
      </c>
      <c r="C18" s="140">
        <v>43312</v>
      </c>
      <c r="D18" s="90" t="s">
        <v>988</v>
      </c>
      <c r="E18" s="62" t="s">
        <v>393</v>
      </c>
      <c r="F18" s="40" t="s">
        <v>508</v>
      </c>
      <c r="G18" s="248">
        <v>17220</v>
      </c>
      <c r="H18" s="41" t="s">
        <v>395</v>
      </c>
      <c r="I18" s="40">
        <v>384</v>
      </c>
      <c r="J18" s="40" t="s">
        <v>189</v>
      </c>
      <c r="K18" s="40"/>
      <c r="L18" s="90" t="s">
        <v>61</v>
      </c>
      <c r="M18" s="16"/>
      <c r="N18" s="16"/>
      <c r="O18" s="17" t="s">
        <v>1349</v>
      </c>
      <c r="P18" s="18">
        <v>1</v>
      </c>
      <c r="Q18" s="19" t="s">
        <v>19</v>
      </c>
    </row>
    <row r="19" spans="1:17" ht="21.75" customHeight="1" x14ac:dyDescent="0.25">
      <c r="A19" s="288"/>
      <c r="B19" s="45" t="s">
        <v>1181</v>
      </c>
      <c r="C19" s="141"/>
      <c r="D19" s="91"/>
      <c r="E19" s="58"/>
      <c r="F19" s="38"/>
      <c r="G19" s="89"/>
      <c r="H19" s="48"/>
      <c r="I19" s="164">
        <v>384</v>
      </c>
      <c r="J19" s="164" t="s">
        <v>399</v>
      </c>
      <c r="K19" s="164"/>
      <c r="L19" s="51"/>
      <c r="M19" s="15"/>
      <c r="N19" s="15"/>
      <c r="O19" s="20" t="s">
        <v>1350</v>
      </c>
      <c r="P19" s="21">
        <v>2</v>
      </c>
      <c r="Q19" s="22" t="s">
        <v>20</v>
      </c>
    </row>
    <row r="20" spans="1:17" ht="21.75" customHeight="1" x14ac:dyDescent="0.25">
      <c r="A20" s="288"/>
      <c r="B20" s="45"/>
      <c r="C20" s="141"/>
      <c r="D20" s="91"/>
      <c r="E20" s="137"/>
      <c r="F20" s="38"/>
      <c r="G20" s="89"/>
      <c r="H20" s="48"/>
      <c r="I20" s="164">
        <v>384</v>
      </c>
      <c r="J20" s="164" t="s">
        <v>1384</v>
      </c>
      <c r="K20" s="164"/>
      <c r="L20" s="51"/>
      <c r="M20" s="15"/>
      <c r="N20" s="15"/>
      <c r="O20" s="20" t="s">
        <v>1351</v>
      </c>
      <c r="P20" s="21">
        <v>3</v>
      </c>
      <c r="Q20" s="22" t="s">
        <v>21</v>
      </c>
    </row>
    <row r="21" spans="1:17" ht="21.75" customHeight="1" x14ac:dyDescent="0.25">
      <c r="A21" s="288"/>
      <c r="B21" s="45"/>
      <c r="C21" s="141"/>
      <c r="D21" s="91"/>
      <c r="E21" s="58"/>
      <c r="F21" s="39"/>
      <c r="G21" s="89"/>
      <c r="H21" s="79"/>
      <c r="I21" s="164">
        <v>384</v>
      </c>
      <c r="J21" s="164" t="s">
        <v>1385</v>
      </c>
      <c r="K21" s="164"/>
      <c r="L21" s="44"/>
      <c r="M21" s="49"/>
      <c r="N21" s="49"/>
      <c r="O21" s="20" t="s">
        <v>1352</v>
      </c>
      <c r="P21" s="21">
        <v>4</v>
      </c>
      <c r="Q21" s="22" t="s">
        <v>21</v>
      </c>
    </row>
    <row r="22" spans="1:17" ht="21.75" customHeight="1" x14ac:dyDescent="0.25">
      <c r="A22" s="288"/>
      <c r="B22" s="45"/>
      <c r="C22" s="141"/>
      <c r="D22" s="91"/>
      <c r="E22" s="58"/>
      <c r="F22" s="39"/>
      <c r="G22" s="89"/>
      <c r="H22" s="79"/>
      <c r="I22" s="164"/>
      <c r="J22" s="164"/>
      <c r="K22" s="164"/>
      <c r="L22" s="44"/>
      <c r="M22" s="49"/>
      <c r="N22" s="49"/>
      <c r="O22" s="20"/>
      <c r="P22" s="21"/>
      <c r="Q22" s="22"/>
    </row>
    <row r="23" spans="1:17" ht="21.75" customHeight="1" thickBot="1" x14ac:dyDescent="0.3">
      <c r="A23" s="289"/>
      <c r="B23" s="93" t="s">
        <v>64</v>
      </c>
      <c r="C23" s="290" t="s">
        <v>98</v>
      </c>
      <c r="D23" s="291"/>
      <c r="E23" s="291"/>
      <c r="F23" s="292"/>
      <c r="G23" s="276"/>
      <c r="H23" s="276"/>
      <c r="I23" s="276">
        <f>SUM(I18:I22)</f>
        <v>1536</v>
      </c>
      <c r="J23" s="276"/>
      <c r="K23" s="276"/>
      <c r="L23" s="279"/>
      <c r="M23" s="276"/>
      <c r="N23" s="276"/>
      <c r="O23" s="114"/>
      <c r="P23" s="277"/>
      <c r="Q23" s="152"/>
    </row>
    <row r="24" spans="1:17" ht="21.75" customHeight="1" x14ac:dyDescent="0.25">
      <c r="A24" s="287" t="s">
        <v>43</v>
      </c>
      <c r="B24" s="42" t="s">
        <v>1303</v>
      </c>
      <c r="C24" s="140">
        <v>43293</v>
      </c>
      <c r="D24" s="90" t="s">
        <v>988</v>
      </c>
      <c r="E24" s="280" t="s">
        <v>34</v>
      </c>
      <c r="F24" s="40" t="s">
        <v>1304</v>
      </c>
      <c r="G24" s="248">
        <v>840</v>
      </c>
      <c r="H24" s="41" t="s">
        <v>1305</v>
      </c>
      <c r="I24" s="155">
        <v>432</v>
      </c>
      <c r="J24" s="155" t="s">
        <v>1386</v>
      </c>
      <c r="K24" s="155"/>
      <c r="L24" s="53" t="s">
        <v>404</v>
      </c>
      <c r="M24" s="16"/>
      <c r="N24" s="16"/>
      <c r="O24" s="17" t="s">
        <v>1349</v>
      </c>
      <c r="P24" s="18">
        <v>1</v>
      </c>
      <c r="Q24" s="19" t="s">
        <v>19</v>
      </c>
    </row>
    <row r="25" spans="1:17" ht="21.75" customHeight="1" x14ac:dyDescent="0.25">
      <c r="A25" s="288"/>
      <c r="B25" s="45" t="s">
        <v>97</v>
      </c>
      <c r="C25" s="305" t="s">
        <v>35</v>
      </c>
      <c r="D25" s="306"/>
      <c r="E25" s="48"/>
      <c r="F25" s="39"/>
      <c r="G25" s="39"/>
      <c r="H25" s="79"/>
      <c r="I25" s="164">
        <f>840-216*3</f>
        <v>192</v>
      </c>
      <c r="J25" s="48" t="s">
        <v>613</v>
      </c>
      <c r="K25" s="164"/>
      <c r="L25" s="57"/>
      <c r="M25" s="15"/>
      <c r="N25" s="15"/>
      <c r="O25" s="20" t="s">
        <v>1350</v>
      </c>
      <c r="P25" s="21">
        <v>2</v>
      </c>
      <c r="Q25" s="22" t="s">
        <v>20</v>
      </c>
    </row>
    <row r="26" spans="1:17" ht="21.75" customHeight="1" x14ac:dyDescent="0.25">
      <c r="A26" s="288"/>
      <c r="B26" s="43" t="s">
        <v>1387</v>
      </c>
      <c r="C26" s="141">
        <v>43293</v>
      </c>
      <c r="D26" s="91" t="s">
        <v>988</v>
      </c>
      <c r="E26" s="253" t="s">
        <v>34</v>
      </c>
      <c r="F26" s="38" t="s">
        <v>1304</v>
      </c>
      <c r="G26" s="105">
        <v>2412</v>
      </c>
      <c r="H26" s="60" t="s">
        <v>1305</v>
      </c>
      <c r="I26" s="38">
        <v>432</v>
      </c>
      <c r="J26" s="38" t="s">
        <v>168</v>
      </c>
      <c r="K26" s="164"/>
      <c r="L26" s="44" t="s">
        <v>1388</v>
      </c>
      <c r="M26" s="49"/>
      <c r="N26" s="49"/>
      <c r="O26" s="20" t="s">
        <v>1351</v>
      </c>
      <c r="P26" s="21">
        <v>3</v>
      </c>
      <c r="Q26" s="22" t="s">
        <v>21</v>
      </c>
    </row>
    <row r="27" spans="1:17" ht="21.75" customHeight="1" x14ac:dyDescent="0.25">
      <c r="A27" s="288"/>
      <c r="B27" s="45" t="s">
        <v>780</v>
      </c>
      <c r="C27" s="305" t="s">
        <v>35</v>
      </c>
      <c r="D27" s="306"/>
      <c r="E27" s="48"/>
      <c r="F27" s="39"/>
      <c r="G27" s="39"/>
      <c r="H27" s="79"/>
      <c r="I27" s="38">
        <v>432</v>
      </c>
      <c r="J27" s="60" t="s">
        <v>169</v>
      </c>
      <c r="K27" s="38"/>
      <c r="L27" s="44"/>
      <c r="M27" s="49"/>
      <c r="N27" s="49"/>
      <c r="O27" s="20" t="s">
        <v>1352</v>
      </c>
      <c r="P27" s="21">
        <v>4</v>
      </c>
      <c r="Q27" s="22" t="s">
        <v>21</v>
      </c>
    </row>
    <row r="28" spans="1:17" ht="21.75" customHeight="1" x14ac:dyDescent="0.25">
      <c r="A28" s="288"/>
      <c r="B28" s="43"/>
      <c r="C28" s="141"/>
      <c r="D28" s="91"/>
      <c r="E28" s="253"/>
      <c r="F28" s="38"/>
      <c r="G28" s="105"/>
      <c r="H28" s="60"/>
      <c r="I28" s="38">
        <v>216</v>
      </c>
      <c r="J28" s="38" t="s">
        <v>78</v>
      </c>
      <c r="K28" s="164"/>
      <c r="L28" s="44"/>
      <c r="M28" s="49"/>
      <c r="N28" s="49"/>
      <c r="O28" s="20"/>
      <c r="P28" s="21"/>
      <c r="Q28" s="22"/>
    </row>
    <row r="29" spans="1:17" ht="21.75" customHeight="1" x14ac:dyDescent="0.25">
      <c r="A29" s="288"/>
      <c r="B29" s="45"/>
      <c r="C29" s="141"/>
      <c r="D29" s="91"/>
      <c r="E29" s="271"/>
      <c r="F29" s="39"/>
      <c r="G29" s="272"/>
      <c r="H29" s="79"/>
      <c r="I29" s="164"/>
      <c r="J29" s="164"/>
      <c r="K29" s="164"/>
      <c r="L29" s="57"/>
      <c r="M29" s="49"/>
      <c r="N29" s="49"/>
      <c r="O29" s="20"/>
      <c r="P29" s="21"/>
      <c r="Q29" s="22"/>
    </row>
    <row r="30" spans="1:17" ht="21.75" customHeight="1" x14ac:dyDescent="0.25">
      <c r="A30" s="288"/>
      <c r="B30" s="45"/>
      <c r="C30" s="141"/>
      <c r="D30" s="91"/>
      <c r="E30" s="48"/>
      <c r="F30" s="39"/>
      <c r="G30" s="39"/>
      <c r="H30" s="79"/>
      <c r="I30" s="164"/>
      <c r="J30" s="48"/>
      <c r="K30" s="164"/>
      <c r="L30" s="57"/>
      <c r="M30" s="49"/>
      <c r="N30" s="49"/>
      <c r="O30" s="20"/>
      <c r="P30" s="21"/>
      <c r="Q30" s="22"/>
    </row>
    <row r="31" spans="1:17" ht="24" customHeight="1" thickBot="1" x14ac:dyDescent="0.3">
      <c r="A31" s="289"/>
      <c r="B31" s="93" t="s">
        <v>64</v>
      </c>
      <c r="C31" s="290" t="s">
        <v>98</v>
      </c>
      <c r="D31" s="291"/>
      <c r="E31" s="291"/>
      <c r="F31" s="292"/>
      <c r="G31" s="276"/>
      <c r="H31" s="276"/>
      <c r="I31" s="276">
        <f>SUM(I24:I30)</f>
        <v>1704</v>
      </c>
      <c r="J31" s="276"/>
      <c r="K31" s="276"/>
      <c r="L31" s="279"/>
      <c r="M31" s="276"/>
      <c r="N31" s="276"/>
      <c r="O31" s="114"/>
      <c r="P31" s="277"/>
      <c r="Q31" s="152"/>
    </row>
    <row r="32" spans="1:17" ht="25.5" customHeight="1" thickBot="1" x14ac:dyDescent="0.3">
      <c r="A32" s="37"/>
      <c r="B32" s="64"/>
      <c r="C32" s="65"/>
      <c r="D32" s="66"/>
      <c r="E32" s="67"/>
      <c r="F32" s="68"/>
      <c r="G32" s="67"/>
      <c r="H32" s="67"/>
      <c r="I32" s="69">
        <f>SUM(I31,I23,I17,I9)</f>
        <v>6534</v>
      </c>
      <c r="J32" s="70"/>
      <c r="K32" s="70"/>
      <c r="L32" s="65"/>
      <c r="M32" s="71"/>
      <c r="N32" s="69"/>
      <c r="O32" s="70"/>
      <c r="P32" s="70"/>
      <c r="Q32" s="72"/>
    </row>
    <row r="33" spans="1:17" ht="17.25" customHeight="1" thickTop="1" x14ac:dyDescent="0.3">
      <c r="A33" s="23" t="s">
        <v>22</v>
      </c>
      <c r="B33" s="24"/>
      <c r="C33" s="25"/>
      <c r="D33" s="24"/>
      <c r="E33" s="24"/>
      <c r="F33" s="26"/>
      <c r="G33" s="27"/>
      <c r="H33" s="28" t="s">
        <v>23</v>
      </c>
      <c r="I33" s="29"/>
      <c r="J33" s="29"/>
      <c r="K33" s="29"/>
      <c r="L33" s="30"/>
      <c r="M33" s="29"/>
      <c r="N33" s="29"/>
      <c r="O33" s="29"/>
      <c r="P33" s="278" t="s">
        <v>24</v>
      </c>
      <c r="Q33" s="31"/>
    </row>
    <row r="34" spans="1:17" ht="16.5" x14ac:dyDescent="0.3">
      <c r="A34" s="1"/>
      <c r="B34" s="32">
        <v>1</v>
      </c>
      <c r="C34" s="33"/>
      <c r="D34" s="32"/>
      <c r="E34" s="32"/>
      <c r="F34" s="304" t="s">
        <v>25</v>
      </c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</row>
    <row r="35" spans="1:17" ht="16.5" x14ac:dyDescent="0.3">
      <c r="A35" s="1"/>
      <c r="B35" s="297" t="s">
        <v>26</v>
      </c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</row>
    <row r="36" spans="1:17" ht="16.5" x14ac:dyDescent="0.3">
      <c r="A36" s="1"/>
      <c r="B36" s="34">
        <v>2</v>
      </c>
      <c r="C36" s="35"/>
      <c r="D36" s="36"/>
      <c r="E36" s="36"/>
      <c r="F36" s="298" t="s">
        <v>27</v>
      </c>
      <c r="G36" s="298"/>
      <c r="H36" s="298"/>
      <c r="I36" s="298"/>
      <c r="J36" s="298"/>
      <c r="K36" s="298"/>
      <c r="L36" s="298"/>
      <c r="M36" s="298"/>
      <c r="N36" s="298"/>
      <c r="O36" s="298"/>
      <c r="P36" s="299" t="s">
        <v>28</v>
      </c>
      <c r="Q36" s="300"/>
    </row>
    <row r="37" spans="1:17" ht="16.5" x14ac:dyDescent="0.3">
      <c r="A37" s="1"/>
      <c r="B37" s="297" t="s">
        <v>29</v>
      </c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1"/>
      <c r="Q37" s="1"/>
    </row>
  </sheetData>
  <mergeCells count="21">
    <mergeCell ref="A4:A9"/>
    <mergeCell ref="A1:Q1"/>
    <mergeCell ref="A2:B2"/>
    <mergeCell ref="C2:E2"/>
    <mergeCell ref="F2:G2"/>
    <mergeCell ref="O2:Q2"/>
    <mergeCell ref="C11:D11"/>
    <mergeCell ref="C16:D16"/>
    <mergeCell ref="C25:D25"/>
    <mergeCell ref="A10:A17"/>
    <mergeCell ref="C17:F17"/>
    <mergeCell ref="A18:A23"/>
    <mergeCell ref="C23:F23"/>
    <mergeCell ref="A24:A31"/>
    <mergeCell ref="C27:D27"/>
    <mergeCell ref="C31:F31"/>
    <mergeCell ref="F34:Q34"/>
    <mergeCell ref="B35:Q35"/>
    <mergeCell ref="F36:O36"/>
    <mergeCell ref="P36:Q36"/>
    <mergeCell ref="B37:O37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33"/>
  <sheetViews>
    <sheetView topLeftCell="A7" zoomScale="109" zoomScaleNormal="109" workbookViewId="0">
      <selection activeCell="I12" sqref="I12:I14"/>
    </sheetView>
  </sheetViews>
  <sheetFormatPr defaultRowHeight="15.75" x14ac:dyDescent="0.25"/>
  <cols>
    <col min="2" max="2" width="15.7109375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5.855468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28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28" s="5" customFormat="1" ht="19.5" customHeight="1" thickBot="1" x14ac:dyDescent="0.35">
      <c r="A2" s="294" t="s">
        <v>1</v>
      </c>
      <c r="B2" s="294"/>
      <c r="C2" s="295">
        <v>43265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43266</v>
      </c>
      <c r="P2" s="295"/>
      <c r="Q2" s="295"/>
    </row>
    <row r="3" spans="1:28" s="13" customFormat="1" ht="41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  <c r="R3"/>
      <c r="S3"/>
      <c r="T3"/>
      <c r="U3"/>
      <c r="V3"/>
      <c r="W3"/>
      <c r="X3"/>
      <c r="Y3"/>
      <c r="Z3"/>
      <c r="AA3"/>
      <c r="AB3"/>
    </row>
    <row r="4" spans="1:28" ht="26.25" customHeight="1" x14ac:dyDescent="0.25">
      <c r="A4" s="307" t="s">
        <v>44</v>
      </c>
      <c r="B4" s="42" t="s">
        <v>1308</v>
      </c>
      <c r="C4" s="121">
        <v>43276</v>
      </c>
      <c r="D4" s="109" t="s">
        <v>93</v>
      </c>
      <c r="E4" s="122" t="s">
        <v>143</v>
      </c>
      <c r="F4" s="108" t="s">
        <v>1101</v>
      </c>
      <c r="G4" s="40">
        <v>1800</v>
      </c>
      <c r="H4" s="41" t="s">
        <v>1102</v>
      </c>
      <c r="I4" s="155">
        <v>432</v>
      </c>
      <c r="J4" s="155" t="s">
        <v>517</v>
      </c>
      <c r="K4" s="155"/>
      <c r="L4" s="123" t="s">
        <v>1188</v>
      </c>
      <c r="M4" s="16"/>
      <c r="N4" s="16"/>
      <c r="O4" s="17" t="s">
        <v>1349</v>
      </c>
      <c r="P4" s="18">
        <v>1</v>
      </c>
      <c r="Q4" s="19" t="s">
        <v>19</v>
      </c>
    </row>
    <row r="5" spans="1:28" ht="26.25" customHeight="1" x14ac:dyDescent="0.25">
      <c r="A5" s="308"/>
      <c r="B5" s="45" t="s">
        <v>73</v>
      </c>
      <c r="C5" s="136"/>
      <c r="D5" s="269"/>
      <c r="E5" s="270"/>
      <c r="F5" s="222"/>
      <c r="G5" s="164"/>
      <c r="H5" s="48"/>
      <c r="I5" s="164">
        <v>432</v>
      </c>
      <c r="J5" s="164" t="s">
        <v>68</v>
      </c>
      <c r="K5" s="164"/>
      <c r="L5" s="51"/>
      <c r="M5" s="87"/>
      <c r="N5" s="87"/>
      <c r="O5" s="20" t="s">
        <v>1350</v>
      </c>
      <c r="P5" s="21">
        <v>2</v>
      </c>
      <c r="Q5" s="22" t="s">
        <v>20</v>
      </c>
    </row>
    <row r="6" spans="1:28" ht="26.25" customHeight="1" x14ac:dyDescent="0.25">
      <c r="A6" s="308"/>
      <c r="B6" s="45"/>
      <c r="C6" s="117"/>
      <c r="D6" s="113"/>
      <c r="E6" s="102"/>
      <c r="F6" s="101"/>
      <c r="G6" s="39"/>
      <c r="H6" s="79"/>
      <c r="I6" s="164">
        <v>432</v>
      </c>
      <c r="J6" s="164" t="s">
        <v>1389</v>
      </c>
      <c r="K6" s="164"/>
      <c r="L6" s="51"/>
      <c r="M6" s="49"/>
      <c r="N6" s="49"/>
      <c r="O6" s="20" t="s">
        <v>1351</v>
      </c>
      <c r="P6" s="21">
        <v>3</v>
      </c>
      <c r="Q6" s="22" t="s">
        <v>21</v>
      </c>
    </row>
    <row r="7" spans="1:28" ht="26.25" customHeight="1" x14ac:dyDescent="0.25">
      <c r="A7" s="308"/>
      <c r="B7" s="45"/>
      <c r="C7" s="117"/>
      <c r="D7" s="113"/>
      <c r="E7" s="102"/>
      <c r="F7" s="101"/>
      <c r="G7" s="39"/>
      <c r="H7" s="79"/>
      <c r="I7" s="164">
        <f>1800-216*7</f>
        <v>288</v>
      </c>
      <c r="J7" s="164" t="s">
        <v>1390</v>
      </c>
      <c r="K7" s="164"/>
      <c r="L7" s="51"/>
      <c r="M7" s="49"/>
      <c r="N7" s="49"/>
      <c r="O7" s="20" t="s">
        <v>1352</v>
      </c>
      <c r="P7" s="21">
        <v>4</v>
      </c>
      <c r="Q7" s="22" t="s">
        <v>21</v>
      </c>
    </row>
    <row r="8" spans="1:28" ht="26.25" customHeight="1" x14ac:dyDescent="0.25">
      <c r="A8" s="308"/>
      <c r="B8" s="45"/>
      <c r="C8" s="136"/>
      <c r="D8" s="269"/>
      <c r="E8" s="270"/>
      <c r="F8" s="222"/>
      <c r="G8" s="164"/>
      <c r="H8" s="48"/>
      <c r="I8" s="164"/>
      <c r="J8" s="164"/>
      <c r="K8" s="164"/>
      <c r="L8" s="51"/>
      <c r="M8" s="49"/>
      <c r="N8" s="49"/>
      <c r="O8" s="20"/>
      <c r="P8" s="21"/>
      <c r="Q8" s="22"/>
    </row>
    <row r="9" spans="1:28" ht="26.25" customHeight="1" thickBot="1" x14ac:dyDescent="0.3">
      <c r="A9" s="309"/>
      <c r="B9" s="93" t="s">
        <v>64</v>
      </c>
      <c r="C9" s="290" t="s">
        <v>65</v>
      </c>
      <c r="D9" s="291"/>
      <c r="E9" s="291"/>
      <c r="F9" s="292"/>
      <c r="G9" s="276"/>
      <c r="H9" s="276"/>
      <c r="I9" s="276">
        <f>SUM(I4:I7)</f>
        <v>1584</v>
      </c>
      <c r="J9" s="276"/>
      <c r="K9" s="276"/>
      <c r="L9" s="279"/>
      <c r="M9" s="276"/>
      <c r="N9" s="276"/>
      <c r="O9" s="114"/>
      <c r="P9" s="277"/>
      <c r="Q9" s="277"/>
    </row>
    <row r="10" spans="1:28" ht="26.25" customHeight="1" x14ac:dyDescent="0.25">
      <c r="A10" s="287" t="s">
        <v>45</v>
      </c>
      <c r="B10" s="42" t="s">
        <v>1240</v>
      </c>
      <c r="C10" s="121">
        <v>43269</v>
      </c>
      <c r="D10" s="109" t="s">
        <v>59</v>
      </c>
      <c r="E10" s="122" t="s">
        <v>54</v>
      </c>
      <c r="F10" s="108" t="s">
        <v>1241</v>
      </c>
      <c r="G10" s="40">
        <v>2808</v>
      </c>
      <c r="H10" s="41" t="s">
        <v>117</v>
      </c>
      <c r="I10" s="155">
        <v>432</v>
      </c>
      <c r="J10" s="155" t="s">
        <v>283</v>
      </c>
      <c r="K10" s="155"/>
      <c r="L10" s="123" t="s">
        <v>67</v>
      </c>
      <c r="M10" s="95"/>
      <c r="N10" s="16"/>
      <c r="O10" s="17" t="s">
        <v>1349</v>
      </c>
      <c r="P10" s="18">
        <v>1</v>
      </c>
      <c r="Q10" s="19" t="s">
        <v>19</v>
      </c>
    </row>
    <row r="11" spans="1:28" ht="26.25" customHeight="1" x14ac:dyDescent="0.25">
      <c r="A11" s="288"/>
      <c r="B11" s="45" t="s">
        <v>1245</v>
      </c>
      <c r="C11" s="268"/>
      <c r="D11" s="186"/>
      <c r="E11" s="221"/>
      <c r="F11" s="222"/>
      <c r="G11" s="164"/>
      <c r="H11" s="48"/>
      <c r="I11" s="164">
        <f>2808-216*11</f>
        <v>432</v>
      </c>
      <c r="J11" s="164" t="s">
        <v>194</v>
      </c>
      <c r="K11" s="164"/>
      <c r="L11" s="51"/>
      <c r="M11" s="15"/>
      <c r="N11" s="63"/>
      <c r="O11" s="20" t="s">
        <v>1350</v>
      </c>
      <c r="P11" s="21">
        <v>2</v>
      </c>
      <c r="Q11" s="22" t="s">
        <v>20</v>
      </c>
    </row>
    <row r="12" spans="1:28" ht="26.25" customHeight="1" x14ac:dyDescent="0.25">
      <c r="A12" s="288"/>
      <c r="B12" s="45" t="s">
        <v>1391</v>
      </c>
      <c r="C12" s="112">
        <v>43274</v>
      </c>
      <c r="D12" s="110" t="s">
        <v>55</v>
      </c>
      <c r="E12" s="102" t="s">
        <v>54</v>
      </c>
      <c r="F12" s="101" t="s">
        <v>1392</v>
      </c>
      <c r="G12" s="39">
        <v>540</v>
      </c>
      <c r="H12" s="79" t="s">
        <v>58</v>
      </c>
      <c r="I12" s="164">
        <v>432</v>
      </c>
      <c r="J12" s="164" t="s">
        <v>168</v>
      </c>
      <c r="K12" s="164"/>
      <c r="L12" s="51" t="s">
        <v>1394</v>
      </c>
      <c r="M12" s="83"/>
      <c r="N12" s="83"/>
      <c r="O12" s="20" t="s">
        <v>1351</v>
      </c>
      <c r="P12" s="21">
        <v>3</v>
      </c>
      <c r="Q12" s="22" t="s">
        <v>21</v>
      </c>
    </row>
    <row r="13" spans="1:28" ht="26.25" customHeight="1" x14ac:dyDescent="0.25">
      <c r="A13" s="288"/>
      <c r="B13" s="45" t="s">
        <v>1393</v>
      </c>
      <c r="C13" s="112"/>
      <c r="D13" s="110"/>
      <c r="E13" s="102"/>
      <c r="F13" s="101"/>
      <c r="G13" s="39"/>
      <c r="H13" s="79"/>
      <c r="I13" s="164">
        <f>540-216*2</f>
        <v>108</v>
      </c>
      <c r="J13" s="164" t="s">
        <v>182</v>
      </c>
      <c r="K13" s="164"/>
      <c r="L13" s="51"/>
      <c r="M13" s="15"/>
      <c r="N13" s="15"/>
      <c r="O13" s="20" t="s">
        <v>1352</v>
      </c>
      <c r="P13" s="21">
        <v>4</v>
      </c>
      <c r="Q13" s="22" t="s">
        <v>21</v>
      </c>
    </row>
    <row r="14" spans="1:28" ht="26.25" customHeight="1" x14ac:dyDescent="0.25">
      <c r="A14" s="288"/>
      <c r="B14" s="45" t="s">
        <v>1395</v>
      </c>
      <c r="C14" s="112">
        <v>43274</v>
      </c>
      <c r="D14" s="110" t="s">
        <v>55</v>
      </c>
      <c r="E14" s="102" t="s">
        <v>54</v>
      </c>
      <c r="F14" s="101" t="s">
        <v>1392</v>
      </c>
      <c r="G14" s="39">
        <v>120</v>
      </c>
      <c r="H14" s="79" t="s">
        <v>58</v>
      </c>
      <c r="I14" s="164">
        <v>120</v>
      </c>
      <c r="J14" s="164" t="s">
        <v>173</v>
      </c>
      <c r="K14" s="164"/>
      <c r="L14" s="51" t="s">
        <v>1381</v>
      </c>
      <c r="M14" s="15"/>
      <c r="N14" s="15"/>
      <c r="O14" s="20"/>
      <c r="P14" s="21"/>
      <c r="Q14" s="22"/>
    </row>
    <row r="15" spans="1:28" ht="26.25" customHeight="1" thickBot="1" x14ac:dyDescent="0.3">
      <c r="A15" s="289"/>
      <c r="B15" s="93"/>
      <c r="C15" s="276"/>
      <c r="D15" s="276"/>
      <c r="E15" s="276"/>
      <c r="F15" s="276"/>
      <c r="G15" s="276"/>
      <c r="H15" s="276"/>
      <c r="I15" s="276">
        <f>SUM(I10:I14)</f>
        <v>1524</v>
      </c>
      <c r="J15" s="276"/>
      <c r="K15" s="276"/>
      <c r="L15" s="279"/>
      <c r="M15" s="276"/>
      <c r="N15" s="276"/>
      <c r="O15" s="114"/>
      <c r="P15" s="276"/>
      <c r="Q15" s="276"/>
    </row>
    <row r="16" spans="1:28" ht="26.25" customHeight="1" x14ac:dyDescent="0.25">
      <c r="A16" s="287" t="s">
        <v>46</v>
      </c>
      <c r="B16" s="42" t="s">
        <v>1190</v>
      </c>
      <c r="C16" s="140">
        <v>43281</v>
      </c>
      <c r="D16" s="77" t="s">
        <v>59</v>
      </c>
      <c r="E16" s="41" t="s">
        <v>143</v>
      </c>
      <c r="F16" s="40" t="s">
        <v>1106</v>
      </c>
      <c r="G16" s="40">
        <v>2292</v>
      </c>
      <c r="H16" s="41" t="s">
        <v>66</v>
      </c>
      <c r="I16" s="40">
        <v>432</v>
      </c>
      <c r="J16" s="40" t="s">
        <v>1396</v>
      </c>
      <c r="K16" s="40"/>
      <c r="L16" s="97" t="s">
        <v>299</v>
      </c>
      <c r="M16" s="95"/>
      <c r="N16" s="95"/>
      <c r="O16" s="17" t="s">
        <v>1349</v>
      </c>
      <c r="P16" s="18">
        <v>1</v>
      </c>
      <c r="Q16" s="19" t="s">
        <v>19</v>
      </c>
    </row>
    <row r="17" spans="1:17" ht="26.25" customHeight="1" x14ac:dyDescent="0.25">
      <c r="A17" s="288"/>
      <c r="B17" s="43" t="s">
        <v>780</v>
      </c>
      <c r="C17" s="131"/>
      <c r="D17" s="78"/>
      <c r="E17" s="60"/>
      <c r="F17" s="38"/>
      <c r="G17" s="38"/>
      <c r="H17" s="60"/>
      <c r="I17" s="164">
        <f>2292-216*9</f>
        <v>348</v>
      </c>
      <c r="J17" s="164" t="s">
        <v>1397</v>
      </c>
      <c r="K17" s="164"/>
      <c r="L17" s="119"/>
      <c r="M17" s="49"/>
      <c r="N17" s="15"/>
      <c r="O17" s="20" t="s">
        <v>1350</v>
      </c>
      <c r="P17" s="21">
        <v>2</v>
      </c>
      <c r="Q17" s="22" t="s">
        <v>20</v>
      </c>
    </row>
    <row r="18" spans="1:17" ht="26.25" customHeight="1" x14ac:dyDescent="0.25">
      <c r="A18" s="288"/>
      <c r="B18" s="45" t="s">
        <v>1398</v>
      </c>
      <c r="C18" s="141">
        <v>43291</v>
      </c>
      <c r="D18" s="78" t="s">
        <v>55</v>
      </c>
      <c r="E18" s="60" t="s">
        <v>143</v>
      </c>
      <c r="F18" s="38" t="s">
        <v>1106</v>
      </c>
      <c r="G18" s="164">
        <v>294</v>
      </c>
      <c r="H18" s="48" t="s">
        <v>66</v>
      </c>
      <c r="I18" s="164">
        <v>294</v>
      </c>
      <c r="J18" s="164" t="s">
        <v>173</v>
      </c>
      <c r="K18" s="164"/>
      <c r="L18" s="119" t="s">
        <v>1400</v>
      </c>
      <c r="M18" s="49"/>
      <c r="N18" s="15"/>
      <c r="O18" s="20" t="s">
        <v>1351</v>
      </c>
      <c r="P18" s="21">
        <v>3</v>
      </c>
      <c r="Q18" s="22" t="s">
        <v>21</v>
      </c>
    </row>
    <row r="19" spans="1:17" ht="26.25" customHeight="1" x14ac:dyDescent="0.25">
      <c r="A19" s="288"/>
      <c r="B19" s="43" t="s">
        <v>1399</v>
      </c>
      <c r="C19" s="141">
        <v>43298</v>
      </c>
      <c r="D19" s="78" t="s">
        <v>93</v>
      </c>
      <c r="E19" s="60" t="s">
        <v>143</v>
      </c>
      <c r="F19" s="38" t="s">
        <v>1106</v>
      </c>
      <c r="G19" s="38">
        <v>1800</v>
      </c>
      <c r="H19" s="60" t="s">
        <v>66</v>
      </c>
      <c r="I19" s="38">
        <v>360</v>
      </c>
      <c r="J19" s="38" t="s">
        <v>168</v>
      </c>
      <c r="K19" s="38"/>
      <c r="L19" s="99" t="s">
        <v>1400</v>
      </c>
      <c r="M19" s="49"/>
      <c r="N19" s="49"/>
      <c r="O19" s="20" t="s">
        <v>1352</v>
      </c>
      <c r="P19" s="21">
        <v>4</v>
      </c>
      <c r="Q19" s="22" t="s">
        <v>21</v>
      </c>
    </row>
    <row r="20" spans="1:17" ht="26.25" customHeight="1" x14ac:dyDescent="0.25">
      <c r="A20" s="288"/>
      <c r="B20" s="43" t="s">
        <v>493</v>
      </c>
      <c r="C20" s="131"/>
      <c r="D20" s="78"/>
      <c r="E20" s="60"/>
      <c r="F20" s="38"/>
      <c r="G20" s="38"/>
      <c r="H20" s="60"/>
      <c r="I20" s="164"/>
      <c r="J20" s="164"/>
      <c r="K20" s="164"/>
      <c r="L20" s="119"/>
      <c r="M20" s="49"/>
      <c r="N20" s="59"/>
      <c r="O20" s="20"/>
      <c r="P20" s="21"/>
      <c r="Q20" s="22"/>
    </row>
    <row r="21" spans="1:17" ht="26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276"/>
      <c r="H21" s="276"/>
      <c r="I21" s="276">
        <f>SUM(I16:I20)</f>
        <v>1434</v>
      </c>
      <c r="J21" s="276"/>
      <c r="K21" s="276"/>
      <c r="L21" s="80"/>
      <c r="M21" s="276"/>
      <c r="N21" s="276"/>
      <c r="O21" s="114"/>
      <c r="P21" s="276"/>
      <c r="Q21" s="277"/>
    </row>
    <row r="22" spans="1:17" ht="26.25" customHeight="1" x14ac:dyDescent="0.25">
      <c r="A22" s="310" t="s">
        <v>47</v>
      </c>
      <c r="B22" s="42" t="s">
        <v>1314</v>
      </c>
      <c r="C22" s="140">
        <v>43281</v>
      </c>
      <c r="D22" s="77" t="s">
        <v>59</v>
      </c>
      <c r="E22" s="41" t="s">
        <v>69</v>
      </c>
      <c r="F22" s="108" t="s">
        <v>1002</v>
      </c>
      <c r="G22" s="40">
        <v>1320</v>
      </c>
      <c r="H22" s="41" t="s">
        <v>66</v>
      </c>
      <c r="I22" s="40">
        <v>432</v>
      </c>
      <c r="J22" s="40" t="s">
        <v>1401</v>
      </c>
      <c r="K22" s="40"/>
      <c r="L22" s="97" t="s">
        <v>1400</v>
      </c>
      <c r="M22" s="16"/>
      <c r="N22" s="16"/>
      <c r="O22" s="17" t="s">
        <v>1349</v>
      </c>
      <c r="P22" s="18">
        <v>1</v>
      </c>
      <c r="Q22" s="19" t="s">
        <v>19</v>
      </c>
    </row>
    <row r="23" spans="1:17" ht="26.25" customHeight="1" x14ac:dyDescent="0.25">
      <c r="A23" s="311"/>
      <c r="B23" s="45" t="s">
        <v>1315</v>
      </c>
      <c r="C23" s="86"/>
      <c r="D23" s="82"/>
      <c r="E23" s="79"/>
      <c r="F23" s="101"/>
      <c r="G23" s="164"/>
      <c r="H23" s="48"/>
      <c r="I23" s="38">
        <f>1320-216*4</f>
        <v>456</v>
      </c>
      <c r="J23" s="38" t="s">
        <v>1402</v>
      </c>
      <c r="K23" s="38"/>
      <c r="L23" s="99"/>
      <c r="M23" s="87"/>
      <c r="N23" s="87"/>
      <c r="O23" s="20" t="s">
        <v>1350</v>
      </c>
      <c r="P23" s="21">
        <v>2</v>
      </c>
      <c r="Q23" s="22" t="s">
        <v>20</v>
      </c>
    </row>
    <row r="24" spans="1:17" ht="26.25" customHeight="1" x14ac:dyDescent="0.25">
      <c r="A24" s="311"/>
      <c r="B24" s="45" t="s">
        <v>1403</v>
      </c>
      <c r="C24" s="86">
        <v>43291</v>
      </c>
      <c r="D24" s="82" t="s">
        <v>55</v>
      </c>
      <c r="E24" s="79" t="s">
        <v>69</v>
      </c>
      <c r="F24" s="101" t="s">
        <v>1002</v>
      </c>
      <c r="G24" s="164">
        <v>894</v>
      </c>
      <c r="H24" s="48" t="s">
        <v>66</v>
      </c>
      <c r="I24" s="38">
        <v>432</v>
      </c>
      <c r="J24" s="38" t="s">
        <v>168</v>
      </c>
      <c r="K24" s="38"/>
      <c r="L24" s="99" t="s">
        <v>1400</v>
      </c>
      <c r="M24" s="15"/>
      <c r="N24" s="15"/>
      <c r="O24" s="20" t="s">
        <v>1351</v>
      </c>
      <c r="P24" s="21">
        <v>3</v>
      </c>
      <c r="Q24" s="22" t="s">
        <v>21</v>
      </c>
    </row>
    <row r="25" spans="1:17" ht="26.25" customHeight="1" x14ac:dyDescent="0.25">
      <c r="A25" s="311"/>
      <c r="B25" s="43" t="s">
        <v>97</v>
      </c>
      <c r="C25" s="131"/>
      <c r="D25" s="82"/>
      <c r="E25" s="60"/>
      <c r="F25" s="118"/>
      <c r="G25" s="38"/>
      <c r="H25" s="60"/>
      <c r="I25" s="38">
        <v>216</v>
      </c>
      <c r="J25" s="38" t="s">
        <v>182</v>
      </c>
      <c r="K25" s="38"/>
      <c r="L25" s="99"/>
      <c r="M25" s="15"/>
      <c r="N25" s="15"/>
      <c r="O25" s="20" t="s">
        <v>1352</v>
      </c>
      <c r="P25" s="21">
        <v>4</v>
      </c>
      <c r="Q25" s="22" t="s">
        <v>21</v>
      </c>
    </row>
    <row r="26" spans="1:17" ht="26.25" customHeight="1" x14ac:dyDescent="0.25">
      <c r="A26" s="311"/>
      <c r="B26" s="45"/>
      <c r="C26" s="86"/>
      <c r="D26" s="82"/>
      <c r="E26" s="79"/>
      <c r="F26" s="101"/>
      <c r="G26" s="164"/>
      <c r="H26" s="48"/>
      <c r="I26" s="38"/>
      <c r="J26" s="38"/>
      <c r="K26" s="38"/>
      <c r="L26" s="99"/>
      <c r="M26" s="15"/>
      <c r="N26" s="49"/>
      <c r="O26" s="20"/>
      <c r="P26" s="21"/>
      <c r="Q26" s="22"/>
    </row>
    <row r="27" spans="1:17" ht="26.25" customHeight="1" thickBot="1" x14ac:dyDescent="0.3">
      <c r="A27" s="312"/>
      <c r="B27" s="93" t="s">
        <v>64</v>
      </c>
      <c r="C27" s="290" t="s">
        <v>65</v>
      </c>
      <c r="D27" s="291"/>
      <c r="E27" s="291"/>
      <c r="F27" s="292"/>
      <c r="G27" s="276"/>
      <c r="H27" s="276"/>
      <c r="I27" s="277">
        <f>SUM(I22:I26)</f>
        <v>1536</v>
      </c>
      <c r="J27" s="277"/>
      <c r="K27" s="277"/>
      <c r="L27" s="162"/>
      <c r="M27" s="277"/>
      <c r="N27" s="277"/>
      <c r="O27" s="277"/>
      <c r="P27" s="277"/>
      <c r="Q27" s="277"/>
    </row>
    <row r="28" spans="1:17" ht="29.25" customHeight="1" thickBot="1" x14ac:dyDescent="0.3">
      <c r="A28" s="73"/>
      <c r="B28" s="64"/>
      <c r="C28" s="65"/>
      <c r="D28" s="66"/>
      <c r="E28" s="67"/>
      <c r="F28" s="66"/>
      <c r="G28" s="67"/>
      <c r="H28" s="67"/>
      <c r="I28" s="69">
        <f>SUM(I27,I21,I15,I9)</f>
        <v>6078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78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17">
    <mergeCell ref="A4:A9"/>
    <mergeCell ref="C9:F9"/>
    <mergeCell ref="A1:Q1"/>
    <mergeCell ref="A2:B2"/>
    <mergeCell ref="C2:E2"/>
    <mergeCell ref="F2:G2"/>
    <mergeCell ref="O2:Q2"/>
    <mergeCell ref="B31:Q31"/>
    <mergeCell ref="F32:O32"/>
    <mergeCell ref="P32:Q32"/>
    <mergeCell ref="B33:O33"/>
    <mergeCell ref="A10:A15"/>
    <mergeCell ref="A16:A21"/>
    <mergeCell ref="C21:F21"/>
    <mergeCell ref="A22:A27"/>
    <mergeCell ref="C27:F27"/>
    <mergeCell ref="F30:Q30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33"/>
  <sheetViews>
    <sheetView topLeftCell="A19" zoomScale="115" zoomScaleNormal="115" workbookViewId="0">
      <selection activeCell="J26" sqref="J26"/>
    </sheetView>
  </sheetViews>
  <sheetFormatPr defaultRowHeight="15.75" x14ac:dyDescent="0.25"/>
  <cols>
    <col min="2" max="2" width="17" customWidth="1"/>
    <col min="3" max="5" width="4.28515625" customWidth="1"/>
    <col min="6" max="6" width="9.7109375" customWidth="1"/>
    <col min="7" max="7" width="7.28515625" customWidth="1"/>
    <col min="8" max="8" width="9.7109375" customWidth="1"/>
    <col min="9" max="9" width="7.42578125" customWidth="1"/>
    <col min="10" max="10" width="8.7109375" customWidth="1"/>
    <col min="11" max="11" width="2.28515625" customWidth="1"/>
    <col min="12" max="12" width="4.7109375" customWidth="1"/>
    <col min="13" max="14" width="1.42578125" customWidth="1"/>
    <col min="15" max="15" width="8.7109375" customWidth="1"/>
    <col min="16" max="16" width="3" customWidth="1"/>
    <col min="17" max="17" width="4.85546875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43266</v>
      </c>
      <c r="P2" s="295"/>
      <c r="Q2" s="295"/>
    </row>
    <row r="3" spans="1:17" s="13" customFormat="1" ht="41.25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3.25" customHeight="1" x14ac:dyDescent="0.25">
      <c r="A4" s="287" t="s">
        <v>48</v>
      </c>
      <c r="B4" s="338" t="s">
        <v>821</v>
      </c>
      <c r="C4" s="241">
        <v>43277</v>
      </c>
      <c r="D4" s="138" t="s">
        <v>93</v>
      </c>
      <c r="E4" s="77" t="s">
        <v>56</v>
      </c>
      <c r="F4" s="54" t="s">
        <v>736</v>
      </c>
      <c r="G4" s="40">
        <v>21660</v>
      </c>
      <c r="H4" s="41" t="s">
        <v>53</v>
      </c>
      <c r="I4" s="155">
        <v>456</v>
      </c>
      <c r="J4" s="155" t="s">
        <v>1404</v>
      </c>
      <c r="K4" s="155"/>
      <c r="L4" s="54" t="s">
        <v>72</v>
      </c>
      <c r="M4" s="16"/>
      <c r="N4" s="16"/>
      <c r="O4" s="17" t="s">
        <v>1349</v>
      </c>
      <c r="P4" s="18">
        <v>1</v>
      </c>
      <c r="Q4" s="19" t="s">
        <v>19</v>
      </c>
    </row>
    <row r="5" spans="1:17" ht="23.25" customHeight="1" x14ac:dyDescent="0.25">
      <c r="A5" s="288"/>
      <c r="B5" s="339"/>
      <c r="C5" s="112"/>
      <c r="D5" s="135"/>
      <c r="E5" s="223" t="s">
        <v>737</v>
      </c>
      <c r="F5" s="143"/>
      <c r="G5" s="38"/>
      <c r="H5" s="60"/>
      <c r="I5" s="84">
        <v>456</v>
      </c>
      <c r="J5" s="164" t="s">
        <v>1405</v>
      </c>
      <c r="K5" s="164"/>
      <c r="L5" s="57"/>
      <c r="M5" s="98"/>
      <c r="N5" s="63"/>
      <c r="O5" s="20" t="s">
        <v>1350</v>
      </c>
      <c r="P5" s="21">
        <v>2</v>
      </c>
      <c r="Q5" s="22" t="s">
        <v>20</v>
      </c>
    </row>
    <row r="6" spans="1:17" ht="23.25" customHeight="1" x14ac:dyDescent="0.25">
      <c r="A6" s="288"/>
      <c r="B6" s="45" t="s">
        <v>820</v>
      </c>
      <c r="C6" s="112"/>
      <c r="D6" s="135"/>
      <c r="E6" s="82"/>
      <c r="F6" s="143"/>
      <c r="G6" s="39"/>
      <c r="H6" s="60"/>
      <c r="I6" s="164">
        <v>456</v>
      </c>
      <c r="J6" s="164" t="s">
        <v>1406</v>
      </c>
      <c r="K6" s="164"/>
      <c r="L6" s="57"/>
      <c r="M6" s="98"/>
      <c r="N6" s="63"/>
      <c r="O6" s="20" t="s">
        <v>1351</v>
      </c>
      <c r="P6" s="21">
        <v>3</v>
      </c>
      <c r="Q6" s="22" t="s">
        <v>21</v>
      </c>
    </row>
    <row r="7" spans="1:17" ht="23.25" customHeight="1" x14ac:dyDescent="0.25">
      <c r="A7" s="288"/>
      <c r="B7" s="126"/>
      <c r="C7" s="112"/>
      <c r="D7" s="135"/>
      <c r="E7" s="125"/>
      <c r="F7" s="143"/>
      <c r="G7" s="38"/>
      <c r="H7" s="60"/>
      <c r="I7" s="84">
        <v>456</v>
      </c>
      <c r="J7" s="164" t="s">
        <v>1407</v>
      </c>
      <c r="K7" s="164"/>
      <c r="L7" s="57"/>
      <c r="M7" s="63"/>
      <c r="N7" s="63"/>
      <c r="O7" s="20" t="s">
        <v>1352</v>
      </c>
      <c r="P7" s="21">
        <v>4</v>
      </c>
      <c r="Q7" s="22" t="s">
        <v>21</v>
      </c>
    </row>
    <row r="8" spans="1:17" ht="23.25" customHeight="1" x14ac:dyDescent="0.25">
      <c r="A8" s="288"/>
      <c r="B8" s="45"/>
      <c r="C8" s="58"/>
      <c r="D8" s="78"/>
      <c r="E8" s="125"/>
      <c r="F8" s="143"/>
      <c r="G8" s="39"/>
      <c r="H8" s="60"/>
      <c r="I8" s="164"/>
      <c r="J8" s="164"/>
      <c r="K8" s="164"/>
      <c r="L8" s="57"/>
      <c r="M8" s="49"/>
      <c r="N8" s="49"/>
      <c r="O8" s="20"/>
      <c r="P8" s="21"/>
      <c r="Q8" s="22"/>
    </row>
    <row r="9" spans="1:17" ht="23.25" customHeight="1" thickBot="1" x14ac:dyDescent="0.3">
      <c r="A9" s="289"/>
      <c r="B9" s="93" t="s">
        <v>448</v>
      </c>
      <c r="C9" s="317" t="s">
        <v>449</v>
      </c>
      <c r="D9" s="318"/>
      <c r="E9" s="318"/>
      <c r="F9" s="319"/>
      <c r="G9" s="276"/>
      <c r="H9" s="276"/>
      <c r="I9" s="276">
        <f>SUM(I4:I8)</f>
        <v>1824</v>
      </c>
      <c r="J9" s="276"/>
      <c r="K9" s="276"/>
      <c r="L9" s="279"/>
      <c r="M9" s="276"/>
      <c r="N9" s="276"/>
      <c r="O9" s="276"/>
      <c r="P9" s="277"/>
      <c r="Q9" s="277"/>
    </row>
    <row r="10" spans="1:17" ht="23.25" customHeight="1" x14ac:dyDescent="0.25">
      <c r="A10" s="287" t="s">
        <v>49</v>
      </c>
      <c r="B10" s="357" t="s">
        <v>1322</v>
      </c>
      <c r="C10" s="281">
        <v>43277</v>
      </c>
      <c r="D10" s="282" t="s">
        <v>93</v>
      </c>
      <c r="E10" s="177" t="s">
        <v>56</v>
      </c>
      <c r="F10" s="168" t="s">
        <v>736</v>
      </c>
      <c r="G10" s="168">
        <v>8208</v>
      </c>
      <c r="H10" s="41" t="s">
        <v>53</v>
      </c>
      <c r="I10" s="178">
        <v>456</v>
      </c>
      <c r="J10" s="180" t="s">
        <v>1408</v>
      </c>
      <c r="K10" s="178"/>
      <c r="L10" s="283" t="s">
        <v>625</v>
      </c>
      <c r="M10" s="16"/>
      <c r="N10" s="16"/>
      <c r="O10" s="17" t="s">
        <v>1349</v>
      </c>
      <c r="P10" s="18">
        <v>1</v>
      </c>
      <c r="Q10" s="19" t="s">
        <v>19</v>
      </c>
    </row>
    <row r="11" spans="1:17" ht="23.25" customHeight="1" x14ac:dyDescent="0.25">
      <c r="A11" s="288"/>
      <c r="B11" s="358"/>
      <c r="C11" s="117"/>
      <c r="D11" s="284"/>
      <c r="E11" s="78" t="s">
        <v>737</v>
      </c>
      <c r="F11" s="103"/>
      <c r="G11" s="38"/>
      <c r="H11" s="60"/>
      <c r="I11" s="194">
        <v>456</v>
      </c>
      <c r="J11" s="195" t="s">
        <v>1409</v>
      </c>
      <c r="K11" s="194"/>
      <c r="L11" s="44"/>
      <c r="M11" s="63"/>
      <c r="N11" s="63"/>
      <c r="O11" s="20" t="s">
        <v>1350</v>
      </c>
      <c r="P11" s="21">
        <v>2</v>
      </c>
      <c r="Q11" s="22" t="s">
        <v>20</v>
      </c>
    </row>
    <row r="12" spans="1:17" ht="23.25" customHeight="1" x14ac:dyDescent="0.25">
      <c r="A12" s="288"/>
      <c r="B12" s="85" t="s">
        <v>1320</v>
      </c>
      <c r="C12" s="112"/>
      <c r="D12" s="135"/>
      <c r="E12" s="82"/>
      <c r="F12" s="39"/>
      <c r="G12" s="39"/>
      <c r="H12" s="60"/>
      <c r="I12" s="164">
        <v>456</v>
      </c>
      <c r="J12" s="57" t="s">
        <v>1410</v>
      </c>
      <c r="K12" s="164"/>
      <c r="L12" s="88"/>
      <c r="M12" s="63"/>
      <c r="N12" s="63"/>
      <c r="O12" s="20" t="s">
        <v>1351</v>
      </c>
      <c r="P12" s="21">
        <v>3</v>
      </c>
      <c r="Q12" s="22" t="s">
        <v>21</v>
      </c>
    </row>
    <row r="13" spans="1:17" ht="23.25" customHeight="1" x14ac:dyDescent="0.25">
      <c r="A13" s="288"/>
      <c r="B13" s="85"/>
      <c r="C13" s="112"/>
      <c r="D13" s="135"/>
      <c r="E13" s="82"/>
      <c r="F13" s="103"/>
      <c r="G13" s="39"/>
      <c r="H13" s="60"/>
      <c r="I13" s="164">
        <v>456</v>
      </c>
      <c r="J13" s="57" t="s">
        <v>1411</v>
      </c>
      <c r="K13" s="164"/>
      <c r="L13" s="88"/>
      <c r="M13" s="15"/>
      <c r="N13" s="15"/>
      <c r="O13" s="20" t="s">
        <v>1352</v>
      </c>
      <c r="P13" s="21">
        <v>4</v>
      </c>
      <c r="Q13" s="22" t="s">
        <v>21</v>
      </c>
    </row>
    <row r="14" spans="1:17" ht="23.25" customHeight="1" x14ac:dyDescent="0.25">
      <c r="A14" s="288"/>
      <c r="B14" s="85"/>
      <c r="C14" s="112"/>
      <c r="D14" s="135"/>
      <c r="E14" s="82"/>
      <c r="F14" s="103"/>
      <c r="G14" s="39"/>
      <c r="H14" s="60"/>
      <c r="I14" s="164"/>
      <c r="J14" s="164"/>
      <c r="K14" s="164"/>
      <c r="L14" s="88"/>
      <c r="M14" s="15"/>
      <c r="N14" s="15"/>
      <c r="O14" s="20"/>
      <c r="P14" s="21"/>
      <c r="Q14" s="22"/>
    </row>
    <row r="15" spans="1:17" ht="23.25" customHeight="1" thickBot="1" x14ac:dyDescent="0.3">
      <c r="A15" s="289"/>
      <c r="B15" s="93" t="s">
        <v>64</v>
      </c>
      <c r="C15" s="290" t="s">
        <v>65</v>
      </c>
      <c r="D15" s="291"/>
      <c r="E15" s="291"/>
      <c r="F15" s="292"/>
      <c r="G15" s="114"/>
      <c r="H15" s="114"/>
      <c r="I15" s="114">
        <f>SUM(I10:I14)</f>
        <v>1824</v>
      </c>
      <c r="J15" s="114"/>
      <c r="K15" s="114"/>
      <c r="L15" s="80"/>
      <c r="M15" s="114"/>
      <c r="N15" s="114"/>
      <c r="O15" s="114"/>
      <c r="P15" s="277"/>
      <c r="Q15" s="277"/>
    </row>
    <row r="16" spans="1:17" ht="23.25" customHeight="1" x14ac:dyDescent="0.25">
      <c r="A16" s="287" t="s">
        <v>50</v>
      </c>
      <c r="B16" s="327" t="s">
        <v>1329</v>
      </c>
      <c r="C16" s="189">
        <v>43277</v>
      </c>
      <c r="D16" s="190" t="s">
        <v>93</v>
      </c>
      <c r="E16" s="179" t="s">
        <v>56</v>
      </c>
      <c r="F16" s="104" t="s">
        <v>736</v>
      </c>
      <c r="G16" s="168">
        <v>9912</v>
      </c>
      <c r="H16" s="192" t="s">
        <v>53</v>
      </c>
      <c r="I16" s="178">
        <v>456</v>
      </c>
      <c r="J16" s="180" t="s">
        <v>1412</v>
      </c>
      <c r="K16" s="178"/>
      <c r="L16" s="180" t="s">
        <v>625</v>
      </c>
      <c r="M16" s="16"/>
      <c r="N16" s="16"/>
      <c r="O16" s="17" t="s">
        <v>1349</v>
      </c>
      <c r="P16" s="18">
        <v>1</v>
      </c>
      <c r="Q16" s="19" t="s">
        <v>19</v>
      </c>
    </row>
    <row r="17" spans="1:17" ht="23.25" customHeight="1" x14ac:dyDescent="0.25">
      <c r="A17" s="288"/>
      <c r="B17" s="359"/>
      <c r="C17" s="285"/>
      <c r="D17" s="286"/>
      <c r="E17" s="193" t="s">
        <v>737</v>
      </c>
      <c r="F17" s="103"/>
      <c r="G17" s="38"/>
      <c r="H17" s="60"/>
      <c r="I17" s="194">
        <v>456</v>
      </c>
      <c r="J17" s="195" t="s">
        <v>1413</v>
      </c>
      <c r="K17" s="194"/>
      <c r="L17" s="195"/>
      <c r="M17" s="15"/>
      <c r="N17" s="15"/>
      <c r="O17" s="20" t="s">
        <v>1350</v>
      </c>
      <c r="P17" s="21">
        <v>2</v>
      </c>
      <c r="Q17" s="22" t="s">
        <v>20</v>
      </c>
    </row>
    <row r="18" spans="1:17" ht="23.25" customHeight="1" x14ac:dyDescent="0.25">
      <c r="A18" s="288"/>
      <c r="B18" s="45" t="s">
        <v>1328</v>
      </c>
      <c r="C18" s="46"/>
      <c r="D18" s="47"/>
      <c r="E18" s="48"/>
      <c r="F18" s="159"/>
      <c r="G18" s="39"/>
      <c r="H18" s="79"/>
      <c r="I18" s="84">
        <v>456</v>
      </c>
      <c r="J18" s="57" t="s">
        <v>1414</v>
      </c>
      <c r="K18" s="164"/>
      <c r="L18" s="57"/>
      <c r="M18" s="15"/>
      <c r="N18" s="15"/>
      <c r="O18" s="20" t="s">
        <v>1351</v>
      </c>
      <c r="P18" s="21">
        <v>3</v>
      </c>
      <c r="Q18" s="22" t="s">
        <v>21</v>
      </c>
    </row>
    <row r="19" spans="1:17" ht="23.25" customHeight="1" x14ac:dyDescent="0.25">
      <c r="A19" s="288"/>
      <c r="B19" s="45"/>
      <c r="C19" s="46"/>
      <c r="D19" s="47"/>
      <c r="E19" s="48"/>
      <c r="F19" s="103"/>
      <c r="G19" s="39"/>
      <c r="H19" s="79"/>
      <c r="I19" s="164">
        <v>456</v>
      </c>
      <c r="J19" s="57" t="s">
        <v>1415</v>
      </c>
      <c r="K19" s="164"/>
      <c r="L19" s="57"/>
      <c r="M19" s="49"/>
      <c r="N19" s="49"/>
      <c r="O19" s="20" t="s">
        <v>1352</v>
      </c>
      <c r="P19" s="21">
        <v>4</v>
      </c>
      <c r="Q19" s="22" t="s">
        <v>21</v>
      </c>
    </row>
    <row r="20" spans="1:17" ht="23.25" customHeight="1" x14ac:dyDescent="0.25">
      <c r="A20" s="288"/>
      <c r="B20" s="45"/>
      <c r="C20" s="46"/>
      <c r="D20" s="47"/>
      <c r="E20" s="48"/>
      <c r="F20" s="103"/>
      <c r="G20" s="39"/>
      <c r="H20" s="79"/>
      <c r="I20" s="164"/>
      <c r="J20" s="57"/>
      <c r="K20" s="164"/>
      <c r="L20" s="57"/>
      <c r="M20" s="49"/>
      <c r="N20" s="49"/>
      <c r="O20" s="20"/>
      <c r="P20" s="21"/>
      <c r="Q20" s="22"/>
    </row>
    <row r="21" spans="1:17" ht="23.25" customHeight="1" thickBot="1" x14ac:dyDescent="0.3">
      <c r="A21" s="289"/>
      <c r="B21" s="93" t="s">
        <v>64</v>
      </c>
      <c r="C21" s="290" t="s">
        <v>65</v>
      </c>
      <c r="D21" s="291"/>
      <c r="E21" s="291"/>
      <c r="F21" s="292"/>
      <c r="G21" s="114"/>
      <c r="H21" s="114"/>
      <c r="I21" s="276">
        <f>SUM(I16:I20)</f>
        <v>1824</v>
      </c>
      <c r="J21" s="276"/>
      <c r="K21" s="276"/>
      <c r="L21" s="279"/>
      <c r="M21" s="276"/>
      <c r="N21" s="276"/>
      <c r="O21" s="276"/>
      <c r="P21" s="277"/>
      <c r="Q21" s="277"/>
    </row>
    <row r="22" spans="1:17" ht="23.25" customHeight="1" x14ac:dyDescent="0.25">
      <c r="A22" s="287" t="s">
        <v>52</v>
      </c>
      <c r="B22" s="327" t="s">
        <v>322</v>
      </c>
      <c r="C22" s="189">
        <v>43277</v>
      </c>
      <c r="D22" s="190" t="s">
        <v>93</v>
      </c>
      <c r="E22" s="179" t="s">
        <v>56</v>
      </c>
      <c r="F22" s="191" t="s">
        <v>319</v>
      </c>
      <c r="G22" s="168">
        <v>25980</v>
      </c>
      <c r="H22" s="192" t="s">
        <v>70</v>
      </c>
      <c r="I22" s="178">
        <v>456</v>
      </c>
      <c r="J22" s="196" t="s">
        <v>1416</v>
      </c>
      <c r="K22" s="178"/>
      <c r="L22" s="180" t="s">
        <v>67</v>
      </c>
      <c r="M22" s="16"/>
      <c r="N22" s="16"/>
      <c r="O22" s="17" t="s">
        <v>1349</v>
      </c>
      <c r="P22" s="18">
        <v>1</v>
      </c>
      <c r="Q22" s="19" t="s">
        <v>19</v>
      </c>
    </row>
    <row r="23" spans="1:17" ht="23.25" customHeight="1" x14ac:dyDescent="0.25">
      <c r="A23" s="288"/>
      <c r="B23" s="324"/>
      <c r="C23" s="320" t="s">
        <v>320</v>
      </c>
      <c r="D23" s="321"/>
      <c r="E23" s="322"/>
      <c r="F23" s="335" t="s">
        <v>761</v>
      </c>
      <c r="G23" s="336"/>
      <c r="H23" s="337"/>
      <c r="I23" s="164">
        <v>456</v>
      </c>
      <c r="J23" s="197" t="s">
        <v>1417</v>
      </c>
      <c r="K23" s="194"/>
      <c r="L23" s="195"/>
      <c r="M23" s="87"/>
      <c r="N23" s="15"/>
      <c r="O23" s="20" t="s">
        <v>1350</v>
      </c>
      <c r="P23" s="21">
        <v>2</v>
      </c>
      <c r="Q23" s="22" t="s">
        <v>20</v>
      </c>
    </row>
    <row r="24" spans="1:17" ht="23.25" customHeight="1" x14ac:dyDescent="0.25">
      <c r="A24" s="288"/>
      <c r="B24" s="45" t="s">
        <v>321</v>
      </c>
      <c r="C24" s="46"/>
      <c r="D24" s="47"/>
      <c r="E24" s="82"/>
      <c r="F24" s="88" t="s">
        <v>119</v>
      </c>
      <c r="G24" s="39"/>
      <c r="H24" s="48"/>
      <c r="I24" s="164">
        <v>456</v>
      </c>
      <c r="J24" s="51" t="s">
        <v>1418</v>
      </c>
      <c r="K24" s="164"/>
      <c r="L24" s="57"/>
      <c r="M24" s="49"/>
      <c r="N24" s="15"/>
      <c r="O24" s="20" t="s">
        <v>1351</v>
      </c>
      <c r="P24" s="21">
        <v>3</v>
      </c>
      <c r="Q24" s="22" t="s">
        <v>21</v>
      </c>
    </row>
    <row r="25" spans="1:17" ht="23.25" customHeight="1" x14ac:dyDescent="0.25">
      <c r="A25" s="288"/>
      <c r="B25" s="45"/>
      <c r="C25" s="46"/>
      <c r="D25" s="47"/>
      <c r="E25" s="82"/>
      <c r="F25" s="103"/>
      <c r="G25" s="39"/>
      <c r="H25" s="48"/>
      <c r="I25" s="164">
        <v>456</v>
      </c>
      <c r="J25" s="51" t="s">
        <v>1419</v>
      </c>
      <c r="K25" s="164"/>
      <c r="L25" s="57"/>
      <c r="M25" s="49"/>
      <c r="N25" s="49"/>
      <c r="O25" s="20" t="s">
        <v>1352</v>
      </c>
      <c r="P25" s="21">
        <v>4</v>
      </c>
      <c r="Q25" s="22" t="s">
        <v>21</v>
      </c>
    </row>
    <row r="26" spans="1:17" ht="23.25" customHeight="1" x14ac:dyDescent="0.25">
      <c r="A26" s="288"/>
      <c r="B26" s="45"/>
      <c r="C26" s="46"/>
      <c r="D26" s="47"/>
      <c r="E26" s="82"/>
      <c r="F26" s="88"/>
      <c r="G26" s="39"/>
      <c r="H26" s="48"/>
      <c r="I26" s="164"/>
      <c r="J26" s="57"/>
      <c r="K26" s="164"/>
      <c r="L26" s="57"/>
      <c r="M26" s="49"/>
      <c r="N26" s="49"/>
      <c r="O26" s="20"/>
      <c r="P26" s="21"/>
      <c r="Q26" s="22"/>
    </row>
    <row r="27" spans="1:17" ht="23.25" customHeight="1" thickBot="1" x14ac:dyDescent="0.3">
      <c r="A27" s="289"/>
      <c r="B27" s="94"/>
      <c r="C27" s="114"/>
      <c r="D27" s="114"/>
      <c r="E27" s="114"/>
      <c r="F27" s="114"/>
      <c r="G27" s="114"/>
      <c r="H27" s="114"/>
      <c r="I27" s="114">
        <f>SUM(I22:I26)</f>
        <v>1824</v>
      </c>
      <c r="J27" s="114"/>
      <c r="K27" s="114"/>
      <c r="L27" s="80"/>
      <c r="M27" s="114"/>
      <c r="N27" s="114"/>
      <c r="O27" s="114"/>
      <c r="P27" s="277"/>
      <c r="Q27" s="277"/>
    </row>
    <row r="28" spans="1:17" ht="29.25" customHeight="1" thickBot="1" x14ac:dyDescent="0.3">
      <c r="A28" s="37"/>
      <c r="B28" s="64"/>
      <c r="C28" s="65"/>
      <c r="D28" s="66"/>
      <c r="E28" s="67"/>
      <c r="F28" s="68"/>
      <c r="G28" s="67"/>
      <c r="H28" s="67"/>
      <c r="I28" s="69">
        <f>SUM(I27,I21,I15,I9)</f>
        <v>7296</v>
      </c>
      <c r="J28" s="70"/>
      <c r="K28" s="70"/>
      <c r="L28" s="65"/>
      <c r="M28" s="71"/>
      <c r="N28" s="69"/>
      <c r="O28" s="70"/>
      <c r="P28" s="70"/>
      <c r="Q28" s="72"/>
    </row>
    <row r="29" spans="1:17" ht="17.25" thickTop="1" x14ac:dyDescent="0.3">
      <c r="A29" s="23" t="s">
        <v>22</v>
      </c>
      <c r="B29" s="24"/>
      <c r="C29" s="25"/>
      <c r="D29" s="24"/>
      <c r="E29" s="24"/>
      <c r="F29" s="26"/>
      <c r="G29" s="27"/>
      <c r="H29" s="28" t="s">
        <v>23</v>
      </c>
      <c r="I29" s="29"/>
      <c r="J29" s="29"/>
      <c r="K29" s="29"/>
      <c r="L29" s="30"/>
      <c r="M29" s="29"/>
      <c r="N29" s="29"/>
      <c r="O29" s="29"/>
      <c r="P29" s="278" t="s">
        <v>24</v>
      </c>
      <c r="Q29" s="31"/>
    </row>
    <row r="30" spans="1:17" ht="16.5" x14ac:dyDescent="0.3">
      <c r="A30" s="1"/>
      <c r="B30" s="32">
        <v>1</v>
      </c>
      <c r="C30" s="33"/>
      <c r="D30" s="32"/>
      <c r="E30" s="32"/>
      <c r="F30" s="304" t="s">
        <v>25</v>
      </c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</row>
    <row r="31" spans="1:17" ht="16.5" x14ac:dyDescent="0.3">
      <c r="A31" s="1"/>
      <c r="B31" s="297" t="s">
        <v>26</v>
      </c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1:17" ht="16.5" x14ac:dyDescent="0.3">
      <c r="A32" s="1"/>
      <c r="B32" s="34">
        <v>2</v>
      </c>
      <c r="C32" s="35"/>
      <c r="D32" s="36"/>
      <c r="E32" s="36"/>
      <c r="F32" s="298" t="s">
        <v>27</v>
      </c>
      <c r="G32" s="298"/>
      <c r="H32" s="298"/>
      <c r="I32" s="298"/>
      <c r="J32" s="298"/>
      <c r="K32" s="298"/>
      <c r="L32" s="298"/>
      <c r="M32" s="298"/>
      <c r="N32" s="298"/>
      <c r="O32" s="298"/>
      <c r="P32" s="299" t="s">
        <v>28</v>
      </c>
      <c r="Q32" s="300"/>
    </row>
    <row r="33" spans="1:17" ht="16.5" x14ac:dyDescent="0.3">
      <c r="A33" s="1"/>
      <c r="B33" s="297" t="s">
        <v>29</v>
      </c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1"/>
      <c r="Q33" s="1"/>
    </row>
  </sheetData>
  <mergeCells count="23">
    <mergeCell ref="A10:A15"/>
    <mergeCell ref="C15:F15"/>
    <mergeCell ref="A16:A21"/>
    <mergeCell ref="C21:F21"/>
    <mergeCell ref="A1:Q1"/>
    <mergeCell ref="A2:B2"/>
    <mergeCell ref="C2:E2"/>
    <mergeCell ref="F2:G2"/>
    <mergeCell ref="O2:Q2"/>
    <mergeCell ref="A4:A9"/>
    <mergeCell ref="B4:B5"/>
    <mergeCell ref="C9:F9"/>
    <mergeCell ref="A22:A27"/>
    <mergeCell ref="B22:B23"/>
    <mergeCell ref="C23:E23"/>
    <mergeCell ref="F23:H23"/>
    <mergeCell ref="F30:Q30"/>
    <mergeCell ref="F32:O32"/>
    <mergeCell ref="P32:Q32"/>
    <mergeCell ref="B33:O33"/>
    <mergeCell ref="B10:B11"/>
    <mergeCell ref="B16:B17"/>
    <mergeCell ref="B31:Q31"/>
  </mergeCells>
  <phoneticPr fontId="3" type="noConversion"/>
  <pageMargins left="0" right="0" top="0" bottom="0" header="0" footer="0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9"/>
  <sheetViews>
    <sheetView tabSelected="1" zoomScaleNormal="100" workbookViewId="0">
      <selection activeCell="G6" sqref="G6"/>
    </sheetView>
  </sheetViews>
  <sheetFormatPr defaultRowHeight="15.75" x14ac:dyDescent="0.25"/>
  <cols>
    <col min="2" max="2" width="14.85546875" customWidth="1"/>
    <col min="3" max="5" width="4.28515625" customWidth="1"/>
    <col min="6" max="6" width="9.28515625" customWidth="1"/>
    <col min="7" max="7" width="6.42578125" customWidth="1"/>
    <col min="8" max="8" width="9.7109375" customWidth="1"/>
    <col min="9" max="9" width="6.85546875" customWidth="1"/>
    <col min="10" max="10" width="9.140625" customWidth="1"/>
    <col min="11" max="11" width="2.28515625" customWidth="1"/>
    <col min="12" max="12" width="4.85546875" customWidth="1"/>
    <col min="13" max="14" width="1.42578125" customWidth="1"/>
    <col min="15" max="15" width="8" customWidth="1"/>
    <col min="16" max="16" width="2.28515625" customWidth="1"/>
    <col min="17" max="17" width="5.140625" customWidth="1"/>
    <col min="18" max="18" width="9.7109375" bestFit="1" customWidth="1"/>
  </cols>
  <sheetData>
    <row r="1" spans="1:17" s="1" customFormat="1" ht="56.25" customHeight="1" x14ac:dyDescent="0.25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s="5" customFormat="1" ht="19.5" customHeight="1" thickBot="1" x14ac:dyDescent="0.35">
      <c r="A2" s="294" t="s">
        <v>1</v>
      </c>
      <c r="B2" s="294"/>
      <c r="C2" s="295">
        <v>43265</v>
      </c>
      <c r="D2" s="295"/>
      <c r="E2" s="295"/>
      <c r="F2" s="296"/>
      <c r="G2" s="296"/>
      <c r="H2" s="2"/>
      <c r="I2" s="3"/>
      <c r="J2" s="3"/>
      <c r="K2" s="3"/>
      <c r="L2" s="4"/>
      <c r="M2" s="3"/>
      <c r="N2" s="3"/>
      <c r="O2" s="295">
        <v>43266</v>
      </c>
      <c r="P2" s="295"/>
      <c r="Q2" s="295"/>
    </row>
    <row r="3" spans="1:17" s="13" customFormat="1" ht="42" customHeight="1" thickBo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9" t="s">
        <v>14</v>
      </c>
      <c r="N3" s="9" t="s">
        <v>15</v>
      </c>
      <c r="O3" s="12" t="s">
        <v>16</v>
      </c>
      <c r="P3" s="7" t="s">
        <v>17</v>
      </c>
      <c r="Q3" s="14" t="s">
        <v>18</v>
      </c>
    </row>
    <row r="4" spans="1:17" ht="24.75" customHeight="1" x14ac:dyDescent="0.25">
      <c r="A4" s="287" t="s">
        <v>30</v>
      </c>
      <c r="B4" s="42" t="s">
        <v>943</v>
      </c>
      <c r="C4" s="104">
        <v>43281</v>
      </c>
      <c r="D4" s="90" t="s">
        <v>93</v>
      </c>
      <c r="E4" s="144" t="s">
        <v>54</v>
      </c>
      <c r="F4" s="40" t="s">
        <v>944</v>
      </c>
      <c r="G4" s="40">
        <v>7025</v>
      </c>
      <c r="H4" s="204" t="s">
        <v>945</v>
      </c>
      <c r="I4" s="155">
        <v>432</v>
      </c>
      <c r="J4" s="155" t="s">
        <v>1420</v>
      </c>
      <c r="K4" s="155"/>
      <c r="L4" s="53" t="s">
        <v>67</v>
      </c>
      <c r="M4" s="16"/>
      <c r="N4" s="16"/>
      <c r="O4" s="17" t="s">
        <v>1349</v>
      </c>
      <c r="P4" s="18">
        <v>1</v>
      </c>
      <c r="Q4" s="19" t="s">
        <v>19</v>
      </c>
    </row>
    <row r="5" spans="1:17" ht="24.75" customHeight="1" x14ac:dyDescent="0.25">
      <c r="A5" s="288"/>
      <c r="B5" s="45" t="s">
        <v>946</v>
      </c>
      <c r="C5" s="313" t="s">
        <v>35</v>
      </c>
      <c r="D5" s="314"/>
      <c r="E5" s="325" t="s">
        <v>947</v>
      </c>
      <c r="F5" s="343"/>
      <c r="G5" s="326"/>
      <c r="H5" s="146"/>
      <c r="I5" s="164">
        <v>432</v>
      </c>
      <c r="J5" s="164" t="s">
        <v>1421</v>
      </c>
      <c r="K5" s="164"/>
      <c r="L5" s="57"/>
      <c r="M5" s="49"/>
      <c r="N5" s="15"/>
      <c r="O5" s="20" t="s">
        <v>1350</v>
      </c>
      <c r="P5" s="21">
        <v>2</v>
      </c>
      <c r="Q5" s="22" t="s">
        <v>20</v>
      </c>
    </row>
    <row r="6" spans="1:17" ht="24.75" customHeight="1" x14ac:dyDescent="0.25">
      <c r="A6" s="288"/>
      <c r="B6" s="45"/>
      <c r="C6" s="133"/>
      <c r="D6" s="134"/>
      <c r="E6" s="129"/>
      <c r="F6" s="39"/>
      <c r="G6" s="39"/>
      <c r="H6" s="146"/>
      <c r="I6" s="164">
        <f>7025-216*32</f>
        <v>113</v>
      </c>
      <c r="J6" s="164" t="s">
        <v>1422</v>
      </c>
      <c r="K6" s="164"/>
      <c r="L6" s="57"/>
      <c r="M6" s="15"/>
      <c r="N6" s="15"/>
      <c r="O6" s="20" t="s">
        <v>1351</v>
      </c>
      <c r="P6" s="21">
        <v>3</v>
      </c>
      <c r="Q6" s="22" t="s">
        <v>21</v>
      </c>
    </row>
    <row r="7" spans="1:17" ht="24.75" customHeight="1" x14ac:dyDescent="0.25">
      <c r="A7" s="288"/>
      <c r="B7" s="45" t="s">
        <v>1423</v>
      </c>
      <c r="C7" s="133">
        <v>43281</v>
      </c>
      <c r="D7" s="134" t="s">
        <v>93</v>
      </c>
      <c r="E7" s="129" t="s">
        <v>54</v>
      </c>
      <c r="F7" s="39" t="s">
        <v>944</v>
      </c>
      <c r="G7" s="39">
        <v>224</v>
      </c>
      <c r="H7" s="146" t="s">
        <v>945</v>
      </c>
      <c r="I7" s="164">
        <v>224</v>
      </c>
      <c r="J7" s="164" t="s">
        <v>173</v>
      </c>
      <c r="K7" s="164"/>
      <c r="L7" s="57" t="s">
        <v>1424</v>
      </c>
      <c r="M7" s="15"/>
      <c r="N7" s="15"/>
      <c r="O7" s="20" t="s">
        <v>1352</v>
      </c>
      <c r="P7" s="21">
        <v>4</v>
      </c>
      <c r="Q7" s="22" t="s">
        <v>21</v>
      </c>
    </row>
    <row r="8" spans="1:17" ht="24.75" customHeight="1" x14ac:dyDescent="0.25">
      <c r="A8" s="288"/>
      <c r="B8" s="45"/>
      <c r="C8" s="313" t="s">
        <v>35</v>
      </c>
      <c r="D8" s="314"/>
      <c r="E8" s="129"/>
      <c r="F8" s="39"/>
      <c r="G8" s="39"/>
      <c r="H8" s="146"/>
      <c r="I8" s="164"/>
      <c r="J8" s="164"/>
      <c r="K8" s="164"/>
      <c r="L8" s="57"/>
      <c r="M8" s="49"/>
      <c r="N8" s="49"/>
      <c r="O8" s="20"/>
      <c r="P8" s="21"/>
      <c r="Q8" s="22"/>
    </row>
    <row r="9" spans="1:17" ht="24.75" customHeight="1" x14ac:dyDescent="0.25">
      <c r="A9" s="288"/>
      <c r="B9" s="45" t="s">
        <v>1425</v>
      </c>
      <c r="C9" s="133">
        <v>43325</v>
      </c>
      <c r="D9" s="134" t="s">
        <v>93</v>
      </c>
      <c r="E9" s="129" t="s">
        <v>54</v>
      </c>
      <c r="F9" s="39" t="s">
        <v>944</v>
      </c>
      <c r="G9" s="164">
        <v>120</v>
      </c>
      <c r="H9" s="146" t="s">
        <v>945</v>
      </c>
      <c r="I9" s="164">
        <v>120</v>
      </c>
      <c r="J9" s="164" t="s">
        <v>173</v>
      </c>
      <c r="K9" s="164"/>
      <c r="L9" s="57" t="s">
        <v>1424</v>
      </c>
      <c r="M9" s="49"/>
      <c r="N9" s="49"/>
      <c r="O9" s="100"/>
      <c r="P9" s="50"/>
      <c r="Q9" s="148"/>
    </row>
    <row r="10" spans="1:17" ht="24.75" customHeight="1" thickBot="1" x14ac:dyDescent="0.3">
      <c r="A10" s="289"/>
      <c r="B10" s="93" t="s">
        <v>64</v>
      </c>
      <c r="C10" s="290" t="s">
        <v>65</v>
      </c>
      <c r="D10" s="291"/>
      <c r="E10" s="291"/>
      <c r="F10" s="292"/>
      <c r="G10" s="276"/>
      <c r="H10" s="276"/>
      <c r="I10" s="276">
        <f>SUM(I4:I9)</f>
        <v>1321</v>
      </c>
      <c r="J10" s="276"/>
      <c r="K10" s="276"/>
      <c r="L10" s="279"/>
      <c r="M10" s="276"/>
      <c r="N10" s="276"/>
      <c r="O10" s="276"/>
      <c r="P10" s="277"/>
      <c r="Q10" s="147"/>
    </row>
    <row r="11" spans="1:17" ht="24.75" customHeight="1" x14ac:dyDescent="0.25">
      <c r="A11" s="288" t="s">
        <v>31</v>
      </c>
      <c r="B11" s="42" t="s">
        <v>1135</v>
      </c>
      <c r="C11" s="104">
        <v>43285</v>
      </c>
      <c r="D11" s="90" t="s">
        <v>93</v>
      </c>
      <c r="E11" s="144" t="s">
        <v>54</v>
      </c>
      <c r="F11" s="40" t="s">
        <v>1133</v>
      </c>
      <c r="G11" s="40">
        <v>3276</v>
      </c>
      <c r="H11" s="204" t="s">
        <v>241</v>
      </c>
      <c r="I11" s="155">
        <v>360</v>
      </c>
      <c r="J11" s="155" t="s">
        <v>1426</v>
      </c>
      <c r="K11" s="155"/>
      <c r="L11" s="53" t="s">
        <v>330</v>
      </c>
      <c r="M11" s="16"/>
      <c r="N11" s="16"/>
      <c r="O11" s="17" t="s">
        <v>1349</v>
      </c>
      <c r="P11" s="18">
        <v>1</v>
      </c>
      <c r="Q11" s="19" t="s">
        <v>19</v>
      </c>
    </row>
    <row r="12" spans="1:17" ht="24.75" customHeight="1" x14ac:dyDescent="0.25">
      <c r="A12" s="288"/>
      <c r="B12" s="45" t="s">
        <v>268</v>
      </c>
      <c r="C12" s="133"/>
      <c r="D12" s="134"/>
      <c r="E12" s="129"/>
      <c r="F12" s="39"/>
      <c r="G12" s="39"/>
      <c r="H12" s="130"/>
      <c r="I12" s="84">
        <f>3276-180*16</f>
        <v>396</v>
      </c>
      <c r="J12" s="164" t="s">
        <v>1427</v>
      </c>
      <c r="K12" s="164"/>
      <c r="L12" s="57"/>
      <c r="M12" s="15"/>
      <c r="N12" s="15"/>
      <c r="O12" s="20" t="s">
        <v>1350</v>
      </c>
      <c r="P12" s="21">
        <v>2</v>
      </c>
      <c r="Q12" s="22" t="s">
        <v>20</v>
      </c>
    </row>
    <row r="13" spans="1:17" ht="24.75" customHeight="1" x14ac:dyDescent="0.25">
      <c r="A13" s="288"/>
      <c r="B13" s="45" t="s">
        <v>1428</v>
      </c>
      <c r="C13" s="133">
        <v>43296</v>
      </c>
      <c r="D13" s="134" t="s">
        <v>988</v>
      </c>
      <c r="E13" s="129" t="s">
        <v>54</v>
      </c>
      <c r="F13" s="39" t="s">
        <v>231</v>
      </c>
      <c r="G13" s="39">
        <v>5400</v>
      </c>
      <c r="H13" s="146" t="s">
        <v>126</v>
      </c>
      <c r="I13" s="164">
        <v>336</v>
      </c>
      <c r="J13" s="164" t="s">
        <v>1429</v>
      </c>
      <c r="K13" s="164"/>
      <c r="L13" s="57" t="s">
        <v>546</v>
      </c>
      <c r="M13" s="15"/>
      <c r="N13" s="15"/>
      <c r="O13" s="20" t="s">
        <v>1351</v>
      </c>
      <c r="P13" s="21">
        <v>3</v>
      </c>
      <c r="Q13" s="22" t="s">
        <v>21</v>
      </c>
    </row>
    <row r="14" spans="1:17" ht="24.75" customHeight="1" x14ac:dyDescent="0.25">
      <c r="A14" s="288"/>
      <c r="B14" s="45" t="s">
        <v>271</v>
      </c>
      <c r="C14" s="313" t="s">
        <v>35</v>
      </c>
      <c r="D14" s="314"/>
      <c r="E14" s="129"/>
      <c r="F14" s="39"/>
      <c r="G14" s="39"/>
      <c r="H14" s="130"/>
      <c r="I14" s="84">
        <v>336</v>
      </c>
      <c r="J14" s="164" t="s">
        <v>1430</v>
      </c>
      <c r="K14" s="164"/>
      <c r="L14" s="57"/>
      <c r="M14" s="49"/>
      <c r="N14" s="49"/>
      <c r="O14" s="20" t="s">
        <v>1352</v>
      </c>
      <c r="P14" s="21">
        <v>4</v>
      </c>
      <c r="Q14" s="22" t="s">
        <v>21</v>
      </c>
    </row>
    <row r="15" spans="1:17" ht="24.75" customHeight="1" x14ac:dyDescent="0.25">
      <c r="A15" s="288"/>
      <c r="B15" s="45"/>
      <c r="C15" s="133"/>
      <c r="D15" s="134"/>
      <c r="E15" s="129"/>
      <c r="F15" s="39"/>
      <c r="G15" s="39"/>
      <c r="H15" s="146"/>
      <c r="I15" s="164"/>
      <c r="J15" s="164"/>
      <c r="K15" s="164"/>
      <c r="L15" s="57"/>
      <c r="M15" s="49"/>
      <c r="N15" s="49"/>
      <c r="O15" s="20"/>
      <c r="P15" s="21"/>
      <c r="Q15" s="22"/>
    </row>
    <row r="16" spans="1:17" ht="24.75" customHeight="1" thickBot="1" x14ac:dyDescent="0.3">
      <c r="A16" s="289"/>
      <c r="B16" s="93" t="s">
        <v>64</v>
      </c>
      <c r="C16" s="290" t="s">
        <v>65</v>
      </c>
      <c r="D16" s="291"/>
      <c r="E16" s="291"/>
      <c r="F16" s="292"/>
      <c r="G16" s="276"/>
      <c r="H16" s="276"/>
      <c r="I16" s="276">
        <f>SUM(I11:I15)</f>
        <v>1428</v>
      </c>
      <c r="J16" s="276"/>
      <c r="K16" s="276"/>
      <c r="L16" s="279"/>
      <c r="M16" s="276"/>
      <c r="N16" s="276"/>
      <c r="O16" s="276"/>
      <c r="P16" s="276"/>
      <c r="Q16" s="151"/>
    </row>
    <row r="17" spans="1:17" ht="24.75" customHeight="1" x14ac:dyDescent="0.25">
      <c r="A17" s="287" t="s">
        <v>32</v>
      </c>
      <c r="B17" s="42" t="s">
        <v>1212</v>
      </c>
      <c r="C17" s="104">
        <v>43296</v>
      </c>
      <c r="D17" s="90" t="s">
        <v>988</v>
      </c>
      <c r="E17" s="144" t="s">
        <v>54</v>
      </c>
      <c r="F17" s="40" t="s">
        <v>240</v>
      </c>
      <c r="G17" s="40">
        <v>9504</v>
      </c>
      <c r="H17" s="149" t="s">
        <v>241</v>
      </c>
      <c r="I17" s="155">
        <f>168*2</f>
        <v>336</v>
      </c>
      <c r="J17" s="155" t="s">
        <v>83</v>
      </c>
      <c r="K17" s="155"/>
      <c r="L17" s="53" t="s">
        <v>330</v>
      </c>
      <c r="M17" s="16"/>
      <c r="N17" s="16"/>
      <c r="O17" s="17" t="s">
        <v>1349</v>
      </c>
      <c r="P17" s="18">
        <v>1</v>
      </c>
      <c r="Q17" s="19" t="s">
        <v>19</v>
      </c>
    </row>
    <row r="18" spans="1:17" ht="24.75" customHeight="1" x14ac:dyDescent="0.25">
      <c r="A18" s="288"/>
      <c r="B18" s="45" t="s">
        <v>1213</v>
      </c>
      <c r="C18" s="313" t="s">
        <v>35</v>
      </c>
      <c r="D18" s="314"/>
      <c r="E18" s="129"/>
      <c r="F18" s="39"/>
      <c r="G18" s="39"/>
      <c r="H18" s="130"/>
      <c r="I18" s="164">
        <v>336</v>
      </c>
      <c r="J18" s="164" t="s">
        <v>486</v>
      </c>
      <c r="K18" s="164"/>
      <c r="L18" s="57"/>
      <c r="M18" s="15"/>
      <c r="N18" s="15"/>
      <c r="O18" s="20" t="s">
        <v>1350</v>
      </c>
      <c r="P18" s="21">
        <v>2</v>
      </c>
      <c r="Q18" s="22" t="s">
        <v>20</v>
      </c>
    </row>
    <row r="19" spans="1:17" ht="24.75" customHeight="1" x14ac:dyDescent="0.25">
      <c r="A19" s="288"/>
      <c r="B19" s="127"/>
      <c r="C19" s="133"/>
      <c r="D19" s="134"/>
      <c r="E19" s="129"/>
      <c r="F19" s="38"/>
      <c r="G19" s="38"/>
      <c r="H19" s="154"/>
      <c r="I19" s="164">
        <v>336</v>
      </c>
      <c r="J19" s="164" t="s">
        <v>1431</v>
      </c>
      <c r="K19" s="164"/>
      <c r="L19" s="57"/>
      <c r="M19" s="15"/>
      <c r="N19" s="15"/>
      <c r="O19" s="20" t="s">
        <v>1351</v>
      </c>
      <c r="P19" s="21">
        <v>3</v>
      </c>
      <c r="Q19" s="22" t="s">
        <v>21</v>
      </c>
    </row>
    <row r="20" spans="1:17" ht="24.75" customHeight="1" x14ac:dyDescent="0.25">
      <c r="A20" s="288"/>
      <c r="B20" s="85"/>
      <c r="C20" s="133"/>
      <c r="D20" s="134"/>
      <c r="E20" s="129"/>
      <c r="F20" s="38"/>
      <c r="G20" s="164"/>
      <c r="H20" s="146"/>
      <c r="I20" s="164">
        <v>336</v>
      </c>
      <c r="J20" s="164" t="s">
        <v>1432</v>
      </c>
      <c r="K20" s="164"/>
      <c r="L20" s="57"/>
      <c r="M20" s="49"/>
      <c r="N20" s="49"/>
      <c r="O20" s="20" t="s">
        <v>1352</v>
      </c>
      <c r="P20" s="21">
        <v>4</v>
      </c>
      <c r="Q20" s="22" t="s">
        <v>21</v>
      </c>
    </row>
    <row r="21" spans="1:17" ht="24.75" customHeight="1" x14ac:dyDescent="0.25">
      <c r="A21" s="288"/>
      <c r="B21" s="127"/>
      <c r="C21" s="133"/>
      <c r="D21" s="134"/>
      <c r="E21" s="129"/>
      <c r="F21" s="38"/>
      <c r="G21" s="38"/>
      <c r="H21" s="154"/>
      <c r="I21" s="164"/>
      <c r="J21" s="164"/>
      <c r="K21" s="164"/>
      <c r="L21" s="57"/>
      <c r="M21" s="49"/>
      <c r="N21" s="49"/>
      <c r="O21" s="20"/>
      <c r="P21" s="21"/>
      <c r="Q21" s="22"/>
    </row>
    <row r="22" spans="1:17" ht="24.75" customHeight="1" thickBot="1" x14ac:dyDescent="0.3">
      <c r="A22" s="289"/>
      <c r="B22" s="93" t="s">
        <v>64</v>
      </c>
      <c r="C22" s="290" t="s">
        <v>65</v>
      </c>
      <c r="D22" s="291"/>
      <c r="E22" s="291"/>
      <c r="F22" s="292"/>
      <c r="G22" s="276"/>
      <c r="H22" s="276"/>
      <c r="I22" s="276">
        <f>SUM(I17:I21)</f>
        <v>1344</v>
      </c>
      <c r="J22" s="276"/>
      <c r="K22" s="276"/>
      <c r="L22" s="279"/>
      <c r="M22" s="276"/>
      <c r="N22" s="276"/>
      <c r="O22" s="276"/>
      <c r="P22" s="276"/>
      <c r="Q22" s="147"/>
    </row>
    <row r="23" spans="1:17" ht="29.25" customHeight="1" thickBot="1" x14ac:dyDescent="0.3">
      <c r="A23" s="73"/>
      <c r="B23" s="64"/>
      <c r="C23" s="65"/>
      <c r="D23" s="66"/>
      <c r="E23" s="67"/>
      <c r="F23" s="68"/>
      <c r="G23" s="67"/>
      <c r="H23" s="67"/>
      <c r="I23" s="69">
        <f>SUM(I22,I16,I10)</f>
        <v>4093</v>
      </c>
      <c r="J23" s="70"/>
      <c r="K23" s="70"/>
      <c r="L23" s="65"/>
      <c r="M23" s="71"/>
      <c r="N23" s="69"/>
      <c r="O23" s="70"/>
      <c r="P23" s="70"/>
      <c r="Q23" s="72"/>
    </row>
    <row r="24" spans="1:17" ht="17.25" thickTop="1" x14ac:dyDescent="0.3">
      <c r="A24" s="23" t="s">
        <v>22</v>
      </c>
      <c r="B24" s="24"/>
      <c r="C24" s="25"/>
      <c r="D24" s="24"/>
      <c r="E24" s="24"/>
      <c r="F24" s="26"/>
      <c r="G24" s="27"/>
      <c r="H24" s="28" t="s">
        <v>23</v>
      </c>
      <c r="I24" s="29"/>
      <c r="J24" s="29"/>
      <c r="K24" s="29"/>
      <c r="L24" s="30"/>
      <c r="M24" s="29"/>
      <c r="N24" s="29"/>
      <c r="O24" s="29"/>
      <c r="P24" s="278" t="s">
        <v>24</v>
      </c>
      <c r="Q24" s="31"/>
    </row>
    <row r="25" spans="1:17" ht="16.5" x14ac:dyDescent="0.3">
      <c r="A25" s="1"/>
      <c r="B25" s="32">
        <v>1</v>
      </c>
      <c r="C25" s="33"/>
      <c r="D25" s="32"/>
      <c r="E25" s="32"/>
      <c r="F25" s="304" t="s">
        <v>25</v>
      </c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</row>
    <row r="26" spans="1:17" ht="16.5" x14ac:dyDescent="0.3">
      <c r="A26" s="297" t="s">
        <v>26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</row>
    <row r="27" spans="1:17" ht="16.5" x14ac:dyDescent="0.3">
      <c r="A27" s="1"/>
      <c r="B27" s="34">
        <v>2</v>
      </c>
      <c r="C27" s="35"/>
      <c r="D27" s="36"/>
      <c r="E27" s="36"/>
      <c r="F27" s="298" t="s">
        <v>27</v>
      </c>
      <c r="G27" s="298"/>
      <c r="H27" s="298"/>
      <c r="I27" s="298"/>
      <c r="J27" s="298"/>
      <c r="K27" s="298"/>
      <c r="L27" s="298"/>
      <c r="M27" s="298"/>
      <c r="N27" s="298"/>
      <c r="O27" s="298"/>
      <c r="P27" s="76" t="s">
        <v>28</v>
      </c>
      <c r="Q27" s="75"/>
    </row>
    <row r="28" spans="1:17" ht="16.5" x14ac:dyDescent="0.3">
      <c r="A28" s="1"/>
      <c r="B28" s="297" t="s">
        <v>29</v>
      </c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1"/>
      <c r="Q28" s="1"/>
    </row>
    <row r="29" spans="1:17" x14ac:dyDescent="0.25">
      <c r="O29" s="74"/>
    </row>
  </sheetData>
  <mergeCells count="20">
    <mergeCell ref="A1:Q1"/>
    <mergeCell ref="A2:B2"/>
    <mergeCell ref="C2:E2"/>
    <mergeCell ref="F2:G2"/>
    <mergeCell ref="O2:Q2"/>
    <mergeCell ref="A26:Q26"/>
    <mergeCell ref="F27:O27"/>
    <mergeCell ref="B28:O28"/>
    <mergeCell ref="C8:D8"/>
    <mergeCell ref="C14:D14"/>
    <mergeCell ref="A11:A16"/>
    <mergeCell ref="C16:F16"/>
    <mergeCell ref="A17:A22"/>
    <mergeCell ref="C18:D18"/>
    <mergeCell ref="C22:F22"/>
    <mergeCell ref="F25:Q25"/>
    <mergeCell ref="A4:A10"/>
    <mergeCell ref="C5:D5"/>
    <mergeCell ref="E5:G5"/>
    <mergeCell ref="C10:F10"/>
  </mergeCells>
  <phoneticPr fontId="3" type="noConversion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A7 1.6</vt:lpstr>
      <vt:lpstr>A8 1.6</vt:lpstr>
      <vt:lpstr>A9 1.6</vt:lpstr>
      <vt:lpstr>A11 1.6</vt:lpstr>
      <vt:lpstr>A12 1.6</vt:lpstr>
      <vt:lpstr>A7 2.6</vt:lpstr>
      <vt:lpstr>A8 2.6</vt:lpstr>
      <vt:lpstr>A9 2.6</vt:lpstr>
      <vt:lpstr>A11 2.6</vt:lpstr>
      <vt:lpstr>A12 2.6</vt:lpstr>
      <vt:lpstr>A7 4.6</vt:lpstr>
      <vt:lpstr>A8 4.6</vt:lpstr>
      <vt:lpstr>A9 4.6</vt:lpstr>
      <vt:lpstr>A11 4.6</vt:lpstr>
      <vt:lpstr>A12 4.6</vt:lpstr>
      <vt:lpstr>A7 5.6</vt:lpstr>
      <vt:lpstr>A8 5.6</vt:lpstr>
      <vt:lpstr>A9 5.6</vt:lpstr>
      <vt:lpstr>A11 5.6</vt:lpstr>
      <vt:lpstr>A12 5.6</vt:lpstr>
      <vt:lpstr>A7 6.6</vt:lpstr>
      <vt:lpstr>A8 6.6</vt:lpstr>
      <vt:lpstr>A9 6.6</vt:lpstr>
      <vt:lpstr>A11 6.6</vt:lpstr>
      <vt:lpstr>A12 6.6</vt:lpstr>
      <vt:lpstr>A7 7.6</vt:lpstr>
      <vt:lpstr>A8 7.6</vt:lpstr>
      <vt:lpstr>A9 7.6</vt:lpstr>
      <vt:lpstr>A11 7.6</vt:lpstr>
      <vt:lpstr>A12 7.6</vt:lpstr>
      <vt:lpstr>A7 8.6</vt:lpstr>
      <vt:lpstr>A8 8.6</vt:lpstr>
      <vt:lpstr>A9 8.6</vt:lpstr>
      <vt:lpstr>A11 8.6</vt:lpstr>
      <vt:lpstr>A12 8.6</vt:lpstr>
      <vt:lpstr>A7 9.6</vt:lpstr>
      <vt:lpstr>A8 9.6</vt:lpstr>
      <vt:lpstr>A9 9.6</vt:lpstr>
      <vt:lpstr>A11 9.6</vt:lpstr>
      <vt:lpstr>A12 9.6</vt:lpstr>
      <vt:lpstr>A7 11.6</vt:lpstr>
      <vt:lpstr>A8 11.6</vt:lpstr>
      <vt:lpstr>A9 11.6</vt:lpstr>
      <vt:lpstr>A11 11.6</vt:lpstr>
      <vt:lpstr>A12 11.6</vt:lpstr>
      <vt:lpstr>A7 12.6</vt:lpstr>
      <vt:lpstr>A8 12.6</vt:lpstr>
      <vt:lpstr>A9 12.6</vt:lpstr>
      <vt:lpstr>A11 12.6</vt:lpstr>
      <vt:lpstr>A12 12.6</vt:lpstr>
      <vt:lpstr>A7 13.6</vt:lpstr>
      <vt:lpstr>A8 13.6</vt:lpstr>
      <vt:lpstr>A9 13.6</vt:lpstr>
      <vt:lpstr>A11 13.6</vt:lpstr>
      <vt:lpstr>A12 13.6</vt:lpstr>
      <vt:lpstr>A7 14.6</vt:lpstr>
      <vt:lpstr>A8 14.6</vt:lpstr>
      <vt:lpstr>A9 14.6</vt:lpstr>
      <vt:lpstr>A11 14.6</vt:lpstr>
      <vt:lpstr>A12 14.6</vt:lpstr>
      <vt:lpstr>A7 15.6</vt:lpstr>
      <vt:lpstr>A8 15.6</vt:lpstr>
      <vt:lpstr>A9 15.6</vt:lpstr>
      <vt:lpstr>A11 15.6</vt:lpstr>
      <vt:lpstr>A12 15.6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2018-06-13T01:34:01Z</dcterms:modified>
</cp:coreProperties>
</file>